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drawings/drawing2.xml" ContentType="application/vnd.openxmlformats-officedocument.drawing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ndromina3\"/>
    </mc:Choice>
  </mc:AlternateContent>
  <xr:revisionPtr revIDLastSave="0" documentId="8_{9EBDA55F-9D0C-441C-8C14-30F24225FF42}" xr6:coauthVersionLast="47" xr6:coauthVersionMax="47" xr10:uidLastSave="{00000000-0000-0000-0000-000000000000}"/>
  <bookViews>
    <workbookView xWindow="4890" yWindow="4890" windowWidth="21600" windowHeight="11295" xr2:uid="{00000000-000D-0000-FFFF-FFFF00000000}"/>
  </bookViews>
  <sheets>
    <sheet name="Design" sheetId="1" r:id="rId1"/>
    <sheet name="Summary" sheetId="2" r:id="rId2"/>
    <sheet name="Plot_Data" sheetId="3" r:id="rId3"/>
  </sheets>
  <definedNames>
    <definedName name="a_cr">Design!$C$83</definedName>
    <definedName name="A_cust">Design!$C$41</definedName>
    <definedName name="A_emp">Design!$C$170</definedName>
    <definedName name="A_hold">Design!$C$520</definedName>
    <definedName name="A_tyre">Design!$C$310</definedName>
    <definedName name="ac_type">Design!$C$40</definedName>
    <definedName name="ACN">Design!$C$313</definedName>
    <definedName name="aisle_w">Design!$C$52</definedName>
    <definedName name="aisle1">Design!$C$245</definedName>
    <definedName name="aisle1_b">Design!$C$251</definedName>
    <definedName name="aisle2">Design!$C$246</definedName>
    <definedName name="aisle2_b">Design!$C$252</definedName>
    <definedName name="alpha_cr">Design!$E$649</definedName>
    <definedName name="AR_">Design!$E$641</definedName>
    <definedName name="AR_HT">Design!$C$61</definedName>
    <definedName name="AR_VT">Design!$C$62</definedName>
    <definedName name="arm_frac">Design!$C$60</definedName>
    <definedName name="B_box">Plot_Data!$AT$1</definedName>
    <definedName name="b_HT">Design!$C$275</definedName>
    <definedName name="b_VT">Design!$C$280</definedName>
    <definedName name="b_w">Design!$C$223</definedName>
    <definedName name="beta_cr">Design!$C$88</definedName>
    <definedName name="beta_xw">Design!$C$478</definedName>
    <definedName name="BFL">Design!$C$387</definedName>
    <definedName name="BPR">Design!$C$65</definedName>
    <definedName name="brake_g">Design!$C$352</definedName>
    <definedName name="bus_frac">Design!$C$26</definedName>
    <definedName name="bus_pitch">Design!$C$27</definedName>
    <definedName name="c_cabin">Design!$C$528</definedName>
    <definedName name="c_cap">Design!$C$530</definedName>
    <definedName name="C_cust">Design!$C$42</definedName>
    <definedName name="C_emp">Design!$C$171</definedName>
    <definedName name="c_fuel">Design!$C$526</definedName>
    <definedName name="c_HT">Design!$C$58</definedName>
    <definedName name="c_pilot">Design!$C$527</definedName>
    <definedName name="c_price">Design!$C$529</definedName>
    <definedName name="c_root">Design!$C$227</definedName>
    <definedName name="c_tip">Design!$C$228</definedName>
    <definedName name="c_VT">Design!$C$59</definedName>
    <definedName name="CD_0">Design!$E$643</definedName>
    <definedName name="CD_cr">Design!$C$140</definedName>
    <definedName name="CD0_est">Design!$C$492</definedName>
    <definedName name="cg_aft">Design!$C$448</definedName>
    <definedName name="cg_fwd">Design!$C$447</definedName>
    <definedName name="cg_MTOM">Design!$D$443</definedName>
    <definedName name="chk_ACN">Design!$C$314</definedName>
    <definedName name="chk_alt">Design!$C$408</definedName>
    <definedName name="chk_BFL">Design!$C$388</definedName>
    <definedName name="chk_CD0">Design!$C$494</definedName>
    <definedName name="chk_ceil">Design!$C$366</definedName>
    <definedName name="chk_clear">Design!$C$341</definedName>
    <definedName name="chk_climb">Design!$C$397</definedName>
    <definedName name="chk_fin">Design!$C$476</definedName>
    <definedName name="chk_fuel">Design!$C$233</definedName>
    <definedName name="chk_gear">Design!$C$460</definedName>
    <definedName name="chk_hold">Design!$C$523</definedName>
    <definedName name="chk_LD">Design!$C$351</definedName>
    <definedName name="chk_rot">Design!$C$473</definedName>
    <definedName name="chk_SM">Design!$C$456</definedName>
    <definedName name="chk_tailfit">Design!$C$463</definedName>
    <definedName name="chk_tipback">Design!$C$323</definedName>
    <definedName name="chk_TO">Design!$C$348</definedName>
    <definedName name="chk_trim">Design!$C$469</definedName>
    <definedName name="chk_weight">Design!$C$204</definedName>
    <definedName name="chk_xw">Design!$C$480</definedName>
    <definedName name="CL_2">Design!$C$102</definedName>
    <definedName name="CL_cr">Design!$C$139</definedName>
    <definedName name="CL_MA">Design!$C$109</definedName>
    <definedName name="CL_opt">Design!$C$400</definedName>
    <definedName name="CLa_h">Design!$C$449</definedName>
    <definedName name="CLa_w">Design!$C$376</definedName>
    <definedName name="clear_eng">Design!$C$340</definedName>
    <definedName name="CLh_rot">Design!$C$472</definedName>
    <definedName name="CLh_trim">Design!$C$468</definedName>
    <definedName name="climb_min">Design!$C$396</definedName>
    <definedName name="CLmax_c">Design!$C$356</definedName>
    <definedName name="CLmaxL">Design!$E$648</definedName>
    <definedName name="CLmaxTO">Design!$E$647</definedName>
    <definedName name="CLv_eo">Design!$C$475</definedName>
    <definedName name="Cm0_L">Design!$C$467</definedName>
    <definedName name="cmp_i">Design!$C$553</definedName>
    <definedName name="cmp_name">Design!$C$554</definedName>
    <definedName name="co2_skm">Design!$C$546</definedName>
    <definedName name="cost_skm">Design!$C$541</definedName>
    <definedName name="cr_a">Design!$C$89</definedName>
    <definedName name="cr_b">Design!$C$90</definedName>
    <definedName name="cr_c">Design!$C$91</definedName>
    <definedName name="cr_HT">Design!$C$276</definedName>
    <definedName name="cr_VT">Design!$C$281</definedName>
    <definedName name="crit_con">Design!$C$131</definedName>
    <definedName name="d_climb">Design!$C$409</definedName>
    <definedName name="d_desc">Design!$C$410</definedName>
    <definedName name="D_fan">Design!$C$297</definedName>
    <definedName name="d_fus">Design!$C$256</definedName>
    <definedName name="d_hold">Design!$C$519</definedName>
    <definedName name="D_nac">Design!$C$299</definedName>
    <definedName name="D_nose">Design!$C$316</definedName>
    <definedName name="D_tyre">Design!$C$308</definedName>
    <definedName name="dCD0_f2">Design!$C$103</definedName>
    <definedName name="dCD0_fMA">Design!$C$110</definedName>
    <definedName name="dCD0_gear">Design!$C$33</definedName>
    <definedName name="dCL_L">Design!$C$498</definedName>
    <definedName name="dCl_req">Design!$C$500</definedName>
    <definedName name="dCL_TO">Design!$C$499</definedName>
    <definedName name="deda">Design!$C$450</definedName>
    <definedName name="dihedral">Design!$C$47</definedName>
    <definedName name="door_len">Design!$C$54</definedName>
    <definedName name="dr_xw">Design!$C$479</definedName>
    <definedName name="dt_scn">Design!$B$657:$D$671</definedName>
    <definedName name="dt_tr1">Design!$A$604:$E$609</definedName>
    <definedName name="dt_tr2">Design!$A$612:$E$617</definedName>
    <definedName name="dx_fus">Design!$C$451</definedName>
    <definedName name="e_os">Design!$E$642</definedName>
    <definedName name="emp_frac">Design!$C$197</definedName>
    <definedName name="eta_in">Design!$C$66</definedName>
    <definedName name="eta_out">Design!$C$67</definedName>
    <definedName name="ew_mode">Design!$C$23</definedName>
    <definedName name="f_wg">Design!$C$461</definedName>
    <definedName name="ff_climb">Design!$C$36</definedName>
    <definedName name="ff_cruise">Design!$C$148</definedName>
    <definedName name="ff_desc">Design!$C$37</definedName>
    <definedName name="ff_fixed">Design!$C$207</definedName>
    <definedName name="ff_res">Design!$C$38</definedName>
    <definedName name="ff_taxi">Design!$C$34</definedName>
    <definedName name="ff_TO">Design!$C$35</definedName>
    <definedName name="fineness">Design!$C$269</definedName>
    <definedName name="fl_disc">Design!$C$118</definedName>
    <definedName name="flap_ratio">Design!$C$497</definedName>
    <definedName name="flap_type">Design!$C$501</definedName>
    <definedName name="fuel_frac">Design!$C$152</definedName>
    <definedName name="gal_w">Design!$C$514</definedName>
    <definedName name="gam_2">Design!$C$386</definedName>
    <definedName name="grad_2">Design!$C$101</definedName>
    <definedName name="grad_MA">Design!$C$108</definedName>
    <definedName name="grav">Design!$C$77</definedName>
    <definedName name="h_abs">Design!$C$362</definedName>
    <definedName name="h_apt">Design!$C$21</definedName>
    <definedName name="h_best">Design!$C$404</definedName>
    <definedName name="h_cg">Design!$C$321</definedName>
    <definedName name="h_cr">Design!$C$20</definedName>
    <definedName name="h_opt1">Design!$C$402</definedName>
    <definedName name="h_opt2">Design!$C$403</definedName>
    <definedName name="h_serv">Design!$C$365</definedName>
    <definedName name="hcg_fac">Design!$C$72</definedName>
    <definedName name="in_alpha_cr">Design!$C$12</definedName>
    <definedName name="in_AR_">Design!$C$4</definedName>
    <definedName name="in_CD_0">Design!$C$6</definedName>
    <definedName name="in_CLmaxL">Design!$C$11</definedName>
    <definedName name="in_CLmaxTO">Design!$C$10</definedName>
    <definedName name="in_e_os">Design!$C$5</definedName>
    <definedName name="in_LDA">Design!$C$9</definedName>
    <definedName name="in_MCR">Design!$C$13</definedName>
    <definedName name="in_PaxTyp">Design!$C$15</definedName>
    <definedName name="in_PayPax">Design!$C$17</definedName>
    <definedName name="in_PyldMax">Design!$C$7</definedName>
    <definedName name="in_RangeTyp">Design!$C$16</definedName>
    <definedName name="in_TODA">Design!$C$8</definedName>
    <definedName name="in_TSFC_in">Design!$C$14</definedName>
    <definedName name="k_crew">Design!$C$535</definedName>
    <definedName name="k_fees">Design!$C$538</definedName>
    <definedName name="k_fuel">Design!$C$534</definedName>
    <definedName name="K_g">Design!$C$378</definedName>
    <definedName name="K_ind">Design!$C$87</definedName>
    <definedName name="k_L">Design!$C$31</definedName>
    <definedName name="k_maint">Design!$C$536</definedName>
    <definedName name="k_own">Design!$C$537</definedName>
    <definedName name="k_res">Design!$C$39</definedName>
    <definedName name="k_TO">Design!$C$32</definedName>
    <definedName name="k_total">Design!$C$539</definedName>
    <definedName name="kappa">Design!$C$49</definedName>
    <definedName name="L_cabin">Design!$C$266</definedName>
    <definedName name="L_eng">Design!$C$296</definedName>
    <definedName name="L_front">Design!$C$261</definedName>
    <definedName name="L_fus">Design!$C$268</definedName>
    <definedName name="l_main">Design!$C$319</definedName>
    <definedName name="L_nac">Design!$C$298</definedName>
    <definedName name="l_nose">Design!$C$320</definedName>
    <definedName name="L_rear">Design!$C$265</definedName>
    <definedName name="L_rot">Design!$C$471</definedName>
    <definedName name="L_tail">Design!$C$273</definedName>
    <definedName name="lapse_n">Design!$C$360</definedName>
    <definedName name="lav_len">Design!$C$55</definedName>
    <definedName name="lav_slots">Design!$C$259</definedName>
    <definedName name="lav_w">Design!$C$260</definedName>
    <definedName name="LD_2">Design!$C$104</definedName>
    <definedName name="LD_cr">Design!$C$141</definedName>
    <definedName name="LD_MA">Design!$C$111</definedName>
    <definedName name="LD_max">Design!$C$142</definedName>
    <definedName name="LDA">Design!$E$646</definedName>
    <definedName name="LFL">Design!$C$350</definedName>
    <definedName name="m_crew">Design!$C$45</definedName>
    <definedName name="m_eng">Design!$C$295</definedName>
    <definedName name="M_ff">Design!$C$151</definedName>
    <definedName name="M_MO">Design!$C$357</definedName>
    <definedName name="MAC">Design!$C$229</definedName>
    <definedName name="MAC_HT">Design!$C$277</definedName>
    <definedName name="MAC_VT">Design!$C$282</definedName>
    <definedName name="main_frac">Design!$C$68</definedName>
    <definedName name="MCR">Design!$E$650</definedName>
    <definedName name="ML_ratio">Design!$C$29</definedName>
    <definedName name="MLW">Design!$C$202</definedName>
    <definedName name="mS_L">Design!$C$94</definedName>
    <definedName name="MTOW">Design!$C$196</definedName>
    <definedName name="MTOW_bu">Design!$C$195</definedName>
    <definedName name="MTOW_frac">Design!$C$194</definedName>
    <definedName name="mu_cr">Design!$C$483</definedName>
    <definedName name="mu_g">Design!$C$377</definedName>
    <definedName name="MZFW">Design!$C$201</definedName>
    <definedName name="n_aisle">Design!$C$244</definedName>
    <definedName name="n_door">Design!$C$509</definedName>
    <definedName name="N_eng">Design!$C$28</definedName>
    <definedName name="N_eo">Design!$C$474</definedName>
    <definedName name="N_flight">Design!$C$43</definedName>
    <definedName name="n_gC">Design!$C$379</definedName>
    <definedName name="n_gD">Design!$C$380</definedName>
    <definedName name="N_gear">Design!$C$74</definedName>
    <definedName name="n_lav">Design!$C$257</definedName>
    <definedName name="n_lav_front">Design!$C$258</definedName>
    <definedName name="n_lim">Design!$C$381</definedName>
    <definedName name="n_met">Design!$C$636</definedName>
    <definedName name="n_neg">Design!$C$371</definedName>
    <definedName name="n_overwing">Design!$C$510</definedName>
    <definedName name="n_pos">Design!$C$370</definedName>
    <definedName name="n_roc">Design!$C$364</definedName>
    <definedName name="n_rows">Design!$C$249</definedName>
    <definedName name="n_rows_b">Design!$C$254</definedName>
    <definedName name="n_SA">Design!$C$243</definedName>
    <definedName name="n_SA_b">Design!$C$250</definedName>
    <definedName name="n_struts">Design!$C$303</definedName>
    <definedName name="n_wps">Design!$C$304</definedName>
    <definedName name="ng_fwd">Design!$C$458</definedName>
    <definedName name="nose_len">Design!$C$57</definedName>
    <definedName name="nose_scale">Design!$C$70</definedName>
    <definedName name="nz_app">Design!$C$549</definedName>
    <definedName name="nz_fly">Design!$C$548</definedName>
    <definedName name="nz_lat">Design!$C$547</definedName>
    <definedName name="OEW">Design!$C$199</definedName>
    <definedName name="p_opt1">Design!$C$401</definedName>
    <definedName name="p_tyre">Design!$C$311</definedName>
    <definedName name="pax_b">Design!$C$247</definedName>
    <definedName name="pax_e">Design!$C$248</definedName>
    <definedName name="pax_per_cc">Design!$C$44</definedName>
    <definedName name="pax_per_lav">Design!$C$56</definedName>
    <definedName name="PaxTyp">Design!$E$652</definedName>
    <definedName name="PayPax">Design!$E$654</definedName>
    <definedName name="PyldMax">Design!$E$644</definedName>
    <definedName name="q_cr">Design!$C$85</definedName>
    <definedName name="R_design">Design!$E$210</definedName>
    <definedName name="R_maxpl">Design!$E$211</definedName>
    <definedName name="Range_km">Design!$C$136</definedName>
    <definedName name="Range_unit">Design!$D$16</definedName>
    <definedName name="RangeTyp">Design!$E$653</definedName>
    <definedName name="rho_abs">Design!$C$361</definedName>
    <definedName name="rho_cr">Design!$C$82</definedName>
    <definedName name="rho_fuel">Design!$C$50</definedName>
    <definedName name="rho_SL">Design!$C$78</definedName>
    <definedName name="ROC_cr">Design!$C$30</definedName>
    <definedName name="ROC_SL">Design!$C$363</definedName>
    <definedName name="S_exp">Design!$C$422</definedName>
    <definedName name="S_HT">Design!$C$274</definedName>
    <definedName name="S_ref">Design!$C$222</definedName>
    <definedName name="S_VT">Design!$C$279</definedName>
    <definedName name="S_wet_fus">Design!$C$270</definedName>
    <definedName name="scn">Design!$C$639</definedName>
    <definedName name="seat_pitch">Design!$C$53</definedName>
    <definedName name="seat_w">Design!$C$51</definedName>
    <definedName name="seat_w_b">Design!$C$253</definedName>
    <definedName name="sigma">Design!$C$86</definedName>
    <definedName name="SM_min">Design!$C$455</definedName>
    <definedName name="SM_MTOM">Design!$C$454</definedName>
    <definedName name="SM_target">Design!$C$25</definedName>
    <definedName name="stroke">Design!$C$326</definedName>
    <definedName name="sweep25">Design!$C$224</definedName>
    <definedName name="sweepLE">Design!$C$225</definedName>
    <definedName name="sweepLE_HT">Design!$C$278</definedName>
    <definedName name="sweepLE_VT">Design!$C$283</definedName>
    <definedName name="t_block">Design!$C$532</definedName>
    <definedName name="t_climb">Design!$C$367</definedName>
    <definedName name="T_cr">Design!$C$81</definedName>
    <definedName name="T_cr_av">Design!$C$292</definedName>
    <definedName name="T_cr_req">Design!$C$291</definedName>
    <definedName name="T_eng">Design!$C$287</definedName>
    <definedName name="T_SL">Design!$C$286</definedName>
    <definedName name="tail_k">Design!$C$452</definedName>
    <definedName name="tail_len">Design!$C$267</definedName>
    <definedName name="taper">Design!$C$46</definedName>
    <definedName name="taper_HT">Design!$C$63</definedName>
    <definedName name="taper_VT">Design!$C$64</definedName>
    <definedName name="tc">Design!$C$226</definedName>
    <definedName name="tip_aft">Design!$C$459</definedName>
    <definedName name="tipback">Design!$C$322</definedName>
    <definedName name="to_A">Design!$C$116</definedName>
    <definedName name="to_disc">Design!$C$117</definedName>
    <definedName name="TO_slope">Design!$C$98</definedName>
    <definedName name="TODA">Design!$E$645</definedName>
    <definedName name="TOFL">Design!$C$347</definedName>
    <definedName name="track">Design!$C$325</definedName>
    <definedName name="track_min">Design!$C$324</definedName>
    <definedName name="TSFC_in">Design!$E$651</definedName>
    <definedName name="TSFC_s">Design!$C$138</definedName>
    <definedName name="TSFC_unit">Design!$D$14</definedName>
    <definedName name="TW_2">Design!$C$105</definedName>
    <definedName name="TW_av">Design!$C$385</definedName>
    <definedName name="TW_des">Design!$C$128</definedName>
    <definedName name="TW_floor">Design!$C$115</definedName>
    <definedName name="TW_MA">Design!$C$112</definedName>
    <definedName name="TW_p">Design!$C$359</definedName>
    <definedName name="type_used">Design!$C$169</definedName>
    <definedName name="tyre_margin">Design!$C$69</definedName>
    <definedName name="unit_sys">Design!$C$22</definedName>
    <definedName name="util">Design!$C$531</definedName>
    <definedName name="V_2">Design!$C$240</definedName>
    <definedName name="V_A">Design!$C$373</definedName>
    <definedName name="V_app">Design!$C$238</definedName>
    <definedName name="V_bag">Design!$C$522</definedName>
    <definedName name="V_C">Design!$C$374</definedName>
    <definedName name="V_cr">Design!$C$84</definedName>
    <definedName name="V_ctr">Design!$C$234</definedName>
    <definedName name="V_D">Design!$C$375</definedName>
    <definedName name="V_fuel">Design!$C$232</definedName>
    <definedName name="V_hold">Design!$C$521</definedName>
    <definedName name="V_R">Design!$C$470</definedName>
    <definedName name="V_S1">Design!$C$372</definedName>
    <definedName name="V_tank">Design!$C$231</definedName>
    <definedName name="V_vert">Design!$C$73</definedName>
    <definedName name="V_xw">Design!$C$477</definedName>
    <definedName name="Vbar_H">Design!$C$466</definedName>
    <definedName name="view_az">Design!$C$75</definedName>
    <definedName name="view_el">Design!$C$76</definedName>
    <definedName name="Vs_L">Design!$C$237</definedName>
    <definedName name="Vs_TO">Design!$C$239</definedName>
    <definedName name="w_cabin">Design!$C$255</definedName>
    <definedName name="W_crew">Design!$C$137</definedName>
    <definedName name="W_e_build">Design!$B$435</definedName>
    <definedName name="W_empty">Design!$C$198</definedName>
    <definedName name="W_fuel">Design!$C$200</definedName>
    <definedName name="W_pl">Design!$C$134</definedName>
    <definedName name="W_trip">Design!$C$533</definedName>
    <definedName name="w_tyre">Design!$C$309</definedName>
    <definedName name="W_wheel">Design!$C$307</definedName>
    <definedName name="wb_frac">Design!$C$71</definedName>
    <definedName name="Wf_max">Design!$C$208</definedName>
    <definedName name="wheelbase">Design!$C$318</definedName>
    <definedName name="wing_auto">Design!$C$24</definedName>
    <definedName name="WS_des">Design!$C$129</definedName>
    <definedName name="WS_max">Design!$C$95</definedName>
    <definedName name="WS_p">Design!$C$358</definedName>
    <definedName name="x_ac_w">Design!$C$331</definedName>
    <definedName name="x_cg_e">Design!$C$435</definedName>
    <definedName name="x_cg_gear">Design!$C$438</definedName>
    <definedName name="x_door_f">Design!$C$511</definedName>
    <definedName name="x_door_r">Design!$C$512</definedName>
    <definedName name="x_e_ng">Design!$C$437</definedName>
    <definedName name="x_eco0">Design!$C$263</definedName>
    <definedName name="x_eng_cg">Design!$C$423</definedName>
    <definedName name="x_fuelcg">Design!$C$425</definedName>
    <definedName name="x_hLE0">Design!$C$334</definedName>
    <definedName name="x_LEMAC">Design!$C$421</definedName>
    <definedName name="x_main">Design!$C$342</definedName>
    <definedName name="x_nose">Design!$C$343</definedName>
    <definedName name="x_np">Design!$C$453</definedName>
    <definedName name="x_pay">Design!$C$424</definedName>
    <definedName name="x_seat_end">Design!$C$264</definedName>
    <definedName name="x_seat0">Design!$C$262</definedName>
    <definedName name="x_vLE0">Design!$C$336</definedName>
    <definedName name="x_wLE0">Design!$C$332</definedName>
    <definedName name="xw_auto">Design!$C$462</definedName>
    <definedName name="xw_frac">Design!$C$330</definedName>
    <definedName name="xw_in">Design!$C$48</definedName>
    <definedName name="y_eng_in">Design!$C$338</definedName>
    <definedName name="y_eng_out">Design!$C$339</definedName>
    <definedName name="y_MAC">Design!$C$230</definedName>
    <definedName name="z_floor">Design!$C$516</definedName>
    <definedName name="z_HT">Design!$C$335</definedName>
    <definedName name="z_VT0">Design!$C$337</definedName>
    <definedName name="z_w0">Design!$C$333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E355" i="3" l="1"/>
  <c r="BE354" i="3"/>
  <c r="BE353" i="3"/>
  <c r="BE352" i="3"/>
  <c r="BE351" i="3"/>
  <c r="BE350" i="3"/>
  <c r="BE347" i="3"/>
  <c r="BE344" i="3"/>
  <c r="BE343" i="3"/>
  <c r="BE340" i="3"/>
  <c r="BE337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DK29" i="3"/>
  <c r="CE29" i="3"/>
  <c r="A29" i="3"/>
  <c r="DK28" i="3"/>
  <c r="CE28" i="3"/>
  <c r="A28" i="3"/>
  <c r="DK27" i="3"/>
  <c r="CE27" i="3"/>
  <c r="A27" i="3"/>
  <c r="DK26" i="3"/>
  <c r="CE26" i="3"/>
  <c r="A26" i="3"/>
  <c r="DK25" i="3"/>
  <c r="CE25" i="3"/>
  <c r="A25" i="3"/>
  <c r="DK24" i="3"/>
  <c r="CE24" i="3"/>
  <c r="A24" i="3"/>
  <c r="DK23" i="3"/>
  <c r="CE23" i="3"/>
  <c r="A23" i="3"/>
  <c r="DK22" i="3"/>
  <c r="CE22" i="3"/>
  <c r="A22" i="3"/>
  <c r="DK21" i="3"/>
  <c r="CE21" i="3"/>
  <c r="A21" i="3"/>
  <c r="DK20" i="3"/>
  <c r="CE20" i="3"/>
  <c r="A20" i="3"/>
  <c r="DK19" i="3"/>
  <c r="CE19" i="3"/>
  <c r="A19" i="3"/>
  <c r="DK18" i="3"/>
  <c r="CE18" i="3"/>
  <c r="BK18" i="3"/>
  <c r="A18" i="3"/>
  <c r="CE17" i="3"/>
  <c r="A17" i="3"/>
  <c r="CE16" i="3"/>
  <c r="A16" i="3"/>
  <c r="CE15" i="3"/>
  <c r="BQ15" i="3"/>
  <c r="A15" i="3"/>
  <c r="CE14" i="3"/>
  <c r="BQ14" i="3"/>
  <c r="A14" i="3"/>
  <c r="CE13" i="3"/>
  <c r="BQ13" i="3"/>
  <c r="BK13" i="3"/>
  <c r="T13" i="3"/>
  <c r="A13" i="3"/>
  <c r="CE12" i="3"/>
  <c r="BQ12" i="3"/>
  <c r="T12" i="3"/>
  <c r="A12" i="3"/>
  <c r="CE11" i="3"/>
  <c r="BQ11" i="3"/>
  <c r="T11" i="3"/>
  <c r="A11" i="3"/>
  <c r="CE10" i="3"/>
  <c r="T10" i="3"/>
  <c r="AA10" i="3" s="1"/>
  <c r="A10" i="3"/>
  <c r="CE9" i="3"/>
  <c r="BQ9" i="3"/>
  <c r="T9" i="3"/>
  <c r="A9" i="3"/>
  <c r="CE8" i="3"/>
  <c r="BQ8" i="3"/>
  <c r="T8" i="3"/>
  <c r="AA8" i="3" s="1"/>
  <c r="A8" i="3"/>
  <c r="CE7" i="3"/>
  <c r="BQ7" i="3"/>
  <c r="T7" i="3"/>
  <c r="AA40" i="3" s="1"/>
  <c r="A7" i="3"/>
  <c r="DF6" i="3"/>
  <c r="CE6" i="3"/>
  <c r="BQ6" i="3"/>
  <c r="AG6" i="3"/>
  <c r="T6" i="3"/>
  <c r="A6" i="3"/>
  <c r="DH5" i="3"/>
  <c r="DF5" i="3"/>
  <c r="CE5" i="3"/>
  <c r="BQ5" i="3"/>
  <c r="AG5" i="3"/>
  <c r="AG7" i="3" s="1"/>
  <c r="T5" i="3"/>
  <c r="AA5" i="3" s="1"/>
  <c r="A5" i="3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C66" i="2"/>
  <c r="A66" i="2"/>
  <c r="C65" i="2"/>
  <c r="A65" i="2"/>
  <c r="C64" i="2"/>
  <c r="A64" i="2"/>
  <c r="C63" i="2"/>
  <c r="A63" i="2"/>
  <c r="C62" i="2"/>
  <c r="A62" i="2"/>
  <c r="C61" i="2"/>
  <c r="A61" i="2"/>
  <c r="C60" i="2"/>
  <c r="A60" i="2"/>
  <c r="C59" i="2"/>
  <c r="A59" i="2"/>
  <c r="C58" i="2"/>
  <c r="A58" i="2"/>
  <c r="C57" i="2"/>
  <c r="A57" i="2"/>
  <c r="C56" i="2"/>
  <c r="A56" i="2"/>
  <c r="C55" i="2"/>
  <c r="A55" i="2"/>
  <c r="C54" i="2"/>
  <c r="A54" i="2"/>
  <c r="C53" i="2"/>
  <c r="A53" i="2"/>
  <c r="C52" i="2"/>
  <c r="A52" i="2"/>
  <c r="C51" i="2"/>
  <c r="A51" i="2"/>
  <c r="C50" i="2"/>
  <c r="A50" i="2"/>
  <c r="C49" i="2"/>
  <c r="A49" i="2"/>
  <c r="C48" i="2"/>
  <c r="A48" i="2"/>
  <c r="C47" i="2"/>
  <c r="A47" i="2"/>
  <c r="C46" i="2"/>
  <c r="A46" i="2"/>
  <c r="C45" i="2"/>
  <c r="A45" i="2"/>
  <c r="C44" i="2"/>
  <c r="A44" i="2"/>
  <c r="C43" i="2"/>
  <c r="A43" i="2"/>
  <c r="C42" i="2"/>
  <c r="B42" i="2"/>
  <c r="A42" i="2"/>
  <c r="C41" i="2"/>
  <c r="B41" i="2"/>
  <c r="A41" i="2"/>
  <c r="C40" i="2"/>
  <c r="A40" i="2"/>
  <c r="C39" i="2"/>
  <c r="A39" i="2"/>
  <c r="C38" i="2"/>
  <c r="A38" i="2"/>
  <c r="A37" i="2"/>
  <c r="A36" i="2"/>
  <c r="C35" i="2"/>
  <c r="A35" i="2"/>
  <c r="C34" i="2"/>
  <c r="A34" i="2"/>
  <c r="A33" i="2"/>
  <c r="C32" i="2"/>
  <c r="A32" i="2"/>
  <c r="C31" i="2"/>
  <c r="A31" i="2"/>
  <c r="C30" i="2"/>
  <c r="A30" i="2"/>
  <c r="C29" i="2"/>
  <c r="A29" i="2"/>
  <c r="A28" i="2"/>
  <c r="A27" i="2"/>
  <c r="A26" i="2"/>
  <c r="A25" i="2"/>
  <c r="C24" i="2"/>
  <c r="A24" i="2"/>
  <c r="C23" i="2"/>
  <c r="A23" i="2"/>
  <c r="A22" i="2"/>
  <c r="A21" i="2"/>
  <c r="C20" i="2"/>
  <c r="A20" i="2"/>
  <c r="A19" i="2"/>
  <c r="A18" i="2"/>
  <c r="C17" i="2"/>
  <c r="A17" i="2"/>
  <c r="A16" i="2"/>
  <c r="A15" i="2"/>
  <c r="C14" i="2"/>
  <c r="A14" i="2"/>
  <c r="A13" i="2"/>
  <c r="A12" i="2"/>
  <c r="A11" i="2"/>
  <c r="C10" i="2"/>
  <c r="A10" i="2"/>
  <c r="C9" i="2"/>
  <c r="A9" i="2"/>
  <c r="A8" i="2"/>
  <c r="A7" i="2"/>
  <c r="A6" i="2"/>
  <c r="A5" i="2"/>
  <c r="A4" i="2"/>
  <c r="A3" i="2"/>
  <c r="B654" i="1"/>
  <c r="E654" i="1" s="1"/>
  <c r="B653" i="1"/>
  <c r="E653" i="1" s="1"/>
  <c r="B633" i="1" s="1"/>
  <c r="B652" i="1"/>
  <c r="E652" i="1" s="1"/>
  <c r="B651" i="1"/>
  <c r="E651" i="1" s="1"/>
  <c r="C631" i="1" s="1"/>
  <c r="B650" i="1"/>
  <c r="E650" i="1" s="1"/>
  <c r="B649" i="1"/>
  <c r="E649" i="1" s="1"/>
  <c r="B629" i="1" s="1"/>
  <c r="B648" i="1"/>
  <c r="E648" i="1" s="1"/>
  <c r="B647" i="1"/>
  <c r="E647" i="1" s="1"/>
  <c r="B646" i="1"/>
  <c r="E646" i="1" s="1"/>
  <c r="B626" i="1" s="1"/>
  <c r="B645" i="1"/>
  <c r="E645" i="1" s="1"/>
  <c r="B625" i="1" s="1"/>
  <c r="B644" i="1"/>
  <c r="E644" i="1" s="1"/>
  <c r="B643" i="1"/>
  <c r="E643" i="1" s="1"/>
  <c r="B623" i="1" s="1"/>
  <c r="B642" i="1"/>
  <c r="E642" i="1" s="1"/>
  <c r="C622" i="1" s="1"/>
  <c r="B641" i="1"/>
  <c r="E641" i="1" s="1"/>
  <c r="B621" i="1" s="1"/>
  <c r="D634" i="1"/>
  <c r="C82" i="2" s="1"/>
  <c r="D631" i="1"/>
  <c r="C79" i="2" s="1"/>
  <c r="D622" i="1"/>
  <c r="C70" i="2" s="1"/>
  <c r="D621" i="1"/>
  <c r="E592" i="1"/>
  <c r="D592" i="1"/>
  <c r="C592" i="1"/>
  <c r="B592" i="1"/>
  <c r="A592" i="1"/>
  <c r="E591" i="1"/>
  <c r="D591" i="1"/>
  <c r="C591" i="1"/>
  <c r="B591" i="1"/>
  <c r="A591" i="1"/>
  <c r="E590" i="1"/>
  <c r="D590" i="1"/>
  <c r="C590" i="1"/>
  <c r="B590" i="1"/>
  <c r="A590" i="1"/>
  <c r="E589" i="1"/>
  <c r="D589" i="1"/>
  <c r="C589" i="1"/>
  <c r="B589" i="1"/>
  <c r="A589" i="1"/>
  <c r="E588" i="1"/>
  <c r="D588" i="1"/>
  <c r="C588" i="1"/>
  <c r="B588" i="1"/>
  <c r="A588" i="1"/>
  <c r="E587" i="1"/>
  <c r="D587" i="1"/>
  <c r="C587" i="1"/>
  <c r="B587" i="1"/>
  <c r="A587" i="1"/>
  <c r="E586" i="1"/>
  <c r="D586" i="1"/>
  <c r="C586" i="1"/>
  <c r="B586" i="1"/>
  <c r="A586" i="1"/>
  <c r="E585" i="1"/>
  <c r="D585" i="1"/>
  <c r="C585" i="1"/>
  <c r="B585" i="1"/>
  <c r="A585" i="1"/>
  <c r="E584" i="1"/>
  <c r="D584" i="1"/>
  <c r="C584" i="1"/>
  <c r="B584" i="1"/>
  <c r="A584" i="1"/>
  <c r="E583" i="1"/>
  <c r="D583" i="1"/>
  <c r="C583" i="1"/>
  <c r="B583" i="1"/>
  <c r="A583" i="1"/>
  <c r="E582" i="1"/>
  <c r="D582" i="1"/>
  <c r="C582" i="1"/>
  <c r="B582" i="1"/>
  <c r="A582" i="1"/>
  <c r="E581" i="1"/>
  <c r="D581" i="1"/>
  <c r="C581" i="1"/>
  <c r="B581" i="1"/>
  <c r="A581" i="1"/>
  <c r="E580" i="1"/>
  <c r="D580" i="1"/>
  <c r="C580" i="1"/>
  <c r="B580" i="1"/>
  <c r="A580" i="1"/>
  <c r="E579" i="1"/>
  <c r="D579" i="1"/>
  <c r="C579" i="1"/>
  <c r="B579" i="1"/>
  <c r="A579" i="1"/>
  <c r="E578" i="1"/>
  <c r="D578" i="1"/>
  <c r="C578" i="1"/>
  <c r="B578" i="1"/>
  <c r="A578" i="1"/>
  <c r="E577" i="1"/>
  <c r="D577" i="1"/>
  <c r="C577" i="1"/>
  <c r="B577" i="1"/>
  <c r="A577" i="1"/>
  <c r="E576" i="1"/>
  <c r="D576" i="1"/>
  <c r="C576" i="1"/>
  <c r="B576" i="1"/>
  <c r="A576" i="1"/>
  <c r="E575" i="1"/>
  <c r="D575" i="1"/>
  <c r="C575" i="1"/>
  <c r="B575" i="1"/>
  <c r="A575" i="1"/>
  <c r="E574" i="1"/>
  <c r="D574" i="1"/>
  <c r="C574" i="1"/>
  <c r="B574" i="1"/>
  <c r="A574" i="1"/>
  <c r="E573" i="1"/>
  <c r="D573" i="1"/>
  <c r="C573" i="1"/>
  <c r="B573" i="1"/>
  <c r="A573" i="1"/>
  <c r="E572" i="1"/>
  <c r="D572" i="1"/>
  <c r="C572" i="1"/>
  <c r="B572" i="1"/>
  <c r="A572" i="1"/>
  <c r="E571" i="1"/>
  <c r="D571" i="1"/>
  <c r="C571" i="1"/>
  <c r="B571" i="1"/>
  <c r="A571" i="1"/>
  <c r="E570" i="1"/>
  <c r="D570" i="1"/>
  <c r="C570" i="1"/>
  <c r="B570" i="1"/>
  <c r="A570" i="1"/>
  <c r="E569" i="1"/>
  <c r="D569" i="1"/>
  <c r="C569" i="1"/>
  <c r="B569" i="1"/>
  <c r="A569" i="1"/>
  <c r="C415" i="1"/>
  <c r="C414" i="1"/>
  <c r="B392" i="1"/>
  <c r="B390" i="1"/>
  <c r="C344" i="1"/>
  <c r="C339" i="1"/>
  <c r="D219" i="1"/>
  <c r="B216" i="1"/>
  <c r="C207" i="1"/>
  <c r="D167" i="1"/>
  <c r="C167" i="1"/>
  <c r="C150" i="1"/>
  <c r="C149" i="1"/>
  <c r="C147" i="1"/>
  <c r="C146" i="1"/>
  <c r="C145" i="1"/>
  <c r="C108" i="1"/>
  <c r="B393" i="1" s="1"/>
  <c r="C101" i="1"/>
  <c r="B391" i="1" s="1"/>
  <c r="C88" i="1"/>
  <c r="C86" i="1"/>
  <c r="C81" i="1"/>
  <c r="C483" i="1" s="1"/>
  <c r="I38" i="1"/>
  <c r="C37" i="2" s="1"/>
  <c r="I37" i="1"/>
  <c r="C36" i="2" s="1"/>
  <c r="I34" i="1"/>
  <c r="C33" i="2" s="1"/>
  <c r="I29" i="1"/>
  <c r="C28" i="2" s="1"/>
  <c r="I28" i="1"/>
  <c r="C27" i="2" s="1"/>
  <c r="I27" i="1"/>
  <c r="C26" i="2" s="1"/>
  <c r="I26" i="1"/>
  <c r="C25" i="2" s="1"/>
  <c r="I23" i="1"/>
  <c r="C22" i="2" s="1"/>
  <c r="I22" i="1"/>
  <c r="C21" i="2" s="1"/>
  <c r="I20" i="1"/>
  <c r="C19" i="2" s="1"/>
  <c r="I19" i="1"/>
  <c r="C18" i="2" s="1"/>
  <c r="I17" i="1"/>
  <c r="C16" i="2" s="1"/>
  <c r="I16" i="1"/>
  <c r="C15" i="2" s="1"/>
  <c r="I14" i="1"/>
  <c r="C13" i="2" s="1"/>
  <c r="I13" i="1"/>
  <c r="C12" i="2" s="1"/>
  <c r="I12" i="1"/>
  <c r="C11" i="2" s="1"/>
  <c r="I9" i="1"/>
  <c r="C8" i="2" s="1"/>
  <c r="I8" i="1"/>
  <c r="C7" i="2" s="1"/>
  <c r="I7" i="1"/>
  <c r="C6" i="2" s="1"/>
  <c r="I6" i="1"/>
  <c r="C5" i="2" s="1"/>
  <c r="I5" i="1"/>
  <c r="C4" i="2" s="1"/>
  <c r="I4" i="1"/>
  <c r="C3" i="2" s="1"/>
  <c r="C98" i="1" l="1"/>
  <c r="C83" i="1"/>
  <c r="C138" i="1"/>
  <c r="H51" i="1" s="1"/>
  <c r="B50" i="2" s="1"/>
  <c r="B624" i="1"/>
  <c r="D211" i="1"/>
  <c r="D217" i="1" s="1"/>
  <c r="D216" i="1"/>
  <c r="C257" i="1"/>
  <c r="BU16" i="3" s="1"/>
  <c r="C247" i="1"/>
  <c r="C254" i="1" s="1"/>
  <c r="HW23" i="3" s="1"/>
  <c r="C498" i="1"/>
  <c r="C628" i="1"/>
  <c r="C467" i="1"/>
  <c r="B628" i="1"/>
  <c r="B76" i="2" s="1"/>
  <c r="C109" i="1"/>
  <c r="C110" i="1" s="1"/>
  <c r="B622" i="1"/>
  <c r="B70" i="2" s="1"/>
  <c r="BU10" i="3"/>
  <c r="BU12" i="3"/>
  <c r="C134" i="1"/>
  <c r="H46" i="1" s="1"/>
  <c r="B45" i="2" s="1"/>
  <c r="B634" i="1"/>
  <c r="CH29" i="3"/>
  <c r="CH28" i="3"/>
  <c r="CH24" i="3"/>
  <c r="CH19" i="3"/>
  <c r="CH13" i="3"/>
  <c r="CH9" i="3"/>
  <c r="CH26" i="3"/>
  <c r="CH22" i="3"/>
  <c r="CH16" i="3"/>
  <c r="CH15" i="3"/>
  <c r="CH20" i="3"/>
  <c r="CH27" i="3"/>
  <c r="CH10" i="3"/>
  <c r="CH12" i="3"/>
  <c r="CH25" i="3"/>
  <c r="CH23" i="3"/>
  <c r="CH17" i="3"/>
  <c r="CH14" i="3"/>
  <c r="CH21" i="3"/>
  <c r="CH18" i="3"/>
  <c r="CH5" i="3"/>
  <c r="CH8" i="3"/>
  <c r="C499" i="1"/>
  <c r="CH11" i="3"/>
  <c r="CH7" i="3"/>
  <c r="CH6" i="3"/>
  <c r="C102" i="1"/>
  <c r="C627" i="1"/>
  <c r="B627" i="1"/>
  <c r="DG5" i="3"/>
  <c r="B630" i="1"/>
  <c r="C224" i="1"/>
  <c r="C357" i="1"/>
  <c r="C84" i="1"/>
  <c r="C142" i="1"/>
  <c r="B631" i="1"/>
  <c r="B79" i="2" s="1"/>
  <c r="C87" i="1"/>
  <c r="CF19" i="3" s="1"/>
  <c r="CG19" i="3" s="1"/>
  <c r="C522" i="1"/>
  <c r="B556" i="1"/>
  <c r="C94" i="1"/>
  <c r="C95" i="1" s="1"/>
  <c r="B9" i="3" s="1"/>
  <c r="C9" i="3" s="1"/>
  <c r="B632" i="1"/>
  <c r="C515" i="1"/>
  <c r="C243" i="1"/>
  <c r="C136" i="1"/>
  <c r="C509" i="1"/>
  <c r="C82" i="1"/>
  <c r="C137" i="1"/>
  <c r="C169" i="1"/>
  <c r="C510" i="1"/>
  <c r="C69" i="2"/>
  <c r="CK26" i="3"/>
  <c r="CK22" i="3"/>
  <c r="CK16" i="3"/>
  <c r="CK15" i="3"/>
  <c r="CK20" i="3"/>
  <c r="CK27" i="3"/>
  <c r="CK10" i="3"/>
  <c r="CK12" i="3"/>
  <c r="CK25" i="3"/>
  <c r="CK23" i="3"/>
  <c r="CK17" i="3"/>
  <c r="CK14" i="3"/>
  <c r="CK21" i="3"/>
  <c r="CK18" i="3"/>
  <c r="CK28" i="3"/>
  <c r="CK24" i="3"/>
  <c r="CK19" i="3"/>
  <c r="CK8" i="3"/>
  <c r="AA38" i="3"/>
  <c r="CK5" i="3"/>
  <c r="AA41" i="3"/>
  <c r="CK9" i="3"/>
  <c r="CK6" i="3"/>
  <c r="AA9" i="3"/>
  <c r="AA6" i="3"/>
  <c r="CK7" i="3"/>
  <c r="AG8" i="3"/>
  <c r="AA35" i="3"/>
  <c r="AA12" i="3"/>
  <c r="CK29" i="3"/>
  <c r="CK11" i="3"/>
  <c r="AA7" i="3"/>
  <c r="CK13" i="3"/>
  <c r="AA43" i="3"/>
  <c r="AA42" i="3"/>
  <c r="AA39" i="3"/>
  <c r="AA37" i="3"/>
  <c r="AA36" i="3"/>
  <c r="AA34" i="3"/>
  <c r="AA11" i="3"/>
  <c r="AA13" i="3"/>
  <c r="C248" i="1" l="1"/>
  <c r="HW11" i="3"/>
  <c r="C500" i="1"/>
  <c r="D627" i="1" s="1"/>
  <c r="C75" i="2" s="1"/>
  <c r="HW5" i="3"/>
  <c r="HW6" i="3"/>
  <c r="HW16" i="3"/>
  <c r="HW9" i="3"/>
  <c r="HW21" i="3"/>
  <c r="HW17" i="3"/>
  <c r="C503" i="1"/>
  <c r="HW10" i="3"/>
  <c r="BU14" i="3"/>
  <c r="BV14" i="3" s="1"/>
  <c r="HW20" i="3"/>
  <c r="HW15" i="3"/>
  <c r="HW22" i="3"/>
  <c r="B53" i="3"/>
  <c r="C53" i="3" s="1"/>
  <c r="HW24" i="3"/>
  <c r="BU13" i="3"/>
  <c r="B49" i="3"/>
  <c r="C49" i="3" s="1"/>
  <c r="C258" i="1"/>
  <c r="BU8" i="3"/>
  <c r="HW7" i="3"/>
  <c r="BU5" i="3"/>
  <c r="BV5" i="3" s="1"/>
  <c r="B75" i="2"/>
  <c r="HW8" i="3"/>
  <c r="BU6" i="3"/>
  <c r="CL8" i="3"/>
  <c r="CM8" i="3" s="1"/>
  <c r="CL29" i="3"/>
  <c r="CM29" i="3" s="1"/>
  <c r="CF14" i="3"/>
  <c r="CG14" i="3" s="1"/>
  <c r="CF7" i="3"/>
  <c r="CG7" i="3" s="1"/>
  <c r="CL11" i="3"/>
  <c r="CM11" i="3" s="1"/>
  <c r="CF12" i="3"/>
  <c r="CG12" i="3" s="1"/>
  <c r="CF10" i="3"/>
  <c r="CG10" i="3" s="1"/>
  <c r="HW13" i="3"/>
  <c r="CL18" i="3"/>
  <c r="CM18" i="3" s="1"/>
  <c r="CF15" i="3"/>
  <c r="CG15" i="3" s="1"/>
  <c r="CL5" i="3"/>
  <c r="CM5" i="3" s="1"/>
  <c r="CF27" i="3"/>
  <c r="CG27" i="3" s="1"/>
  <c r="CF24" i="3"/>
  <c r="CG24" i="3" s="1"/>
  <c r="CL28" i="3"/>
  <c r="CM28" i="3" s="1"/>
  <c r="CF17" i="3"/>
  <c r="CG17" i="3" s="1"/>
  <c r="CF23" i="3"/>
  <c r="CG23" i="3" s="1"/>
  <c r="B19" i="3"/>
  <c r="C19" i="3" s="1"/>
  <c r="CL15" i="3"/>
  <c r="CM15" i="3" s="1"/>
  <c r="CF28" i="3"/>
  <c r="CG28" i="3" s="1"/>
  <c r="HW19" i="3"/>
  <c r="BU9" i="3"/>
  <c r="BV9" i="3" s="1"/>
  <c r="CF6" i="3"/>
  <c r="CG6" i="3" s="1"/>
  <c r="CF25" i="3"/>
  <c r="CG25" i="3" s="1"/>
  <c r="CF20" i="3"/>
  <c r="CG20" i="3" s="1"/>
  <c r="CF11" i="3"/>
  <c r="CG11" i="3" s="1"/>
  <c r="CL16" i="3"/>
  <c r="CM16" i="3" s="1"/>
  <c r="CF9" i="3"/>
  <c r="CG9" i="3" s="1"/>
  <c r="CF29" i="3"/>
  <c r="CG29" i="3" s="1"/>
  <c r="HW18" i="3"/>
  <c r="BU11" i="3"/>
  <c r="B42" i="3"/>
  <c r="C42" i="3" s="1"/>
  <c r="B30" i="3"/>
  <c r="C30" i="3" s="1"/>
  <c r="B52" i="3"/>
  <c r="C52" i="3" s="1"/>
  <c r="B44" i="3"/>
  <c r="C44" i="3" s="1"/>
  <c r="CF18" i="3"/>
  <c r="CG18" i="3" s="1"/>
  <c r="CF16" i="3"/>
  <c r="CG16" i="3" s="1"/>
  <c r="B39" i="3"/>
  <c r="C39" i="3" s="1"/>
  <c r="B36" i="3"/>
  <c r="C36" i="3" s="1"/>
  <c r="CF8" i="3"/>
  <c r="CG8" i="3" s="1"/>
  <c r="CF22" i="3"/>
  <c r="CG22" i="3" s="1"/>
  <c r="C111" i="1"/>
  <c r="C112" i="1" s="1"/>
  <c r="F33" i="3" s="1"/>
  <c r="B11" i="3"/>
  <c r="C11" i="3" s="1"/>
  <c r="C135" i="1"/>
  <c r="CF5" i="3"/>
  <c r="CG5" i="3" s="1"/>
  <c r="CF26" i="3"/>
  <c r="CG26" i="3" s="1"/>
  <c r="B54" i="3"/>
  <c r="C54" i="3" s="1"/>
  <c r="B22" i="3"/>
  <c r="C22" i="3" s="1"/>
  <c r="B7" i="3"/>
  <c r="C7" i="3" s="1"/>
  <c r="CL9" i="3"/>
  <c r="CM9" i="3" s="1"/>
  <c r="CL25" i="3"/>
  <c r="CM25" i="3" s="1"/>
  <c r="B21" i="3"/>
  <c r="B37" i="3"/>
  <c r="B51" i="3"/>
  <c r="C51" i="3" s="1"/>
  <c r="B47" i="3"/>
  <c r="CL10" i="3"/>
  <c r="CM10" i="3" s="1"/>
  <c r="CL13" i="3"/>
  <c r="CM13" i="3" s="1"/>
  <c r="CL12" i="3"/>
  <c r="CM12" i="3" s="1"/>
  <c r="HW12" i="3"/>
  <c r="BU7" i="3"/>
  <c r="BV7" i="3" s="1"/>
  <c r="B45" i="3"/>
  <c r="C45" i="3" s="1"/>
  <c r="B41" i="3"/>
  <c r="C41" i="3" s="1"/>
  <c r="B40" i="3"/>
  <c r="C40" i="3" s="1"/>
  <c r="B26" i="3"/>
  <c r="C26" i="3" s="1"/>
  <c r="CF13" i="3"/>
  <c r="CG13" i="3" s="1"/>
  <c r="HW14" i="3"/>
  <c r="BU15" i="3"/>
  <c r="B55" i="3"/>
  <c r="C55" i="3" s="1"/>
  <c r="B38" i="3"/>
  <c r="C38" i="3" s="1"/>
  <c r="CL20" i="3"/>
  <c r="CM20" i="3" s="1"/>
  <c r="CF21" i="3"/>
  <c r="CG21" i="3" s="1"/>
  <c r="B43" i="3"/>
  <c r="B15" i="3"/>
  <c r="B50" i="3"/>
  <c r="B46" i="3"/>
  <c r="B27" i="3"/>
  <c r="B18" i="3"/>
  <c r="B10" i="3"/>
  <c r="B12" i="3"/>
  <c r="B29" i="3"/>
  <c r="B20" i="3"/>
  <c r="B14" i="3"/>
  <c r="B48" i="3"/>
  <c r="B35" i="3"/>
  <c r="B34" i="3"/>
  <c r="B31" i="3"/>
  <c r="B16" i="3"/>
  <c r="K5" i="3"/>
  <c r="B32" i="3"/>
  <c r="B23" i="3"/>
  <c r="B5" i="3"/>
  <c r="B17" i="3"/>
  <c r="B13" i="3"/>
  <c r="K6" i="3"/>
  <c r="C120" i="1"/>
  <c r="B8" i="3"/>
  <c r="C170" i="1"/>
  <c r="C171" i="1"/>
  <c r="CL22" i="3"/>
  <c r="CM22" i="3" s="1"/>
  <c r="C103" i="1"/>
  <c r="CL6" i="3"/>
  <c r="CM6" i="3" s="1"/>
  <c r="C249" i="1"/>
  <c r="H21" i="1" s="1"/>
  <c r="B20" i="2" s="1"/>
  <c r="C360" i="1"/>
  <c r="C85" i="1"/>
  <c r="CL19" i="3"/>
  <c r="CM19" i="3" s="1"/>
  <c r="CL26" i="3"/>
  <c r="CM26" i="3" s="1"/>
  <c r="B24" i="3"/>
  <c r="CL21" i="3"/>
  <c r="CM21" i="3" s="1"/>
  <c r="C91" i="1"/>
  <c r="C532" i="1"/>
  <c r="C535" i="1" s="1"/>
  <c r="BV8" i="3"/>
  <c r="BK19" i="3"/>
  <c r="B416" i="1"/>
  <c r="C410" i="1"/>
  <c r="B566" i="1"/>
  <c r="CL7" i="3"/>
  <c r="CM7" i="3" s="1"/>
  <c r="D486" i="1"/>
  <c r="B82" i="2"/>
  <c r="CL27" i="3"/>
  <c r="CM27" i="3" s="1"/>
  <c r="EX16" i="3"/>
  <c r="EX10" i="3"/>
  <c r="EX14" i="3"/>
  <c r="EX12" i="3"/>
  <c r="EX9" i="3"/>
  <c r="EX13" i="3"/>
  <c r="EX15" i="3"/>
  <c r="EX6" i="3"/>
  <c r="EX8" i="3"/>
  <c r="EX5" i="3"/>
  <c r="EX11" i="3"/>
  <c r="EX7" i="3"/>
  <c r="C634" i="1"/>
  <c r="H45" i="1"/>
  <c r="B44" i="2" s="1"/>
  <c r="B173" i="1"/>
  <c r="H7" i="1"/>
  <c r="B6" i="2" s="1"/>
  <c r="D210" i="1"/>
  <c r="CL14" i="3"/>
  <c r="CM14" i="3" s="1"/>
  <c r="H15" i="1"/>
  <c r="B14" i="2" s="1"/>
  <c r="C225" i="1"/>
  <c r="C449" i="1"/>
  <c r="C376" i="1"/>
  <c r="B33" i="3"/>
  <c r="B28" i="3"/>
  <c r="B25" i="3"/>
  <c r="B6" i="3"/>
  <c r="CL24" i="3"/>
  <c r="CM24" i="3" s="1"/>
  <c r="CL17" i="3"/>
  <c r="CM17" i="3" s="1"/>
  <c r="D9" i="3"/>
  <c r="AW12" i="3"/>
  <c r="AW14" i="3"/>
  <c r="AW13" i="3"/>
  <c r="AW11" i="3"/>
  <c r="AW10" i="3"/>
  <c r="AW9" i="3"/>
  <c r="AW7" i="3"/>
  <c r="AW6" i="3"/>
  <c r="AW5" i="3"/>
  <c r="AW8" i="3"/>
  <c r="C244" i="1"/>
  <c r="C250" i="1"/>
  <c r="CL23" i="3"/>
  <c r="CM23" i="3" s="1"/>
  <c r="C400" i="1"/>
  <c r="BV10" i="3"/>
  <c r="C501" i="1" l="1"/>
  <c r="D49" i="3"/>
  <c r="D41" i="3"/>
  <c r="D628" i="1"/>
  <c r="C76" i="2" s="1"/>
  <c r="D19" i="3"/>
  <c r="D53" i="3"/>
  <c r="D39" i="3"/>
  <c r="BV13" i="3"/>
  <c r="F18" i="3"/>
  <c r="F7" i="3"/>
  <c r="F37" i="3"/>
  <c r="F17" i="3"/>
  <c r="F16" i="3"/>
  <c r="F11" i="3"/>
  <c r="F21" i="3"/>
  <c r="F34" i="3"/>
  <c r="BV16" i="3"/>
  <c r="BW16" i="3" s="1"/>
  <c r="F50" i="3"/>
  <c r="F23" i="3"/>
  <c r="F43" i="3"/>
  <c r="BV15" i="3"/>
  <c r="BW15" i="3" s="1"/>
  <c r="F54" i="3"/>
  <c r="D51" i="3"/>
  <c r="BV6" i="3"/>
  <c r="BW6" i="3" s="1"/>
  <c r="BV11" i="3"/>
  <c r="BW11" i="3" s="1"/>
  <c r="F26" i="3"/>
  <c r="BV12" i="3"/>
  <c r="BW12" i="3" s="1"/>
  <c r="D38" i="3"/>
  <c r="D55" i="3"/>
  <c r="D26" i="3"/>
  <c r="D36" i="3"/>
  <c r="F53" i="3"/>
  <c r="F44" i="3"/>
  <c r="F25" i="3"/>
  <c r="F55" i="3"/>
  <c r="F46" i="3"/>
  <c r="F48" i="3"/>
  <c r="F22" i="3"/>
  <c r="F20" i="3"/>
  <c r="F8" i="3"/>
  <c r="F28" i="3"/>
  <c r="F41" i="3"/>
  <c r="F30" i="3"/>
  <c r="F42" i="3"/>
  <c r="F14" i="3"/>
  <c r="F36" i="3"/>
  <c r="F29" i="3"/>
  <c r="F45" i="3"/>
  <c r="F35" i="3"/>
  <c r="F6" i="3"/>
  <c r="F38" i="3"/>
  <c r="F47" i="3"/>
  <c r="F5" i="3"/>
  <c r="F10" i="3"/>
  <c r="F32" i="3"/>
  <c r="F24" i="3"/>
  <c r="F9" i="3"/>
  <c r="F49" i="3"/>
  <c r="F27" i="3"/>
  <c r="F12" i="3"/>
  <c r="F51" i="3"/>
  <c r="D7" i="3"/>
  <c r="D42" i="3"/>
  <c r="D44" i="3"/>
  <c r="D22" i="3"/>
  <c r="D54" i="3"/>
  <c r="F13" i="3"/>
  <c r="F39" i="3"/>
  <c r="D30" i="3"/>
  <c r="F15" i="3"/>
  <c r="F19" i="3"/>
  <c r="F40" i="3"/>
  <c r="D11" i="3"/>
  <c r="D52" i="3"/>
  <c r="C47" i="3"/>
  <c r="D47" i="3"/>
  <c r="D40" i="3"/>
  <c r="C37" i="3"/>
  <c r="D37" i="3"/>
  <c r="F31" i="3"/>
  <c r="F52" i="3"/>
  <c r="C21" i="3"/>
  <c r="D21" i="3"/>
  <c r="D45" i="3"/>
  <c r="BW8" i="3"/>
  <c r="C89" i="1"/>
  <c r="G40" i="3"/>
  <c r="G39" i="3"/>
  <c r="G24" i="3"/>
  <c r="G35" i="3"/>
  <c r="G47" i="3"/>
  <c r="G38" i="3"/>
  <c r="G17" i="3"/>
  <c r="G12" i="3"/>
  <c r="G8" i="3"/>
  <c r="G45" i="3"/>
  <c r="G29" i="3"/>
  <c r="G15" i="3"/>
  <c r="G7" i="3"/>
  <c r="G42" i="3"/>
  <c r="G30" i="3"/>
  <c r="G13" i="3"/>
  <c r="G19" i="3"/>
  <c r="G46" i="3"/>
  <c r="G41" i="3"/>
  <c r="G28" i="3"/>
  <c r="G32" i="3"/>
  <c r="G16" i="3"/>
  <c r="G5" i="3"/>
  <c r="G36" i="3"/>
  <c r="G20" i="3"/>
  <c r="G18" i="3"/>
  <c r="G9" i="3"/>
  <c r="G33" i="3"/>
  <c r="G14" i="3"/>
  <c r="G26" i="3"/>
  <c r="G48" i="3"/>
  <c r="G54" i="3"/>
  <c r="G53" i="3"/>
  <c r="G22" i="3"/>
  <c r="G43" i="3"/>
  <c r="G49" i="3"/>
  <c r="G6" i="3"/>
  <c r="G52" i="3"/>
  <c r="G25" i="3"/>
  <c r="G27" i="3"/>
  <c r="G50" i="3"/>
  <c r="G34" i="3"/>
  <c r="G10" i="3"/>
  <c r="G23" i="3"/>
  <c r="G44" i="3"/>
  <c r="G55" i="3"/>
  <c r="G21" i="3"/>
  <c r="G51" i="3"/>
  <c r="G31" i="3"/>
  <c r="G11" i="3"/>
  <c r="G37" i="3"/>
  <c r="BW9" i="3"/>
  <c r="C20" i="3"/>
  <c r="D20" i="3"/>
  <c r="BW14" i="3"/>
  <c r="C24" i="3"/>
  <c r="D24" i="3"/>
  <c r="C8" i="3"/>
  <c r="D8" i="3"/>
  <c r="C29" i="3"/>
  <c r="D29" i="3"/>
  <c r="CI9" i="3"/>
  <c r="CJ9" i="3" s="1"/>
  <c r="CI14" i="3"/>
  <c r="CJ14" i="3" s="1"/>
  <c r="CI5" i="3"/>
  <c r="CJ5" i="3" s="1"/>
  <c r="CI21" i="3"/>
  <c r="CJ21" i="3" s="1"/>
  <c r="CI18" i="3"/>
  <c r="CJ18" i="3" s="1"/>
  <c r="CI11" i="3"/>
  <c r="CJ11" i="3" s="1"/>
  <c r="CI12" i="3"/>
  <c r="CJ12" i="3" s="1"/>
  <c r="CI26" i="3"/>
  <c r="CJ26" i="3" s="1"/>
  <c r="CI29" i="3"/>
  <c r="CJ29" i="3" s="1"/>
  <c r="CI28" i="3"/>
  <c r="CJ28" i="3" s="1"/>
  <c r="CI22" i="3"/>
  <c r="CJ22" i="3" s="1"/>
  <c r="CI24" i="3"/>
  <c r="CJ24" i="3" s="1"/>
  <c r="CI16" i="3"/>
  <c r="CJ16" i="3" s="1"/>
  <c r="CI10" i="3"/>
  <c r="CJ10" i="3" s="1"/>
  <c r="CI20" i="3"/>
  <c r="CJ20" i="3" s="1"/>
  <c r="CI15" i="3"/>
  <c r="CJ15" i="3" s="1"/>
  <c r="CI7" i="3"/>
  <c r="CJ7" i="3" s="1"/>
  <c r="CI19" i="3"/>
  <c r="CJ19" i="3" s="1"/>
  <c r="CI6" i="3"/>
  <c r="CJ6" i="3" s="1"/>
  <c r="CI25" i="3"/>
  <c r="CJ25" i="3" s="1"/>
  <c r="CI27" i="3"/>
  <c r="CJ27" i="3" s="1"/>
  <c r="CI23" i="3"/>
  <c r="CJ23" i="3" s="1"/>
  <c r="CI13" i="3"/>
  <c r="CJ13" i="3" s="1"/>
  <c r="CI17" i="3"/>
  <c r="CJ17" i="3" s="1"/>
  <c r="CI8" i="3"/>
  <c r="CJ8" i="3" s="1"/>
  <c r="BW10" i="3"/>
  <c r="C450" i="1"/>
  <c r="BW7" i="3"/>
  <c r="C104" i="1"/>
  <c r="C105" i="1" s="1"/>
  <c r="C13" i="3"/>
  <c r="D13" i="3"/>
  <c r="C18" i="3"/>
  <c r="D18" i="3"/>
  <c r="C10" i="3"/>
  <c r="D10" i="3"/>
  <c r="C17" i="3"/>
  <c r="D17" i="3"/>
  <c r="C27" i="3"/>
  <c r="D27" i="3"/>
  <c r="C5" i="3"/>
  <c r="D5" i="3"/>
  <c r="C46" i="3"/>
  <c r="D46" i="3"/>
  <c r="EZ14" i="3"/>
  <c r="EZ12" i="3"/>
  <c r="EZ11" i="3"/>
  <c r="EZ13" i="3"/>
  <c r="EZ9" i="3"/>
  <c r="EZ16" i="3"/>
  <c r="EZ15" i="3"/>
  <c r="EZ6" i="3"/>
  <c r="EZ8" i="3"/>
  <c r="EZ5" i="3"/>
  <c r="EZ7" i="3"/>
  <c r="EZ10" i="3"/>
  <c r="C173" i="1"/>
  <c r="C23" i="3"/>
  <c r="D23" i="3"/>
  <c r="C50" i="3"/>
  <c r="D50" i="3"/>
  <c r="C12" i="3"/>
  <c r="D12" i="3"/>
  <c r="AY54" i="3"/>
  <c r="AY52" i="3"/>
  <c r="AY60" i="3"/>
  <c r="AY58" i="3"/>
  <c r="AY50" i="3"/>
  <c r="AY48" i="3"/>
  <c r="AY46" i="3"/>
  <c r="AY32" i="3"/>
  <c r="AY61" i="3"/>
  <c r="AY59" i="3"/>
  <c r="AY57" i="3"/>
  <c r="AY44" i="3"/>
  <c r="AY62" i="3"/>
  <c r="AY56" i="3"/>
  <c r="AY63" i="3"/>
  <c r="AY55" i="3"/>
  <c r="AY40" i="3"/>
  <c r="AY39" i="3"/>
  <c r="AY38" i="3"/>
  <c r="AY37" i="3"/>
  <c r="AY36" i="3"/>
  <c r="AY33" i="3"/>
  <c r="AY64" i="3"/>
  <c r="AY53" i="3"/>
  <c r="AY42" i="3"/>
  <c r="AY41" i="3"/>
  <c r="AY35" i="3"/>
  <c r="AY43" i="3"/>
  <c r="AY31" i="3"/>
  <c r="AY24" i="3"/>
  <c r="AY14" i="3"/>
  <c r="AY22" i="3"/>
  <c r="AY19" i="3"/>
  <c r="AY34" i="3"/>
  <c r="AY27" i="3"/>
  <c r="AY26" i="3"/>
  <c r="AY49" i="3"/>
  <c r="AY45" i="3"/>
  <c r="AY20" i="3"/>
  <c r="AY13" i="3"/>
  <c r="AY11" i="3"/>
  <c r="AY25" i="3"/>
  <c r="AY23" i="3"/>
  <c r="AY21" i="3"/>
  <c r="AY17" i="3"/>
  <c r="AY16" i="3"/>
  <c r="AY18" i="3"/>
  <c r="AY15" i="3"/>
  <c r="AY51" i="3"/>
  <c r="AY29" i="3"/>
  <c r="AY30" i="3"/>
  <c r="AY9" i="3"/>
  <c r="AY28" i="3"/>
  <c r="AY12" i="3"/>
  <c r="AY7" i="3"/>
  <c r="AY6" i="3"/>
  <c r="AY10" i="3"/>
  <c r="AY5" i="3"/>
  <c r="AY8" i="3"/>
  <c r="AY47" i="3"/>
  <c r="H65" i="1"/>
  <c r="B64" i="2" s="1"/>
  <c r="C632" i="1"/>
  <c r="C32" i="3"/>
  <c r="D32" i="3"/>
  <c r="C15" i="3"/>
  <c r="D15" i="3"/>
  <c r="BK12" i="3"/>
  <c r="C43" i="3"/>
  <c r="D43" i="3"/>
  <c r="HU10" i="3"/>
  <c r="HU8" i="3"/>
  <c r="HU7" i="3"/>
  <c r="HU9" i="3"/>
  <c r="HU6" i="3"/>
  <c r="HU11" i="3"/>
  <c r="HU5" i="3"/>
  <c r="BK10" i="3"/>
  <c r="C245" i="1"/>
  <c r="C246" i="1" s="1"/>
  <c r="C259" i="1"/>
  <c r="C251" i="1"/>
  <c r="C252" i="1" s="1"/>
  <c r="C6" i="3"/>
  <c r="D6" i="3"/>
  <c r="C90" i="1"/>
  <c r="C116" i="1" s="1"/>
  <c r="C16" i="3"/>
  <c r="D16" i="3"/>
  <c r="C31" i="3"/>
  <c r="D31" i="3"/>
  <c r="C278" i="1"/>
  <c r="C283" i="1"/>
  <c r="D487" i="1" s="1"/>
  <c r="C25" i="3"/>
  <c r="D25" i="3"/>
  <c r="C34" i="3"/>
  <c r="D34" i="3"/>
  <c r="BW5" i="3"/>
  <c r="C255" i="1"/>
  <c r="C28" i="3"/>
  <c r="D28" i="3"/>
  <c r="C35" i="3"/>
  <c r="D35" i="3"/>
  <c r="C48" i="3"/>
  <c r="D48" i="3"/>
  <c r="C33" i="3"/>
  <c r="D33" i="3"/>
  <c r="BW13" i="3"/>
  <c r="C14" i="3"/>
  <c r="D14" i="3"/>
  <c r="C117" i="1" l="1"/>
  <c r="D632" i="1"/>
  <c r="C80" i="2" s="1"/>
  <c r="B80" i="2"/>
  <c r="C265" i="1"/>
  <c r="C261" i="1"/>
  <c r="E51" i="3"/>
  <c r="H51" i="3" s="1"/>
  <c r="E49" i="3"/>
  <c r="H49" i="3" s="1"/>
  <c r="E40" i="3"/>
  <c r="H40" i="3" s="1"/>
  <c r="E39" i="3"/>
  <c r="H39" i="3" s="1"/>
  <c r="E38" i="3"/>
  <c r="H38" i="3" s="1"/>
  <c r="E37" i="3"/>
  <c r="H37" i="3" s="1"/>
  <c r="E47" i="3"/>
  <c r="H47" i="3" s="1"/>
  <c r="E45" i="3"/>
  <c r="H45" i="3" s="1"/>
  <c r="E42" i="3"/>
  <c r="H42" i="3" s="1"/>
  <c r="E41" i="3"/>
  <c r="H41" i="3" s="1"/>
  <c r="E54" i="3"/>
  <c r="H54" i="3" s="1"/>
  <c r="E43" i="3"/>
  <c r="H43" i="3" s="1"/>
  <c r="E52" i="3"/>
  <c r="H52" i="3" s="1"/>
  <c r="E50" i="3"/>
  <c r="H50" i="3" s="1"/>
  <c r="E48" i="3"/>
  <c r="H48" i="3" s="1"/>
  <c r="E46" i="3"/>
  <c r="E44" i="3"/>
  <c r="H44" i="3" s="1"/>
  <c r="E26" i="3"/>
  <c r="H26" i="3" s="1"/>
  <c r="E22" i="3"/>
  <c r="H22" i="3" s="1"/>
  <c r="E19" i="3"/>
  <c r="H19" i="3" s="1"/>
  <c r="E12" i="3"/>
  <c r="H12" i="3" s="1"/>
  <c r="E33" i="3"/>
  <c r="H33" i="3" s="1"/>
  <c r="E29" i="3"/>
  <c r="H29" i="3" s="1"/>
  <c r="E53" i="3"/>
  <c r="H53" i="3" s="1"/>
  <c r="E30" i="3"/>
  <c r="H30" i="3" s="1"/>
  <c r="E28" i="3"/>
  <c r="H28" i="3" s="1"/>
  <c r="E20" i="3"/>
  <c r="H20" i="3" s="1"/>
  <c r="E14" i="3"/>
  <c r="H14" i="3" s="1"/>
  <c r="E31" i="3"/>
  <c r="E25" i="3"/>
  <c r="H25" i="3" s="1"/>
  <c r="E35" i="3"/>
  <c r="H35" i="3" s="1"/>
  <c r="E34" i="3"/>
  <c r="E16" i="3"/>
  <c r="H16" i="3" s="1"/>
  <c r="E36" i="3"/>
  <c r="H36" i="3" s="1"/>
  <c r="E23" i="3"/>
  <c r="H23" i="3" s="1"/>
  <c r="E21" i="3"/>
  <c r="H21" i="3" s="1"/>
  <c r="E55" i="3"/>
  <c r="H55" i="3" s="1"/>
  <c r="E17" i="3"/>
  <c r="H17" i="3" s="1"/>
  <c r="E32" i="3"/>
  <c r="H32" i="3" s="1"/>
  <c r="E18" i="3"/>
  <c r="H18" i="3" s="1"/>
  <c r="E10" i="3"/>
  <c r="H10" i="3" s="1"/>
  <c r="E15" i="3"/>
  <c r="H15" i="3" s="1"/>
  <c r="E27" i="3"/>
  <c r="H27" i="3" s="1"/>
  <c r="E6" i="3"/>
  <c r="H6" i="3" s="1"/>
  <c r="E9" i="3"/>
  <c r="H9" i="3" s="1"/>
  <c r="E8" i="3"/>
  <c r="H8" i="3" s="1"/>
  <c r="E5" i="3"/>
  <c r="H5" i="3" s="1"/>
  <c r="E11" i="3"/>
  <c r="H11" i="3" s="1"/>
  <c r="E24" i="3"/>
  <c r="H24" i="3" s="1"/>
  <c r="E13" i="3"/>
  <c r="H13" i="3" s="1"/>
  <c r="E7" i="3"/>
  <c r="H7" i="3" s="1"/>
  <c r="C115" i="1"/>
  <c r="H31" i="3"/>
  <c r="EJ39" i="3"/>
  <c r="EJ38" i="3"/>
  <c r="EJ37" i="3"/>
  <c r="EJ36" i="3"/>
  <c r="EI39" i="3"/>
  <c r="EI38" i="3"/>
  <c r="EI37" i="3"/>
  <c r="EI36" i="3"/>
  <c r="EI29" i="3"/>
  <c r="EI41" i="3"/>
  <c r="EI40" i="3"/>
  <c r="EI35" i="3"/>
  <c r="EI32" i="3"/>
  <c r="EI28" i="3"/>
  <c r="EI18" i="3"/>
  <c r="AX14" i="3"/>
  <c r="EI9" i="3"/>
  <c r="ES16" i="3"/>
  <c r="ES15" i="3"/>
  <c r="EJ11" i="3"/>
  <c r="EJ32" i="3"/>
  <c r="EJ24" i="3"/>
  <c r="EJ19" i="3"/>
  <c r="EJ13" i="3"/>
  <c r="EI11" i="3"/>
  <c r="ES10" i="3"/>
  <c r="EI24" i="3"/>
  <c r="EI19" i="3"/>
  <c r="EI13" i="3"/>
  <c r="ES20" i="3"/>
  <c r="EJ22" i="3"/>
  <c r="EJ16" i="3"/>
  <c r="EJ15" i="3"/>
  <c r="EJ35" i="3"/>
  <c r="EJ34" i="3"/>
  <c r="EI22" i="3"/>
  <c r="EI16" i="3"/>
  <c r="EI15" i="3"/>
  <c r="ES14" i="3"/>
  <c r="ES12" i="3"/>
  <c r="EJ10" i="3"/>
  <c r="EJ40" i="3"/>
  <c r="EI34" i="3"/>
  <c r="EJ33" i="3"/>
  <c r="EJ30" i="3"/>
  <c r="EJ26" i="3"/>
  <c r="ES17" i="3"/>
  <c r="AX13" i="3"/>
  <c r="EI33" i="3"/>
  <c r="EI30" i="3"/>
  <c r="EJ29" i="3"/>
  <c r="EI26" i="3"/>
  <c r="EJ20" i="3"/>
  <c r="BB9" i="3"/>
  <c r="EJ28" i="3"/>
  <c r="EI20" i="3"/>
  <c r="EJ41" i="3"/>
  <c r="EJ25" i="3"/>
  <c r="EJ23" i="3"/>
  <c r="ES18" i="3"/>
  <c r="EJ14" i="3"/>
  <c r="EJ12" i="3"/>
  <c r="EJ27" i="3"/>
  <c r="EI25" i="3"/>
  <c r="EI23" i="3"/>
  <c r="EJ21" i="3"/>
  <c r="EJ17" i="3"/>
  <c r="EI14" i="3"/>
  <c r="EI12" i="3"/>
  <c r="EI31" i="3"/>
  <c r="ES11" i="3"/>
  <c r="EI10" i="3"/>
  <c r="ES7" i="3"/>
  <c r="BB7" i="3"/>
  <c r="EJ6" i="3"/>
  <c r="EI17" i="3"/>
  <c r="AX9" i="3"/>
  <c r="EJ8" i="3"/>
  <c r="EI6" i="3"/>
  <c r="EJ18" i="3"/>
  <c r="ES9" i="3"/>
  <c r="EI8" i="3"/>
  <c r="BB6" i="3"/>
  <c r="EJ7" i="3"/>
  <c r="EJ5" i="3"/>
  <c r="EJ31" i="3"/>
  <c r="ES19" i="3"/>
  <c r="AX12" i="3"/>
  <c r="EI7" i="3"/>
  <c r="AX7" i="3"/>
  <c r="EI5" i="3"/>
  <c r="AX6" i="3"/>
  <c r="BB5" i="3"/>
  <c r="EJ9" i="3"/>
  <c r="EI27" i="3"/>
  <c r="BB8" i="3"/>
  <c r="ES6" i="3"/>
  <c r="EI21" i="3"/>
  <c r="AX10" i="3"/>
  <c r="AX5" i="3"/>
  <c r="ES8" i="3"/>
  <c r="ES5" i="3"/>
  <c r="ES13" i="3"/>
  <c r="AX8" i="3"/>
  <c r="AX11" i="3"/>
  <c r="C260" i="1"/>
  <c r="BK14" i="3" s="1"/>
  <c r="C516" i="1"/>
  <c r="EK5" i="3" s="1"/>
  <c r="C514" i="1"/>
  <c r="EU15" i="3" s="1"/>
  <c r="C256" i="1"/>
  <c r="C253" i="1"/>
  <c r="HV8" i="3" s="1"/>
  <c r="BY5" i="3"/>
  <c r="BX5" i="3"/>
  <c r="H34" i="3"/>
  <c r="C122" i="1"/>
  <c r="D122" i="1" s="1"/>
  <c r="C123" i="1"/>
  <c r="D123" i="1" s="1"/>
  <c r="C121" i="1"/>
  <c r="D121" i="1" s="1"/>
  <c r="H46" i="3"/>
  <c r="BY6" i="3" l="1"/>
  <c r="BY16" i="3"/>
  <c r="BY8" i="3"/>
  <c r="EK6" i="3"/>
  <c r="EU5" i="3"/>
  <c r="C517" i="1"/>
  <c r="EU8" i="3"/>
  <c r="HZ649" i="3"/>
  <c r="HZ641" i="3"/>
  <c r="HZ633" i="3"/>
  <c r="HZ625" i="3"/>
  <c r="HZ617" i="3"/>
  <c r="HZ609" i="3"/>
  <c r="HZ601" i="3"/>
  <c r="HZ593" i="3"/>
  <c r="HZ585" i="3"/>
  <c r="HZ577" i="3"/>
  <c r="HZ569" i="3"/>
  <c r="HZ561" i="3"/>
  <c r="HZ553" i="3"/>
  <c r="HZ545" i="3"/>
  <c r="HZ537" i="3"/>
  <c r="HZ529" i="3"/>
  <c r="HZ521" i="3"/>
  <c r="HZ513" i="3"/>
  <c r="HZ505" i="3"/>
  <c r="HZ497" i="3"/>
  <c r="HZ489" i="3"/>
  <c r="HZ638" i="3"/>
  <c r="HZ630" i="3"/>
  <c r="HZ622" i="3"/>
  <c r="HZ614" i="3"/>
  <c r="HZ606" i="3"/>
  <c r="HZ598" i="3"/>
  <c r="HZ590" i="3"/>
  <c r="HZ582" i="3"/>
  <c r="HZ574" i="3"/>
  <c r="HZ566" i="3"/>
  <c r="HZ558" i="3"/>
  <c r="HZ550" i="3"/>
  <c r="HZ542" i="3"/>
  <c r="HZ534" i="3"/>
  <c r="HZ526" i="3"/>
  <c r="HZ518" i="3"/>
  <c r="HZ510" i="3"/>
  <c r="HZ502" i="3"/>
  <c r="HZ494" i="3"/>
  <c r="HZ650" i="3"/>
  <c r="HZ646" i="3"/>
  <c r="HZ643" i="3"/>
  <c r="HZ635" i="3"/>
  <c r="HZ627" i="3"/>
  <c r="HZ619" i="3"/>
  <c r="HZ611" i="3"/>
  <c r="HZ603" i="3"/>
  <c r="HZ595" i="3"/>
  <c r="HZ587" i="3"/>
  <c r="HZ579" i="3"/>
  <c r="HZ571" i="3"/>
  <c r="HZ563" i="3"/>
  <c r="HZ555" i="3"/>
  <c r="HZ547" i="3"/>
  <c r="HZ539" i="3"/>
  <c r="HZ531" i="3"/>
  <c r="HZ523" i="3"/>
  <c r="HZ515" i="3"/>
  <c r="HZ507" i="3"/>
  <c r="HZ499" i="3"/>
  <c r="HZ491" i="3"/>
  <c r="HZ640" i="3"/>
  <c r="HZ632" i="3"/>
  <c r="HZ624" i="3"/>
  <c r="HZ616" i="3"/>
  <c r="HZ608" i="3"/>
  <c r="HZ600" i="3"/>
  <c r="HZ592" i="3"/>
  <c r="HZ584" i="3"/>
  <c r="HZ576" i="3"/>
  <c r="HZ568" i="3"/>
  <c r="HZ560" i="3"/>
  <c r="HZ552" i="3"/>
  <c r="HZ544" i="3"/>
  <c r="HZ536" i="3"/>
  <c r="HZ528" i="3"/>
  <c r="HZ520" i="3"/>
  <c r="HZ512" i="3"/>
  <c r="HZ504" i="3"/>
  <c r="HZ496" i="3"/>
  <c r="HZ637" i="3"/>
  <c r="HZ629" i="3"/>
  <c r="HZ621" i="3"/>
  <c r="HZ613" i="3"/>
  <c r="HZ605" i="3"/>
  <c r="HZ597" i="3"/>
  <c r="HZ589" i="3"/>
  <c r="HZ581" i="3"/>
  <c r="HZ573" i="3"/>
  <c r="HZ565" i="3"/>
  <c r="HZ557" i="3"/>
  <c r="HZ549" i="3"/>
  <c r="HZ541" i="3"/>
  <c r="HZ533" i="3"/>
  <c r="HZ525" i="3"/>
  <c r="HZ517" i="3"/>
  <c r="HZ509" i="3"/>
  <c r="HZ501" i="3"/>
  <c r="HZ493" i="3"/>
  <c r="HZ648" i="3"/>
  <c r="HZ645" i="3"/>
  <c r="HZ642" i="3"/>
  <c r="HZ634" i="3"/>
  <c r="HZ626" i="3"/>
  <c r="HZ618" i="3"/>
  <c r="HZ610" i="3"/>
  <c r="HZ602" i="3"/>
  <c r="HZ594" i="3"/>
  <c r="HZ586" i="3"/>
  <c r="HZ578" i="3"/>
  <c r="HZ570" i="3"/>
  <c r="HZ562" i="3"/>
  <c r="HZ554" i="3"/>
  <c r="HZ546" i="3"/>
  <c r="HZ538" i="3"/>
  <c r="HZ530" i="3"/>
  <c r="HZ522" i="3"/>
  <c r="HZ514" i="3"/>
  <c r="HZ506" i="3"/>
  <c r="HZ498" i="3"/>
  <c r="HZ490" i="3"/>
  <c r="HZ636" i="3"/>
  <c r="HZ628" i="3"/>
  <c r="HZ620" i="3"/>
  <c r="HZ612" i="3"/>
  <c r="HZ604" i="3"/>
  <c r="HZ596" i="3"/>
  <c r="HZ588" i="3"/>
  <c r="HZ580" i="3"/>
  <c r="HZ572" i="3"/>
  <c r="HZ564" i="3"/>
  <c r="HZ556" i="3"/>
  <c r="HZ548" i="3"/>
  <c r="HZ540" i="3"/>
  <c r="HZ532" i="3"/>
  <c r="HZ524" i="3"/>
  <c r="HZ516" i="3"/>
  <c r="HZ508" i="3"/>
  <c r="HZ500" i="3"/>
  <c r="HZ492" i="3"/>
  <c r="HZ647" i="3"/>
  <c r="HZ644" i="3"/>
  <c r="HZ583" i="3"/>
  <c r="HZ519" i="3"/>
  <c r="HZ623" i="3"/>
  <c r="HZ559" i="3"/>
  <c r="HZ495" i="3"/>
  <c r="HZ599" i="3"/>
  <c r="HZ535" i="3"/>
  <c r="HZ639" i="3"/>
  <c r="HZ575" i="3"/>
  <c r="HZ511" i="3"/>
  <c r="HZ615" i="3"/>
  <c r="HZ551" i="3"/>
  <c r="HZ591" i="3"/>
  <c r="HZ527" i="3"/>
  <c r="HZ607" i="3"/>
  <c r="HZ543" i="3"/>
  <c r="HZ503" i="3"/>
  <c r="HZ631" i="3"/>
  <c r="HZ567" i="3"/>
  <c r="BY12" i="3"/>
  <c r="BN2892" i="3"/>
  <c r="BN2876" i="3"/>
  <c r="BN2860" i="3"/>
  <c r="BN2844" i="3"/>
  <c r="BN2828" i="3"/>
  <c r="BN2812" i="3"/>
  <c r="BN2796" i="3"/>
  <c r="BN2780" i="3"/>
  <c r="BN2764" i="3"/>
  <c r="BN2748" i="3"/>
  <c r="BN2732" i="3"/>
  <c r="BN2716" i="3"/>
  <c r="BN2700" i="3"/>
  <c r="BN2684" i="3"/>
  <c r="BN2668" i="3"/>
  <c r="BN2652" i="3"/>
  <c r="BN2636" i="3"/>
  <c r="BN2620" i="3"/>
  <c r="BN2604" i="3"/>
  <c r="BN2588" i="3"/>
  <c r="BN2572" i="3"/>
  <c r="BN2556" i="3"/>
  <c r="BN2540" i="3"/>
  <c r="BN2524" i="3"/>
  <c r="BN2508" i="3"/>
  <c r="BN2492" i="3"/>
  <c r="BN2476" i="3"/>
  <c r="BN2460" i="3"/>
  <c r="BN2444" i="3"/>
  <c r="BN2428" i="3"/>
  <c r="BN2881" i="3"/>
  <c r="BN2865" i="3"/>
  <c r="BN2849" i="3"/>
  <c r="BN2833" i="3"/>
  <c r="BN2817" i="3"/>
  <c r="BN2801" i="3"/>
  <c r="BN2785" i="3"/>
  <c r="BN2769" i="3"/>
  <c r="BN2753" i="3"/>
  <c r="BN2737" i="3"/>
  <c r="BN2721" i="3"/>
  <c r="BN2705" i="3"/>
  <c r="BN2689" i="3"/>
  <c r="BN2673" i="3"/>
  <c r="BN2657" i="3"/>
  <c r="BN2641" i="3"/>
  <c r="BN2625" i="3"/>
  <c r="BN2609" i="3"/>
  <c r="BN2593" i="3"/>
  <c r="BN2577" i="3"/>
  <c r="BN2561" i="3"/>
  <c r="BN2545" i="3"/>
  <c r="BN2529" i="3"/>
  <c r="BN2513" i="3"/>
  <c r="BN2497" i="3"/>
  <c r="BN2481" i="3"/>
  <c r="BN2465" i="3"/>
  <c r="BN2449" i="3"/>
  <c r="BN2433" i="3"/>
  <c r="BN2417" i="3"/>
  <c r="BN2886" i="3"/>
  <c r="BN2870" i="3"/>
  <c r="BN2854" i="3"/>
  <c r="BN2838" i="3"/>
  <c r="BN2822" i="3"/>
  <c r="BN2806" i="3"/>
  <c r="BN2790" i="3"/>
  <c r="BN2774" i="3"/>
  <c r="BN2758" i="3"/>
  <c r="BN2742" i="3"/>
  <c r="BN2726" i="3"/>
  <c r="BN2710" i="3"/>
  <c r="BN2694" i="3"/>
  <c r="BN2678" i="3"/>
  <c r="BN2662" i="3"/>
  <c r="BN2646" i="3"/>
  <c r="BN2630" i="3"/>
  <c r="BN2614" i="3"/>
  <c r="BN2598" i="3"/>
  <c r="BN2582" i="3"/>
  <c r="BN2566" i="3"/>
  <c r="BN2550" i="3"/>
  <c r="BN2534" i="3"/>
  <c r="BN2518" i="3"/>
  <c r="BN2502" i="3"/>
  <c r="BN2486" i="3"/>
  <c r="BN2470" i="3"/>
  <c r="BN2454" i="3"/>
  <c r="BN2438" i="3"/>
  <c r="BN2422" i="3"/>
  <c r="BN2891" i="3"/>
  <c r="BN2875" i="3"/>
  <c r="BN2859" i="3"/>
  <c r="BN2843" i="3"/>
  <c r="BN2827" i="3"/>
  <c r="BN2811" i="3"/>
  <c r="BN2795" i="3"/>
  <c r="BN2779" i="3"/>
  <c r="BN2763" i="3"/>
  <c r="BN2747" i="3"/>
  <c r="BN2731" i="3"/>
  <c r="BN2715" i="3"/>
  <c r="BN2699" i="3"/>
  <c r="BN2683" i="3"/>
  <c r="BN2667" i="3"/>
  <c r="BN2651" i="3"/>
  <c r="BN2635" i="3"/>
  <c r="BN2619" i="3"/>
  <c r="BN2603" i="3"/>
  <c r="BN2587" i="3"/>
  <c r="BN2571" i="3"/>
  <c r="BN2555" i="3"/>
  <c r="BN2539" i="3"/>
  <c r="BN2523" i="3"/>
  <c r="BN2507" i="3"/>
  <c r="BN2491" i="3"/>
  <c r="BN2475" i="3"/>
  <c r="BN2459" i="3"/>
  <c r="BN2443" i="3"/>
  <c r="BN2427" i="3"/>
  <c r="BN2880" i="3"/>
  <c r="BN2864" i="3"/>
  <c r="BN2848" i="3"/>
  <c r="BN2832" i="3"/>
  <c r="BN2816" i="3"/>
  <c r="BN2800" i="3"/>
  <c r="BN2784" i="3"/>
  <c r="BN2768" i="3"/>
  <c r="BN2752" i="3"/>
  <c r="BN2736" i="3"/>
  <c r="BN2720" i="3"/>
  <c r="BN2704" i="3"/>
  <c r="BN2688" i="3"/>
  <c r="BN2672" i="3"/>
  <c r="BN2656" i="3"/>
  <c r="BN2640" i="3"/>
  <c r="BN2624" i="3"/>
  <c r="BN2608" i="3"/>
  <c r="BN2592" i="3"/>
  <c r="BN2576" i="3"/>
  <c r="BN2560" i="3"/>
  <c r="BN2544" i="3"/>
  <c r="BN2528" i="3"/>
  <c r="BN2512" i="3"/>
  <c r="BN2496" i="3"/>
  <c r="BN2480" i="3"/>
  <c r="BN2464" i="3"/>
  <c r="BN2448" i="3"/>
  <c r="BN2432" i="3"/>
  <c r="BN2416" i="3"/>
  <c r="BN2885" i="3"/>
  <c r="BN2869" i="3"/>
  <c r="BN2853" i="3"/>
  <c r="BN2837" i="3"/>
  <c r="BN2821" i="3"/>
  <c r="BN2805" i="3"/>
  <c r="BN2789" i="3"/>
  <c r="BN2773" i="3"/>
  <c r="BN2757" i="3"/>
  <c r="BN2741" i="3"/>
  <c r="BN2725" i="3"/>
  <c r="BN2709" i="3"/>
  <c r="BN2693" i="3"/>
  <c r="BN2677" i="3"/>
  <c r="BN2661" i="3"/>
  <c r="BN2645" i="3"/>
  <c r="BN2629" i="3"/>
  <c r="BN2613" i="3"/>
  <c r="BN2597" i="3"/>
  <c r="BN2581" i="3"/>
  <c r="BN2565" i="3"/>
  <c r="BN2549" i="3"/>
  <c r="BN2533" i="3"/>
  <c r="BN2517" i="3"/>
  <c r="BN2501" i="3"/>
  <c r="BN2485" i="3"/>
  <c r="BN2469" i="3"/>
  <c r="BN2453" i="3"/>
  <c r="BN2437" i="3"/>
  <c r="BN2421" i="3"/>
  <c r="BN2890" i="3"/>
  <c r="BN2874" i="3"/>
  <c r="BN2858" i="3"/>
  <c r="BN2842" i="3"/>
  <c r="BN2826" i="3"/>
  <c r="BN2810" i="3"/>
  <c r="BN2794" i="3"/>
  <c r="BN2778" i="3"/>
  <c r="BN2762" i="3"/>
  <c r="BN2746" i="3"/>
  <c r="BN2730" i="3"/>
  <c r="BN2714" i="3"/>
  <c r="BN2698" i="3"/>
  <c r="BN2682" i="3"/>
  <c r="BN2666" i="3"/>
  <c r="BN2650" i="3"/>
  <c r="BN2634" i="3"/>
  <c r="BN2618" i="3"/>
  <c r="BN2602" i="3"/>
  <c r="BN2586" i="3"/>
  <c r="BN2570" i="3"/>
  <c r="BN2554" i="3"/>
  <c r="BN2538" i="3"/>
  <c r="BN2879" i="3"/>
  <c r="BN2863" i="3"/>
  <c r="BN2847" i="3"/>
  <c r="BN2831" i="3"/>
  <c r="BN2815" i="3"/>
  <c r="BN2799" i="3"/>
  <c r="BN2783" i="3"/>
  <c r="BN2767" i="3"/>
  <c r="BN2751" i="3"/>
  <c r="BN2735" i="3"/>
  <c r="BN2719" i="3"/>
  <c r="BN2703" i="3"/>
  <c r="BN2687" i="3"/>
  <c r="BN2671" i="3"/>
  <c r="BN2655" i="3"/>
  <c r="BN2639" i="3"/>
  <c r="BN2623" i="3"/>
  <c r="BN2607" i="3"/>
  <c r="BN2591" i="3"/>
  <c r="BN2575" i="3"/>
  <c r="BN2559" i="3"/>
  <c r="BN2543" i="3"/>
  <c r="BN2527" i="3"/>
  <c r="BN2511" i="3"/>
  <c r="BN2884" i="3"/>
  <c r="BN2868" i="3"/>
  <c r="BN2852" i="3"/>
  <c r="BN2836" i="3"/>
  <c r="BN2820" i="3"/>
  <c r="BN2804" i="3"/>
  <c r="BN2788" i="3"/>
  <c r="BN2772" i="3"/>
  <c r="BN2756" i="3"/>
  <c r="BN2740" i="3"/>
  <c r="BN2724" i="3"/>
  <c r="BN2708" i="3"/>
  <c r="BN2692" i="3"/>
  <c r="BN2676" i="3"/>
  <c r="BN2660" i="3"/>
  <c r="BN2644" i="3"/>
  <c r="BN2628" i="3"/>
  <c r="BN2612" i="3"/>
  <c r="BN2596" i="3"/>
  <c r="BN2580" i="3"/>
  <c r="BN2889" i="3"/>
  <c r="BN2873" i="3"/>
  <c r="BN2857" i="3"/>
  <c r="BN2841" i="3"/>
  <c r="BN2825" i="3"/>
  <c r="BN2809" i="3"/>
  <c r="BN2793" i="3"/>
  <c r="BN2777" i="3"/>
  <c r="BN2761" i="3"/>
  <c r="BN2745" i="3"/>
  <c r="BN2729" i="3"/>
  <c r="BN2713" i="3"/>
  <c r="BN2697" i="3"/>
  <c r="BN2681" i="3"/>
  <c r="BN2665" i="3"/>
  <c r="BN2649" i="3"/>
  <c r="BN2633" i="3"/>
  <c r="BN2617" i="3"/>
  <c r="BN2601" i="3"/>
  <c r="BN2585" i="3"/>
  <c r="BN2569" i="3"/>
  <c r="BN2553" i="3"/>
  <c r="BN2537" i="3"/>
  <c r="BN2894" i="3"/>
  <c r="BN2878" i="3"/>
  <c r="BN2862" i="3"/>
  <c r="BN2846" i="3"/>
  <c r="BN2830" i="3"/>
  <c r="BN2814" i="3"/>
  <c r="BN2798" i="3"/>
  <c r="BN2782" i="3"/>
  <c r="BN2766" i="3"/>
  <c r="BN2750" i="3"/>
  <c r="BN2734" i="3"/>
  <c r="BN2718" i="3"/>
  <c r="BN2702" i="3"/>
  <c r="BN2686" i="3"/>
  <c r="BN2670" i="3"/>
  <c r="BN2654" i="3"/>
  <c r="BN2638" i="3"/>
  <c r="BN2622" i="3"/>
  <c r="BN2606" i="3"/>
  <c r="BN2590" i="3"/>
  <c r="BN2574" i="3"/>
  <c r="BN2558" i="3"/>
  <c r="BN2542" i="3"/>
  <c r="BN2526" i="3"/>
  <c r="BN2510" i="3"/>
  <c r="BN2494" i="3"/>
  <c r="BN2478" i="3"/>
  <c r="BN2462" i="3"/>
  <c r="BN2883" i="3"/>
  <c r="BN2867" i="3"/>
  <c r="BN2851" i="3"/>
  <c r="BN2835" i="3"/>
  <c r="BN2819" i="3"/>
  <c r="BN2803" i="3"/>
  <c r="BN2787" i="3"/>
  <c r="BN2771" i="3"/>
  <c r="BN2755" i="3"/>
  <c r="BN2739" i="3"/>
  <c r="BN2723" i="3"/>
  <c r="BN2707" i="3"/>
  <c r="BN2691" i="3"/>
  <c r="BN2888" i="3"/>
  <c r="BN2872" i="3"/>
  <c r="BN2856" i="3"/>
  <c r="BN2840" i="3"/>
  <c r="BN2824" i="3"/>
  <c r="BN2808" i="3"/>
  <c r="BN2792" i="3"/>
  <c r="BN2776" i="3"/>
  <c r="BN2760" i="3"/>
  <c r="BN2744" i="3"/>
  <c r="BN2728" i="3"/>
  <c r="BN2712" i="3"/>
  <c r="BN2696" i="3"/>
  <c r="BN2680" i="3"/>
  <c r="BN2664" i="3"/>
  <c r="BN2648" i="3"/>
  <c r="BN2632" i="3"/>
  <c r="BN2616" i="3"/>
  <c r="BN2600" i="3"/>
  <c r="BN2584" i="3"/>
  <c r="BN2568" i="3"/>
  <c r="BN2552" i="3"/>
  <c r="BN2536" i="3"/>
  <c r="BN2882" i="3"/>
  <c r="BN2866" i="3"/>
  <c r="BN2850" i="3"/>
  <c r="BN2834" i="3"/>
  <c r="BN2818" i="3"/>
  <c r="BN2802" i="3"/>
  <c r="BN2786" i="3"/>
  <c r="BN2770" i="3"/>
  <c r="BN2754" i="3"/>
  <c r="BN2738" i="3"/>
  <c r="BN2722" i="3"/>
  <c r="BN2706" i="3"/>
  <c r="BN2690" i="3"/>
  <c r="BN2674" i="3"/>
  <c r="BN2658" i="3"/>
  <c r="BN2642" i="3"/>
  <c r="BN2626" i="3"/>
  <c r="BN2610" i="3"/>
  <c r="BN2594" i="3"/>
  <c r="BN2578" i="3"/>
  <c r="BN2562" i="3"/>
  <c r="BN2546" i="3"/>
  <c r="BN2530" i="3"/>
  <c r="BN2514" i="3"/>
  <c r="BN2498" i="3"/>
  <c r="BN2482" i="3"/>
  <c r="BN2781" i="3"/>
  <c r="BN2532" i="3"/>
  <c r="BN2520" i="3"/>
  <c r="BN2487" i="3"/>
  <c r="BN2447" i="3"/>
  <c r="BN2423" i="3"/>
  <c r="BN2823" i="3"/>
  <c r="BN2695" i="3"/>
  <c r="BN2663" i="3"/>
  <c r="BN2605" i="3"/>
  <c r="BN2531" i="3"/>
  <c r="BN2506" i="3"/>
  <c r="BN2474" i="3"/>
  <c r="BN2466" i="3"/>
  <c r="BN2456" i="3"/>
  <c r="BN2430" i="3"/>
  <c r="BN2861" i="3"/>
  <c r="BN2733" i="3"/>
  <c r="BN2659" i="3"/>
  <c r="BN2519" i="3"/>
  <c r="BN2495" i="3"/>
  <c r="BN2439" i="3"/>
  <c r="BN2413" i="3"/>
  <c r="BN2775" i="3"/>
  <c r="BN2631" i="3"/>
  <c r="BN2573" i="3"/>
  <c r="BN2551" i="3"/>
  <c r="BN2484" i="3"/>
  <c r="BN2446" i="3"/>
  <c r="BN2420" i="3"/>
  <c r="BN2813" i="3"/>
  <c r="BN2685" i="3"/>
  <c r="BN2627" i="3"/>
  <c r="BN2548" i="3"/>
  <c r="BN2516" i="3"/>
  <c r="BN2505" i="3"/>
  <c r="BN2473" i="3"/>
  <c r="BN2463" i="3"/>
  <c r="BN2455" i="3"/>
  <c r="BN2429" i="3"/>
  <c r="BN2855" i="3"/>
  <c r="BN2727" i="3"/>
  <c r="BN2599" i="3"/>
  <c r="BN2547" i="3"/>
  <c r="BN2483" i="3"/>
  <c r="BN2436" i="3"/>
  <c r="BN2893" i="3"/>
  <c r="BN2765" i="3"/>
  <c r="BN2653" i="3"/>
  <c r="BN2595" i="3"/>
  <c r="BN2515" i="3"/>
  <c r="BN2504" i="3"/>
  <c r="BN2472" i="3"/>
  <c r="BN2445" i="3"/>
  <c r="BN2419" i="3"/>
  <c r="BN2807" i="3"/>
  <c r="BN2567" i="3"/>
  <c r="BN2493" i="3"/>
  <c r="BN2452" i="3"/>
  <c r="BN2426" i="3"/>
  <c r="BN2845" i="3"/>
  <c r="BN2717" i="3"/>
  <c r="BN2679" i="3"/>
  <c r="BN2621" i="3"/>
  <c r="BN2564" i="3"/>
  <c r="BN2503" i="3"/>
  <c r="BN2435" i="3"/>
  <c r="BN2887" i="3"/>
  <c r="BN2759" i="3"/>
  <c r="BN2675" i="3"/>
  <c r="BN2563" i="3"/>
  <c r="BN2490" i="3"/>
  <c r="BN2471" i="3"/>
  <c r="BN2461" i="3"/>
  <c r="BN2442" i="3"/>
  <c r="BN2418" i="3"/>
  <c r="BN2797" i="3"/>
  <c r="BN2647" i="3"/>
  <c r="BN2589" i="3"/>
  <c r="BN2541" i="3"/>
  <c r="BN2525" i="3"/>
  <c r="BN2479" i="3"/>
  <c r="BN2451" i="3"/>
  <c r="BN2425" i="3"/>
  <c r="BN2839" i="3"/>
  <c r="BN2711" i="3"/>
  <c r="BN2643" i="3"/>
  <c r="BN2500" i="3"/>
  <c r="BN2434" i="3"/>
  <c r="BN2877" i="3"/>
  <c r="BN2749" i="3"/>
  <c r="BN2615" i="3"/>
  <c r="BN2522" i="3"/>
  <c r="BN2489" i="3"/>
  <c r="BN2468" i="3"/>
  <c r="BN2458" i="3"/>
  <c r="BN2441" i="3"/>
  <c r="BN2415" i="3"/>
  <c r="BN2829" i="3"/>
  <c r="BN2701" i="3"/>
  <c r="BN2583" i="3"/>
  <c r="BN2557" i="3"/>
  <c r="BN2521" i="3"/>
  <c r="BN2488" i="3"/>
  <c r="BN2467" i="3"/>
  <c r="BN2431" i="3"/>
  <c r="BN2791" i="3"/>
  <c r="BN2450" i="3"/>
  <c r="BN2535" i="3"/>
  <c r="BN2743" i="3"/>
  <c r="BN2440" i="3"/>
  <c r="BN2509" i="3"/>
  <c r="BN2669" i="3"/>
  <c r="BN2499" i="3"/>
  <c r="BN2424" i="3"/>
  <c r="BN2637" i="3"/>
  <c r="BN2414" i="3"/>
  <c r="BN2611" i="3"/>
  <c r="BN2477" i="3"/>
  <c r="BN2457" i="3"/>
  <c r="BN2871" i="3"/>
  <c r="BN2579" i="3"/>
  <c r="EM26" i="3"/>
  <c r="EM28" i="3"/>
  <c r="EM25" i="3"/>
  <c r="EM27" i="3"/>
  <c r="CB34" i="3"/>
  <c r="CB32" i="3"/>
  <c r="CB39" i="3"/>
  <c r="CB37" i="3"/>
  <c r="CB33" i="3"/>
  <c r="CB38" i="3"/>
  <c r="CB35" i="3"/>
  <c r="CB36" i="3"/>
  <c r="HV10" i="3"/>
  <c r="HV6" i="3"/>
  <c r="EU14" i="3"/>
  <c r="BY11" i="3"/>
  <c r="BN4335" i="3"/>
  <c r="BN4319" i="3"/>
  <c r="BN4303" i="3"/>
  <c r="BN4287" i="3"/>
  <c r="BN4271" i="3"/>
  <c r="BN4255" i="3"/>
  <c r="BN4239" i="3"/>
  <c r="BN4223" i="3"/>
  <c r="BN4207" i="3"/>
  <c r="BN4191" i="3"/>
  <c r="BN4175" i="3"/>
  <c r="BN4159" i="3"/>
  <c r="BN4143" i="3"/>
  <c r="BN4127" i="3"/>
  <c r="BN4111" i="3"/>
  <c r="BN4095" i="3"/>
  <c r="BN4079" i="3"/>
  <c r="BN4063" i="3"/>
  <c r="BN4047" i="3"/>
  <c r="BN4031" i="3"/>
  <c r="BN4015" i="3"/>
  <c r="BN3999" i="3"/>
  <c r="BN3983" i="3"/>
  <c r="BN3967" i="3"/>
  <c r="BN3951" i="3"/>
  <c r="BN3935" i="3"/>
  <c r="BN3919" i="3"/>
  <c r="BN3903" i="3"/>
  <c r="BN3887" i="3"/>
  <c r="BN3871" i="3"/>
  <c r="BN4340" i="3"/>
  <c r="BN4324" i="3"/>
  <c r="BN4308" i="3"/>
  <c r="BN4292" i="3"/>
  <c r="BN4276" i="3"/>
  <c r="BN4260" i="3"/>
  <c r="BN4244" i="3"/>
  <c r="BN4228" i="3"/>
  <c r="BN4212" i="3"/>
  <c r="BN4329" i="3"/>
  <c r="BN4313" i="3"/>
  <c r="BN4297" i="3"/>
  <c r="BN4281" i="3"/>
  <c r="BN4265" i="3"/>
  <c r="BN4249" i="3"/>
  <c r="BN4233" i="3"/>
  <c r="BN4217" i="3"/>
  <c r="BN4201" i="3"/>
  <c r="BN4185" i="3"/>
  <c r="BN4169" i="3"/>
  <c r="BN4153" i="3"/>
  <c r="BN4137" i="3"/>
  <c r="BN4121" i="3"/>
  <c r="BN4105" i="3"/>
  <c r="BN4089" i="3"/>
  <c r="BN4073" i="3"/>
  <c r="BN4057" i="3"/>
  <c r="BN4041" i="3"/>
  <c r="BN4025" i="3"/>
  <c r="BN4009" i="3"/>
  <c r="BN3993" i="3"/>
  <c r="BN3977" i="3"/>
  <c r="BN3961" i="3"/>
  <c r="BN3945" i="3"/>
  <c r="BN3929" i="3"/>
  <c r="BN3913" i="3"/>
  <c r="BN3897" i="3"/>
  <c r="BN3881" i="3"/>
  <c r="BN3865" i="3"/>
  <c r="BN4334" i="3"/>
  <c r="BN4318" i="3"/>
  <c r="BN4302" i="3"/>
  <c r="BN4286" i="3"/>
  <c r="BN4270" i="3"/>
  <c r="BN4254" i="3"/>
  <c r="BN4238" i="3"/>
  <c r="BN4222" i="3"/>
  <c r="BN4206" i="3"/>
  <c r="BN4190" i="3"/>
  <c r="BN4174" i="3"/>
  <c r="BN4158" i="3"/>
  <c r="BN4142" i="3"/>
  <c r="BN4126" i="3"/>
  <c r="BN4110" i="3"/>
  <c r="BN4094" i="3"/>
  <c r="BN4078" i="3"/>
  <c r="BN4062" i="3"/>
  <c r="BN4046" i="3"/>
  <c r="BN4030" i="3"/>
  <c r="BN4014" i="3"/>
  <c r="BN3998" i="3"/>
  <c r="BN3982" i="3"/>
  <c r="BN3966" i="3"/>
  <c r="BN3950" i="3"/>
  <c r="BN3934" i="3"/>
  <c r="BN3918" i="3"/>
  <c r="BN3902" i="3"/>
  <c r="BN3886" i="3"/>
  <c r="BN3870" i="3"/>
  <c r="BN4339" i="3"/>
  <c r="BN4323" i="3"/>
  <c r="BN4307" i="3"/>
  <c r="BN4291" i="3"/>
  <c r="BN4275" i="3"/>
  <c r="BN4259" i="3"/>
  <c r="BN4243" i="3"/>
  <c r="BN4227" i="3"/>
  <c r="BN4211" i="3"/>
  <c r="BN4195" i="3"/>
  <c r="BN4179" i="3"/>
  <c r="BN4163" i="3"/>
  <c r="BN4147" i="3"/>
  <c r="BN4131" i="3"/>
  <c r="BN4115" i="3"/>
  <c r="BN4099" i="3"/>
  <c r="BN4083" i="3"/>
  <c r="BN4067" i="3"/>
  <c r="BN4051" i="3"/>
  <c r="BN4035" i="3"/>
  <c r="BN4019" i="3"/>
  <c r="BN4003" i="3"/>
  <c r="BN3987" i="3"/>
  <c r="BN3971" i="3"/>
  <c r="BN3955" i="3"/>
  <c r="BN3939" i="3"/>
  <c r="BN3923" i="3"/>
  <c r="BN3907" i="3"/>
  <c r="BN3891" i="3"/>
  <c r="BN3875" i="3"/>
  <c r="BN3859" i="3"/>
  <c r="BN4328" i="3"/>
  <c r="BN4312" i="3"/>
  <c r="BN4296" i="3"/>
  <c r="BN4280" i="3"/>
  <c r="BN4264" i="3"/>
  <c r="BN4248" i="3"/>
  <c r="BN4232" i="3"/>
  <c r="BN4216" i="3"/>
  <c r="BN4200" i="3"/>
  <c r="BN4184" i="3"/>
  <c r="BN4168" i="3"/>
  <c r="BN4152" i="3"/>
  <c r="BN4136" i="3"/>
  <c r="BN4120" i="3"/>
  <c r="BN4104" i="3"/>
  <c r="BN4088" i="3"/>
  <c r="BN4072" i="3"/>
  <c r="BN4056" i="3"/>
  <c r="BN4040" i="3"/>
  <c r="BN4024" i="3"/>
  <c r="BN4008" i="3"/>
  <c r="BN3992" i="3"/>
  <c r="BN3976" i="3"/>
  <c r="BN3960" i="3"/>
  <c r="BN3944" i="3"/>
  <c r="BN3928" i="3"/>
  <c r="BN3912" i="3"/>
  <c r="BN3896" i="3"/>
  <c r="BN3880" i="3"/>
  <c r="BN3864" i="3"/>
  <c r="BN4333" i="3"/>
  <c r="BN4317" i="3"/>
  <c r="BN4301" i="3"/>
  <c r="BN4285" i="3"/>
  <c r="BN4269" i="3"/>
  <c r="BN4253" i="3"/>
  <c r="BN4237" i="3"/>
  <c r="BN4221" i="3"/>
  <c r="BN4205" i="3"/>
  <c r="BN4189" i="3"/>
  <c r="BN4173" i="3"/>
  <c r="BN4157" i="3"/>
  <c r="BN4141" i="3"/>
  <c r="BN4125" i="3"/>
  <c r="BN4109" i="3"/>
  <c r="BN4093" i="3"/>
  <c r="BN4077" i="3"/>
  <c r="BN4061" i="3"/>
  <c r="BN4045" i="3"/>
  <c r="BN4029" i="3"/>
  <c r="BN4013" i="3"/>
  <c r="BN3997" i="3"/>
  <c r="BN3981" i="3"/>
  <c r="BN3965" i="3"/>
  <c r="BN3949" i="3"/>
  <c r="BN3933" i="3"/>
  <c r="BN3917" i="3"/>
  <c r="BN3901" i="3"/>
  <c r="BN3885" i="3"/>
  <c r="BN3869" i="3"/>
  <c r="BN4338" i="3"/>
  <c r="BN4322" i="3"/>
  <c r="BN4306" i="3"/>
  <c r="BN4290" i="3"/>
  <c r="BN4274" i="3"/>
  <c r="BN4258" i="3"/>
  <c r="BN4242" i="3"/>
  <c r="BN4226" i="3"/>
  <c r="BN4210" i="3"/>
  <c r="BN4194" i="3"/>
  <c r="BN4178" i="3"/>
  <c r="BN4162" i="3"/>
  <c r="BN4146" i="3"/>
  <c r="BN4130" i="3"/>
  <c r="BN4114" i="3"/>
  <c r="BN4098" i="3"/>
  <c r="BN4082" i="3"/>
  <c r="BN4066" i="3"/>
  <c r="BN4050" i="3"/>
  <c r="BN4034" i="3"/>
  <c r="BN4018" i="3"/>
  <c r="BN4002" i="3"/>
  <c r="BN3986" i="3"/>
  <c r="BN3970" i="3"/>
  <c r="BN3954" i="3"/>
  <c r="BN3938" i="3"/>
  <c r="BN3922" i="3"/>
  <c r="BN3906" i="3"/>
  <c r="BN3890" i="3"/>
  <c r="BN3874" i="3"/>
  <c r="BN4327" i="3"/>
  <c r="BN4311" i="3"/>
  <c r="BN4295" i="3"/>
  <c r="BN4279" i="3"/>
  <c r="BN4263" i="3"/>
  <c r="BN4247" i="3"/>
  <c r="BN4231" i="3"/>
  <c r="BN4215" i="3"/>
  <c r="BN4199" i="3"/>
  <c r="BN4183" i="3"/>
  <c r="BN4167" i="3"/>
  <c r="BN4151" i="3"/>
  <c r="BN4135" i="3"/>
  <c r="BN4119" i="3"/>
  <c r="BN4103" i="3"/>
  <c r="BN4087" i="3"/>
  <c r="BN4071" i="3"/>
  <c r="BN4055" i="3"/>
  <c r="BN4039" i="3"/>
  <c r="BN4023" i="3"/>
  <c r="BN4007" i="3"/>
  <c r="BN3991" i="3"/>
  <c r="BN3975" i="3"/>
  <c r="BN3959" i="3"/>
  <c r="BN3943" i="3"/>
  <c r="BN3927" i="3"/>
  <c r="BN3911" i="3"/>
  <c r="BN3895" i="3"/>
  <c r="BN3879" i="3"/>
  <c r="BN3863" i="3"/>
  <c r="BN4332" i="3"/>
  <c r="BN4316" i="3"/>
  <c r="BN4300" i="3"/>
  <c r="BN4284" i="3"/>
  <c r="BN4268" i="3"/>
  <c r="BN4252" i="3"/>
  <c r="BN4236" i="3"/>
  <c r="BN4220" i="3"/>
  <c r="BN4204" i="3"/>
  <c r="BN4188" i="3"/>
  <c r="BN4172" i="3"/>
  <c r="BN4156" i="3"/>
  <c r="BN4140" i="3"/>
  <c r="BN4124" i="3"/>
  <c r="BN4108" i="3"/>
  <c r="BN4092" i="3"/>
  <c r="BN4076" i="3"/>
  <c r="BN4060" i="3"/>
  <c r="BN4044" i="3"/>
  <c r="BN4028" i="3"/>
  <c r="BN4012" i="3"/>
  <c r="BN3996" i="3"/>
  <c r="BN3980" i="3"/>
  <c r="BN3964" i="3"/>
  <c r="BN3948" i="3"/>
  <c r="BN3932" i="3"/>
  <c r="BN3916" i="3"/>
  <c r="BN3900" i="3"/>
  <c r="BN3884" i="3"/>
  <c r="BN3868" i="3"/>
  <c r="BN4337" i="3"/>
  <c r="BN4321" i="3"/>
  <c r="BN4305" i="3"/>
  <c r="BN4289" i="3"/>
  <c r="BN4273" i="3"/>
  <c r="BN4257" i="3"/>
  <c r="BN4241" i="3"/>
  <c r="BN4225" i="3"/>
  <c r="BN4209" i="3"/>
  <c r="BN4193" i="3"/>
  <c r="BN4177" i="3"/>
  <c r="BN4161" i="3"/>
  <c r="BN4145" i="3"/>
  <c r="BN4129" i="3"/>
  <c r="BN4113" i="3"/>
  <c r="BN4097" i="3"/>
  <c r="BN4081" i="3"/>
  <c r="BN4065" i="3"/>
  <c r="BN4049" i="3"/>
  <c r="BN4033" i="3"/>
  <c r="BN4017" i="3"/>
  <c r="BN4001" i="3"/>
  <c r="BN3985" i="3"/>
  <c r="BN3969" i="3"/>
  <c r="BN3953" i="3"/>
  <c r="BN3937" i="3"/>
  <c r="BN3921" i="3"/>
  <c r="BN3905" i="3"/>
  <c r="BN3889" i="3"/>
  <c r="BN3873" i="3"/>
  <c r="BN4331" i="3"/>
  <c r="BN4315" i="3"/>
  <c r="BN4299" i="3"/>
  <c r="BN4283" i="3"/>
  <c r="BN4267" i="3"/>
  <c r="BN4251" i="3"/>
  <c r="BN4235" i="3"/>
  <c r="BN4219" i="3"/>
  <c r="BN4203" i="3"/>
  <c r="BN4187" i="3"/>
  <c r="BN4171" i="3"/>
  <c r="BN4155" i="3"/>
  <c r="BN4139" i="3"/>
  <c r="BN4123" i="3"/>
  <c r="BN4107" i="3"/>
  <c r="BN4091" i="3"/>
  <c r="BN4075" i="3"/>
  <c r="BN4059" i="3"/>
  <c r="BN4043" i="3"/>
  <c r="BN4027" i="3"/>
  <c r="BN4011" i="3"/>
  <c r="BN3995" i="3"/>
  <c r="BN3979" i="3"/>
  <c r="BN4325" i="3"/>
  <c r="BN4309" i="3"/>
  <c r="BN4293" i="3"/>
  <c r="BN4277" i="3"/>
  <c r="BN4261" i="3"/>
  <c r="BN4245" i="3"/>
  <c r="BN4229" i="3"/>
  <c r="BN4213" i="3"/>
  <c r="BN4197" i="3"/>
  <c r="BN4181" i="3"/>
  <c r="BN4165" i="3"/>
  <c r="BN4149" i="3"/>
  <c r="BN4133" i="3"/>
  <c r="BN4117" i="3"/>
  <c r="BN4101" i="3"/>
  <c r="BN4085" i="3"/>
  <c r="BN4069" i="3"/>
  <c r="BN4053" i="3"/>
  <c r="BN4037" i="3"/>
  <c r="BN4021" i="3"/>
  <c r="BN4005" i="3"/>
  <c r="BN3989" i="3"/>
  <c r="BN3973" i="3"/>
  <c r="BN3957" i="3"/>
  <c r="BN3941" i="3"/>
  <c r="BN3925" i="3"/>
  <c r="BN3909" i="3"/>
  <c r="BN3893" i="3"/>
  <c r="BN3877" i="3"/>
  <c r="BN3861" i="3"/>
  <c r="BN4330" i="3"/>
  <c r="BN4314" i="3"/>
  <c r="BN4298" i="3"/>
  <c r="BN4282" i="3"/>
  <c r="BN4266" i="3"/>
  <c r="BN4250" i="3"/>
  <c r="BN4234" i="3"/>
  <c r="BN4218" i="3"/>
  <c r="BN4202" i="3"/>
  <c r="BN4186" i="3"/>
  <c r="BN4170" i="3"/>
  <c r="BN4154" i="3"/>
  <c r="BN4138" i="3"/>
  <c r="BN4122" i="3"/>
  <c r="BN4106" i="3"/>
  <c r="BN4090" i="3"/>
  <c r="BN4074" i="3"/>
  <c r="BN4058" i="3"/>
  <c r="BN4042" i="3"/>
  <c r="BN4026" i="3"/>
  <c r="BN4010" i="3"/>
  <c r="BN3994" i="3"/>
  <c r="BN3978" i="3"/>
  <c r="BN3962" i="3"/>
  <c r="BN3946" i="3"/>
  <c r="BN3930" i="3"/>
  <c r="BN4294" i="3"/>
  <c r="BN4064" i="3"/>
  <c r="BN4036" i="3"/>
  <c r="BN4006" i="3"/>
  <c r="BN3956" i="3"/>
  <c r="BN3914" i="3"/>
  <c r="BN3878" i="3"/>
  <c r="BN4336" i="3"/>
  <c r="BN4208" i="3"/>
  <c r="BN4176" i="3"/>
  <c r="BN4148" i="3"/>
  <c r="BN4118" i="3"/>
  <c r="BN3894" i="3"/>
  <c r="BN4246" i="3"/>
  <c r="BN4032" i="3"/>
  <c r="BN4004" i="3"/>
  <c r="BN3974" i="3"/>
  <c r="BN3931" i="3"/>
  <c r="BN3910" i="3"/>
  <c r="BN4288" i="3"/>
  <c r="BN4144" i="3"/>
  <c r="BN4116" i="3"/>
  <c r="BN4086" i="3"/>
  <c r="BN3952" i="3"/>
  <c r="BN3860" i="3"/>
  <c r="BN4326" i="3"/>
  <c r="BN4198" i="3"/>
  <c r="BN4000" i="3"/>
  <c r="BN3972" i="3"/>
  <c r="BN3876" i="3"/>
  <c r="BN4240" i="3"/>
  <c r="BN4112" i="3"/>
  <c r="BN4084" i="3"/>
  <c r="BN4054" i="3"/>
  <c r="BN3926" i="3"/>
  <c r="BN3892" i="3"/>
  <c r="BN4278" i="3"/>
  <c r="BN4196" i="3"/>
  <c r="BN4166" i="3"/>
  <c r="BN3947" i="3"/>
  <c r="BN3908" i="3"/>
  <c r="BN4320" i="3"/>
  <c r="BN4080" i="3"/>
  <c r="BN4052" i="3"/>
  <c r="BN4022" i="3"/>
  <c r="BN3968" i="3"/>
  <c r="BN3872" i="3"/>
  <c r="BN4230" i="3"/>
  <c r="BN4192" i="3"/>
  <c r="BN4164" i="3"/>
  <c r="BN4134" i="3"/>
  <c r="BN3924" i="3"/>
  <c r="BN3888" i="3"/>
  <c r="BN4272" i="3"/>
  <c r="BN4048" i="3"/>
  <c r="BN4020" i="3"/>
  <c r="BN3990" i="3"/>
  <c r="BN3942" i="3"/>
  <c r="BN3904" i="3"/>
  <c r="BN4310" i="3"/>
  <c r="BN4160" i="3"/>
  <c r="BN4132" i="3"/>
  <c r="BN4102" i="3"/>
  <c r="BN3963" i="3"/>
  <c r="BN4224" i="3"/>
  <c r="BN4016" i="3"/>
  <c r="BN3988" i="3"/>
  <c r="BN3920" i="3"/>
  <c r="BN3867" i="3"/>
  <c r="BN4262" i="3"/>
  <c r="BN4128" i="3"/>
  <c r="BN4100" i="3"/>
  <c r="BN4070" i="3"/>
  <c r="BN3940" i="3"/>
  <c r="BN3883" i="3"/>
  <c r="BN4214" i="3"/>
  <c r="BN4096" i="3"/>
  <c r="BN4068" i="3"/>
  <c r="BN4038" i="3"/>
  <c r="BN3915" i="3"/>
  <c r="BN3882" i="3"/>
  <c r="BN3899" i="3"/>
  <c r="BN3898" i="3"/>
  <c r="BN4304" i="3"/>
  <c r="BN3866" i="3"/>
  <c r="BN3862" i="3"/>
  <c r="BN4256" i="3"/>
  <c r="BN3984" i="3"/>
  <c r="BN4182" i="3"/>
  <c r="BN3958" i="3"/>
  <c r="BN4180" i="3"/>
  <c r="BN4150" i="3"/>
  <c r="BN3936" i="3"/>
  <c r="EM40" i="3"/>
  <c r="EM38" i="3"/>
  <c r="EM37" i="3"/>
  <c r="EM39" i="3"/>
  <c r="CB109" i="3"/>
  <c r="CB104" i="3"/>
  <c r="CB110" i="3"/>
  <c r="CB105" i="3"/>
  <c r="CB111" i="3"/>
  <c r="CB106" i="3"/>
  <c r="CB107" i="3"/>
  <c r="CB108" i="3"/>
  <c r="EN43" i="3"/>
  <c r="EN30" i="3"/>
  <c r="EN39" i="3"/>
  <c r="EN38" i="3"/>
  <c r="EN37" i="3"/>
  <c r="EN36" i="3"/>
  <c r="EN29" i="3"/>
  <c r="EN44" i="3"/>
  <c r="EN41" i="3"/>
  <c r="EN40" i="3"/>
  <c r="EN42" i="3"/>
  <c r="EN24" i="3"/>
  <c r="EN19" i="3"/>
  <c r="EN13" i="3"/>
  <c r="EN32" i="3"/>
  <c r="EN22" i="3"/>
  <c r="EN16" i="3"/>
  <c r="EN15" i="3"/>
  <c r="EN35" i="3"/>
  <c r="EN34" i="3"/>
  <c r="EN26" i="3"/>
  <c r="EN33" i="3"/>
  <c r="EN20" i="3"/>
  <c r="EN28" i="3"/>
  <c r="EN25" i="3"/>
  <c r="EN23" i="3"/>
  <c r="EN14" i="3"/>
  <c r="EN12" i="3"/>
  <c r="EN27" i="3"/>
  <c r="EN21" i="3"/>
  <c r="EN17" i="3"/>
  <c r="EN31" i="3"/>
  <c r="EN5" i="3"/>
  <c r="EN18" i="3"/>
  <c r="EN7" i="3"/>
  <c r="EL5" i="3"/>
  <c r="EN9" i="3"/>
  <c r="EN11" i="3"/>
  <c r="EN6" i="3"/>
  <c r="EN8" i="3"/>
  <c r="EN10" i="3"/>
  <c r="EL6" i="3"/>
  <c r="C519" i="1"/>
  <c r="C124" i="1"/>
  <c r="D124" i="1" s="1"/>
  <c r="D120" i="1"/>
  <c r="C118" i="1"/>
  <c r="CA11" i="3"/>
  <c r="CA10" i="3"/>
  <c r="CA9" i="3"/>
  <c r="CA6" i="3"/>
  <c r="CA5" i="3"/>
  <c r="CA8" i="3"/>
  <c r="CA12" i="3"/>
  <c r="CA7" i="3"/>
  <c r="HV5" i="3"/>
  <c r="HV11" i="3"/>
  <c r="HV9" i="3"/>
  <c r="HV7" i="3"/>
  <c r="BN3372" i="3"/>
  <c r="BN3356" i="3"/>
  <c r="BN3340" i="3"/>
  <c r="BN3324" i="3"/>
  <c r="BN3308" i="3"/>
  <c r="BN3292" i="3"/>
  <c r="BN3276" i="3"/>
  <c r="BN3260" i="3"/>
  <c r="BN3244" i="3"/>
  <c r="BN3228" i="3"/>
  <c r="BN3212" i="3"/>
  <c r="BN3196" i="3"/>
  <c r="BN3180" i="3"/>
  <c r="BN3164" i="3"/>
  <c r="BN3148" i="3"/>
  <c r="BN3132" i="3"/>
  <c r="BN3116" i="3"/>
  <c r="BN3100" i="3"/>
  <c r="BN3084" i="3"/>
  <c r="BN3068" i="3"/>
  <c r="BN3052" i="3"/>
  <c r="BN3036" i="3"/>
  <c r="BN3020" i="3"/>
  <c r="BN3004" i="3"/>
  <c r="BN2988" i="3"/>
  <c r="BN2972" i="3"/>
  <c r="BN2956" i="3"/>
  <c r="BN2940" i="3"/>
  <c r="BN3361" i="3"/>
  <c r="BN3345" i="3"/>
  <c r="BN3329" i="3"/>
  <c r="BN3313" i="3"/>
  <c r="BN3297" i="3"/>
  <c r="BN3281" i="3"/>
  <c r="BN3265" i="3"/>
  <c r="BN3249" i="3"/>
  <c r="BN3233" i="3"/>
  <c r="BN3217" i="3"/>
  <c r="BN3201" i="3"/>
  <c r="BN3185" i="3"/>
  <c r="BN3169" i="3"/>
  <c r="BN3153" i="3"/>
  <c r="BN3137" i="3"/>
  <c r="BN3121" i="3"/>
  <c r="BN3105" i="3"/>
  <c r="BN3089" i="3"/>
  <c r="BN3073" i="3"/>
  <c r="BN3057" i="3"/>
  <c r="BN3041" i="3"/>
  <c r="BN3025" i="3"/>
  <c r="BN3366" i="3"/>
  <c r="BN3350" i="3"/>
  <c r="BN3334" i="3"/>
  <c r="BN3318" i="3"/>
  <c r="BN3302" i="3"/>
  <c r="BN3286" i="3"/>
  <c r="BN3270" i="3"/>
  <c r="BN3254" i="3"/>
  <c r="BN3238" i="3"/>
  <c r="BN3222" i="3"/>
  <c r="BN3206" i="3"/>
  <c r="BN3190" i="3"/>
  <c r="BN3174" i="3"/>
  <c r="BN3158" i="3"/>
  <c r="BN3142" i="3"/>
  <c r="BN3126" i="3"/>
  <c r="BN3110" i="3"/>
  <c r="BN3094" i="3"/>
  <c r="BN3078" i="3"/>
  <c r="BN3062" i="3"/>
  <c r="BN3046" i="3"/>
  <c r="BN3371" i="3"/>
  <c r="BN3355" i="3"/>
  <c r="BN3339" i="3"/>
  <c r="BN3323" i="3"/>
  <c r="BN3307" i="3"/>
  <c r="BN3291" i="3"/>
  <c r="BN3275" i="3"/>
  <c r="BN3259" i="3"/>
  <c r="BN3243" i="3"/>
  <c r="BN3227" i="3"/>
  <c r="BN3211" i="3"/>
  <c r="BN3195" i="3"/>
  <c r="BN3179" i="3"/>
  <c r="BN3163" i="3"/>
  <c r="BN3147" i="3"/>
  <c r="BN3131" i="3"/>
  <c r="BN3115" i="3"/>
  <c r="BN3099" i="3"/>
  <c r="BN3083" i="3"/>
  <c r="BN3067" i="3"/>
  <c r="BN3051" i="3"/>
  <c r="BN3376" i="3"/>
  <c r="BN3360" i="3"/>
  <c r="BN3344" i="3"/>
  <c r="BN3328" i="3"/>
  <c r="BN3312" i="3"/>
  <c r="BN3296" i="3"/>
  <c r="BN3280" i="3"/>
  <c r="BN3264" i="3"/>
  <c r="BN3248" i="3"/>
  <c r="BN3232" i="3"/>
  <c r="BN3216" i="3"/>
  <c r="BN3200" i="3"/>
  <c r="BN3184" i="3"/>
  <c r="BN3168" i="3"/>
  <c r="BN3152" i="3"/>
  <c r="BN3136" i="3"/>
  <c r="BN3120" i="3"/>
  <c r="BN3104" i="3"/>
  <c r="BN3088" i="3"/>
  <c r="BN3072" i="3"/>
  <c r="BN3056" i="3"/>
  <c r="BN3040" i="3"/>
  <c r="BN3024" i="3"/>
  <c r="BN3365" i="3"/>
  <c r="BN3349" i="3"/>
  <c r="BN3333" i="3"/>
  <c r="BN3317" i="3"/>
  <c r="BN3301" i="3"/>
  <c r="BN3285" i="3"/>
  <c r="BN3269" i="3"/>
  <c r="BN3253" i="3"/>
  <c r="BN3237" i="3"/>
  <c r="BN3221" i="3"/>
  <c r="BN3205" i="3"/>
  <c r="BN3189" i="3"/>
  <c r="BN3173" i="3"/>
  <c r="BN3157" i="3"/>
  <c r="BN3141" i="3"/>
  <c r="BN3125" i="3"/>
  <c r="BN3109" i="3"/>
  <c r="BN3093" i="3"/>
  <c r="BN3077" i="3"/>
  <c r="BN3061" i="3"/>
  <c r="BN3045" i="3"/>
  <c r="BN3370" i="3"/>
  <c r="BN3354" i="3"/>
  <c r="BN3338" i="3"/>
  <c r="BN3322" i="3"/>
  <c r="BN3306" i="3"/>
  <c r="BN3290" i="3"/>
  <c r="BN3274" i="3"/>
  <c r="BN3258" i="3"/>
  <c r="BN3242" i="3"/>
  <c r="BN3226" i="3"/>
  <c r="BN3210" i="3"/>
  <c r="BN3194" i="3"/>
  <c r="BN3178" i="3"/>
  <c r="BN3162" i="3"/>
  <c r="BN3146" i="3"/>
  <c r="BN3130" i="3"/>
  <c r="BN3114" i="3"/>
  <c r="BN3098" i="3"/>
  <c r="BN3082" i="3"/>
  <c r="BN3066" i="3"/>
  <c r="BN3050" i="3"/>
  <c r="BN3034" i="3"/>
  <c r="BN3018" i="3"/>
  <c r="BN3002" i="3"/>
  <c r="BN2986" i="3"/>
  <c r="BN2970" i="3"/>
  <c r="BN2954" i="3"/>
  <c r="BN3375" i="3"/>
  <c r="BN3359" i="3"/>
  <c r="BN3343" i="3"/>
  <c r="BN3327" i="3"/>
  <c r="BN3311" i="3"/>
  <c r="BN3295" i="3"/>
  <c r="BN3279" i="3"/>
  <c r="BN3263" i="3"/>
  <c r="BN3247" i="3"/>
  <c r="BN3231" i="3"/>
  <c r="BN3215" i="3"/>
  <c r="BN3199" i="3"/>
  <c r="BN3183" i="3"/>
  <c r="BN3167" i="3"/>
  <c r="BN3364" i="3"/>
  <c r="BN3348" i="3"/>
  <c r="BN3332" i="3"/>
  <c r="BN3316" i="3"/>
  <c r="BN3300" i="3"/>
  <c r="BN3284" i="3"/>
  <c r="BN3268" i="3"/>
  <c r="BN3252" i="3"/>
  <c r="BN3236" i="3"/>
  <c r="BN3220" i="3"/>
  <c r="BN3204" i="3"/>
  <c r="BN3188" i="3"/>
  <c r="BN3369" i="3"/>
  <c r="BN3353" i="3"/>
  <c r="BN3337" i="3"/>
  <c r="BN3321" i="3"/>
  <c r="BN3305" i="3"/>
  <c r="BN3289" i="3"/>
  <c r="BN3273" i="3"/>
  <c r="BN3257" i="3"/>
  <c r="BN3241" i="3"/>
  <c r="BN3225" i="3"/>
  <c r="BN3209" i="3"/>
  <c r="BN3193" i="3"/>
  <c r="BN3177" i="3"/>
  <c r="BN3161" i="3"/>
  <c r="BN3145" i="3"/>
  <c r="BN3129" i="3"/>
  <c r="BN3113" i="3"/>
  <c r="BN3097" i="3"/>
  <c r="BN3374" i="3"/>
  <c r="BN3358" i="3"/>
  <c r="BN3342" i="3"/>
  <c r="BN3326" i="3"/>
  <c r="BN3310" i="3"/>
  <c r="BN3294" i="3"/>
  <c r="BN3278" i="3"/>
  <c r="BN3262" i="3"/>
  <c r="BN3246" i="3"/>
  <c r="BN3230" i="3"/>
  <c r="BN3214" i="3"/>
  <c r="BN3198" i="3"/>
  <c r="BN3182" i="3"/>
  <c r="BN3166" i="3"/>
  <c r="BN3150" i="3"/>
  <c r="BN3134" i="3"/>
  <c r="BN3118" i="3"/>
  <c r="BN3363" i="3"/>
  <c r="BN3347" i="3"/>
  <c r="BN3331" i="3"/>
  <c r="BN3315" i="3"/>
  <c r="BN3299" i="3"/>
  <c r="BN3283" i="3"/>
  <c r="BN3267" i="3"/>
  <c r="BN3251" i="3"/>
  <c r="BN3235" i="3"/>
  <c r="BN3219" i="3"/>
  <c r="BN3203" i="3"/>
  <c r="BN3187" i="3"/>
  <c r="BN3171" i="3"/>
  <c r="BN3368" i="3"/>
  <c r="BN3352" i="3"/>
  <c r="BN3336" i="3"/>
  <c r="BN3320" i="3"/>
  <c r="BN3304" i="3"/>
  <c r="BN3288" i="3"/>
  <c r="BN3272" i="3"/>
  <c r="BN3256" i="3"/>
  <c r="BN3240" i="3"/>
  <c r="BN3224" i="3"/>
  <c r="BN3208" i="3"/>
  <c r="BN3192" i="3"/>
  <c r="BN3176" i="3"/>
  <c r="BN3362" i="3"/>
  <c r="BN3346" i="3"/>
  <c r="BN3330" i="3"/>
  <c r="BN3314" i="3"/>
  <c r="BN3298" i="3"/>
  <c r="BN3282" i="3"/>
  <c r="BN3266" i="3"/>
  <c r="BN3250" i="3"/>
  <c r="BN3234" i="3"/>
  <c r="BN3218" i="3"/>
  <c r="BN3202" i="3"/>
  <c r="BN3186" i="3"/>
  <c r="BN3170" i="3"/>
  <c r="BN3154" i="3"/>
  <c r="BN3138" i="3"/>
  <c r="BN3122" i="3"/>
  <c r="BN3325" i="3"/>
  <c r="BN3197" i="3"/>
  <c r="BN3087" i="3"/>
  <c r="BN3013" i="3"/>
  <c r="BN2964" i="3"/>
  <c r="BN2958" i="3"/>
  <c r="BN2952" i="3"/>
  <c r="BN2946" i="3"/>
  <c r="BN2924" i="3"/>
  <c r="BN2908" i="3"/>
  <c r="BN3367" i="3"/>
  <c r="BN3239" i="3"/>
  <c r="BN3149" i="3"/>
  <c r="BN3119" i="3"/>
  <c r="BN3108" i="3"/>
  <c r="BN3079" i="3"/>
  <c r="BN3069" i="3"/>
  <c r="BN3059" i="3"/>
  <c r="BN3049" i="3"/>
  <c r="BN3033" i="3"/>
  <c r="BN3019" i="3"/>
  <c r="BN2982" i="3"/>
  <c r="BN2976" i="3"/>
  <c r="BN2929" i="3"/>
  <c r="BN2913" i="3"/>
  <c r="BN2897" i="3"/>
  <c r="BN3277" i="3"/>
  <c r="BN3026" i="3"/>
  <c r="BN3012" i="3"/>
  <c r="BN3006" i="3"/>
  <c r="BN3000" i="3"/>
  <c r="BN2994" i="3"/>
  <c r="BN2945" i="3"/>
  <c r="BN2934" i="3"/>
  <c r="BN2918" i="3"/>
  <c r="BN2902" i="3"/>
  <c r="BN3319" i="3"/>
  <c r="BN3191" i="3"/>
  <c r="BN3133" i="3"/>
  <c r="BN3107" i="3"/>
  <c r="BN3086" i="3"/>
  <c r="BN3076" i="3"/>
  <c r="BN3039" i="3"/>
  <c r="BN2975" i="3"/>
  <c r="BN2969" i="3"/>
  <c r="BN2963" i="3"/>
  <c r="BN2957" i="3"/>
  <c r="BN2951" i="3"/>
  <c r="BN2939" i="3"/>
  <c r="BN2923" i="3"/>
  <c r="BN2907" i="3"/>
  <c r="BN3357" i="3"/>
  <c r="BN3229" i="3"/>
  <c r="BN3160" i="3"/>
  <c r="BN3096" i="3"/>
  <c r="BN3058" i="3"/>
  <c r="BN3048" i="3"/>
  <c r="BN3032" i="3"/>
  <c r="BN2993" i="3"/>
  <c r="BN2987" i="3"/>
  <c r="BN2981" i="3"/>
  <c r="BN2928" i="3"/>
  <c r="BN2912" i="3"/>
  <c r="BN2896" i="3"/>
  <c r="BN3271" i="3"/>
  <c r="BN3117" i="3"/>
  <c r="BN3011" i="3"/>
  <c r="BN3005" i="3"/>
  <c r="BN2999" i="3"/>
  <c r="BN2950" i="3"/>
  <c r="BN2944" i="3"/>
  <c r="BN2933" i="3"/>
  <c r="BN2917" i="3"/>
  <c r="BN2901" i="3"/>
  <c r="BN3309" i="3"/>
  <c r="BN3181" i="3"/>
  <c r="BN3159" i="3"/>
  <c r="BN3144" i="3"/>
  <c r="BN3106" i="3"/>
  <c r="BN3085" i="3"/>
  <c r="BN3075" i="3"/>
  <c r="BN3065" i="3"/>
  <c r="BN3055" i="3"/>
  <c r="BN3038" i="3"/>
  <c r="BN3017" i="3"/>
  <c r="BN2980" i="3"/>
  <c r="BN2974" i="3"/>
  <c r="BN2968" i="3"/>
  <c r="BN2962" i="3"/>
  <c r="BN2938" i="3"/>
  <c r="BN2922" i="3"/>
  <c r="BN2906" i="3"/>
  <c r="BN3351" i="3"/>
  <c r="BN3223" i="3"/>
  <c r="BN3095" i="3"/>
  <c r="BN3047" i="3"/>
  <c r="BN3031" i="3"/>
  <c r="BN3023" i="3"/>
  <c r="BN2998" i="3"/>
  <c r="BN2992" i="3"/>
  <c r="BN2927" i="3"/>
  <c r="BN2911" i="3"/>
  <c r="BN2895" i="3"/>
  <c r="BN3261" i="3"/>
  <c r="BN3156" i="3"/>
  <c r="BN3143" i="3"/>
  <c r="BN3128" i="3"/>
  <c r="BN3103" i="3"/>
  <c r="BN3030" i="3"/>
  <c r="BN3010" i="3"/>
  <c r="BN2961" i="3"/>
  <c r="BN2955" i="3"/>
  <c r="BN2949" i="3"/>
  <c r="BN2943" i="3"/>
  <c r="BN2932" i="3"/>
  <c r="BN2916" i="3"/>
  <c r="BN2900" i="3"/>
  <c r="BN3303" i="3"/>
  <c r="BN3155" i="3"/>
  <c r="BN3092" i="3"/>
  <c r="BN3074" i="3"/>
  <c r="BN3064" i="3"/>
  <c r="BN3054" i="3"/>
  <c r="BN3044" i="3"/>
  <c r="BN3037" i="3"/>
  <c r="BN3016" i="3"/>
  <c r="BN2991" i="3"/>
  <c r="BN2985" i="3"/>
  <c r="BN2979" i="3"/>
  <c r="BN2973" i="3"/>
  <c r="BN2967" i="3"/>
  <c r="BN2937" i="3"/>
  <c r="BN2921" i="3"/>
  <c r="BN2905" i="3"/>
  <c r="BN3341" i="3"/>
  <c r="BN3213" i="3"/>
  <c r="BN3175" i="3"/>
  <c r="BN3140" i="3"/>
  <c r="BN3127" i="3"/>
  <c r="BN3102" i="3"/>
  <c r="BN3029" i="3"/>
  <c r="BN3022" i="3"/>
  <c r="BN3009" i="3"/>
  <c r="BN3003" i="3"/>
  <c r="BN2997" i="3"/>
  <c r="BN2948" i="3"/>
  <c r="BN2926" i="3"/>
  <c r="BN2910" i="3"/>
  <c r="BN3255" i="3"/>
  <c r="BN3172" i="3"/>
  <c r="BN3139" i="3"/>
  <c r="BN3091" i="3"/>
  <c r="BN3081" i="3"/>
  <c r="BN3071" i="3"/>
  <c r="BN2966" i="3"/>
  <c r="BN2960" i="3"/>
  <c r="BN2942" i="3"/>
  <c r="BN2931" i="3"/>
  <c r="BN2915" i="3"/>
  <c r="BN2899" i="3"/>
  <c r="BN3293" i="3"/>
  <c r="BN3124" i="3"/>
  <c r="BN3112" i="3"/>
  <c r="BN3063" i="3"/>
  <c r="BN3053" i="3"/>
  <c r="BN3043" i="3"/>
  <c r="BN3028" i="3"/>
  <c r="BN3015" i="3"/>
  <c r="BN2996" i="3"/>
  <c r="BN2990" i="3"/>
  <c r="BN2984" i="3"/>
  <c r="BN2978" i="3"/>
  <c r="BN2936" i="3"/>
  <c r="BN2920" i="3"/>
  <c r="BN2904" i="3"/>
  <c r="BN3373" i="3"/>
  <c r="BN3245" i="3"/>
  <c r="BN3090" i="3"/>
  <c r="BN3080" i="3"/>
  <c r="BN3070" i="3"/>
  <c r="BN3060" i="3"/>
  <c r="BN2977" i="3"/>
  <c r="BN2971" i="3"/>
  <c r="BN2965" i="3"/>
  <c r="BN2941" i="3"/>
  <c r="BN2930" i="3"/>
  <c r="BN2914" i="3"/>
  <c r="BN2898" i="3"/>
  <c r="BN3151" i="3"/>
  <c r="BN2953" i="3"/>
  <c r="BN2909" i="3"/>
  <c r="BN3001" i="3"/>
  <c r="BN2947" i="3"/>
  <c r="BN3135" i="3"/>
  <c r="BN2995" i="3"/>
  <c r="BN2903" i="3"/>
  <c r="BN3123" i="3"/>
  <c r="BN3042" i="3"/>
  <c r="BN2989" i="3"/>
  <c r="BN3335" i="3"/>
  <c r="BN3035" i="3"/>
  <c r="BN3111" i="3"/>
  <c r="BN2983" i="3"/>
  <c r="BN2935" i="3"/>
  <c r="BN3101" i="3"/>
  <c r="BN3287" i="3"/>
  <c r="BN3027" i="3"/>
  <c r="BN3021" i="3"/>
  <c r="BN2925" i="3"/>
  <c r="BN3207" i="3"/>
  <c r="BN3014" i="3"/>
  <c r="BN3008" i="3"/>
  <c r="BN2959" i="3"/>
  <c r="BN3165" i="3"/>
  <c r="BN3007" i="3"/>
  <c r="BN2919" i="3"/>
  <c r="EM31" i="3"/>
  <c r="EM32" i="3"/>
  <c r="EM30" i="3"/>
  <c r="EM29" i="3"/>
  <c r="CB11" i="3"/>
  <c r="CB9" i="3"/>
  <c r="CB12" i="3"/>
  <c r="CB10" i="3"/>
  <c r="CB6" i="3"/>
  <c r="CB5" i="3"/>
  <c r="CB8" i="3"/>
  <c r="CB7" i="3"/>
  <c r="EU7" i="3"/>
  <c r="BN3855" i="3"/>
  <c r="BN3839" i="3"/>
  <c r="BN3823" i="3"/>
  <c r="BN3807" i="3"/>
  <c r="BN3791" i="3"/>
  <c r="BN3775" i="3"/>
  <c r="BN3759" i="3"/>
  <c r="BN3743" i="3"/>
  <c r="BN3727" i="3"/>
  <c r="BN3711" i="3"/>
  <c r="BN3695" i="3"/>
  <c r="BN3679" i="3"/>
  <c r="BN3663" i="3"/>
  <c r="BN3647" i="3"/>
  <c r="BN3631" i="3"/>
  <c r="BN3615" i="3"/>
  <c r="BN3599" i="3"/>
  <c r="BN3583" i="3"/>
  <c r="BN3567" i="3"/>
  <c r="BN3849" i="3"/>
  <c r="BN3833" i="3"/>
  <c r="BN3817" i="3"/>
  <c r="BN3801" i="3"/>
  <c r="BN3785" i="3"/>
  <c r="BN3769" i="3"/>
  <c r="BN3753" i="3"/>
  <c r="BN3737" i="3"/>
  <c r="BN3721" i="3"/>
  <c r="BN3705" i="3"/>
  <c r="BN3689" i="3"/>
  <c r="BN3673" i="3"/>
  <c r="BN3657" i="3"/>
  <c r="BN3641" i="3"/>
  <c r="BN3625" i="3"/>
  <c r="BN3609" i="3"/>
  <c r="BN3593" i="3"/>
  <c r="BN3854" i="3"/>
  <c r="BN3838" i="3"/>
  <c r="BN3822" i="3"/>
  <c r="BN3806" i="3"/>
  <c r="BN3790" i="3"/>
  <c r="BN3774" i="3"/>
  <c r="BN3758" i="3"/>
  <c r="BN3742" i="3"/>
  <c r="BN3726" i="3"/>
  <c r="BN3710" i="3"/>
  <c r="BN3694" i="3"/>
  <c r="BN3678" i="3"/>
  <c r="BN3662" i="3"/>
  <c r="BN3646" i="3"/>
  <c r="BN3843" i="3"/>
  <c r="BN3827" i="3"/>
  <c r="BN3811" i="3"/>
  <c r="BN3795" i="3"/>
  <c r="BN3779" i="3"/>
  <c r="BN3763" i="3"/>
  <c r="BN3747" i="3"/>
  <c r="BN3731" i="3"/>
  <c r="BN3715" i="3"/>
  <c r="BN3699" i="3"/>
  <c r="BN3683" i="3"/>
  <c r="BN3667" i="3"/>
  <c r="BN3848" i="3"/>
  <c r="BN3832" i="3"/>
  <c r="BN3816" i="3"/>
  <c r="BN3800" i="3"/>
  <c r="BN3784" i="3"/>
  <c r="BN3768" i="3"/>
  <c r="BN3752" i="3"/>
  <c r="BN3736" i="3"/>
  <c r="BN3720" i="3"/>
  <c r="BN3704" i="3"/>
  <c r="BN3688" i="3"/>
  <c r="BN3672" i="3"/>
  <c r="BN3656" i="3"/>
  <c r="BN3640" i="3"/>
  <c r="BN3624" i="3"/>
  <c r="BN3608" i="3"/>
  <c r="BN3592" i="3"/>
  <c r="BN3576" i="3"/>
  <c r="BN3853" i="3"/>
  <c r="BN3837" i="3"/>
  <c r="BN3821" i="3"/>
  <c r="BN3805" i="3"/>
  <c r="BN3789" i="3"/>
  <c r="BN3773" i="3"/>
  <c r="BN3757" i="3"/>
  <c r="BN3741" i="3"/>
  <c r="BN3858" i="3"/>
  <c r="BN3842" i="3"/>
  <c r="BN3826" i="3"/>
  <c r="BN3810" i="3"/>
  <c r="BN3794" i="3"/>
  <c r="BN3847" i="3"/>
  <c r="BN3831" i="3"/>
  <c r="BN3815" i="3"/>
  <c r="BN3799" i="3"/>
  <c r="BN3783" i="3"/>
  <c r="BN3767" i="3"/>
  <c r="BN3751" i="3"/>
  <c r="BN3735" i="3"/>
  <c r="BN3852" i="3"/>
  <c r="BN3836" i="3"/>
  <c r="BN3820" i="3"/>
  <c r="BN3804" i="3"/>
  <c r="BN3788" i="3"/>
  <c r="BN3772" i="3"/>
  <c r="BN3756" i="3"/>
  <c r="BN3740" i="3"/>
  <c r="BN3724" i="3"/>
  <c r="BN3857" i="3"/>
  <c r="BN3841" i="3"/>
  <c r="BN3825" i="3"/>
  <c r="BN3809" i="3"/>
  <c r="BN3793" i="3"/>
  <c r="BN3777" i="3"/>
  <c r="BN3761" i="3"/>
  <c r="BN3845" i="3"/>
  <c r="BN3829" i="3"/>
  <c r="BN3798" i="3"/>
  <c r="BN3786" i="3"/>
  <c r="BN3760" i="3"/>
  <c r="BN3749" i="3"/>
  <c r="BN3728" i="3"/>
  <c r="BN3719" i="3"/>
  <c r="BN3703" i="3"/>
  <c r="BN3696" i="3"/>
  <c r="BN3635" i="3"/>
  <c r="BN3622" i="3"/>
  <c r="BN3602" i="3"/>
  <c r="BN3570" i="3"/>
  <c r="BN3548" i="3"/>
  <c r="BN3532" i="3"/>
  <c r="BN3516" i="3"/>
  <c r="BN3500" i="3"/>
  <c r="BN3484" i="3"/>
  <c r="BN3468" i="3"/>
  <c r="BN3452" i="3"/>
  <c r="BN3436" i="3"/>
  <c r="BN3420" i="3"/>
  <c r="BN3404" i="3"/>
  <c r="BN3388" i="3"/>
  <c r="BN3828" i="3"/>
  <c r="BN3813" i="3"/>
  <c r="BN3771" i="3"/>
  <c r="BN3738" i="3"/>
  <c r="BN3687" i="3"/>
  <c r="BN3680" i="3"/>
  <c r="BN3649" i="3"/>
  <c r="BN3628" i="3"/>
  <c r="BN3589" i="3"/>
  <c r="BN3582" i="3"/>
  <c r="BN3564" i="3"/>
  <c r="BN3553" i="3"/>
  <c r="BN3537" i="3"/>
  <c r="BN3521" i="3"/>
  <c r="BN3505" i="3"/>
  <c r="BN3489" i="3"/>
  <c r="BN3473" i="3"/>
  <c r="BN3457" i="3"/>
  <c r="BN3441" i="3"/>
  <c r="BN3425" i="3"/>
  <c r="BN3409" i="3"/>
  <c r="BN3393" i="3"/>
  <c r="BN3377" i="3"/>
  <c r="BN3844" i="3"/>
  <c r="BN3782" i="3"/>
  <c r="BN3748" i="3"/>
  <c r="BN3718" i="3"/>
  <c r="BN3671" i="3"/>
  <c r="BN3664" i="3"/>
  <c r="BN3642" i="3"/>
  <c r="BN3634" i="3"/>
  <c r="BN3595" i="3"/>
  <c r="BN3558" i="3"/>
  <c r="BN3542" i="3"/>
  <c r="BN3526" i="3"/>
  <c r="BN3510" i="3"/>
  <c r="BN3494" i="3"/>
  <c r="BN3478" i="3"/>
  <c r="BN3462" i="3"/>
  <c r="BN3446" i="3"/>
  <c r="BN3430" i="3"/>
  <c r="BN3414" i="3"/>
  <c r="BN3398" i="3"/>
  <c r="BN3382" i="3"/>
  <c r="BN3812" i="3"/>
  <c r="BN3797" i="3"/>
  <c r="BN3746" i="3"/>
  <c r="BN3709" i="3"/>
  <c r="BN3702" i="3"/>
  <c r="BN3655" i="3"/>
  <c r="BN3621" i="3"/>
  <c r="BN3614" i="3"/>
  <c r="BN3601" i="3"/>
  <c r="BN3588" i="3"/>
  <c r="BN3581" i="3"/>
  <c r="BN3575" i="3"/>
  <c r="BN3569" i="3"/>
  <c r="BN3547" i="3"/>
  <c r="BN3531" i="3"/>
  <c r="BN3515" i="3"/>
  <c r="BN3499" i="3"/>
  <c r="BN3483" i="3"/>
  <c r="BN3467" i="3"/>
  <c r="BN3451" i="3"/>
  <c r="BN3435" i="3"/>
  <c r="BN3419" i="3"/>
  <c r="BN3403" i="3"/>
  <c r="BN3387" i="3"/>
  <c r="BN3824" i="3"/>
  <c r="BN3770" i="3"/>
  <c r="BN3745" i="3"/>
  <c r="BN3725" i="3"/>
  <c r="BN3693" i="3"/>
  <c r="BN3686" i="3"/>
  <c r="BN3648" i="3"/>
  <c r="BN3627" i="3"/>
  <c r="BN3607" i="3"/>
  <c r="BN3563" i="3"/>
  <c r="BN3552" i="3"/>
  <c r="BN3536" i="3"/>
  <c r="BN3520" i="3"/>
  <c r="BN3504" i="3"/>
  <c r="BN3488" i="3"/>
  <c r="BN3472" i="3"/>
  <c r="BN3456" i="3"/>
  <c r="BN3440" i="3"/>
  <c r="BN3424" i="3"/>
  <c r="BN3408" i="3"/>
  <c r="BN3392" i="3"/>
  <c r="BN3840" i="3"/>
  <c r="BN3796" i="3"/>
  <c r="BN3781" i="3"/>
  <c r="BN3734" i="3"/>
  <c r="BN3717" i="3"/>
  <c r="BN3677" i="3"/>
  <c r="BN3670" i="3"/>
  <c r="BN3633" i="3"/>
  <c r="BN3620" i="3"/>
  <c r="BN3613" i="3"/>
  <c r="BN3594" i="3"/>
  <c r="BN3587" i="3"/>
  <c r="BN3557" i="3"/>
  <c r="BN3541" i="3"/>
  <c r="BN3525" i="3"/>
  <c r="BN3509" i="3"/>
  <c r="BN3493" i="3"/>
  <c r="BN3477" i="3"/>
  <c r="BN3461" i="3"/>
  <c r="BN3445" i="3"/>
  <c r="BN3429" i="3"/>
  <c r="BN3413" i="3"/>
  <c r="BN3397" i="3"/>
  <c r="BN3381" i="3"/>
  <c r="BN3856" i="3"/>
  <c r="BN3808" i="3"/>
  <c r="BN3755" i="3"/>
  <c r="BN3708" i="3"/>
  <c r="BN3701" i="3"/>
  <c r="BN3661" i="3"/>
  <c r="BN3654" i="3"/>
  <c r="BN3600" i="3"/>
  <c r="BN3580" i="3"/>
  <c r="BN3574" i="3"/>
  <c r="BN3568" i="3"/>
  <c r="BN3546" i="3"/>
  <c r="BN3530" i="3"/>
  <c r="BN3514" i="3"/>
  <c r="BN3498" i="3"/>
  <c r="BN3482" i="3"/>
  <c r="BN3466" i="3"/>
  <c r="BN3450" i="3"/>
  <c r="BN3434" i="3"/>
  <c r="BN3418" i="3"/>
  <c r="BN3402" i="3"/>
  <c r="BN3386" i="3"/>
  <c r="BN3780" i="3"/>
  <c r="BN3766" i="3"/>
  <c r="BN3744" i="3"/>
  <c r="BN3716" i="3"/>
  <c r="BN3692" i="3"/>
  <c r="BN3685" i="3"/>
  <c r="BN3639" i="3"/>
  <c r="BN3626" i="3"/>
  <c r="BN3619" i="3"/>
  <c r="BN3606" i="3"/>
  <c r="BN3586" i="3"/>
  <c r="BN3562" i="3"/>
  <c r="BN3551" i="3"/>
  <c r="BN3535" i="3"/>
  <c r="BN3519" i="3"/>
  <c r="BN3503" i="3"/>
  <c r="BN3487" i="3"/>
  <c r="BN3471" i="3"/>
  <c r="BN3455" i="3"/>
  <c r="BN3439" i="3"/>
  <c r="BN3423" i="3"/>
  <c r="BN3407" i="3"/>
  <c r="BN3391" i="3"/>
  <c r="BN3792" i="3"/>
  <c r="BN3778" i="3"/>
  <c r="BN3733" i="3"/>
  <c r="BN3700" i="3"/>
  <c r="BN3676" i="3"/>
  <c r="BN3669" i="3"/>
  <c r="BN3632" i="3"/>
  <c r="BN3612" i="3"/>
  <c r="BN3556" i="3"/>
  <c r="BN3540" i="3"/>
  <c r="BN3524" i="3"/>
  <c r="BN3508" i="3"/>
  <c r="BN3492" i="3"/>
  <c r="BN3476" i="3"/>
  <c r="BN3460" i="3"/>
  <c r="BN3444" i="3"/>
  <c r="BN3428" i="3"/>
  <c r="BN3412" i="3"/>
  <c r="BN3396" i="3"/>
  <c r="BN3380" i="3"/>
  <c r="BN3835" i="3"/>
  <c r="BN3819" i="3"/>
  <c r="BN3754" i="3"/>
  <c r="BN3723" i="3"/>
  <c r="BN3714" i="3"/>
  <c r="BN3707" i="3"/>
  <c r="BN3684" i="3"/>
  <c r="BN3660" i="3"/>
  <c r="BN3653" i="3"/>
  <c r="BN3645" i="3"/>
  <c r="BN3618" i="3"/>
  <c r="BN3579" i="3"/>
  <c r="BN3573" i="3"/>
  <c r="BN3561" i="3"/>
  <c r="BN3545" i="3"/>
  <c r="BN3529" i="3"/>
  <c r="BN3513" i="3"/>
  <c r="BN3497" i="3"/>
  <c r="BN3481" i="3"/>
  <c r="BN3465" i="3"/>
  <c r="BN3449" i="3"/>
  <c r="BN3433" i="3"/>
  <c r="BN3417" i="3"/>
  <c r="BN3401" i="3"/>
  <c r="BN3385" i="3"/>
  <c r="BN3851" i="3"/>
  <c r="BN3765" i="3"/>
  <c r="BN3732" i="3"/>
  <c r="BN3698" i="3"/>
  <c r="BN3691" i="3"/>
  <c r="BN3668" i="3"/>
  <c r="BN3638" i="3"/>
  <c r="BN3605" i="3"/>
  <c r="BN3598" i="3"/>
  <c r="BN3585" i="3"/>
  <c r="BN3550" i="3"/>
  <c r="BN3534" i="3"/>
  <c r="BN3518" i="3"/>
  <c r="BN3502" i="3"/>
  <c r="BN3486" i="3"/>
  <c r="BN3470" i="3"/>
  <c r="BN3454" i="3"/>
  <c r="BN3438" i="3"/>
  <c r="BN3422" i="3"/>
  <c r="BN3406" i="3"/>
  <c r="BN3390" i="3"/>
  <c r="BN3834" i="3"/>
  <c r="BN3803" i="3"/>
  <c r="BN3776" i="3"/>
  <c r="BN3682" i="3"/>
  <c r="BN3675" i="3"/>
  <c r="BN3652" i="3"/>
  <c r="BN3611" i="3"/>
  <c r="BN3591" i="3"/>
  <c r="BN3572" i="3"/>
  <c r="BN3566" i="3"/>
  <c r="BN3555" i="3"/>
  <c r="BN3539" i="3"/>
  <c r="BN3523" i="3"/>
  <c r="BN3507" i="3"/>
  <c r="BN3491" i="3"/>
  <c r="BN3475" i="3"/>
  <c r="BN3459" i="3"/>
  <c r="BN3443" i="3"/>
  <c r="BN3427" i="3"/>
  <c r="BN3411" i="3"/>
  <c r="BN3395" i="3"/>
  <c r="BN3379" i="3"/>
  <c r="BN3850" i="3"/>
  <c r="BN3818" i="3"/>
  <c r="BN3764" i="3"/>
  <c r="BN3730" i="3"/>
  <c r="BN3722" i="3"/>
  <c r="BN3713" i="3"/>
  <c r="BN3706" i="3"/>
  <c r="BN3666" i="3"/>
  <c r="BN3659" i="3"/>
  <c r="BN3651" i="3"/>
  <c r="BN3644" i="3"/>
  <c r="BN3630" i="3"/>
  <c r="BN3617" i="3"/>
  <c r="BN3604" i="3"/>
  <c r="BN3597" i="3"/>
  <c r="BN3578" i="3"/>
  <c r="BN3560" i="3"/>
  <c r="BN3544" i="3"/>
  <c r="BN3528" i="3"/>
  <c r="BN3512" i="3"/>
  <c r="BN3496" i="3"/>
  <c r="BN3480" i="3"/>
  <c r="BN3464" i="3"/>
  <c r="BN3448" i="3"/>
  <c r="BN3432" i="3"/>
  <c r="BN3416" i="3"/>
  <c r="BN3400" i="3"/>
  <c r="BN3384" i="3"/>
  <c r="BN3846" i="3"/>
  <c r="BN3814" i="3"/>
  <c r="BN3802" i="3"/>
  <c r="BN3739" i="3"/>
  <c r="BN3681" i="3"/>
  <c r="BN3674" i="3"/>
  <c r="BN3650" i="3"/>
  <c r="BN3629" i="3"/>
  <c r="BN3610" i="3"/>
  <c r="BN3603" i="3"/>
  <c r="BN3590" i="3"/>
  <c r="BN3577" i="3"/>
  <c r="BN3571" i="3"/>
  <c r="BN3565" i="3"/>
  <c r="BN3554" i="3"/>
  <c r="BN3538" i="3"/>
  <c r="BN3522" i="3"/>
  <c r="BN3506" i="3"/>
  <c r="BN3490" i="3"/>
  <c r="BN3474" i="3"/>
  <c r="BN3458" i="3"/>
  <c r="BN3442" i="3"/>
  <c r="BN3426" i="3"/>
  <c r="BN3410" i="3"/>
  <c r="BN3394" i="3"/>
  <c r="BN3378" i="3"/>
  <c r="BN3697" i="3"/>
  <c r="BN3637" i="3"/>
  <c r="BN3584" i="3"/>
  <c r="BN3453" i="3"/>
  <c r="BN3636" i="3"/>
  <c r="BN3495" i="3"/>
  <c r="BN3762" i="3"/>
  <c r="BN3690" i="3"/>
  <c r="BN3533" i="3"/>
  <c r="BN3405" i="3"/>
  <c r="BN3447" i="3"/>
  <c r="BN3750" i="3"/>
  <c r="BN3623" i="3"/>
  <c r="BN3485" i="3"/>
  <c r="BN3527" i="3"/>
  <c r="BN3399" i="3"/>
  <c r="BN3437" i="3"/>
  <c r="BN3616" i="3"/>
  <c r="BN3479" i="3"/>
  <c r="BN3830" i="3"/>
  <c r="BN3729" i="3"/>
  <c r="BN3517" i="3"/>
  <c r="BN3389" i="3"/>
  <c r="BN3665" i="3"/>
  <c r="BN3559" i="3"/>
  <c r="BN3431" i="3"/>
  <c r="BN3469" i="3"/>
  <c r="BN3658" i="3"/>
  <c r="BN3511" i="3"/>
  <c r="BN3383" i="3"/>
  <c r="BN3549" i="3"/>
  <c r="BN3421" i="3"/>
  <c r="BN3787" i="3"/>
  <c r="BN3501" i="3"/>
  <c r="BN3463" i="3"/>
  <c r="BN3415" i="3"/>
  <c r="BN3712" i="3"/>
  <c r="BN3643" i="3"/>
  <c r="BN3596" i="3"/>
  <c r="BN3543" i="3"/>
  <c r="EM35" i="3"/>
  <c r="EM34" i="3"/>
  <c r="EM33" i="3"/>
  <c r="EM36" i="3"/>
  <c r="EU12" i="3"/>
  <c r="EU11" i="3"/>
  <c r="BY14" i="3"/>
  <c r="BY15" i="3"/>
  <c r="BY7" i="3"/>
  <c r="EU6" i="3"/>
  <c r="BY10" i="3"/>
  <c r="BN4817" i="3"/>
  <c r="BN4801" i="3"/>
  <c r="BN4785" i="3"/>
  <c r="BN4769" i="3"/>
  <c r="BN4753" i="3"/>
  <c r="BN4737" i="3"/>
  <c r="BN4721" i="3"/>
  <c r="BN4705" i="3"/>
  <c r="BN4689" i="3"/>
  <c r="BN4673" i="3"/>
  <c r="BN4657" i="3"/>
  <c r="BN4641" i="3"/>
  <c r="BN4625" i="3"/>
  <c r="BN4609" i="3"/>
  <c r="BN4593" i="3"/>
  <c r="BN4577" i="3"/>
  <c r="BN4561" i="3"/>
  <c r="BN4545" i="3"/>
  <c r="BN4529" i="3"/>
  <c r="BN4513" i="3"/>
  <c r="BN4497" i="3"/>
  <c r="BN4481" i="3"/>
  <c r="BN4465" i="3"/>
  <c r="BN4449" i="3"/>
  <c r="BN4433" i="3"/>
  <c r="BN4417" i="3"/>
  <c r="BN4401" i="3"/>
  <c r="BN4385" i="3"/>
  <c r="BN4822" i="3"/>
  <c r="BN4806" i="3"/>
  <c r="BN4790" i="3"/>
  <c r="BN4774" i="3"/>
  <c r="BN4758" i="3"/>
  <c r="BN4742" i="3"/>
  <c r="BN4726" i="3"/>
  <c r="BN4710" i="3"/>
  <c r="BN4694" i="3"/>
  <c r="BN4678" i="3"/>
  <c r="BN4662" i="3"/>
  <c r="BN4646" i="3"/>
  <c r="BN4630" i="3"/>
  <c r="BN4614" i="3"/>
  <c r="BN4598" i="3"/>
  <c r="BN4582" i="3"/>
  <c r="BN4566" i="3"/>
  <c r="BN4550" i="3"/>
  <c r="BN4534" i="3"/>
  <c r="BN4518" i="3"/>
  <c r="BN4502" i="3"/>
  <c r="BN4486" i="3"/>
  <c r="BN4470" i="3"/>
  <c r="BN4454" i="3"/>
  <c r="BN4438" i="3"/>
  <c r="BN4422" i="3"/>
  <c r="BN4406" i="3"/>
  <c r="BN4390" i="3"/>
  <c r="BN4374" i="3"/>
  <c r="BN4811" i="3"/>
  <c r="BN4795" i="3"/>
  <c r="BN4779" i="3"/>
  <c r="BN4763" i="3"/>
  <c r="BN4747" i="3"/>
  <c r="BN4731" i="3"/>
  <c r="BN4715" i="3"/>
  <c r="BN4699" i="3"/>
  <c r="BN4683" i="3"/>
  <c r="BN4667" i="3"/>
  <c r="BN4651" i="3"/>
  <c r="BN4635" i="3"/>
  <c r="BN4619" i="3"/>
  <c r="BN4603" i="3"/>
  <c r="BN4587" i="3"/>
  <c r="BN4571" i="3"/>
  <c r="BN4555" i="3"/>
  <c r="BN4539" i="3"/>
  <c r="BN4523" i="3"/>
  <c r="BN4507" i="3"/>
  <c r="BN4491" i="3"/>
  <c r="BN4475" i="3"/>
  <c r="BN4459" i="3"/>
  <c r="BN4443" i="3"/>
  <c r="BN4427" i="3"/>
  <c r="BN4411" i="3"/>
  <c r="BN4395" i="3"/>
  <c r="BN4379" i="3"/>
  <c r="BN4816" i="3"/>
  <c r="BN4800" i="3"/>
  <c r="BN4784" i="3"/>
  <c r="BN4768" i="3"/>
  <c r="BN4752" i="3"/>
  <c r="BN4736" i="3"/>
  <c r="BN4720" i="3"/>
  <c r="BN4704" i="3"/>
  <c r="BN4688" i="3"/>
  <c r="BN4672" i="3"/>
  <c r="BN4656" i="3"/>
  <c r="BN4640" i="3"/>
  <c r="BN4624" i="3"/>
  <c r="BN4608" i="3"/>
  <c r="BN4592" i="3"/>
  <c r="BN4576" i="3"/>
  <c r="BN4560" i="3"/>
  <c r="BN4544" i="3"/>
  <c r="BN4528" i="3"/>
  <c r="BN4512" i="3"/>
  <c r="BN4496" i="3"/>
  <c r="BN4480" i="3"/>
  <c r="BN4464" i="3"/>
  <c r="BN4448" i="3"/>
  <c r="BN4432" i="3"/>
  <c r="BN4416" i="3"/>
  <c r="BN4400" i="3"/>
  <c r="BN4384" i="3"/>
  <c r="BN4821" i="3"/>
  <c r="BN4805" i="3"/>
  <c r="BN4789" i="3"/>
  <c r="BN4773" i="3"/>
  <c r="BN4757" i="3"/>
  <c r="BN4741" i="3"/>
  <c r="BN4725" i="3"/>
  <c r="BN4709" i="3"/>
  <c r="BN4693" i="3"/>
  <c r="BN4677" i="3"/>
  <c r="BN4661" i="3"/>
  <c r="BN4645" i="3"/>
  <c r="BN4629" i="3"/>
  <c r="BN4613" i="3"/>
  <c r="BN4597" i="3"/>
  <c r="BN4581" i="3"/>
  <c r="BN4565" i="3"/>
  <c r="BN4549" i="3"/>
  <c r="BN4533" i="3"/>
  <c r="BN4517" i="3"/>
  <c r="BN4501" i="3"/>
  <c r="BN4485" i="3"/>
  <c r="BN4469" i="3"/>
  <c r="BN4453" i="3"/>
  <c r="BN4437" i="3"/>
  <c r="BN4421" i="3"/>
  <c r="BN4405" i="3"/>
  <c r="BN4389" i="3"/>
  <c r="BN4373" i="3"/>
  <c r="BN4810" i="3"/>
  <c r="BN4794" i="3"/>
  <c r="BN4778" i="3"/>
  <c r="BN4762" i="3"/>
  <c r="BN4746" i="3"/>
  <c r="BN4730" i="3"/>
  <c r="BN4714" i="3"/>
  <c r="BN4698" i="3"/>
  <c r="BN4682" i="3"/>
  <c r="BN4666" i="3"/>
  <c r="BN4650" i="3"/>
  <c r="BN4634" i="3"/>
  <c r="BN4618" i="3"/>
  <c r="BN4602" i="3"/>
  <c r="BN4586" i="3"/>
  <c r="BN4570" i="3"/>
  <c r="BN4554" i="3"/>
  <c r="BN4538" i="3"/>
  <c r="BN4522" i="3"/>
  <c r="BN4506" i="3"/>
  <c r="BN4490" i="3"/>
  <c r="BN4474" i="3"/>
  <c r="BN4458" i="3"/>
  <c r="BN4442" i="3"/>
  <c r="BN4426" i="3"/>
  <c r="BN4410" i="3"/>
  <c r="BN4394" i="3"/>
  <c r="BN4378" i="3"/>
  <c r="BN4815" i="3"/>
  <c r="BN4799" i="3"/>
  <c r="BN4783" i="3"/>
  <c r="BN4767" i="3"/>
  <c r="BN4751" i="3"/>
  <c r="BN4735" i="3"/>
  <c r="BN4719" i="3"/>
  <c r="BN4703" i="3"/>
  <c r="BN4687" i="3"/>
  <c r="BN4671" i="3"/>
  <c r="BN4655" i="3"/>
  <c r="BN4639" i="3"/>
  <c r="BN4623" i="3"/>
  <c r="BN4607" i="3"/>
  <c r="BN4591" i="3"/>
  <c r="BN4575" i="3"/>
  <c r="BN4559" i="3"/>
  <c r="BN4543" i="3"/>
  <c r="BN4527" i="3"/>
  <c r="BN4511" i="3"/>
  <c r="BN4495" i="3"/>
  <c r="BN4479" i="3"/>
  <c r="BN4463" i="3"/>
  <c r="BN4447" i="3"/>
  <c r="BN4431" i="3"/>
  <c r="BN4415" i="3"/>
  <c r="BN4399" i="3"/>
  <c r="BN4383" i="3"/>
  <c r="BN4820" i="3"/>
  <c r="BN4804" i="3"/>
  <c r="BN4788" i="3"/>
  <c r="BN4772" i="3"/>
  <c r="BN4756" i="3"/>
  <c r="BN4740" i="3"/>
  <c r="BN4724" i="3"/>
  <c r="BN4708" i="3"/>
  <c r="BN4692" i="3"/>
  <c r="BN4676" i="3"/>
  <c r="BN4660" i="3"/>
  <c r="BN4644" i="3"/>
  <c r="BN4628" i="3"/>
  <c r="BN4612" i="3"/>
  <c r="BN4596" i="3"/>
  <c r="BN4580" i="3"/>
  <c r="BN4564" i="3"/>
  <c r="BN4548" i="3"/>
  <c r="BN4532" i="3"/>
  <c r="BN4516" i="3"/>
  <c r="BN4500" i="3"/>
  <c r="BN4484" i="3"/>
  <c r="BN4468" i="3"/>
  <c r="BN4452" i="3"/>
  <c r="BN4436" i="3"/>
  <c r="BN4420" i="3"/>
  <c r="BN4404" i="3"/>
  <c r="BN4388" i="3"/>
  <c r="BN4372" i="3"/>
  <c r="BN4809" i="3"/>
  <c r="BN4793" i="3"/>
  <c r="BN4777" i="3"/>
  <c r="BN4761" i="3"/>
  <c r="BN4745" i="3"/>
  <c r="BN4729" i="3"/>
  <c r="BN4713" i="3"/>
  <c r="BN4697" i="3"/>
  <c r="BN4681" i="3"/>
  <c r="BN4665" i="3"/>
  <c r="BN4649" i="3"/>
  <c r="BN4633" i="3"/>
  <c r="BN4617" i="3"/>
  <c r="BN4601" i="3"/>
  <c r="BN4585" i="3"/>
  <c r="BN4569" i="3"/>
  <c r="BN4553" i="3"/>
  <c r="BN4537" i="3"/>
  <c r="BN4521" i="3"/>
  <c r="BN4505" i="3"/>
  <c r="BN4489" i="3"/>
  <c r="BN4473" i="3"/>
  <c r="BN4457" i="3"/>
  <c r="BN4441" i="3"/>
  <c r="BN4425" i="3"/>
  <c r="BN4409" i="3"/>
  <c r="BN4393" i="3"/>
  <c r="BN4377" i="3"/>
  <c r="BN4814" i="3"/>
  <c r="BN4798" i="3"/>
  <c r="BN4782" i="3"/>
  <c r="BN4766" i="3"/>
  <c r="BN4750" i="3"/>
  <c r="BN4734" i="3"/>
  <c r="BN4718" i="3"/>
  <c r="BN4702" i="3"/>
  <c r="BN4686" i="3"/>
  <c r="BN4670" i="3"/>
  <c r="BN4654" i="3"/>
  <c r="BN4638" i="3"/>
  <c r="BN4622" i="3"/>
  <c r="BN4606" i="3"/>
  <c r="BN4590" i="3"/>
  <c r="BN4574" i="3"/>
  <c r="BN4558" i="3"/>
  <c r="BN4542" i="3"/>
  <c r="BN4526" i="3"/>
  <c r="BN4510" i="3"/>
  <c r="BN4494" i="3"/>
  <c r="BN4478" i="3"/>
  <c r="BN4462" i="3"/>
  <c r="BN4446" i="3"/>
  <c r="BN4430" i="3"/>
  <c r="BN4414" i="3"/>
  <c r="BN4398" i="3"/>
  <c r="BN4382" i="3"/>
  <c r="BN4819" i="3"/>
  <c r="BN4803" i="3"/>
  <c r="BN4787" i="3"/>
  <c r="BN4771" i="3"/>
  <c r="BN4755" i="3"/>
  <c r="BN4739" i="3"/>
  <c r="BN4723" i="3"/>
  <c r="BN4707" i="3"/>
  <c r="BN4691" i="3"/>
  <c r="BN4675" i="3"/>
  <c r="BN4659" i="3"/>
  <c r="BN4643" i="3"/>
  <c r="BN4627" i="3"/>
  <c r="BN4611" i="3"/>
  <c r="BN4595" i="3"/>
  <c r="BN4579" i="3"/>
  <c r="BN4563" i="3"/>
  <c r="BN4547" i="3"/>
  <c r="BN4531" i="3"/>
  <c r="BN4515" i="3"/>
  <c r="BN4499" i="3"/>
  <c r="BN4483" i="3"/>
  <c r="BN4467" i="3"/>
  <c r="BN4451" i="3"/>
  <c r="BN4435" i="3"/>
  <c r="BN4419" i="3"/>
  <c r="BN4403" i="3"/>
  <c r="BN4387" i="3"/>
  <c r="BN4371" i="3"/>
  <c r="BN4808" i="3"/>
  <c r="BN4792" i="3"/>
  <c r="BN4776" i="3"/>
  <c r="BN4760" i="3"/>
  <c r="BN4744" i="3"/>
  <c r="BN4728" i="3"/>
  <c r="BN4712" i="3"/>
  <c r="BN4696" i="3"/>
  <c r="BN4680" i="3"/>
  <c r="BN4664" i="3"/>
  <c r="BN4648" i="3"/>
  <c r="BN4632" i="3"/>
  <c r="BN4616" i="3"/>
  <c r="BN4600" i="3"/>
  <c r="BN4584" i="3"/>
  <c r="BN4568" i="3"/>
  <c r="BN4552" i="3"/>
  <c r="BN4536" i="3"/>
  <c r="BN4520" i="3"/>
  <c r="BN4504" i="3"/>
  <c r="BN4488" i="3"/>
  <c r="BN4472" i="3"/>
  <c r="BN4456" i="3"/>
  <c r="BN4440" i="3"/>
  <c r="BN4424" i="3"/>
  <c r="BN4408" i="3"/>
  <c r="BN4392" i="3"/>
  <c r="BN4376" i="3"/>
  <c r="BN4807" i="3"/>
  <c r="BN4791" i="3"/>
  <c r="BN4775" i="3"/>
  <c r="BN4759" i="3"/>
  <c r="BN4743" i="3"/>
  <c r="BN4727" i="3"/>
  <c r="BN4711" i="3"/>
  <c r="BN4695" i="3"/>
  <c r="BN4679" i="3"/>
  <c r="BN4663" i="3"/>
  <c r="BN4647" i="3"/>
  <c r="BN4631" i="3"/>
  <c r="BN4615" i="3"/>
  <c r="BN4599" i="3"/>
  <c r="BN4583" i="3"/>
  <c r="BN4567" i="3"/>
  <c r="BN4551" i="3"/>
  <c r="BN4535" i="3"/>
  <c r="BN4519" i="3"/>
  <c r="BN4503" i="3"/>
  <c r="BN4487" i="3"/>
  <c r="BN4471" i="3"/>
  <c r="BN4455" i="3"/>
  <c r="BN4439" i="3"/>
  <c r="BN4423" i="3"/>
  <c r="BN4407" i="3"/>
  <c r="BN4391" i="3"/>
  <c r="BN4375" i="3"/>
  <c r="BN4812" i="3"/>
  <c r="BN4796" i="3"/>
  <c r="BN4780" i="3"/>
  <c r="BN4764" i="3"/>
  <c r="BN4748" i="3"/>
  <c r="BN4732" i="3"/>
  <c r="BN4716" i="3"/>
  <c r="BN4700" i="3"/>
  <c r="BN4684" i="3"/>
  <c r="BN4668" i="3"/>
  <c r="BN4652" i="3"/>
  <c r="BN4636" i="3"/>
  <c r="BN4620" i="3"/>
  <c r="BN4604" i="3"/>
  <c r="BN4588" i="3"/>
  <c r="BN4572" i="3"/>
  <c r="BN4556" i="3"/>
  <c r="BN4540" i="3"/>
  <c r="BN4524" i="3"/>
  <c r="BN4508" i="3"/>
  <c r="BN4492" i="3"/>
  <c r="BN4476" i="3"/>
  <c r="BN4460" i="3"/>
  <c r="BN4444" i="3"/>
  <c r="BN4428" i="3"/>
  <c r="BN4412" i="3"/>
  <c r="BN4396" i="3"/>
  <c r="BN4380" i="3"/>
  <c r="BN4733" i="3"/>
  <c r="BN4605" i="3"/>
  <c r="BN4477" i="3"/>
  <c r="BN4367" i="3"/>
  <c r="BN4351" i="3"/>
  <c r="BN4818" i="3"/>
  <c r="BN4690" i="3"/>
  <c r="BN4562" i="3"/>
  <c r="BN4434" i="3"/>
  <c r="BN4356" i="3"/>
  <c r="BN4813" i="3"/>
  <c r="BN4685" i="3"/>
  <c r="BN4557" i="3"/>
  <c r="BN4429" i="3"/>
  <c r="BN4361" i="3"/>
  <c r="BN4345" i="3"/>
  <c r="BN4770" i="3"/>
  <c r="BN4642" i="3"/>
  <c r="BN4514" i="3"/>
  <c r="BN4386" i="3"/>
  <c r="BN4366" i="3"/>
  <c r="BN4350" i="3"/>
  <c r="BN4765" i="3"/>
  <c r="BN4637" i="3"/>
  <c r="BN4509" i="3"/>
  <c r="BN4381" i="3"/>
  <c r="BN4355" i="3"/>
  <c r="BN4722" i="3"/>
  <c r="BN4594" i="3"/>
  <c r="BN4466" i="3"/>
  <c r="BN4360" i="3"/>
  <c r="BN4344" i="3"/>
  <c r="BN4717" i="3"/>
  <c r="BN4589" i="3"/>
  <c r="BN4461" i="3"/>
  <c r="BN4365" i="3"/>
  <c r="BN4349" i="3"/>
  <c r="BN4802" i="3"/>
  <c r="BN4674" i="3"/>
  <c r="BN4546" i="3"/>
  <c r="BN4418" i="3"/>
  <c r="BN4354" i="3"/>
  <c r="BN4797" i="3"/>
  <c r="BN4669" i="3"/>
  <c r="BN4541" i="3"/>
  <c r="BN4413" i="3"/>
  <c r="BN4359" i="3"/>
  <c r="BN4343" i="3"/>
  <c r="BN4754" i="3"/>
  <c r="BN4626" i="3"/>
  <c r="BN4498" i="3"/>
  <c r="BN4370" i="3"/>
  <c r="BN4364" i="3"/>
  <c r="BN4348" i="3"/>
  <c r="BN4749" i="3"/>
  <c r="BN4621" i="3"/>
  <c r="BN4493" i="3"/>
  <c r="BN4369" i="3"/>
  <c r="BN4353" i="3"/>
  <c r="BN4701" i="3"/>
  <c r="BN4573" i="3"/>
  <c r="BN4445" i="3"/>
  <c r="BN4363" i="3"/>
  <c r="BN4347" i="3"/>
  <c r="BN4781" i="3"/>
  <c r="BN4653" i="3"/>
  <c r="BN4525" i="3"/>
  <c r="BN4397" i="3"/>
  <c r="BN4357" i="3"/>
  <c r="BN4341" i="3"/>
  <c r="BN4738" i="3"/>
  <c r="BN4610" i="3"/>
  <c r="BN4482" i="3"/>
  <c r="BN4362" i="3"/>
  <c r="BN4346" i="3"/>
  <c r="BN4450" i="3"/>
  <c r="BN4786" i="3"/>
  <c r="BN4402" i="3"/>
  <c r="BN4706" i="3"/>
  <c r="BN4368" i="3"/>
  <c r="BN4658" i="3"/>
  <c r="BN4358" i="3"/>
  <c r="BN4578" i="3"/>
  <c r="BN4352" i="3"/>
  <c r="BN4342" i="3"/>
  <c r="BN4530" i="3"/>
  <c r="EM43" i="3"/>
  <c r="EM44" i="3"/>
  <c r="EM41" i="3"/>
  <c r="EM42" i="3"/>
  <c r="C262" i="1"/>
  <c r="C266" i="1"/>
  <c r="DX29" i="3"/>
  <c r="DX28" i="3"/>
  <c r="EH30" i="3"/>
  <c r="EH31" i="3"/>
  <c r="EG39" i="3"/>
  <c r="EG38" i="3"/>
  <c r="EG37" i="3"/>
  <c r="EG36" i="3"/>
  <c r="EG29" i="3"/>
  <c r="EH41" i="3"/>
  <c r="EH37" i="3"/>
  <c r="DX26" i="3"/>
  <c r="EE21" i="3"/>
  <c r="DX20" i="3"/>
  <c r="U20" i="3"/>
  <c r="EH18" i="3"/>
  <c r="DY10" i="3"/>
  <c r="EG18" i="3"/>
  <c r="ID14" i="3"/>
  <c r="DY12" i="3"/>
  <c r="DX10" i="3"/>
  <c r="EH9" i="3"/>
  <c r="DY27" i="3"/>
  <c r="DY25" i="3"/>
  <c r="DY23" i="3"/>
  <c r="U16" i="3"/>
  <c r="DY14" i="3"/>
  <c r="DX12" i="3"/>
  <c r="BR12" i="3"/>
  <c r="ID9" i="3"/>
  <c r="EG9" i="3"/>
  <c r="EH32" i="3"/>
  <c r="DX27" i="3"/>
  <c r="DX25" i="3"/>
  <c r="DX23" i="3"/>
  <c r="DY21" i="3"/>
  <c r="DY17" i="3"/>
  <c r="DX14" i="3"/>
  <c r="BR14" i="3"/>
  <c r="EH11" i="3"/>
  <c r="EG32" i="3"/>
  <c r="EH24" i="3"/>
  <c r="U23" i="3"/>
  <c r="DX21" i="3"/>
  <c r="EH19" i="3"/>
  <c r="DY18" i="3"/>
  <c r="DX17" i="3"/>
  <c r="EH13" i="3"/>
  <c r="EG11" i="3"/>
  <c r="EH38" i="3"/>
  <c r="EG24" i="3"/>
  <c r="U21" i="3"/>
  <c r="V21" i="3" s="1"/>
  <c r="EG19" i="3"/>
  <c r="DX18" i="3"/>
  <c r="EG13" i="3"/>
  <c r="U13" i="3"/>
  <c r="U11" i="3"/>
  <c r="U17" i="3"/>
  <c r="V17" i="3" s="1"/>
  <c r="ID11" i="3"/>
  <c r="EH35" i="3"/>
  <c r="EH22" i="3"/>
  <c r="EH16" i="3"/>
  <c r="EH15" i="3"/>
  <c r="U15" i="3"/>
  <c r="EH40" i="3"/>
  <c r="EG35" i="3"/>
  <c r="EH34" i="3"/>
  <c r="EG22" i="3"/>
  <c r="U18" i="3"/>
  <c r="EG16" i="3"/>
  <c r="EG15" i="3"/>
  <c r="EH10" i="3"/>
  <c r="U10" i="3"/>
  <c r="V10" i="3" s="1"/>
  <c r="EG40" i="3"/>
  <c r="EG34" i="3"/>
  <c r="EH33" i="3"/>
  <c r="EG30" i="3"/>
  <c r="EH29" i="3"/>
  <c r="EH26" i="3"/>
  <c r="DY11" i="3"/>
  <c r="EG10" i="3"/>
  <c r="EH36" i="3"/>
  <c r="EG33" i="3"/>
  <c r="EH28" i="3"/>
  <c r="EG26" i="3"/>
  <c r="DY24" i="3"/>
  <c r="U22" i="3"/>
  <c r="EH20" i="3"/>
  <c r="DY19" i="3"/>
  <c r="BR13" i="3"/>
  <c r="EG41" i="3"/>
  <c r="EG28" i="3"/>
  <c r="DX24" i="3"/>
  <c r="EG20" i="3"/>
  <c r="DX19" i="3"/>
  <c r="U19" i="3"/>
  <c r="V19" i="3" s="1"/>
  <c r="DY13" i="3"/>
  <c r="U12" i="3"/>
  <c r="EH39" i="3"/>
  <c r="EH27" i="3"/>
  <c r="EG25" i="3"/>
  <c r="EG23" i="3"/>
  <c r="DY22" i="3"/>
  <c r="EH21" i="3"/>
  <c r="EH17" i="3"/>
  <c r="DY16" i="3"/>
  <c r="DY15" i="3"/>
  <c r="EG14" i="3"/>
  <c r="EG12" i="3"/>
  <c r="EH25" i="3"/>
  <c r="EG17" i="3"/>
  <c r="EH6" i="3"/>
  <c r="DY29" i="3"/>
  <c r="U14" i="3"/>
  <c r="EH8" i="3"/>
  <c r="EG6" i="3"/>
  <c r="DX16" i="3"/>
  <c r="EG8" i="3"/>
  <c r="BR7" i="3"/>
  <c r="C337" i="1"/>
  <c r="EG31" i="3"/>
  <c r="BR9" i="3"/>
  <c r="EH7" i="3"/>
  <c r="EH5" i="3"/>
  <c r="DY26" i="3"/>
  <c r="DX15" i="3"/>
  <c r="EG7" i="3"/>
  <c r="BR6" i="3"/>
  <c r="ID5" i="3"/>
  <c r="EG5" i="3"/>
  <c r="DY20" i="3"/>
  <c r="EH12" i="3"/>
  <c r="ID8" i="3"/>
  <c r="U7" i="3"/>
  <c r="V7" i="3" s="1"/>
  <c r="EH14" i="3"/>
  <c r="EG27" i="3"/>
  <c r="BR11" i="3"/>
  <c r="DY8" i="3"/>
  <c r="DY6" i="3"/>
  <c r="AQ33" i="3"/>
  <c r="EG21" i="3"/>
  <c r="DX8" i="3"/>
  <c r="EP6" i="3"/>
  <c r="DX6" i="3"/>
  <c r="BR5" i="3"/>
  <c r="BR15" i="3"/>
  <c r="EO6" i="3"/>
  <c r="U6" i="3"/>
  <c r="V6" i="3" s="1"/>
  <c r="DY9" i="3"/>
  <c r="BR8" i="3"/>
  <c r="EH23" i="3"/>
  <c r="DX22" i="3"/>
  <c r="ID15" i="3"/>
  <c r="DX13" i="3"/>
  <c r="DX9" i="3"/>
  <c r="U9" i="3"/>
  <c r="V9" i="3" s="1"/>
  <c r="DY7" i="3"/>
  <c r="EP5" i="3"/>
  <c r="DY5" i="3"/>
  <c r="DY28" i="3"/>
  <c r="DX11" i="3"/>
  <c r="U8" i="3"/>
  <c r="V8" i="3" s="1"/>
  <c r="DX7" i="3"/>
  <c r="EO5" i="3"/>
  <c r="DX5" i="3"/>
  <c r="U5" i="3"/>
  <c r="V5" i="3" s="1"/>
  <c r="C321" i="1"/>
  <c r="H20" i="1"/>
  <c r="B19" i="2" s="1"/>
  <c r="C335" i="1"/>
  <c r="C333" i="1"/>
  <c r="C267" i="1"/>
  <c r="CB19" i="3"/>
  <c r="CB16" i="3"/>
  <c r="CB15" i="3"/>
  <c r="CB20" i="3"/>
  <c r="CB21" i="3"/>
  <c r="CB17" i="3"/>
  <c r="CB18" i="3"/>
  <c r="CB14" i="3"/>
  <c r="BY13" i="3"/>
  <c r="C518" i="1"/>
  <c r="BN2412" i="3"/>
  <c r="BN2396" i="3"/>
  <c r="BN2380" i="3"/>
  <c r="BN2364" i="3"/>
  <c r="BN2348" i="3"/>
  <c r="BN2332" i="3"/>
  <c r="BN2316" i="3"/>
  <c r="BN2300" i="3"/>
  <c r="BN2284" i="3"/>
  <c r="BN2268" i="3"/>
  <c r="BN2252" i="3"/>
  <c r="BN2401" i="3"/>
  <c r="BN2406" i="3"/>
  <c r="BN2390" i="3"/>
  <c r="BN2374" i="3"/>
  <c r="BN2358" i="3"/>
  <c r="BN2342" i="3"/>
  <c r="BN2326" i="3"/>
  <c r="BN2310" i="3"/>
  <c r="BN2294" i="3"/>
  <c r="BN2278" i="3"/>
  <c r="BN2400" i="3"/>
  <c r="BN2384" i="3"/>
  <c r="BN2368" i="3"/>
  <c r="BN2405" i="3"/>
  <c r="BN2389" i="3"/>
  <c r="BN2373" i="3"/>
  <c r="BN2398" i="3"/>
  <c r="BN2391" i="3"/>
  <c r="BN2376" i="3"/>
  <c r="BN2369" i="3"/>
  <c r="BN2362" i="3"/>
  <c r="BN2331" i="3"/>
  <c r="BN2325" i="3"/>
  <c r="BN2319" i="3"/>
  <c r="BN2313" i="3"/>
  <c r="BN2307" i="3"/>
  <c r="BN2301" i="3"/>
  <c r="BN2295" i="3"/>
  <c r="BN2253" i="3"/>
  <c r="BN2242" i="3"/>
  <c r="BN2226" i="3"/>
  <c r="BN2210" i="3"/>
  <c r="BN2194" i="3"/>
  <c r="BN2178" i="3"/>
  <c r="BN2162" i="3"/>
  <c r="BN2146" i="3"/>
  <c r="BN2130" i="3"/>
  <c r="BN2114" i="3"/>
  <c r="BN2098" i="3"/>
  <c r="BN2082" i="3"/>
  <c r="BN2066" i="3"/>
  <c r="BN2050" i="3"/>
  <c r="BN2034" i="3"/>
  <c r="BN2018" i="3"/>
  <c r="BN2002" i="3"/>
  <c r="BN1986" i="3"/>
  <c r="BN1970" i="3"/>
  <c r="BN1954" i="3"/>
  <c r="BN1938" i="3"/>
  <c r="BN2337" i="3"/>
  <c r="BN2288" i="3"/>
  <c r="BN2282" i="3"/>
  <c r="BN2276" i="3"/>
  <c r="BN2270" i="3"/>
  <c r="BN2264" i="3"/>
  <c r="BN2247" i="3"/>
  <c r="BN2231" i="3"/>
  <c r="BN2215" i="3"/>
  <c r="BN2199" i="3"/>
  <c r="BN2183" i="3"/>
  <c r="BN2167" i="3"/>
  <c r="BN2151" i="3"/>
  <c r="BN2135" i="3"/>
  <c r="BN2119" i="3"/>
  <c r="BN2103" i="3"/>
  <c r="BN2087" i="3"/>
  <c r="BN2071" i="3"/>
  <c r="BN2055" i="3"/>
  <c r="BN2039" i="3"/>
  <c r="BN2023" i="3"/>
  <c r="BN2007" i="3"/>
  <c r="BN1991" i="3"/>
  <c r="BN1975" i="3"/>
  <c r="BN1959" i="3"/>
  <c r="BN1943" i="3"/>
  <c r="BN2382" i="3"/>
  <c r="BN2355" i="3"/>
  <c r="BN2349" i="3"/>
  <c r="BN2343" i="3"/>
  <c r="BN2258" i="3"/>
  <c r="BN2236" i="3"/>
  <c r="BN2220" i="3"/>
  <c r="BN2204" i="3"/>
  <c r="BN2188" i="3"/>
  <c r="BN2172" i="3"/>
  <c r="BN2156" i="3"/>
  <c r="BN2140" i="3"/>
  <c r="BN2124" i="3"/>
  <c r="BN2108" i="3"/>
  <c r="BN2092" i="3"/>
  <c r="BN2076" i="3"/>
  <c r="BN2060" i="3"/>
  <c r="BN2044" i="3"/>
  <c r="BN2028" i="3"/>
  <c r="BN2012" i="3"/>
  <c r="BN1996" i="3"/>
  <c r="BN1980" i="3"/>
  <c r="BN1964" i="3"/>
  <c r="BN1948" i="3"/>
  <c r="BN1932" i="3"/>
  <c r="BN2404" i="3"/>
  <c r="BN2397" i="3"/>
  <c r="BN2375" i="3"/>
  <c r="BN2361" i="3"/>
  <c r="BN2336" i="3"/>
  <c r="BN2330" i="3"/>
  <c r="BN2324" i="3"/>
  <c r="BN2318" i="3"/>
  <c r="BN2312" i="3"/>
  <c r="BN2306" i="3"/>
  <c r="BN2241" i="3"/>
  <c r="BN2225" i="3"/>
  <c r="BN2209" i="3"/>
  <c r="BN2193" i="3"/>
  <c r="BN2177" i="3"/>
  <c r="BN2161" i="3"/>
  <c r="BN2145" i="3"/>
  <c r="BN2129" i="3"/>
  <c r="BN2113" i="3"/>
  <c r="BN2097" i="3"/>
  <c r="BN2081" i="3"/>
  <c r="BN2065" i="3"/>
  <c r="BN2049" i="3"/>
  <c r="BN2033" i="3"/>
  <c r="BN2017" i="3"/>
  <c r="BN2001" i="3"/>
  <c r="BN1985" i="3"/>
  <c r="BN1969" i="3"/>
  <c r="BN1953" i="3"/>
  <c r="BN1937" i="3"/>
  <c r="BN2388" i="3"/>
  <c r="BN2367" i="3"/>
  <c r="BN2299" i="3"/>
  <c r="BN2293" i="3"/>
  <c r="BN2287" i="3"/>
  <c r="BN2281" i="3"/>
  <c r="BN2275" i="3"/>
  <c r="BN2269" i="3"/>
  <c r="BN2263" i="3"/>
  <c r="BN2257" i="3"/>
  <c r="BN2246" i="3"/>
  <c r="BN2230" i="3"/>
  <c r="BN2214" i="3"/>
  <c r="BN2198" i="3"/>
  <c r="BN2182" i="3"/>
  <c r="BN2166" i="3"/>
  <c r="BN2150" i="3"/>
  <c r="BN2134" i="3"/>
  <c r="BN2118" i="3"/>
  <c r="BN2102" i="3"/>
  <c r="BN2086" i="3"/>
  <c r="BN2070" i="3"/>
  <c r="BN2054" i="3"/>
  <c r="BN2038" i="3"/>
  <c r="BN2022" i="3"/>
  <c r="BN2006" i="3"/>
  <c r="BN1990" i="3"/>
  <c r="BN1974" i="3"/>
  <c r="BN1958" i="3"/>
  <c r="BN1942" i="3"/>
  <c r="BN2411" i="3"/>
  <c r="BN2381" i="3"/>
  <c r="BN2354" i="3"/>
  <c r="BN2305" i="3"/>
  <c r="BN2251" i="3"/>
  <c r="BN2235" i="3"/>
  <c r="BN2219" i="3"/>
  <c r="BN2203" i="3"/>
  <c r="BN2187" i="3"/>
  <c r="BN2171" i="3"/>
  <c r="BN2155" i="3"/>
  <c r="BN2139" i="3"/>
  <c r="BN2123" i="3"/>
  <c r="BN2107" i="3"/>
  <c r="BN2091" i="3"/>
  <c r="BN2075" i="3"/>
  <c r="BN2059" i="3"/>
  <c r="BN2043" i="3"/>
  <c r="BN2027" i="3"/>
  <c r="BN2011" i="3"/>
  <c r="BN1995" i="3"/>
  <c r="BN1979" i="3"/>
  <c r="BN1963" i="3"/>
  <c r="BN1947" i="3"/>
  <c r="BN1931" i="3"/>
  <c r="BN2410" i="3"/>
  <c r="BN2403" i="3"/>
  <c r="BN2395" i="3"/>
  <c r="BN2360" i="3"/>
  <c r="BN2347" i="3"/>
  <c r="BN2341" i="3"/>
  <c r="BN2335" i="3"/>
  <c r="BN2329" i="3"/>
  <c r="BN2323" i="3"/>
  <c r="BN2317" i="3"/>
  <c r="BN2311" i="3"/>
  <c r="BN2262" i="3"/>
  <c r="BN2240" i="3"/>
  <c r="BN2224" i="3"/>
  <c r="BN2208" i="3"/>
  <c r="BN2192" i="3"/>
  <c r="BN2176" i="3"/>
  <c r="BN2160" i="3"/>
  <c r="BN2144" i="3"/>
  <c r="BN2128" i="3"/>
  <c r="BN2112" i="3"/>
  <c r="BN2096" i="3"/>
  <c r="BN2080" i="3"/>
  <c r="BN2064" i="3"/>
  <c r="BN2048" i="3"/>
  <c r="BN2032" i="3"/>
  <c r="BN2016" i="3"/>
  <c r="BN2000" i="3"/>
  <c r="BN1984" i="3"/>
  <c r="BN1968" i="3"/>
  <c r="BN1952" i="3"/>
  <c r="BN1936" i="3"/>
  <c r="BN2394" i="3"/>
  <c r="BN2387" i="3"/>
  <c r="BN2366" i="3"/>
  <c r="BN2353" i="3"/>
  <c r="BN2304" i="3"/>
  <c r="BN2298" i="3"/>
  <c r="BN2292" i="3"/>
  <c r="BN2286" i="3"/>
  <c r="BN2280" i="3"/>
  <c r="BN2274" i="3"/>
  <c r="BN2256" i="3"/>
  <c r="BN2245" i="3"/>
  <c r="BN2229" i="3"/>
  <c r="BN2213" i="3"/>
  <c r="BN2197" i="3"/>
  <c r="BN2181" i="3"/>
  <c r="BN2165" i="3"/>
  <c r="BN2149" i="3"/>
  <c r="BN2133" i="3"/>
  <c r="BN2117" i="3"/>
  <c r="BN2101" i="3"/>
  <c r="BN2085" i="3"/>
  <c r="BN2069" i="3"/>
  <c r="BN2053" i="3"/>
  <c r="BN2037" i="3"/>
  <c r="BN2021" i="3"/>
  <c r="BN2005" i="3"/>
  <c r="BN1989" i="3"/>
  <c r="BN1973" i="3"/>
  <c r="BN1957" i="3"/>
  <c r="BN1941" i="3"/>
  <c r="BN2372" i="3"/>
  <c r="BN2267" i="3"/>
  <c r="BN2250" i="3"/>
  <c r="BN2234" i="3"/>
  <c r="BN2218" i="3"/>
  <c r="BN2202" i="3"/>
  <c r="BN2186" i="3"/>
  <c r="BN2170" i="3"/>
  <c r="BN2154" i="3"/>
  <c r="BN2138" i="3"/>
  <c r="BN2122" i="3"/>
  <c r="BN2106" i="3"/>
  <c r="BN2090" i="3"/>
  <c r="BN2074" i="3"/>
  <c r="BN2058" i="3"/>
  <c r="BN2042" i="3"/>
  <c r="BN2026" i="3"/>
  <c r="BN2010" i="3"/>
  <c r="BN1994" i="3"/>
  <c r="BN1978" i="3"/>
  <c r="BN1962" i="3"/>
  <c r="BN1946" i="3"/>
  <c r="BN2409" i="3"/>
  <c r="BN2402" i="3"/>
  <c r="BN2379" i="3"/>
  <c r="BN2359" i="3"/>
  <c r="BN2352" i="3"/>
  <c r="BN2346" i="3"/>
  <c r="BN2340" i="3"/>
  <c r="BN2334" i="3"/>
  <c r="BN2328" i="3"/>
  <c r="BN2322" i="3"/>
  <c r="BN2273" i="3"/>
  <c r="BN2261" i="3"/>
  <c r="BN2239" i="3"/>
  <c r="BN2223" i="3"/>
  <c r="BN2207" i="3"/>
  <c r="BN2191" i="3"/>
  <c r="BN2175" i="3"/>
  <c r="BN2159" i="3"/>
  <c r="BN2143" i="3"/>
  <c r="BN2127" i="3"/>
  <c r="BN2111" i="3"/>
  <c r="BN2095" i="3"/>
  <c r="BN2079" i="3"/>
  <c r="BN2063" i="3"/>
  <c r="BN2047" i="3"/>
  <c r="BN2031" i="3"/>
  <c r="BN2015" i="3"/>
  <c r="BN1999" i="3"/>
  <c r="BN1983" i="3"/>
  <c r="BN1967" i="3"/>
  <c r="BN1951" i="3"/>
  <c r="BN1935" i="3"/>
  <c r="BN2393" i="3"/>
  <c r="BN2386" i="3"/>
  <c r="BN2378" i="3"/>
  <c r="BN2365" i="3"/>
  <c r="BN2315" i="3"/>
  <c r="BN2309" i="3"/>
  <c r="BN2303" i="3"/>
  <c r="BN2297" i="3"/>
  <c r="BN2291" i="3"/>
  <c r="BN2285" i="3"/>
  <c r="BN2279" i="3"/>
  <c r="BN2255" i="3"/>
  <c r="BN2244" i="3"/>
  <c r="BN2228" i="3"/>
  <c r="BN2212" i="3"/>
  <c r="BN2196" i="3"/>
  <c r="BN2180" i="3"/>
  <c r="BN2164" i="3"/>
  <c r="BN2148" i="3"/>
  <c r="BN2132" i="3"/>
  <c r="BN2116" i="3"/>
  <c r="BN2100" i="3"/>
  <c r="BN2084" i="3"/>
  <c r="BN2068" i="3"/>
  <c r="BN2052" i="3"/>
  <c r="BN2036" i="3"/>
  <c r="BN2020" i="3"/>
  <c r="BN2004" i="3"/>
  <c r="BN1988" i="3"/>
  <c r="BN1972" i="3"/>
  <c r="BN1956" i="3"/>
  <c r="BN1940" i="3"/>
  <c r="BN2371" i="3"/>
  <c r="BN2321" i="3"/>
  <c r="BN2272" i="3"/>
  <c r="BN2266" i="3"/>
  <c r="BN2249" i="3"/>
  <c r="BN2233" i="3"/>
  <c r="BN2217" i="3"/>
  <c r="BN2201" i="3"/>
  <c r="BN2185" i="3"/>
  <c r="BN2169" i="3"/>
  <c r="BN2153" i="3"/>
  <c r="BN2137" i="3"/>
  <c r="BN2121" i="3"/>
  <c r="BN2105" i="3"/>
  <c r="BN2089" i="3"/>
  <c r="BN2073" i="3"/>
  <c r="BN2057" i="3"/>
  <c r="BN2041" i="3"/>
  <c r="BN2025" i="3"/>
  <c r="BN2009" i="3"/>
  <c r="BN1993" i="3"/>
  <c r="BN1977" i="3"/>
  <c r="BN1961" i="3"/>
  <c r="BN1945" i="3"/>
  <c r="BN2408" i="3"/>
  <c r="BN2385" i="3"/>
  <c r="BN2357" i="3"/>
  <c r="BN2351" i="3"/>
  <c r="BN2345" i="3"/>
  <c r="BN2339" i="3"/>
  <c r="BN2333" i="3"/>
  <c r="BN2327" i="3"/>
  <c r="BN2260" i="3"/>
  <c r="BN2238" i="3"/>
  <c r="BN2222" i="3"/>
  <c r="BN2206" i="3"/>
  <c r="BN2190" i="3"/>
  <c r="BN2174" i="3"/>
  <c r="BN2158" i="3"/>
  <c r="BN2142" i="3"/>
  <c r="BN2126" i="3"/>
  <c r="BN2110" i="3"/>
  <c r="BN2094" i="3"/>
  <c r="BN2078" i="3"/>
  <c r="BN2062" i="3"/>
  <c r="BN2046" i="3"/>
  <c r="BN2030" i="3"/>
  <c r="BN2014" i="3"/>
  <c r="BN1998" i="3"/>
  <c r="BN1982" i="3"/>
  <c r="BN1966" i="3"/>
  <c r="BN1950" i="3"/>
  <c r="BN1934" i="3"/>
  <c r="BN2370" i="3"/>
  <c r="BN2363" i="3"/>
  <c r="BN2283" i="3"/>
  <c r="BN2277" i="3"/>
  <c r="BN2271" i="3"/>
  <c r="BN2265" i="3"/>
  <c r="BN2248" i="3"/>
  <c r="BN2232" i="3"/>
  <c r="BN2216" i="3"/>
  <c r="BN2200" i="3"/>
  <c r="BN2184" i="3"/>
  <c r="BN2168" i="3"/>
  <c r="BN2152" i="3"/>
  <c r="BN2136" i="3"/>
  <c r="BN2120" i="3"/>
  <c r="BN2104" i="3"/>
  <c r="BN2088" i="3"/>
  <c r="BN2072" i="3"/>
  <c r="BN2056" i="3"/>
  <c r="BN2040" i="3"/>
  <c r="BN2024" i="3"/>
  <c r="BN2008" i="3"/>
  <c r="BN1992" i="3"/>
  <c r="BN1976" i="3"/>
  <c r="BN1960" i="3"/>
  <c r="BN1944" i="3"/>
  <c r="BN2195" i="3"/>
  <c r="BN2067" i="3"/>
  <c r="BN1939" i="3"/>
  <c r="BN2383" i="3"/>
  <c r="BN2237" i="3"/>
  <c r="BN2109" i="3"/>
  <c r="BN1981" i="3"/>
  <c r="BN2377" i="3"/>
  <c r="BN2147" i="3"/>
  <c r="BN2019" i="3"/>
  <c r="BN2189" i="3"/>
  <c r="BN2061" i="3"/>
  <c r="BN1933" i="3"/>
  <c r="BN2320" i="3"/>
  <c r="BN2227" i="3"/>
  <c r="BN2099" i="3"/>
  <c r="BN1971" i="3"/>
  <c r="BN2141" i="3"/>
  <c r="BN2013" i="3"/>
  <c r="BN2314" i="3"/>
  <c r="BN2179" i="3"/>
  <c r="BN2051" i="3"/>
  <c r="BN2221" i="3"/>
  <c r="BN2093" i="3"/>
  <c r="BN1965" i="3"/>
  <c r="BN2308" i="3"/>
  <c r="BN2131" i="3"/>
  <c r="BN2003" i="3"/>
  <c r="BN2356" i="3"/>
  <c r="BN2259" i="3"/>
  <c r="BN2173" i="3"/>
  <c r="BN2045" i="3"/>
  <c r="BN2302" i="3"/>
  <c r="BN2254" i="3"/>
  <c r="BN2211" i="3"/>
  <c r="BN2083" i="3"/>
  <c r="BN1955" i="3"/>
  <c r="BN2407" i="3"/>
  <c r="BN2350" i="3"/>
  <c r="BN2125" i="3"/>
  <c r="BN1997" i="3"/>
  <c r="BN2399" i="3"/>
  <c r="BN2296" i="3"/>
  <c r="BN2163" i="3"/>
  <c r="BN2035" i="3"/>
  <c r="BN2392" i="3"/>
  <c r="BN2290" i="3"/>
  <c r="BN2243" i="3"/>
  <c r="BN2115" i="3"/>
  <c r="BN1987" i="3"/>
  <c r="BN2338" i="3"/>
  <c r="BN2289" i="3"/>
  <c r="BN2157" i="3"/>
  <c r="BN2029" i="3"/>
  <c r="BN2344" i="3"/>
  <c r="BN2205" i="3"/>
  <c r="BN2077" i="3"/>
  <c r="BN1949" i="3"/>
  <c r="EM24" i="3"/>
  <c r="EM22" i="3"/>
  <c r="EM23" i="3"/>
  <c r="EM21" i="3"/>
  <c r="BN959" i="3"/>
  <c r="BN951" i="3"/>
  <c r="BN943" i="3"/>
  <c r="BN935" i="3"/>
  <c r="BN927" i="3"/>
  <c r="BN919" i="3"/>
  <c r="BN911" i="3"/>
  <c r="BN903" i="3"/>
  <c r="BN895" i="3"/>
  <c r="BN887" i="3"/>
  <c r="BN879" i="3"/>
  <c r="BN871" i="3"/>
  <c r="BN863" i="3"/>
  <c r="BN855" i="3"/>
  <c r="BN847" i="3"/>
  <c r="BN839" i="3"/>
  <c r="BN831" i="3"/>
  <c r="BN823" i="3"/>
  <c r="BN815" i="3"/>
  <c r="BN807" i="3"/>
  <c r="BN799" i="3"/>
  <c r="BN791" i="3"/>
  <c r="BN783" i="3"/>
  <c r="BN775" i="3"/>
  <c r="BN767" i="3"/>
  <c r="BN759" i="3"/>
  <c r="BN751" i="3"/>
  <c r="BN743" i="3"/>
  <c r="BN735" i="3"/>
  <c r="BN727" i="3"/>
  <c r="BN719" i="3"/>
  <c r="BN711" i="3"/>
  <c r="BN703" i="3"/>
  <c r="BN695" i="3"/>
  <c r="BN687" i="3"/>
  <c r="BN679" i="3"/>
  <c r="BN671" i="3"/>
  <c r="BN663" i="3"/>
  <c r="BN655" i="3"/>
  <c r="BN964" i="3"/>
  <c r="BN956" i="3"/>
  <c r="BN948" i="3"/>
  <c r="BN940" i="3"/>
  <c r="BN932" i="3"/>
  <c r="BN924" i="3"/>
  <c r="BN916" i="3"/>
  <c r="BN908" i="3"/>
  <c r="BN900" i="3"/>
  <c r="BN892" i="3"/>
  <c r="BN884" i="3"/>
  <c r="BN876" i="3"/>
  <c r="BN868" i="3"/>
  <c r="BN860" i="3"/>
  <c r="BN852" i="3"/>
  <c r="BN844" i="3"/>
  <c r="BN836" i="3"/>
  <c r="BN828" i="3"/>
  <c r="BN820" i="3"/>
  <c r="BN812" i="3"/>
  <c r="BN804" i="3"/>
  <c r="BN796" i="3"/>
  <c r="BN788" i="3"/>
  <c r="BN780" i="3"/>
  <c r="BN772" i="3"/>
  <c r="BN764" i="3"/>
  <c r="BN756" i="3"/>
  <c r="BN748" i="3"/>
  <c r="BN740" i="3"/>
  <c r="BN732" i="3"/>
  <c r="BN724" i="3"/>
  <c r="BN716" i="3"/>
  <c r="BN708" i="3"/>
  <c r="BN700" i="3"/>
  <c r="BN692" i="3"/>
  <c r="BN684" i="3"/>
  <c r="BN676" i="3"/>
  <c r="BN668" i="3"/>
  <c r="BN660" i="3"/>
  <c r="BN652" i="3"/>
  <c r="BN961" i="3"/>
  <c r="BN953" i="3"/>
  <c r="BN945" i="3"/>
  <c r="BN937" i="3"/>
  <c r="BN929" i="3"/>
  <c r="BN921" i="3"/>
  <c r="BN913" i="3"/>
  <c r="BN905" i="3"/>
  <c r="BN897" i="3"/>
  <c r="BN889" i="3"/>
  <c r="BN881" i="3"/>
  <c r="BN873" i="3"/>
  <c r="BN865" i="3"/>
  <c r="BN857" i="3"/>
  <c r="BN849" i="3"/>
  <c r="BN841" i="3"/>
  <c r="BN833" i="3"/>
  <c r="BN825" i="3"/>
  <c r="BN817" i="3"/>
  <c r="BN809" i="3"/>
  <c r="BN801" i="3"/>
  <c r="BN793" i="3"/>
  <c r="BN785" i="3"/>
  <c r="BN777" i="3"/>
  <c r="BN769" i="3"/>
  <c r="BN761" i="3"/>
  <c r="BN753" i="3"/>
  <c r="BN745" i="3"/>
  <c r="BN737" i="3"/>
  <c r="BN729" i="3"/>
  <c r="BN721" i="3"/>
  <c r="BN713" i="3"/>
  <c r="BN705" i="3"/>
  <c r="BN697" i="3"/>
  <c r="BN689" i="3"/>
  <c r="BN681" i="3"/>
  <c r="BN673" i="3"/>
  <c r="BN665" i="3"/>
  <c r="BN657" i="3"/>
  <c r="BN649" i="3"/>
  <c r="BN966" i="3"/>
  <c r="BN958" i="3"/>
  <c r="BN950" i="3"/>
  <c r="BN942" i="3"/>
  <c r="BN934" i="3"/>
  <c r="BN926" i="3"/>
  <c r="BN918" i="3"/>
  <c r="BN910" i="3"/>
  <c r="BN902" i="3"/>
  <c r="BN894" i="3"/>
  <c r="BN886" i="3"/>
  <c r="BN878" i="3"/>
  <c r="BN870" i="3"/>
  <c r="BN862" i="3"/>
  <c r="BN854" i="3"/>
  <c r="BN846" i="3"/>
  <c r="BN838" i="3"/>
  <c r="BN830" i="3"/>
  <c r="BN822" i="3"/>
  <c r="BN814" i="3"/>
  <c r="BN806" i="3"/>
  <c r="BN798" i="3"/>
  <c r="BN790" i="3"/>
  <c r="BN782" i="3"/>
  <c r="BN774" i="3"/>
  <c r="BN766" i="3"/>
  <c r="BN758" i="3"/>
  <c r="BN750" i="3"/>
  <c r="BN742" i="3"/>
  <c r="BN734" i="3"/>
  <c r="BN726" i="3"/>
  <c r="BN718" i="3"/>
  <c r="BN710" i="3"/>
  <c r="BN702" i="3"/>
  <c r="BN694" i="3"/>
  <c r="BN686" i="3"/>
  <c r="BN678" i="3"/>
  <c r="BN670" i="3"/>
  <c r="BN662" i="3"/>
  <c r="BN654" i="3"/>
  <c r="BN963" i="3"/>
  <c r="BN955" i="3"/>
  <c r="BN947" i="3"/>
  <c r="BN939" i="3"/>
  <c r="BN931" i="3"/>
  <c r="BN923" i="3"/>
  <c r="BN915" i="3"/>
  <c r="BN907" i="3"/>
  <c r="BN899" i="3"/>
  <c r="BN891" i="3"/>
  <c r="BN883" i="3"/>
  <c r="BN875" i="3"/>
  <c r="BN867" i="3"/>
  <c r="BN859" i="3"/>
  <c r="BN851" i="3"/>
  <c r="BN843" i="3"/>
  <c r="BN835" i="3"/>
  <c r="BN827" i="3"/>
  <c r="BN819" i="3"/>
  <c r="BN811" i="3"/>
  <c r="BN803" i="3"/>
  <c r="BN795" i="3"/>
  <c r="BN787" i="3"/>
  <c r="BN779" i="3"/>
  <c r="BN771" i="3"/>
  <c r="BN763" i="3"/>
  <c r="BN755" i="3"/>
  <c r="BN747" i="3"/>
  <c r="BN739" i="3"/>
  <c r="BN731" i="3"/>
  <c r="BN723" i="3"/>
  <c r="BN715" i="3"/>
  <c r="BN707" i="3"/>
  <c r="BN699" i="3"/>
  <c r="BN691" i="3"/>
  <c r="BN683" i="3"/>
  <c r="BN675" i="3"/>
  <c r="BN667" i="3"/>
  <c r="BN659" i="3"/>
  <c r="BN960" i="3"/>
  <c r="BN952" i="3"/>
  <c r="BN944" i="3"/>
  <c r="BN936" i="3"/>
  <c r="BN928" i="3"/>
  <c r="BN920" i="3"/>
  <c r="BN912" i="3"/>
  <c r="BN904" i="3"/>
  <c r="BN896" i="3"/>
  <c r="BN888" i="3"/>
  <c r="BN880" i="3"/>
  <c r="BN872" i="3"/>
  <c r="BN864" i="3"/>
  <c r="BN856" i="3"/>
  <c r="BN848" i="3"/>
  <c r="BN840" i="3"/>
  <c r="BN832" i="3"/>
  <c r="BN824" i="3"/>
  <c r="BN816" i="3"/>
  <c r="BN808" i="3"/>
  <c r="BN800" i="3"/>
  <c r="BN792" i="3"/>
  <c r="BN784" i="3"/>
  <c r="BN776" i="3"/>
  <c r="BN768" i="3"/>
  <c r="BN760" i="3"/>
  <c r="BN752" i="3"/>
  <c r="BN744" i="3"/>
  <c r="BN736" i="3"/>
  <c r="BN728" i="3"/>
  <c r="BN720" i="3"/>
  <c r="BN712" i="3"/>
  <c r="BN704" i="3"/>
  <c r="BN696" i="3"/>
  <c r="BN688" i="3"/>
  <c r="BN949" i="3"/>
  <c r="BN885" i="3"/>
  <c r="BN821" i="3"/>
  <c r="BN757" i="3"/>
  <c r="BN693" i="3"/>
  <c r="BN674" i="3"/>
  <c r="BN658" i="3"/>
  <c r="BN651" i="3"/>
  <c r="BN906" i="3"/>
  <c r="BN842" i="3"/>
  <c r="BN778" i="3"/>
  <c r="BN714" i="3"/>
  <c r="BN682" i="3"/>
  <c r="BN664" i="3"/>
  <c r="BN647" i="3"/>
  <c r="BN636" i="3"/>
  <c r="BN628" i="3"/>
  <c r="BN620" i="3"/>
  <c r="BN612" i="3"/>
  <c r="BN604" i="3"/>
  <c r="BN596" i="3"/>
  <c r="BN588" i="3"/>
  <c r="BN580" i="3"/>
  <c r="BN572" i="3"/>
  <c r="BN564" i="3"/>
  <c r="BN556" i="3"/>
  <c r="BN548" i="3"/>
  <c r="BN540" i="3"/>
  <c r="BN532" i="3"/>
  <c r="BN524" i="3"/>
  <c r="BN516" i="3"/>
  <c r="BN508" i="3"/>
  <c r="BN500" i="3"/>
  <c r="BN492" i="3"/>
  <c r="BN925" i="3"/>
  <c r="BN861" i="3"/>
  <c r="BN797" i="3"/>
  <c r="BN733" i="3"/>
  <c r="BN672" i="3"/>
  <c r="BN644" i="3"/>
  <c r="BN946" i="3"/>
  <c r="BN882" i="3"/>
  <c r="BN818" i="3"/>
  <c r="BN754" i="3"/>
  <c r="BN680" i="3"/>
  <c r="BN656" i="3"/>
  <c r="BN641" i="3"/>
  <c r="BN633" i="3"/>
  <c r="BN625" i="3"/>
  <c r="BN617" i="3"/>
  <c r="BN609" i="3"/>
  <c r="BN601" i="3"/>
  <c r="BN593" i="3"/>
  <c r="BN585" i="3"/>
  <c r="BN577" i="3"/>
  <c r="BN569" i="3"/>
  <c r="BN561" i="3"/>
  <c r="BN553" i="3"/>
  <c r="BN545" i="3"/>
  <c r="BN537" i="3"/>
  <c r="BN529" i="3"/>
  <c r="BN521" i="3"/>
  <c r="BN513" i="3"/>
  <c r="BN505" i="3"/>
  <c r="BN497" i="3"/>
  <c r="BN489" i="3"/>
  <c r="BN965" i="3"/>
  <c r="BN901" i="3"/>
  <c r="BN837" i="3"/>
  <c r="BN773" i="3"/>
  <c r="BN709" i="3"/>
  <c r="BN922" i="3"/>
  <c r="BN858" i="3"/>
  <c r="BN794" i="3"/>
  <c r="BN730" i="3"/>
  <c r="BN690" i="3"/>
  <c r="BN650" i="3"/>
  <c r="BN638" i="3"/>
  <c r="BN630" i="3"/>
  <c r="BN622" i="3"/>
  <c r="BN614" i="3"/>
  <c r="BN606" i="3"/>
  <c r="BN598" i="3"/>
  <c r="BN590" i="3"/>
  <c r="BN582" i="3"/>
  <c r="BN574" i="3"/>
  <c r="BN566" i="3"/>
  <c r="BN558" i="3"/>
  <c r="BN550" i="3"/>
  <c r="BN542" i="3"/>
  <c r="BN534" i="3"/>
  <c r="BN526" i="3"/>
  <c r="BN518" i="3"/>
  <c r="BN510" i="3"/>
  <c r="BN502" i="3"/>
  <c r="BN494" i="3"/>
  <c r="BN486" i="3"/>
  <c r="BN941" i="3"/>
  <c r="BN877" i="3"/>
  <c r="BN813" i="3"/>
  <c r="BN749" i="3"/>
  <c r="BN646" i="3"/>
  <c r="BN962" i="3"/>
  <c r="BN898" i="3"/>
  <c r="BN834" i="3"/>
  <c r="BN770" i="3"/>
  <c r="BN706" i="3"/>
  <c r="BN643" i="3"/>
  <c r="BN635" i="3"/>
  <c r="BN627" i="3"/>
  <c r="BN619" i="3"/>
  <c r="BN611" i="3"/>
  <c r="BN603" i="3"/>
  <c r="BN595" i="3"/>
  <c r="BN587" i="3"/>
  <c r="BN579" i="3"/>
  <c r="BN571" i="3"/>
  <c r="BN563" i="3"/>
  <c r="BN555" i="3"/>
  <c r="BN547" i="3"/>
  <c r="BN539" i="3"/>
  <c r="BN531" i="3"/>
  <c r="BN523" i="3"/>
  <c r="BN515" i="3"/>
  <c r="BN507" i="3"/>
  <c r="BN499" i="3"/>
  <c r="BN491" i="3"/>
  <c r="BN917" i="3"/>
  <c r="BN853" i="3"/>
  <c r="BN789" i="3"/>
  <c r="BN725" i="3"/>
  <c r="BN938" i="3"/>
  <c r="BN874" i="3"/>
  <c r="BN810" i="3"/>
  <c r="BN746" i="3"/>
  <c r="BN669" i="3"/>
  <c r="BN661" i="3"/>
  <c r="BN640" i="3"/>
  <c r="BN632" i="3"/>
  <c r="BN624" i="3"/>
  <c r="BN616" i="3"/>
  <c r="BN608" i="3"/>
  <c r="BN600" i="3"/>
  <c r="BN592" i="3"/>
  <c r="BN584" i="3"/>
  <c r="BN576" i="3"/>
  <c r="BN568" i="3"/>
  <c r="BN560" i="3"/>
  <c r="BN552" i="3"/>
  <c r="BN544" i="3"/>
  <c r="BN536" i="3"/>
  <c r="BN528" i="3"/>
  <c r="BN520" i="3"/>
  <c r="BN512" i="3"/>
  <c r="BN504" i="3"/>
  <c r="BN496" i="3"/>
  <c r="BN488" i="3"/>
  <c r="BN957" i="3"/>
  <c r="BN893" i="3"/>
  <c r="BN829" i="3"/>
  <c r="BN765" i="3"/>
  <c r="BN701" i="3"/>
  <c r="BN677" i="3"/>
  <c r="BN914" i="3"/>
  <c r="BN850" i="3"/>
  <c r="BN786" i="3"/>
  <c r="BN722" i="3"/>
  <c r="BN637" i="3"/>
  <c r="BN629" i="3"/>
  <c r="BN621" i="3"/>
  <c r="BN613" i="3"/>
  <c r="BN605" i="3"/>
  <c r="BN597" i="3"/>
  <c r="BN589" i="3"/>
  <c r="BN581" i="3"/>
  <c r="BN573" i="3"/>
  <c r="BN565" i="3"/>
  <c r="BN557" i="3"/>
  <c r="BN549" i="3"/>
  <c r="BN541" i="3"/>
  <c r="BN533" i="3"/>
  <c r="BN525" i="3"/>
  <c r="BN517" i="3"/>
  <c r="BN509" i="3"/>
  <c r="BN501" i="3"/>
  <c r="BN493" i="3"/>
  <c r="BN485" i="3"/>
  <c r="BN909" i="3"/>
  <c r="BN845" i="3"/>
  <c r="BN781" i="3"/>
  <c r="BN717" i="3"/>
  <c r="BN930" i="3"/>
  <c r="BN866" i="3"/>
  <c r="BN802" i="3"/>
  <c r="BN738" i="3"/>
  <c r="BN666" i="3"/>
  <c r="BN639" i="3"/>
  <c r="BN631" i="3"/>
  <c r="BN623" i="3"/>
  <c r="BN615" i="3"/>
  <c r="BN607" i="3"/>
  <c r="BN599" i="3"/>
  <c r="BN591" i="3"/>
  <c r="BN583" i="3"/>
  <c r="BN575" i="3"/>
  <c r="BN567" i="3"/>
  <c r="BN559" i="3"/>
  <c r="BN551" i="3"/>
  <c r="BN543" i="3"/>
  <c r="BN535" i="3"/>
  <c r="BN527" i="3"/>
  <c r="BN519" i="3"/>
  <c r="BN511" i="3"/>
  <c r="BN503" i="3"/>
  <c r="BN495" i="3"/>
  <c r="BN487" i="3"/>
  <c r="BN741" i="3"/>
  <c r="BN648" i="3"/>
  <c r="BN626" i="3"/>
  <c r="BN562" i="3"/>
  <c r="BN498" i="3"/>
  <c r="BN645" i="3"/>
  <c r="BN890" i="3"/>
  <c r="BN602" i="3"/>
  <c r="BN538" i="3"/>
  <c r="BN869" i="3"/>
  <c r="BN698" i="3"/>
  <c r="BN642" i="3"/>
  <c r="BN578" i="3"/>
  <c r="BN514" i="3"/>
  <c r="BN685" i="3"/>
  <c r="BN618" i="3"/>
  <c r="BN554" i="3"/>
  <c r="BN490" i="3"/>
  <c r="BN826" i="3"/>
  <c r="BN594" i="3"/>
  <c r="BN530" i="3"/>
  <c r="BN805" i="3"/>
  <c r="BN634" i="3"/>
  <c r="BN570" i="3"/>
  <c r="BN506" i="3"/>
  <c r="BN933" i="3"/>
  <c r="BN653" i="3"/>
  <c r="BN762" i="3"/>
  <c r="BN586" i="3"/>
  <c r="BN522" i="3"/>
  <c r="BN954" i="3"/>
  <c r="BN610" i="3"/>
  <c r="BN546" i="3"/>
  <c r="EM11" i="3"/>
  <c r="EM10" i="3"/>
  <c r="EM12" i="3"/>
  <c r="EM9" i="3"/>
  <c r="EU13" i="3"/>
  <c r="EU9" i="3"/>
  <c r="BN1922" i="3"/>
  <c r="BN1906" i="3"/>
  <c r="BN1890" i="3"/>
  <c r="BN1874" i="3"/>
  <c r="BN1858" i="3"/>
  <c r="BN1842" i="3"/>
  <c r="BN1826" i="3"/>
  <c r="BN1810" i="3"/>
  <c r="BN1794" i="3"/>
  <c r="BN1778" i="3"/>
  <c r="BN1762" i="3"/>
  <c r="BN1746" i="3"/>
  <c r="BN1730" i="3"/>
  <c r="BN1714" i="3"/>
  <c r="BN1698" i="3"/>
  <c r="BN1682" i="3"/>
  <c r="BN1666" i="3"/>
  <c r="BN1650" i="3"/>
  <c r="BN1634" i="3"/>
  <c r="BN1927" i="3"/>
  <c r="BN1911" i="3"/>
  <c r="BN1895" i="3"/>
  <c r="BN1879" i="3"/>
  <c r="BN1863" i="3"/>
  <c r="BN1847" i="3"/>
  <c r="BN1831" i="3"/>
  <c r="BN1815" i="3"/>
  <c r="BN1799" i="3"/>
  <c r="BN1783" i="3"/>
  <c r="BN1916" i="3"/>
  <c r="BN1900" i="3"/>
  <c r="BN1884" i="3"/>
  <c r="BN1868" i="3"/>
  <c r="BN1852" i="3"/>
  <c r="BN1836" i="3"/>
  <c r="BN1820" i="3"/>
  <c r="BN1804" i="3"/>
  <c r="BN1788" i="3"/>
  <c r="BN1772" i="3"/>
  <c r="BN1756" i="3"/>
  <c r="BN1740" i="3"/>
  <c r="BN1724" i="3"/>
  <c r="BN1921" i="3"/>
  <c r="BN1905" i="3"/>
  <c r="BN1889" i="3"/>
  <c r="BN1873" i="3"/>
  <c r="BN1857" i="3"/>
  <c r="BN1841" i="3"/>
  <c r="BN1825" i="3"/>
  <c r="BN1809" i="3"/>
  <c r="BN1793" i="3"/>
  <c r="BN1777" i="3"/>
  <c r="BN1761" i="3"/>
  <c r="BN1745" i="3"/>
  <c r="BN1729" i="3"/>
  <c r="BN1926" i="3"/>
  <c r="BN1910" i="3"/>
  <c r="BN1894" i="3"/>
  <c r="BN1878" i="3"/>
  <c r="BN1862" i="3"/>
  <c r="BN1846" i="3"/>
  <c r="BN1830" i="3"/>
  <c r="BN1814" i="3"/>
  <c r="BN1798" i="3"/>
  <c r="BN1782" i="3"/>
  <c r="BN1766" i="3"/>
  <c r="BN1915" i="3"/>
  <c r="BN1899" i="3"/>
  <c r="BN1883" i="3"/>
  <c r="BN1867" i="3"/>
  <c r="BN1851" i="3"/>
  <c r="BN1835" i="3"/>
  <c r="BN1819" i="3"/>
  <c r="BN1803" i="3"/>
  <c r="BN1787" i="3"/>
  <c r="BN1771" i="3"/>
  <c r="BN1755" i="3"/>
  <c r="BN1739" i="3"/>
  <c r="BN1723" i="3"/>
  <c r="BN1707" i="3"/>
  <c r="BN1691" i="3"/>
  <c r="BN1675" i="3"/>
  <c r="BN1659" i="3"/>
  <c r="BN1643" i="3"/>
  <c r="BN1920" i="3"/>
  <c r="BN1904" i="3"/>
  <c r="BN1888" i="3"/>
  <c r="BN1872" i="3"/>
  <c r="BN1856" i="3"/>
  <c r="BN1840" i="3"/>
  <c r="BN1824" i="3"/>
  <c r="BN1808" i="3"/>
  <c r="BN1792" i="3"/>
  <c r="BN1925" i="3"/>
  <c r="BN1909" i="3"/>
  <c r="BN1893" i="3"/>
  <c r="BN1877" i="3"/>
  <c r="BN1861" i="3"/>
  <c r="BN1845" i="3"/>
  <c r="BN1829" i="3"/>
  <c r="BN1930" i="3"/>
  <c r="BN1914" i="3"/>
  <c r="BN1898" i="3"/>
  <c r="BN1882" i="3"/>
  <c r="BN1866" i="3"/>
  <c r="BN1919" i="3"/>
  <c r="BN1903" i="3"/>
  <c r="BN1887" i="3"/>
  <c r="BN1871" i="3"/>
  <c r="BN1855" i="3"/>
  <c r="BN1839" i="3"/>
  <c r="BN1823" i="3"/>
  <c r="BN1807" i="3"/>
  <c r="BN1924" i="3"/>
  <c r="BN1908" i="3"/>
  <c r="BN1892" i="3"/>
  <c r="BN1876" i="3"/>
  <c r="BN1860" i="3"/>
  <c r="BN1844" i="3"/>
  <c r="BN1929" i="3"/>
  <c r="BN1913" i="3"/>
  <c r="BN1897" i="3"/>
  <c r="BN1881" i="3"/>
  <c r="BN1865" i="3"/>
  <c r="BN1849" i="3"/>
  <c r="BN1918" i="3"/>
  <c r="BN1902" i="3"/>
  <c r="BN1886" i="3"/>
  <c r="BN1870" i="3"/>
  <c r="BN1854" i="3"/>
  <c r="BN1928" i="3"/>
  <c r="BN1912" i="3"/>
  <c r="BN1896" i="3"/>
  <c r="BN1880" i="3"/>
  <c r="BN1864" i="3"/>
  <c r="BN1848" i="3"/>
  <c r="BN1832" i="3"/>
  <c r="BN1834" i="3"/>
  <c r="BN1781" i="3"/>
  <c r="BN1765" i="3"/>
  <c r="BN1758" i="3"/>
  <c r="BN1750" i="3"/>
  <c r="BN1743" i="3"/>
  <c r="BN1715" i="3"/>
  <c r="BN1709" i="3"/>
  <c r="BN1660" i="3"/>
  <c r="BN1654" i="3"/>
  <c r="BN1630" i="3"/>
  <c r="BN1619" i="3"/>
  <c r="BN1603" i="3"/>
  <c r="BN1587" i="3"/>
  <c r="BN1571" i="3"/>
  <c r="BN1555" i="3"/>
  <c r="BN1539" i="3"/>
  <c r="BN1523" i="3"/>
  <c r="BN1507" i="3"/>
  <c r="BN1491" i="3"/>
  <c r="BN1475" i="3"/>
  <c r="BN1459" i="3"/>
  <c r="BN1853" i="3"/>
  <c r="BN1800" i="3"/>
  <c r="BN1790" i="3"/>
  <c r="BN1736" i="3"/>
  <c r="BN1728" i="3"/>
  <c r="BN1696" i="3"/>
  <c r="BN1690" i="3"/>
  <c r="BN1684" i="3"/>
  <c r="BN1678" i="3"/>
  <c r="BN1672" i="3"/>
  <c r="BN1624" i="3"/>
  <c r="BN1608" i="3"/>
  <c r="BN1592" i="3"/>
  <c r="BN1576" i="3"/>
  <c r="BN1560" i="3"/>
  <c r="BN1544" i="3"/>
  <c r="BN1528" i="3"/>
  <c r="BN1512" i="3"/>
  <c r="BN1496" i="3"/>
  <c r="BN1480" i="3"/>
  <c r="BN1464" i="3"/>
  <c r="BN1891" i="3"/>
  <c r="BN1850" i="3"/>
  <c r="BN1833" i="3"/>
  <c r="BN1821" i="3"/>
  <c r="BN1773" i="3"/>
  <c r="BN1749" i="3"/>
  <c r="BN1721" i="3"/>
  <c r="BN1708" i="3"/>
  <c r="BN1702" i="3"/>
  <c r="BN1653" i="3"/>
  <c r="BN1647" i="3"/>
  <c r="BN1641" i="3"/>
  <c r="BN1635" i="3"/>
  <c r="BN1613" i="3"/>
  <c r="BN1597" i="3"/>
  <c r="BN1581" i="3"/>
  <c r="BN1565" i="3"/>
  <c r="BN1549" i="3"/>
  <c r="BN1533" i="3"/>
  <c r="BN1517" i="3"/>
  <c r="BN1501" i="3"/>
  <c r="BN1485" i="3"/>
  <c r="BN1469" i="3"/>
  <c r="BN1453" i="3"/>
  <c r="BN1818" i="3"/>
  <c r="BN1797" i="3"/>
  <c r="BN1780" i="3"/>
  <c r="BN1764" i="3"/>
  <c r="BN1757" i="3"/>
  <c r="BN1742" i="3"/>
  <c r="BN1735" i="3"/>
  <c r="BN1671" i="3"/>
  <c r="BN1665" i="3"/>
  <c r="BN1629" i="3"/>
  <c r="BN1618" i="3"/>
  <c r="BN1602" i="3"/>
  <c r="BN1586" i="3"/>
  <c r="BN1570" i="3"/>
  <c r="BN1554" i="3"/>
  <c r="BN1538" i="3"/>
  <c r="BN1522" i="3"/>
  <c r="BN1506" i="3"/>
  <c r="BN1490" i="3"/>
  <c r="BN1474" i="3"/>
  <c r="BN1458" i="3"/>
  <c r="BN1789" i="3"/>
  <c r="BN1734" i="3"/>
  <c r="BN1727" i="3"/>
  <c r="BN1701" i="3"/>
  <c r="BN1695" i="3"/>
  <c r="BN1689" i="3"/>
  <c r="BN1683" i="3"/>
  <c r="BN1677" i="3"/>
  <c r="BN1623" i="3"/>
  <c r="BN1607" i="3"/>
  <c r="BN1591" i="3"/>
  <c r="BN1575" i="3"/>
  <c r="BN1559" i="3"/>
  <c r="BN1543" i="3"/>
  <c r="BN1527" i="3"/>
  <c r="BN1511" i="3"/>
  <c r="BN1495" i="3"/>
  <c r="BN1479" i="3"/>
  <c r="BN1463" i="3"/>
  <c r="BN1885" i="3"/>
  <c r="BN1817" i="3"/>
  <c r="BN1748" i="3"/>
  <c r="BN1720" i="3"/>
  <c r="BN1713" i="3"/>
  <c r="BN1664" i="3"/>
  <c r="BN1658" i="3"/>
  <c r="BN1652" i="3"/>
  <c r="BN1646" i="3"/>
  <c r="BN1640" i="3"/>
  <c r="BN1628" i="3"/>
  <c r="BN1612" i="3"/>
  <c r="BN1596" i="3"/>
  <c r="BN1580" i="3"/>
  <c r="BN1564" i="3"/>
  <c r="BN1548" i="3"/>
  <c r="BN1532" i="3"/>
  <c r="BN1516" i="3"/>
  <c r="BN1500" i="3"/>
  <c r="BN1484" i="3"/>
  <c r="BN1468" i="3"/>
  <c r="BN1452" i="3"/>
  <c r="BN1923" i="3"/>
  <c r="BN1806" i="3"/>
  <c r="BN1796" i="3"/>
  <c r="BN1779" i="3"/>
  <c r="BN1770" i="3"/>
  <c r="BN1763" i="3"/>
  <c r="BN1741" i="3"/>
  <c r="BN1733" i="3"/>
  <c r="BN1676" i="3"/>
  <c r="BN1670" i="3"/>
  <c r="BN1617" i="3"/>
  <c r="BN1601" i="3"/>
  <c r="BN1585" i="3"/>
  <c r="BN1569" i="3"/>
  <c r="BN1553" i="3"/>
  <c r="BN1537" i="3"/>
  <c r="BN1521" i="3"/>
  <c r="BN1505" i="3"/>
  <c r="BN1489" i="3"/>
  <c r="BN1473" i="3"/>
  <c r="BN1457" i="3"/>
  <c r="BN1828" i="3"/>
  <c r="BN1786" i="3"/>
  <c r="BN1754" i="3"/>
  <c r="BN1726" i="3"/>
  <c r="BN1719" i="3"/>
  <c r="BN1712" i="3"/>
  <c r="BN1706" i="3"/>
  <c r="BN1700" i="3"/>
  <c r="BN1694" i="3"/>
  <c r="BN1688" i="3"/>
  <c r="BN1639" i="3"/>
  <c r="BN1633" i="3"/>
  <c r="BN1622" i="3"/>
  <c r="BN1606" i="3"/>
  <c r="BN1590" i="3"/>
  <c r="BN1574" i="3"/>
  <c r="BN1558" i="3"/>
  <c r="BN1542" i="3"/>
  <c r="BN1526" i="3"/>
  <c r="BN1510" i="3"/>
  <c r="BN1494" i="3"/>
  <c r="BN1478" i="3"/>
  <c r="BN1462" i="3"/>
  <c r="BN1875" i="3"/>
  <c r="BN1843" i="3"/>
  <c r="BN1816" i="3"/>
  <c r="BN1747" i="3"/>
  <c r="BN1718" i="3"/>
  <c r="BN1669" i="3"/>
  <c r="BN1663" i="3"/>
  <c r="BN1657" i="3"/>
  <c r="BN1651" i="3"/>
  <c r="BN1645" i="3"/>
  <c r="BN1627" i="3"/>
  <c r="BN1611" i="3"/>
  <c r="BN1595" i="3"/>
  <c r="BN1579" i="3"/>
  <c r="BN1563" i="3"/>
  <c r="BN1547" i="3"/>
  <c r="BN1531" i="3"/>
  <c r="BN1515" i="3"/>
  <c r="BN1499" i="3"/>
  <c r="BN1483" i="3"/>
  <c r="BN1467" i="3"/>
  <c r="BN1451" i="3"/>
  <c r="BN1917" i="3"/>
  <c r="BN1805" i="3"/>
  <c r="BN1795" i="3"/>
  <c r="BN1776" i="3"/>
  <c r="BN1769" i="3"/>
  <c r="BN1732" i="3"/>
  <c r="BN1687" i="3"/>
  <c r="BN1681" i="3"/>
  <c r="BN1616" i="3"/>
  <c r="BN1600" i="3"/>
  <c r="BN1584" i="3"/>
  <c r="BN1568" i="3"/>
  <c r="BN1552" i="3"/>
  <c r="BN1536" i="3"/>
  <c r="BN1520" i="3"/>
  <c r="BN1504" i="3"/>
  <c r="BN1488" i="3"/>
  <c r="BN1472" i="3"/>
  <c r="BN1456" i="3"/>
  <c r="BN1827" i="3"/>
  <c r="BN1813" i="3"/>
  <c r="BN1785" i="3"/>
  <c r="BN1760" i="3"/>
  <c r="BN1753" i="3"/>
  <c r="BN1725" i="3"/>
  <c r="BN1717" i="3"/>
  <c r="BN1711" i="3"/>
  <c r="BN1705" i="3"/>
  <c r="BN1699" i="3"/>
  <c r="BN1693" i="3"/>
  <c r="BN1644" i="3"/>
  <c r="BN1638" i="3"/>
  <c r="BN1632" i="3"/>
  <c r="BN1621" i="3"/>
  <c r="BN1605" i="3"/>
  <c r="BN1589" i="3"/>
  <c r="BN1573" i="3"/>
  <c r="BN1557" i="3"/>
  <c r="BN1541" i="3"/>
  <c r="BN1525" i="3"/>
  <c r="BN1509" i="3"/>
  <c r="BN1493" i="3"/>
  <c r="BN1477" i="3"/>
  <c r="BN1461" i="3"/>
  <c r="BN1869" i="3"/>
  <c r="BN1802" i="3"/>
  <c r="BN1738" i="3"/>
  <c r="BN1680" i="3"/>
  <c r="BN1674" i="3"/>
  <c r="BN1668" i="3"/>
  <c r="BN1662" i="3"/>
  <c r="BN1656" i="3"/>
  <c r="BN1626" i="3"/>
  <c r="BN1610" i="3"/>
  <c r="BN1594" i="3"/>
  <c r="BN1578" i="3"/>
  <c r="BN1562" i="3"/>
  <c r="BN1546" i="3"/>
  <c r="BN1530" i="3"/>
  <c r="BN1514" i="3"/>
  <c r="BN1498" i="3"/>
  <c r="BN1482" i="3"/>
  <c r="BN1466" i="3"/>
  <c r="BN1450" i="3"/>
  <c r="BN1907" i="3"/>
  <c r="BN1812" i="3"/>
  <c r="BN1775" i="3"/>
  <c r="BN1768" i="3"/>
  <c r="BN1731" i="3"/>
  <c r="BN1692" i="3"/>
  <c r="BN1686" i="3"/>
  <c r="BN1637" i="3"/>
  <c r="BN1615" i="3"/>
  <c r="BN1599" i="3"/>
  <c r="BN1583" i="3"/>
  <c r="BN1567" i="3"/>
  <c r="BN1551" i="3"/>
  <c r="BN1535" i="3"/>
  <c r="BN1519" i="3"/>
  <c r="BN1503" i="3"/>
  <c r="BN1487" i="3"/>
  <c r="BN1471" i="3"/>
  <c r="BN1455" i="3"/>
  <c r="BN1859" i="3"/>
  <c r="BN1801" i="3"/>
  <c r="BN1791" i="3"/>
  <c r="BN1767" i="3"/>
  <c r="BN1737" i="3"/>
  <c r="BN1685" i="3"/>
  <c r="BN1679" i="3"/>
  <c r="BN1673" i="3"/>
  <c r="BN1667" i="3"/>
  <c r="BN1661" i="3"/>
  <c r="BN1625" i="3"/>
  <c r="BN1609" i="3"/>
  <c r="BN1593" i="3"/>
  <c r="BN1577" i="3"/>
  <c r="BN1561" i="3"/>
  <c r="BN1545" i="3"/>
  <c r="BN1529" i="3"/>
  <c r="BN1513" i="3"/>
  <c r="BN1497" i="3"/>
  <c r="BN1481" i="3"/>
  <c r="BN1465" i="3"/>
  <c r="BN1449" i="3"/>
  <c r="BN1901" i="3"/>
  <c r="BN1837" i="3"/>
  <c r="BN1822" i="3"/>
  <c r="BN1811" i="3"/>
  <c r="BN1774" i="3"/>
  <c r="BN1751" i="3"/>
  <c r="BN1722" i="3"/>
  <c r="BN1703" i="3"/>
  <c r="BN1697" i="3"/>
  <c r="BN1648" i="3"/>
  <c r="BN1642" i="3"/>
  <c r="BN1636" i="3"/>
  <c r="BN1614" i="3"/>
  <c r="BN1598" i="3"/>
  <c r="BN1582" i="3"/>
  <c r="BN1566" i="3"/>
  <c r="BN1550" i="3"/>
  <c r="BN1534" i="3"/>
  <c r="BN1518" i="3"/>
  <c r="BN1502" i="3"/>
  <c r="BN1486" i="3"/>
  <c r="BN1470" i="3"/>
  <c r="BN1454" i="3"/>
  <c r="BN1838" i="3"/>
  <c r="BN1704" i="3"/>
  <c r="BN1524" i="3"/>
  <c r="BN1604" i="3"/>
  <c r="BN1508" i="3"/>
  <c r="BN1588" i="3"/>
  <c r="BN1784" i="3"/>
  <c r="BN1492" i="3"/>
  <c r="BN1572" i="3"/>
  <c r="BN1759" i="3"/>
  <c r="BN1655" i="3"/>
  <c r="BN1752" i="3"/>
  <c r="BN1649" i="3"/>
  <c r="BN1476" i="3"/>
  <c r="BN1744" i="3"/>
  <c r="BN1556" i="3"/>
  <c r="BN1631" i="3"/>
  <c r="BN1460" i="3"/>
  <c r="BN1716" i="3"/>
  <c r="BN1620" i="3"/>
  <c r="BN1710" i="3"/>
  <c r="BN1540" i="3"/>
  <c r="EM19" i="3"/>
  <c r="EM20" i="3"/>
  <c r="EM17" i="3"/>
  <c r="EM18" i="3"/>
  <c r="BN448" i="3"/>
  <c r="BN432" i="3"/>
  <c r="BN416" i="3"/>
  <c r="BN400" i="3"/>
  <c r="BN384" i="3"/>
  <c r="BN368" i="3"/>
  <c r="BN352" i="3"/>
  <c r="BN484" i="3"/>
  <c r="BN476" i="3"/>
  <c r="BN468" i="3"/>
  <c r="BN460" i="3"/>
  <c r="BN445" i="3"/>
  <c r="BN429" i="3"/>
  <c r="BN413" i="3"/>
  <c r="BN397" i="3"/>
  <c r="BN381" i="3"/>
  <c r="BN365" i="3"/>
  <c r="BN349" i="3"/>
  <c r="BN458" i="3"/>
  <c r="BN442" i="3"/>
  <c r="BN426" i="3"/>
  <c r="BN410" i="3"/>
  <c r="BN394" i="3"/>
  <c r="BN378" i="3"/>
  <c r="BN362" i="3"/>
  <c r="BN481" i="3"/>
  <c r="BN473" i="3"/>
  <c r="BN465" i="3"/>
  <c r="BN455" i="3"/>
  <c r="BN439" i="3"/>
  <c r="BN423" i="3"/>
  <c r="BN407" i="3"/>
  <c r="BN391" i="3"/>
  <c r="BN375" i="3"/>
  <c r="BN359" i="3"/>
  <c r="BN452" i="3"/>
  <c r="BN436" i="3"/>
  <c r="BN420" i="3"/>
  <c r="BN404" i="3"/>
  <c r="BN388" i="3"/>
  <c r="BN372" i="3"/>
  <c r="BN478" i="3"/>
  <c r="BN470" i="3"/>
  <c r="BN462" i="3"/>
  <c r="BN449" i="3"/>
  <c r="BN433" i="3"/>
  <c r="BN417" i="3"/>
  <c r="BN401" i="3"/>
  <c r="BN385" i="3"/>
  <c r="BN369" i="3"/>
  <c r="BN446" i="3"/>
  <c r="BN430" i="3"/>
  <c r="BN414" i="3"/>
  <c r="BN398" i="3"/>
  <c r="BN382" i="3"/>
  <c r="BN366" i="3"/>
  <c r="BN483" i="3"/>
  <c r="BN475" i="3"/>
  <c r="BN467" i="3"/>
  <c r="BN459" i="3"/>
  <c r="BN443" i="3"/>
  <c r="BN427" i="3"/>
  <c r="BN411" i="3"/>
  <c r="BN395" i="3"/>
  <c r="BN379" i="3"/>
  <c r="BN363" i="3"/>
  <c r="BN456" i="3"/>
  <c r="BN440" i="3"/>
  <c r="BN424" i="3"/>
  <c r="BN408" i="3"/>
  <c r="BN392" i="3"/>
  <c r="BN376" i="3"/>
  <c r="BN360" i="3"/>
  <c r="BN480" i="3"/>
  <c r="BN472" i="3"/>
  <c r="BN464" i="3"/>
  <c r="BN453" i="3"/>
  <c r="BN437" i="3"/>
  <c r="BN421" i="3"/>
  <c r="BN405" i="3"/>
  <c r="BN389" i="3"/>
  <c r="BN373" i="3"/>
  <c r="BN450" i="3"/>
  <c r="BN434" i="3"/>
  <c r="BN418" i="3"/>
  <c r="BN402" i="3"/>
  <c r="BN386" i="3"/>
  <c r="BN370" i="3"/>
  <c r="BN477" i="3"/>
  <c r="BN469" i="3"/>
  <c r="BN461" i="3"/>
  <c r="BN447" i="3"/>
  <c r="BN431" i="3"/>
  <c r="BN415" i="3"/>
  <c r="BN399" i="3"/>
  <c r="BN383" i="3"/>
  <c r="BN367" i="3"/>
  <c r="BN454" i="3"/>
  <c r="BN438" i="3"/>
  <c r="BN422" i="3"/>
  <c r="BN406" i="3"/>
  <c r="BN390" i="3"/>
  <c r="BN374" i="3"/>
  <c r="BN358" i="3"/>
  <c r="BN479" i="3"/>
  <c r="BN471" i="3"/>
  <c r="BN463" i="3"/>
  <c r="BN451" i="3"/>
  <c r="BN435" i="3"/>
  <c r="BN354" i="3"/>
  <c r="BN341" i="3"/>
  <c r="BN325" i="3"/>
  <c r="BN309" i="3"/>
  <c r="BN293" i="3"/>
  <c r="BN277" i="3"/>
  <c r="BN261" i="3"/>
  <c r="BN245" i="3"/>
  <c r="BN229" i="3"/>
  <c r="BN213" i="3"/>
  <c r="BN197" i="3"/>
  <c r="BN181" i="3"/>
  <c r="BN165" i="3"/>
  <c r="BN149" i="3"/>
  <c r="BN457" i="3"/>
  <c r="BN338" i="3"/>
  <c r="BN322" i="3"/>
  <c r="BN306" i="3"/>
  <c r="BN290" i="3"/>
  <c r="BN274" i="3"/>
  <c r="BN258" i="3"/>
  <c r="BN242" i="3"/>
  <c r="BN226" i="3"/>
  <c r="BN210" i="3"/>
  <c r="BN194" i="3"/>
  <c r="BN178" i="3"/>
  <c r="BN162" i="3"/>
  <c r="BN146" i="3"/>
  <c r="BN444" i="3"/>
  <c r="BN335" i="3"/>
  <c r="BN319" i="3"/>
  <c r="BN303" i="3"/>
  <c r="BN287" i="3"/>
  <c r="BN271" i="3"/>
  <c r="BN255" i="3"/>
  <c r="BN239" i="3"/>
  <c r="BN223" i="3"/>
  <c r="BN207" i="3"/>
  <c r="BN191" i="3"/>
  <c r="BN175" i="3"/>
  <c r="BN159" i="3"/>
  <c r="BN474" i="3"/>
  <c r="BN412" i="3"/>
  <c r="BN356" i="3"/>
  <c r="BN348" i="3"/>
  <c r="BN332" i="3"/>
  <c r="BN316" i="3"/>
  <c r="BN300" i="3"/>
  <c r="BN284" i="3"/>
  <c r="BN268" i="3"/>
  <c r="BN252" i="3"/>
  <c r="BN236" i="3"/>
  <c r="BN220" i="3"/>
  <c r="BN204" i="3"/>
  <c r="BN188" i="3"/>
  <c r="BN172" i="3"/>
  <c r="BN156" i="3"/>
  <c r="BN396" i="3"/>
  <c r="BN345" i="3"/>
  <c r="BN329" i="3"/>
  <c r="BN313" i="3"/>
  <c r="BN297" i="3"/>
  <c r="BN281" i="3"/>
  <c r="BN265" i="3"/>
  <c r="BN249" i="3"/>
  <c r="BN233" i="3"/>
  <c r="BN217" i="3"/>
  <c r="BN201" i="3"/>
  <c r="BN185" i="3"/>
  <c r="BN169" i="3"/>
  <c r="BN153" i="3"/>
  <c r="BN380" i="3"/>
  <c r="BN351" i="3"/>
  <c r="BN342" i="3"/>
  <c r="BN326" i="3"/>
  <c r="BN310" i="3"/>
  <c r="BN294" i="3"/>
  <c r="BN278" i="3"/>
  <c r="BN262" i="3"/>
  <c r="BN246" i="3"/>
  <c r="BN230" i="3"/>
  <c r="BN214" i="3"/>
  <c r="BN198" i="3"/>
  <c r="BN182" i="3"/>
  <c r="BN166" i="3"/>
  <c r="BN150" i="3"/>
  <c r="BN419" i="3"/>
  <c r="BN364" i="3"/>
  <c r="BN339" i="3"/>
  <c r="BN323" i="3"/>
  <c r="BN307" i="3"/>
  <c r="BN291" i="3"/>
  <c r="BN275" i="3"/>
  <c r="BN259" i="3"/>
  <c r="BN243" i="3"/>
  <c r="BN227" i="3"/>
  <c r="BN211" i="3"/>
  <c r="BN195" i="3"/>
  <c r="BN179" i="3"/>
  <c r="BN163" i="3"/>
  <c r="BN147" i="3"/>
  <c r="BN441" i="3"/>
  <c r="BN403" i="3"/>
  <c r="BN336" i="3"/>
  <c r="BN320" i="3"/>
  <c r="BN304" i="3"/>
  <c r="BN288" i="3"/>
  <c r="BN272" i="3"/>
  <c r="BN256" i="3"/>
  <c r="BN240" i="3"/>
  <c r="BN224" i="3"/>
  <c r="BN208" i="3"/>
  <c r="BN192" i="3"/>
  <c r="BN176" i="3"/>
  <c r="BN160" i="3"/>
  <c r="BN428" i="3"/>
  <c r="BN387" i="3"/>
  <c r="BN353" i="3"/>
  <c r="BN333" i="3"/>
  <c r="BN317" i="3"/>
  <c r="BN301" i="3"/>
  <c r="BN285" i="3"/>
  <c r="BN269" i="3"/>
  <c r="BN253" i="3"/>
  <c r="BN237" i="3"/>
  <c r="BN221" i="3"/>
  <c r="BN205" i="3"/>
  <c r="BN189" i="3"/>
  <c r="BN173" i="3"/>
  <c r="BN466" i="3"/>
  <c r="BN371" i="3"/>
  <c r="BN346" i="3"/>
  <c r="BN330" i="3"/>
  <c r="BN314" i="3"/>
  <c r="BN298" i="3"/>
  <c r="BN282" i="3"/>
  <c r="BN266" i="3"/>
  <c r="BN250" i="3"/>
  <c r="BN234" i="3"/>
  <c r="BN218" i="3"/>
  <c r="BN202" i="3"/>
  <c r="BN186" i="3"/>
  <c r="BN170" i="3"/>
  <c r="BN409" i="3"/>
  <c r="BN355" i="3"/>
  <c r="BN343" i="3"/>
  <c r="BN327" i="3"/>
  <c r="BN311" i="3"/>
  <c r="BN295" i="3"/>
  <c r="BN279" i="3"/>
  <c r="BN263" i="3"/>
  <c r="BN247" i="3"/>
  <c r="BN231" i="3"/>
  <c r="BN215" i="3"/>
  <c r="BN199" i="3"/>
  <c r="BN183" i="3"/>
  <c r="BN167" i="3"/>
  <c r="BN151" i="3"/>
  <c r="BN393" i="3"/>
  <c r="BN357" i="3"/>
  <c r="BN340" i="3"/>
  <c r="BN324" i="3"/>
  <c r="BN308" i="3"/>
  <c r="BN292" i="3"/>
  <c r="BN276" i="3"/>
  <c r="BN260" i="3"/>
  <c r="BN244" i="3"/>
  <c r="BN228" i="3"/>
  <c r="BN212" i="3"/>
  <c r="BN196" i="3"/>
  <c r="BN180" i="3"/>
  <c r="BN164" i="3"/>
  <c r="BN148" i="3"/>
  <c r="BN350" i="3"/>
  <c r="BN347" i="3"/>
  <c r="BN331" i="3"/>
  <c r="BN315" i="3"/>
  <c r="BN299" i="3"/>
  <c r="BN283" i="3"/>
  <c r="BN267" i="3"/>
  <c r="BN251" i="3"/>
  <c r="BN235" i="3"/>
  <c r="BN219" i="3"/>
  <c r="BN203" i="3"/>
  <c r="BN187" i="3"/>
  <c r="BN171" i="3"/>
  <c r="BN155" i="3"/>
  <c r="BN344" i="3"/>
  <c r="BN328" i="3"/>
  <c r="BN312" i="3"/>
  <c r="BN296" i="3"/>
  <c r="BN280" i="3"/>
  <c r="BN264" i="3"/>
  <c r="BN248" i="3"/>
  <c r="BN132" i="3"/>
  <c r="BN116" i="3"/>
  <c r="BN108" i="3"/>
  <c r="BN98" i="3"/>
  <c r="BN88" i="3"/>
  <c r="BN78" i="3"/>
  <c r="BN68" i="3"/>
  <c r="BN62" i="3"/>
  <c r="BN56" i="3"/>
  <c r="BN302" i="3"/>
  <c r="BN158" i="3"/>
  <c r="BN129" i="3"/>
  <c r="BN113" i="3"/>
  <c r="BN63" i="3"/>
  <c r="BN55" i="3"/>
  <c r="BN40" i="3"/>
  <c r="BN39" i="3"/>
  <c r="BN38" i="3"/>
  <c r="BN37" i="3"/>
  <c r="BN36" i="3"/>
  <c r="BN33" i="3"/>
  <c r="BN289" i="3"/>
  <c r="BN126" i="3"/>
  <c r="BN94" i="3"/>
  <c r="BN84" i="3"/>
  <c r="BN74" i="3"/>
  <c r="BN64" i="3"/>
  <c r="BN254" i="3"/>
  <c r="BN157" i="3"/>
  <c r="BN142" i="3"/>
  <c r="BN139" i="3"/>
  <c r="BN123" i="3"/>
  <c r="BN109" i="3"/>
  <c r="BN99" i="3"/>
  <c r="BN89" i="3"/>
  <c r="BN79" i="3"/>
  <c r="BN69" i="3"/>
  <c r="BN53" i="3"/>
  <c r="BN42" i="3"/>
  <c r="BN41" i="3"/>
  <c r="BN241" i="3"/>
  <c r="BN225" i="3"/>
  <c r="BN136" i="3"/>
  <c r="BN120" i="3"/>
  <c r="BN104" i="3"/>
  <c r="BN482" i="3"/>
  <c r="BN334" i="3"/>
  <c r="BN209" i="3"/>
  <c r="BN133" i="3"/>
  <c r="BN117" i="3"/>
  <c r="BN85" i="3"/>
  <c r="BN75" i="3"/>
  <c r="BN65" i="3"/>
  <c r="BN51" i="3"/>
  <c r="BN49" i="3"/>
  <c r="BN321" i="3"/>
  <c r="BN193" i="3"/>
  <c r="BN152" i="3"/>
  <c r="BN130" i="3"/>
  <c r="BN114" i="3"/>
  <c r="BN110" i="3"/>
  <c r="BN100" i="3"/>
  <c r="BN90" i="3"/>
  <c r="BN80" i="3"/>
  <c r="BN70" i="3"/>
  <c r="BN286" i="3"/>
  <c r="BN232" i="3"/>
  <c r="BN177" i="3"/>
  <c r="BN127" i="3"/>
  <c r="BN105" i="3"/>
  <c r="BN95" i="3"/>
  <c r="BN47" i="3"/>
  <c r="BN45" i="3"/>
  <c r="BN43" i="3"/>
  <c r="BN377" i="3"/>
  <c r="BN273" i="3"/>
  <c r="BN216" i="3"/>
  <c r="BN161" i="3"/>
  <c r="BN145" i="3"/>
  <c r="BN140" i="3"/>
  <c r="BN124" i="3"/>
  <c r="BN76" i="3"/>
  <c r="BN66" i="3"/>
  <c r="BN200" i="3"/>
  <c r="BN143" i="3"/>
  <c r="BN137" i="3"/>
  <c r="BN121" i="3"/>
  <c r="BN111" i="3"/>
  <c r="BN101" i="3"/>
  <c r="BN91" i="3"/>
  <c r="BN81" i="3"/>
  <c r="BN71" i="3"/>
  <c r="BN238" i="3"/>
  <c r="BN184" i="3"/>
  <c r="BN134" i="3"/>
  <c r="BN118" i="3"/>
  <c r="BN106" i="3"/>
  <c r="BN96" i="3"/>
  <c r="BN86" i="3"/>
  <c r="BN54" i="3"/>
  <c r="BN318" i="3"/>
  <c r="BN222" i="3"/>
  <c r="BN168" i="3"/>
  <c r="BN131" i="3"/>
  <c r="BN115" i="3"/>
  <c r="BN67" i="3"/>
  <c r="BN31" i="3"/>
  <c r="BN305" i="3"/>
  <c r="BN206" i="3"/>
  <c r="BN128" i="3"/>
  <c r="BN112" i="3"/>
  <c r="BN102" i="3"/>
  <c r="BN92" i="3"/>
  <c r="BN82" i="3"/>
  <c r="BN72" i="3"/>
  <c r="BN52" i="3"/>
  <c r="BN257" i="3"/>
  <c r="BN174" i="3"/>
  <c r="BN154" i="3"/>
  <c r="BN138" i="3"/>
  <c r="BN122" i="3"/>
  <c r="BN60" i="3"/>
  <c r="BN58" i="3"/>
  <c r="BN50" i="3"/>
  <c r="BN48" i="3"/>
  <c r="BN46" i="3"/>
  <c r="BN190" i="3"/>
  <c r="BN25" i="3"/>
  <c r="BN23" i="3"/>
  <c r="BN17" i="3"/>
  <c r="BN16" i="3"/>
  <c r="BN144" i="3"/>
  <c r="BN32" i="3"/>
  <c r="BN21" i="3"/>
  <c r="BN425" i="3"/>
  <c r="BN337" i="3"/>
  <c r="BN18" i="3"/>
  <c r="BN15" i="3"/>
  <c r="BN119" i="3"/>
  <c r="BN59" i="3"/>
  <c r="BN10" i="3"/>
  <c r="BN361" i="3"/>
  <c r="BN141" i="3"/>
  <c r="BN107" i="3"/>
  <c r="BN97" i="3"/>
  <c r="BN87" i="3"/>
  <c r="BN77" i="3"/>
  <c r="BN29" i="3"/>
  <c r="BN28" i="3"/>
  <c r="BN12" i="3"/>
  <c r="BN57" i="3"/>
  <c r="BN14" i="3"/>
  <c r="BN30" i="3"/>
  <c r="BN24" i="3"/>
  <c r="BN19" i="3"/>
  <c r="BN22" i="3"/>
  <c r="BN125" i="3"/>
  <c r="BN44" i="3"/>
  <c r="BN103" i="3"/>
  <c r="BN93" i="3"/>
  <c r="BN83" i="3"/>
  <c r="BN73" i="3"/>
  <c r="BN26" i="3"/>
  <c r="BN20" i="3"/>
  <c r="BN270" i="3"/>
  <c r="BN13" i="3"/>
  <c r="BN11" i="3"/>
  <c r="BN61" i="3"/>
  <c r="BN8" i="3"/>
  <c r="BN135" i="3"/>
  <c r="EM5" i="3"/>
  <c r="EM7" i="3"/>
  <c r="BN34" i="3"/>
  <c r="BN7" i="3"/>
  <c r="BN9" i="3"/>
  <c r="BN6" i="3"/>
  <c r="EM6" i="3"/>
  <c r="BN5" i="3"/>
  <c r="BN35" i="3"/>
  <c r="BN27" i="3"/>
  <c r="EM8" i="3"/>
  <c r="BN1443" i="3"/>
  <c r="BN1427" i="3"/>
  <c r="BN1411" i="3"/>
  <c r="BN1395" i="3"/>
  <c r="BN1379" i="3"/>
  <c r="BN1363" i="3"/>
  <c r="BN1347" i="3"/>
  <c r="BN1331" i="3"/>
  <c r="BN1315" i="3"/>
  <c r="BN1299" i="3"/>
  <c r="BN1283" i="3"/>
  <c r="BN1267" i="3"/>
  <c r="BN1251" i="3"/>
  <c r="BN1235" i="3"/>
  <c r="BN1219" i="3"/>
  <c r="BN1203" i="3"/>
  <c r="BN1187" i="3"/>
  <c r="BN1171" i="3"/>
  <c r="BN1155" i="3"/>
  <c r="BN1139" i="3"/>
  <c r="BN1130" i="3"/>
  <c r="BN1122" i="3"/>
  <c r="BN1114" i="3"/>
  <c r="BN1106" i="3"/>
  <c r="BN1098" i="3"/>
  <c r="BN1090" i="3"/>
  <c r="BN1082" i="3"/>
  <c r="BN1074" i="3"/>
  <c r="BN1066" i="3"/>
  <c r="BN1058" i="3"/>
  <c r="BN1050" i="3"/>
  <c r="BN1042" i="3"/>
  <c r="BN1034" i="3"/>
  <c r="BN1026" i="3"/>
  <c r="BN1018" i="3"/>
  <c r="BN1010" i="3"/>
  <c r="BN1002" i="3"/>
  <c r="BN1448" i="3"/>
  <c r="BN1432" i="3"/>
  <c r="BN1416" i="3"/>
  <c r="BN1400" i="3"/>
  <c r="BN1384" i="3"/>
  <c r="BN1368" i="3"/>
  <c r="BN1352" i="3"/>
  <c r="BN1336" i="3"/>
  <c r="BN1320" i="3"/>
  <c r="BN1304" i="3"/>
  <c r="BN1288" i="3"/>
  <c r="BN1272" i="3"/>
  <c r="BN1256" i="3"/>
  <c r="BN1240" i="3"/>
  <c r="BN1224" i="3"/>
  <c r="BN1208" i="3"/>
  <c r="BN1192" i="3"/>
  <c r="BN1176" i="3"/>
  <c r="BN1160" i="3"/>
  <c r="BN1144" i="3"/>
  <c r="BN1437" i="3"/>
  <c r="BN1421" i="3"/>
  <c r="BN1405" i="3"/>
  <c r="BN1389" i="3"/>
  <c r="BN1373" i="3"/>
  <c r="BN1357" i="3"/>
  <c r="BN1341" i="3"/>
  <c r="BN1325" i="3"/>
  <c r="BN1309" i="3"/>
  <c r="BN1293" i="3"/>
  <c r="BN1277" i="3"/>
  <c r="BN1261" i="3"/>
  <c r="BN1245" i="3"/>
  <c r="BN1229" i="3"/>
  <c r="BN1213" i="3"/>
  <c r="BN1197" i="3"/>
  <c r="BN1181" i="3"/>
  <c r="BN1165" i="3"/>
  <c r="BN1149" i="3"/>
  <c r="BN1135" i="3"/>
  <c r="BN1127" i="3"/>
  <c r="BN1119" i="3"/>
  <c r="BN1111" i="3"/>
  <c r="BN1103" i="3"/>
  <c r="BN1095" i="3"/>
  <c r="BN1087" i="3"/>
  <c r="BN1079" i="3"/>
  <c r="BN1071" i="3"/>
  <c r="BN1063" i="3"/>
  <c r="BN1055" i="3"/>
  <c r="BN1047" i="3"/>
  <c r="BN1442" i="3"/>
  <c r="BN1426" i="3"/>
  <c r="BN1410" i="3"/>
  <c r="BN1394" i="3"/>
  <c r="BN1378" i="3"/>
  <c r="BN1362" i="3"/>
  <c r="BN1346" i="3"/>
  <c r="BN1330" i="3"/>
  <c r="BN1314" i="3"/>
  <c r="BN1298" i="3"/>
  <c r="BN1282" i="3"/>
  <c r="BN1266" i="3"/>
  <c r="BN1250" i="3"/>
  <c r="BN1234" i="3"/>
  <c r="BN1218" i="3"/>
  <c r="BN1202" i="3"/>
  <c r="BN1186" i="3"/>
  <c r="BN1170" i="3"/>
  <c r="BN1154" i="3"/>
  <c r="BN1138" i="3"/>
  <c r="BN1447" i="3"/>
  <c r="BN1431" i="3"/>
  <c r="BN1415" i="3"/>
  <c r="BN1399" i="3"/>
  <c r="BN1383" i="3"/>
  <c r="BN1367" i="3"/>
  <c r="BN1351" i="3"/>
  <c r="BN1335" i="3"/>
  <c r="BN1319" i="3"/>
  <c r="BN1303" i="3"/>
  <c r="BN1287" i="3"/>
  <c r="BN1271" i="3"/>
  <c r="BN1255" i="3"/>
  <c r="BN1239" i="3"/>
  <c r="BN1223" i="3"/>
  <c r="BN1207" i="3"/>
  <c r="BN1191" i="3"/>
  <c r="BN1175" i="3"/>
  <c r="BN1159" i="3"/>
  <c r="BN1143" i="3"/>
  <c r="BN1132" i="3"/>
  <c r="BN1124" i="3"/>
  <c r="BN1116" i="3"/>
  <c r="BN1108" i="3"/>
  <c r="BN1100" i="3"/>
  <c r="BN1092" i="3"/>
  <c r="BN1084" i="3"/>
  <c r="BN1076" i="3"/>
  <c r="BN1068" i="3"/>
  <c r="BN1060" i="3"/>
  <c r="BN1052" i="3"/>
  <c r="BN1436" i="3"/>
  <c r="BN1420" i="3"/>
  <c r="BN1404" i="3"/>
  <c r="BN1388" i="3"/>
  <c r="BN1372" i="3"/>
  <c r="BN1356" i="3"/>
  <c r="BN1340" i="3"/>
  <c r="BN1324" i="3"/>
  <c r="BN1308" i="3"/>
  <c r="BN1292" i="3"/>
  <c r="BN1276" i="3"/>
  <c r="BN1260" i="3"/>
  <c r="BN1244" i="3"/>
  <c r="BN1228" i="3"/>
  <c r="BN1212" i="3"/>
  <c r="BN1196" i="3"/>
  <c r="BN1180" i="3"/>
  <c r="BN1164" i="3"/>
  <c r="BN1148" i="3"/>
  <c r="BN1441" i="3"/>
  <c r="BN1425" i="3"/>
  <c r="BN1409" i="3"/>
  <c r="BN1393" i="3"/>
  <c r="BN1377" i="3"/>
  <c r="BN1361" i="3"/>
  <c r="BN1345" i="3"/>
  <c r="BN1329" i="3"/>
  <c r="BN1313" i="3"/>
  <c r="BN1297" i="3"/>
  <c r="BN1281" i="3"/>
  <c r="BN1265" i="3"/>
  <c r="BN1249" i="3"/>
  <c r="BN1233" i="3"/>
  <c r="BN1217" i="3"/>
  <c r="BN1201" i="3"/>
  <c r="BN1185" i="3"/>
  <c r="BN1169" i="3"/>
  <c r="BN1153" i="3"/>
  <c r="BN1137" i="3"/>
  <c r="BN1129" i="3"/>
  <c r="BN1121" i="3"/>
  <c r="BN1113" i="3"/>
  <c r="BN1105" i="3"/>
  <c r="BN1097" i="3"/>
  <c r="BN1089" i="3"/>
  <c r="BN1081" i="3"/>
  <c r="BN1073" i="3"/>
  <c r="BN1065" i="3"/>
  <c r="BN1446" i="3"/>
  <c r="BN1430" i="3"/>
  <c r="BN1414" i="3"/>
  <c r="BN1398" i="3"/>
  <c r="BN1382" i="3"/>
  <c r="BN1366" i="3"/>
  <c r="BN1350" i="3"/>
  <c r="BN1334" i="3"/>
  <c r="BN1318" i="3"/>
  <c r="BN1302" i="3"/>
  <c r="BN1286" i="3"/>
  <c r="BN1270" i="3"/>
  <c r="BN1254" i="3"/>
  <c r="BN1238" i="3"/>
  <c r="BN1222" i="3"/>
  <c r="BN1206" i="3"/>
  <c r="BN1190" i="3"/>
  <c r="BN1174" i="3"/>
  <c r="BN1158" i="3"/>
  <c r="BN1142" i="3"/>
  <c r="BN1435" i="3"/>
  <c r="BN1419" i="3"/>
  <c r="BN1403" i="3"/>
  <c r="BN1387" i="3"/>
  <c r="BN1371" i="3"/>
  <c r="BN1355" i="3"/>
  <c r="BN1339" i="3"/>
  <c r="BN1323" i="3"/>
  <c r="BN1307" i="3"/>
  <c r="BN1291" i="3"/>
  <c r="BN1275" i="3"/>
  <c r="BN1259" i="3"/>
  <c r="BN1243" i="3"/>
  <c r="BN1227" i="3"/>
  <c r="BN1211" i="3"/>
  <c r="BN1195" i="3"/>
  <c r="BN1179" i="3"/>
  <c r="BN1163" i="3"/>
  <c r="BN1147" i="3"/>
  <c r="BN1134" i="3"/>
  <c r="BN1126" i="3"/>
  <c r="BN1118" i="3"/>
  <c r="BN1440" i="3"/>
  <c r="BN1424" i="3"/>
  <c r="BN1408" i="3"/>
  <c r="BN1392" i="3"/>
  <c r="BN1376" i="3"/>
  <c r="BN1360" i="3"/>
  <c r="BN1344" i="3"/>
  <c r="BN1328" i="3"/>
  <c r="BN1312" i="3"/>
  <c r="BN1296" i="3"/>
  <c r="BN1280" i="3"/>
  <c r="BN1264" i="3"/>
  <c r="BN1248" i="3"/>
  <c r="BN1232" i="3"/>
  <c r="BN1216" i="3"/>
  <c r="BN1200" i="3"/>
  <c r="BN1184" i="3"/>
  <c r="BN1168" i="3"/>
  <c r="BN1152" i="3"/>
  <c r="BN1445" i="3"/>
  <c r="BN1429" i="3"/>
  <c r="BN1413" i="3"/>
  <c r="BN1397" i="3"/>
  <c r="BN1381" i="3"/>
  <c r="BN1365" i="3"/>
  <c r="BN1349" i="3"/>
  <c r="BN1333" i="3"/>
  <c r="BN1317" i="3"/>
  <c r="BN1301" i="3"/>
  <c r="BN1285" i="3"/>
  <c r="BN1269" i="3"/>
  <c r="BN1253" i="3"/>
  <c r="BN1237" i="3"/>
  <c r="BN1221" i="3"/>
  <c r="BN1205" i="3"/>
  <c r="BN1189" i="3"/>
  <c r="BN1173" i="3"/>
  <c r="BN1157" i="3"/>
  <c r="BN1141" i="3"/>
  <c r="BN1131" i="3"/>
  <c r="BN1123" i="3"/>
  <c r="BN1115" i="3"/>
  <c r="BN1107" i="3"/>
  <c r="BN1099" i="3"/>
  <c r="BN1091" i="3"/>
  <c r="BN1083" i="3"/>
  <c r="BN1434" i="3"/>
  <c r="BN1418" i="3"/>
  <c r="BN1402" i="3"/>
  <c r="BN1386" i="3"/>
  <c r="BN1370" i="3"/>
  <c r="BN1354" i="3"/>
  <c r="BN1338" i="3"/>
  <c r="BN1322" i="3"/>
  <c r="BN1306" i="3"/>
  <c r="BN1290" i="3"/>
  <c r="BN1274" i="3"/>
  <c r="BN1258" i="3"/>
  <c r="BN1242" i="3"/>
  <c r="BN1226" i="3"/>
  <c r="BN1210" i="3"/>
  <c r="BN1194" i="3"/>
  <c r="BN1178" i="3"/>
  <c r="BN1162" i="3"/>
  <c r="BN1146" i="3"/>
  <c r="BN1439" i="3"/>
  <c r="BN1423" i="3"/>
  <c r="BN1407" i="3"/>
  <c r="BN1391" i="3"/>
  <c r="BN1375" i="3"/>
  <c r="BN1359" i="3"/>
  <c r="BN1343" i="3"/>
  <c r="BN1327" i="3"/>
  <c r="BN1311" i="3"/>
  <c r="BN1295" i="3"/>
  <c r="BN1279" i="3"/>
  <c r="BN1263" i="3"/>
  <c r="BN1247" i="3"/>
  <c r="BN1231" i="3"/>
  <c r="BN1215" i="3"/>
  <c r="BN1199" i="3"/>
  <c r="BN1183" i="3"/>
  <c r="BN1167" i="3"/>
  <c r="BN1151" i="3"/>
  <c r="BN1136" i="3"/>
  <c r="BN1128" i="3"/>
  <c r="BN1120" i="3"/>
  <c r="BN1433" i="3"/>
  <c r="BN1417" i="3"/>
  <c r="BN1401" i="3"/>
  <c r="BN1385" i="3"/>
  <c r="BN1369" i="3"/>
  <c r="BN1353" i="3"/>
  <c r="BN1337" i="3"/>
  <c r="BN1321" i="3"/>
  <c r="BN1305" i="3"/>
  <c r="BN1289" i="3"/>
  <c r="BN1273" i="3"/>
  <c r="BN1257" i="3"/>
  <c r="BN1241" i="3"/>
  <c r="BN1225" i="3"/>
  <c r="BN1209" i="3"/>
  <c r="BN1193" i="3"/>
  <c r="BN1177" i="3"/>
  <c r="BN1161" i="3"/>
  <c r="BN1145" i="3"/>
  <c r="BN1133" i="3"/>
  <c r="BN1125" i="3"/>
  <c r="BN1117" i="3"/>
  <c r="BN1109" i="3"/>
  <c r="BN1101" i="3"/>
  <c r="BN1093" i="3"/>
  <c r="BN1085" i="3"/>
  <c r="BN1077" i="3"/>
  <c r="BN1069" i="3"/>
  <c r="BN1061" i="3"/>
  <c r="BN1438" i="3"/>
  <c r="BN1422" i="3"/>
  <c r="BN1406" i="3"/>
  <c r="BN1390" i="3"/>
  <c r="BN1374" i="3"/>
  <c r="BN1358" i="3"/>
  <c r="BN1342" i="3"/>
  <c r="BN1214" i="3"/>
  <c r="BN1112" i="3"/>
  <c r="BN1094" i="3"/>
  <c r="BN1072" i="3"/>
  <c r="BN1033" i="3"/>
  <c r="BN1030" i="3"/>
  <c r="BN1027" i="3"/>
  <c r="BN1024" i="3"/>
  <c r="BN1021" i="3"/>
  <c r="BN994" i="3"/>
  <c r="BN1348" i="3"/>
  <c r="BN1252" i="3"/>
  <c r="BN1102" i="3"/>
  <c r="BN1056" i="3"/>
  <c r="BN1039" i="3"/>
  <c r="BN1036" i="3"/>
  <c r="BN991" i="3"/>
  <c r="BN983" i="3"/>
  <c r="BN975" i="3"/>
  <c r="BN967" i="3"/>
  <c r="BN1428" i="3"/>
  <c r="BN1294" i="3"/>
  <c r="BN1166" i="3"/>
  <c r="BN1204" i="3"/>
  <c r="BN1110" i="3"/>
  <c r="BN1045" i="3"/>
  <c r="BN988" i="3"/>
  <c r="BN980" i="3"/>
  <c r="BN972" i="3"/>
  <c r="BN1332" i="3"/>
  <c r="BN1246" i="3"/>
  <c r="BN1070" i="3"/>
  <c r="BN1059" i="3"/>
  <c r="BN1048" i="3"/>
  <c r="BN1017" i="3"/>
  <c r="BN1014" i="3"/>
  <c r="BN1011" i="3"/>
  <c r="BN1008" i="3"/>
  <c r="BN1005" i="3"/>
  <c r="BN999" i="3"/>
  <c r="BN1412" i="3"/>
  <c r="BN1284" i="3"/>
  <c r="BN1156" i="3"/>
  <c r="BN1064" i="3"/>
  <c r="BN1051" i="3"/>
  <c r="BN1023" i="3"/>
  <c r="BN1020" i="3"/>
  <c r="BN996" i="3"/>
  <c r="BN993" i="3"/>
  <c r="BN985" i="3"/>
  <c r="BN977" i="3"/>
  <c r="BN969" i="3"/>
  <c r="BN1326" i="3"/>
  <c r="BN1198" i="3"/>
  <c r="BN1041" i="3"/>
  <c r="BN1038" i="3"/>
  <c r="BN1035" i="3"/>
  <c r="BN1032" i="3"/>
  <c r="BN1029" i="3"/>
  <c r="BN1236" i="3"/>
  <c r="BN1075" i="3"/>
  <c r="BN1044" i="3"/>
  <c r="BN990" i="3"/>
  <c r="BN982" i="3"/>
  <c r="BN974" i="3"/>
  <c r="BN1396" i="3"/>
  <c r="BN1278" i="3"/>
  <c r="BN1150" i="3"/>
  <c r="BN1054" i="3"/>
  <c r="BN1001" i="3"/>
  <c r="BN1316" i="3"/>
  <c r="BN1188" i="3"/>
  <c r="BN1062" i="3"/>
  <c r="BN1007" i="3"/>
  <c r="BN1004" i="3"/>
  <c r="BN998" i="3"/>
  <c r="BN987" i="3"/>
  <c r="BN979" i="3"/>
  <c r="BN971" i="3"/>
  <c r="BN1230" i="3"/>
  <c r="BN1025" i="3"/>
  <c r="BN1022" i="3"/>
  <c r="BN1019" i="3"/>
  <c r="BN1016" i="3"/>
  <c r="BN1013" i="3"/>
  <c r="BN995" i="3"/>
  <c r="BN1380" i="3"/>
  <c r="BN1268" i="3"/>
  <c r="BN1140" i="3"/>
  <c r="BN1080" i="3"/>
  <c r="BN1057" i="3"/>
  <c r="BN1031" i="3"/>
  <c r="BN1028" i="3"/>
  <c r="BN992" i="3"/>
  <c r="BN984" i="3"/>
  <c r="BN976" i="3"/>
  <c r="BN968" i="3"/>
  <c r="BN1310" i="3"/>
  <c r="BN1182" i="3"/>
  <c r="BN1088" i="3"/>
  <c r="BN1067" i="3"/>
  <c r="BN1043" i="3"/>
  <c r="BN1040" i="3"/>
  <c r="BN1037" i="3"/>
  <c r="BN1364" i="3"/>
  <c r="BN1262" i="3"/>
  <c r="BN1104" i="3"/>
  <c r="BN1053" i="3"/>
  <c r="BN1049" i="3"/>
  <c r="BN1009" i="3"/>
  <c r="BN1006" i="3"/>
  <c r="BN1003" i="3"/>
  <c r="BN1000" i="3"/>
  <c r="BN1220" i="3"/>
  <c r="BN1015" i="3"/>
  <c r="BN970" i="3"/>
  <c r="BN989" i="3"/>
  <c r="BN1172" i="3"/>
  <c r="BN1012" i="3"/>
  <c r="BN986" i="3"/>
  <c r="BN981" i="3"/>
  <c r="BN1444" i="3"/>
  <c r="BN1096" i="3"/>
  <c r="BN978" i="3"/>
  <c r="BN973" i="3"/>
  <c r="BN1078" i="3"/>
  <c r="BN1300" i="3"/>
  <c r="BN1086" i="3"/>
  <c r="BN1046" i="3"/>
  <c r="BN997" i="3"/>
  <c r="EM13" i="3"/>
  <c r="EM16" i="3"/>
  <c r="EM15" i="3"/>
  <c r="EM14" i="3"/>
  <c r="BY9" i="3"/>
  <c r="BF257" i="3" l="1"/>
  <c r="BF254" i="3"/>
  <c r="BF251" i="3"/>
  <c r="BF248" i="3"/>
  <c r="BF200" i="3"/>
  <c r="BF258" i="3"/>
  <c r="BF162" i="3"/>
  <c r="BF255" i="3"/>
  <c r="BF252" i="3"/>
  <c r="BF249" i="3"/>
  <c r="BF246" i="3"/>
  <c r="BF227" i="3"/>
  <c r="BF256" i="3"/>
  <c r="BF247" i="3"/>
  <c r="BF151" i="3"/>
  <c r="BF48" i="3"/>
  <c r="BF253" i="3"/>
  <c r="BF113" i="3"/>
  <c r="BF250" i="3"/>
  <c r="BF75" i="3"/>
  <c r="BF124" i="3"/>
  <c r="BF86" i="3"/>
  <c r="BF189" i="3"/>
  <c r="Y10" i="3"/>
  <c r="BF37" i="3"/>
  <c r="Y37" i="3"/>
  <c r="BF10" i="3"/>
  <c r="BF197" i="3"/>
  <c r="BF159" i="3"/>
  <c r="BF230" i="3"/>
  <c r="BF192" i="3"/>
  <c r="BF154" i="3"/>
  <c r="BF83" i="3"/>
  <c r="BF116" i="3"/>
  <c r="BF78" i="3"/>
  <c r="BF45" i="3"/>
  <c r="BF121" i="3"/>
  <c r="Y40" i="3"/>
  <c r="Y7" i="3"/>
  <c r="BF40" i="3"/>
  <c r="BF7" i="3"/>
  <c r="BF241" i="3"/>
  <c r="BF238" i="3"/>
  <c r="BF235" i="3"/>
  <c r="BF245" i="3"/>
  <c r="BF229" i="3"/>
  <c r="BF242" i="3"/>
  <c r="BF239" i="3"/>
  <c r="BF191" i="3"/>
  <c r="BF236" i="3"/>
  <c r="BF233" i="3"/>
  <c r="BF198" i="3"/>
  <c r="BF243" i="3"/>
  <c r="BF240" i="3"/>
  <c r="BF160" i="3"/>
  <c r="BF244" i="3"/>
  <c r="BF77" i="3"/>
  <c r="BF153" i="3"/>
  <c r="BF122" i="3"/>
  <c r="BF46" i="3"/>
  <c r="BF234" i="3"/>
  <c r="BF84" i="3"/>
  <c r="BF237" i="3"/>
  <c r="BF39" i="3"/>
  <c r="Y39" i="3"/>
  <c r="BF115" i="3"/>
  <c r="BF8" i="3"/>
  <c r="Y8" i="3"/>
  <c r="BF232" i="3"/>
  <c r="BF194" i="3"/>
  <c r="BF156" i="3"/>
  <c r="BF195" i="3"/>
  <c r="Y43" i="3"/>
  <c r="BF119" i="3"/>
  <c r="BF157" i="3"/>
  <c r="BF42" i="3"/>
  <c r="BF80" i="3"/>
  <c r="BF43" i="3"/>
  <c r="BF118" i="3"/>
  <c r="Y42" i="3"/>
  <c r="BF81" i="3"/>
  <c r="BF5" i="3"/>
  <c r="Y5" i="3"/>
  <c r="BE212" i="3"/>
  <c r="BE177" i="3"/>
  <c r="BE174" i="3"/>
  <c r="BE60" i="3"/>
  <c r="BE98" i="3"/>
  <c r="BE63" i="3"/>
  <c r="BE139" i="3"/>
  <c r="BE136" i="3"/>
  <c r="BE215" i="3"/>
  <c r="BE101" i="3"/>
  <c r="Z25" i="3"/>
  <c r="BE25" i="3"/>
  <c r="Z22" i="3"/>
  <c r="BE22" i="3"/>
  <c r="BE226" i="3"/>
  <c r="BE188" i="3"/>
  <c r="BE201" i="3"/>
  <c r="BE163" i="3"/>
  <c r="BE112" i="3"/>
  <c r="BE125" i="3"/>
  <c r="BE87" i="3"/>
  <c r="BE36" i="3"/>
  <c r="BE74" i="3"/>
  <c r="BE49" i="3"/>
  <c r="BE150" i="3"/>
  <c r="Z11" i="3"/>
  <c r="BE11" i="3"/>
  <c r="Z36" i="3"/>
  <c r="BF216" i="3"/>
  <c r="BF178" i="3"/>
  <c r="BF211" i="3"/>
  <c r="BF173" i="3"/>
  <c r="BF102" i="3"/>
  <c r="BF97" i="3"/>
  <c r="BF135" i="3"/>
  <c r="BF59" i="3"/>
  <c r="BF64" i="3"/>
  <c r="BF140" i="3"/>
  <c r="Y21" i="3"/>
  <c r="BF21" i="3"/>
  <c r="Y26" i="3"/>
  <c r="BF26" i="3"/>
  <c r="BE324" i="3"/>
  <c r="BE334" i="3"/>
  <c r="BE331" i="3"/>
  <c r="BE328" i="3"/>
  <c r="BE325" i="3"/>
  <c r="BE210" i="3"/>
  <c r="BE335" i="3"/>
  <c r="BE332" i="3"/>
  <c r="BE172" i="3"/>
  <c r="BE329" i="3"/>
  <c r="BE217" i="3"/>
  <c r="BE326" i="3"/>
  <c r="BE179" i="3"/>
  <c r="BE330" i="3"/>
  <c r="BE327" i="3"/>
  <c r="BE336" i="3"/>
  <c r="BE141" i="3"/>
  <c r="BE58" i="3"/>
  <c r="BE103" i="3"/>
  <c r="BE333" i="3"/>
  <c r="BE65" i="3"/>
  <c r="BE27" i="3"/>
  <c r="BE20" i="3"/>
  <c r="BE96" i="3"/>
  <c r="Z27" i="3"/>
  <c r="Z20" i="3"/>
  <c r="BE134" i="3"/>
  <c r="HY652" i="3"/>
  <c r="HY814" i="3"/>
  <c r="HY976" i="3"/>
  <c r="HY490" i="3"/>
  <c r="HY166" i="3"/>
  <c r="HX22" i="3"/>
  <c r="HX15" i="3"/>
  <c r="HX20" i="3"/>
  <c r="HX10" i="3"/>
  <c r="HY328" i="3"/>
  <c r="HX16" i="3"/>
  <c r="HX17" i="3"/>
  <c r="HX23" i="3"/>
  <c r="HX14" i="3"/>
  <c r="HX12" i="3"/>
  <c r="HX21" i="3"/>
  <c r="HX18" i="3"/>
  <c r="ET9" i="3"/>
  <c r="HX11" i="3"/>
  <c r="HX19" i="3"/>
  <c r="HX13" i="3"/>
  <c r="HX6" i="3"/>
  <c r="ET6" i="3"/>
  <c r="HX9" i="3"/>
  <c r="ET8" i="3"/>
  <c r="ET5" i="3"/>
  <c r="HX5" i="3"/>
  <c r="HX8" i="3"/>
  <c r="HX7" i="3"/>
  <c r="HX24" i="3"/>
  <c r="ET7" i="3"/>
  <c r="C511" i="1"/>
  <c r="C263" i="1"/>
  <c r="BE260" i="3"/>
  <c r="BE148" i="3"/>
  <c r="BE270" i="3"/>
  <c r="BE267" i="3"/>
  <c r="BE203" i="3"/>
  <c r="BE264" i="3"/>
  <c r="BE261" i="3"/>
  <c r="BE165" i="3"/>
  <c r="BE271" i="3"/>
  <c r="BE268" i="3"/>
  <c r="BE265" i="3"/>
  <c r="BE262" i="3"/>
  <c r="BE259" i="3"/>
  <c r="BE266" i="3"/>
  <c r="BE186" i="3"/>
  <c r="BE263" i="3"/>
  <c r="BE72" i="3"/>
  <c r="BE224" i="3"/>
  <c r="BE89" i="3"/>
  <c r="BE51" i="3"/>
  <c r="BE110" i="3"/>
  <c r="BE127" i="3"/>
  <c r="BE34" i="3"/>
  <c r="Z13" i="3"/>
  <c r="Z34" i="3"/>
  <c r="BE13" i="3"/>
  <c r="BE269" i="3"/>
  <c r="BE321" i="3"/>
  <c r="BE318" i="3"/>
  <c r="BE315" i="3"/>
  <c r="BE219" i="3"/>
  <c r="BE312" i="3"/>
  <c r="BE181" i="3"/>
  <c r="BE322" i="3"/>
  <c r="BE319" i="3"/>
  <c r="BE316" i="3"/>
  <c r="BE313" i="3"/>
  <c r="BE323" i="3"/>
  <c r="BE314" i="3"/>
  <c r="BE170" i="3"/>
  <c r="BE311" i="3"/>
  <c r="BE67" i="3"/>
  <c r="BE132" i="3"/>
  <c r="BE56" i="3"/>
  <c r="BE94" i="3"/>
  <c r="BE320" i="3"/>
  <c r="BE208" i="3"/>
  <c r="BE105" i="3"/>
  <c r="BE143" i="3"/>
  <c r="Z18" i="3"/>
  <c r="BE317" i="3"/>
  <c r="BE18" i="3"/>
  <c r="BE29" i="3"/>
  <c r="Z29" i="3"/>
  <c r="HZ481" i="3"/>
  <c r="HZ473" i="3"/>
  <c r="HZ465" i="3"/>
  <c r="HZ455" i="3"/>
  <c r="HZ439" i="3"/>
  <c r="HZ423" i="3"/>
  <c r="HZ407" i="3"/>
  <c r="HZ391" i="3"/>
  <c r="HZ375" i="3"/>
  <c r="HZ359" i="3"/>
  <c r="HZ452" i="3"/>
  <c r="HZ436" i="3"/>
  <c r="HZ420" i="3"/>
  <c r="HZ404" i="3"/>
  <c r="HZ388" i="3"/>
  <c r="HZ372" i="3"/>
  <c r="HZ356" i="3"/>
  <c r="HZ486" i="3"/>
  <c r="HZ478" i="3"/>
  <c r="HZ470" i="3"/>
  <c r="HZ462" i="3"/>
  <c r="HZ449" i="3"/>
  <c r="HZ433" i="3"/>
  <c r="HZ417" i="3"/>
  <c r="HZ401" i="3"/>
  <c r="HZ385" i="3"/>
  <c r="HZ369" i="3"/>
  <c r="HZ446" i="3"/>
  <c r="HZ430" i="3"/>
  <c r="HZ414" i="3"/>
  <c r="HZ398" i="3"/>
  <c r="HZ382" i="3"/>
  <c r="HZ366" i="3"/>
  <c r="HZ483" i="3"/>
  <c r="HZ475" i="3"/>
  <c r="HZ467" i="3"/>
  <c r="HZ459" i="3"/>
  <c r="HZ443" i="3"/>
  <c r="HZ427" i="3"/>
  <c r="HZ411" i="3"/>
  <c r="HZ395" i="3"/>
  <c r="HZ379" i="3"/>
  <c r="HZ363" i="3"/>
  <c r="HZ456" i="3"/>
  <c r="HZ440" i="3"/>
  <c r="HZ424" i="3"/>
  <c r="HZ408" i="3"/>
  <c r="HZ392" i="3"/>
  <c r="HZ376" i="3"/>
  <c r="HZ360" i="3"/>
  <c r="HZ488" i="3"/>
  <c r="HZ480" i="3"/>
  <c r="HZ472" i="3"/>
  <c r="HZ464" i="3"/>
  <c r="HZ453" i="3"/>
  <c r="HZ437" i="3"/>
  <c r="HZ421" i="3"/>
  <c r="HZ405" i="3"/>
  <c r="HZ389" i="3"/>
  <c r="HZ373" i="3"/>
  <c r="HZ357" i="3"/>
  <c r="HZ450" i="3"/>
  <c r="HZ434" i="3"/>
  <c r="HZ418" i="3"/>
  <c r="HZ402" i="3"/>
  <c r="HZ386" i="3"/>
  <c r="HZ370" i="3"/>
  <c r="HZ354" i="3"/>
  <c r="HZ485" i="3"/>
  <c r="HZ477" i="3"/>
  <c r="HZ469" i="3"/>
  <c r="HZ461" i="3"/>
  <c r="HZ447" i="3"/>
  <c r="HZ431" i="3"/>
  <c r="HZ415" i="3"/>
  <c r="HZ399" i="3"/>
  <c r="HZ383" i="3"/>
  <c r="HZ367" i="3"/>
  <c r="HZ351" i="3"/>
  <c r="HZ444" i="3"/>
  <c r="HZ428" i="3"/>
  <c r="HZ412" i="3"/>
  <c r="HZ396" i="3"/>
  <c r="HZ380" i="3"/>
  <c r="HZ364" i="3"/>
  <c r="HZ482" i="3"/>
  <c r="HZ474" i="3"/>
  <c r="HZ466" i="3"/>
  <c r="HZ457" i="3"/>
  <c r="HZ441" i="3"/>
  <c r="HZ425" i="3"/>
  <c r="HZ409" i="3"/>
  <c r="HZ393" i="3"/>
  <c r="HZ377" i="3"/>
  <c r="HZ361" i="3"/>
  <c r="HZ454" i="3"/>
  <c r="HZ438" i="3"/>
  <c r="HZ422" i="3"/>
  <c r="HZ406" i="3"/>
  <c r="HZ390" i="3"/>
  <c r="HZ374" i="3"/>
  <c r="HZ484" i="3"/>
  <c r="HZ476" i="3"/>
  <c r="HZ468" i="3"/>
  <c r="HZ460" i="3"/>
  <c r="HZ445" i="3"/>
  <c r="HZ429" i="3"/>
  <c r="HZ413" i="3"/>
  <c r="HZ397" i="3"/>
  <c r="HZ381" i="3"/>
  <c r="HZ365" i="3"/>
  <c r="HZ458" i="3"/>
  <c r="HZ442" i="3"/>
  <c r="HZ426" i="3"/>
  <c r="HZ348" i="3"/>
  <c r="HZ332" i="3"/>
  <c r="HZ345" i="3"/>
  <c r="HZ329" i="3"/>
  <c r="HZ342" i="3"/>
  <c r="HZ432" i="3"/>
  <c r="HZ339" i="3"/>
  <c r="HZ471" i="3"/>
  <c r="HZ419" i="3"/>
  <c r="HZ358" i="3"/>
  <c r="HZ336" i="3"/>
  <c r="HZ403" i="3"/>
  <c r="HZ353" i="3"/>
  <c r="HZ333" i="3"/>
  <c r="HZ387" i="3"/>
  <c r="HZ349" i="3"/>
  <c r="HZ346" i="3"/>
  <c r="HZ330" i="3"/>
  <c r="HZ371" i="3"/>
  <c r="HZ343" i="3"/>
  <c r="HZ327" i="3"/>
  <c r="HZ487" i="3"/>
  <c r="HZ451" i="3"/>
  <c r="HZ410" i="3"/>
  <c r="HZ355" i="3"/>
  <c r="HZ340" i="3"/>
  <c r="HZ394" i="3"/>
  <c r="HZ337" i="3"/>
  <c r="HZ463" i="3"/>
  <c r="HZ378" i="3"/>
  <c r="HZ334" i="3"/>
  <c r="HZ416" i="3"/>
  <c r="HZ362" i="3"/>
  <c r="HZ350" i="3"/>
  <c r="HZ347" i="3"/>
  <c r="HZ331" i="3"/>
  <c r="HZ479" i="3"/>
  <c r="HZ435" i="3"/>
  <c r="HZ368" i="3"/>
  <c r="HZ338" i="3"/>
  <c r="HZ335" i="3"/>
  <c r="HZ400" i="3"/>
  <c r="HZ344" i="3"/>
  <c r="HZ352" i="3"/>
  <c r="HZ384" i="3"/>
  <c r="HZ448" i="3"/>
  <c r="HZ341" i="3"/>
  <c r="HZ328" i="3"/>
  <c r="AQ18" i="3"/>
  <c r="AE11" i="3"/>
  <c r="BF343" i="3" s="1"/>
  <c r="AE8" i="3"/>
  <c r="BF340" i="3" s="1"/>
  <c r="AE5" i="3"/>
  <c r="BF337" i="3" s="1"/>
  <c r="EA6" i="3"/>
  <c r="BE308" i="3"/>
  <c r="BE305" i="3"/>
  <c r="BE302" i="3"/>
  <c r="BE206" i="3"/>
  <c r="BE299" i="3"/>
  <c r="BE168" i="3"/>
  <c r="BE309" i="3"/>
  <c r="BE306" i="3"/>
  <c r="BE303" i="3"/>
  <c r="BE300" i="3"/>
  <c r="BE310" i="3"/>
  <c r="BE307" i="3"/>
  <c r="BE298" i="3"/>
  <c r="BE92" i="3"/>
  <c r="BE107" i="3"/>
  <c r="BE301" i="3"/>
  <c r="BE69" i="3"/>
  <c r="BE145" i="3"/>
  <c r="BE130" i="3"/>
  <c r="BE304" i="3"/>
  <c r="BE221" i="3"/>
  <c r="BE54" i="3"/>
  <c r="BE183" i="3"/>
  <c r="Z31" i="3"/>
  <c r="BE16" i="3"/>
  <c r="BE31" i="3"/>
  <c r="Z16" i="3"/>
  <c r="HZ812" i="3"/>
  <c r="HZ804" i="3"/>
  <c r="HZ796" i="3"/>
  <c r="HZ788" i="3"/>
  <c r="HZ780" i="3"/>
  <c r="HZ772" i="3"/>
  <c r="HZ764" i="3"/>
  <c r="HZ756" i="3"/>
  <c r="HZ748" i="3"/>
  <c r="HZ740" i="3"/>
  <c r="HZ732" i="3"/>
  <c r="HZ724" i="3"/>
  <c r="HZ716" i="3"/>
  <c r="HZ708" i="3"/>
  <c r="HZ700" i="3"/>
  <c r="HZ692" i="3"/>
  <c r="HZ684" i="3"/>
  <c r="HZ676" i="3"/>
  <c r="HZ668" i="3"/>
  <c r="HZ660" i="3"/>
  <c r="HZ652" i="3"/>
  <c r="HZ809" i="3"/>
  <c r="HZ801" i="3"/>
  <c r="HZ793" i="3"/>
  <c r="HZ785" i="3"/>
  <c r="HZ777" i="3"/>
  <c r="HZ769" i="3"/>
  <c r="HZ761" i="3"/>
  <c r="HZ753" i="3"/>
  <c r="HZ745" i="3"/>
  <c r="HZ737" i="3"/>
  <c r="HZ729" i="3"/>
  <c r="HZ721" i="3"/>
  <c r="HZ713" i="3"/>
  <c r="HZ705" i="3"/>
  <c r="HZ697" i="3"/>
  <c r="HZ689" i="3"/>
  <c r="HZ681" i="3"/>
  <c r="HZ673" i="3"/>
  <c r="HZ665" i="3"/>
  <c r="HZ657" i="3"/>
  <c r="HZ806" i="3"/>
  <c r="HZ798" i="3"/>
  <c r="HZ790" i="3"/>
  <c r="HZ782" i="3"/>
  <c r="HZ774" i="3"/>
  <c r="HZ766" i="3"/>
  <c r="HZ758" i="3"/>
  <c r="HZ750" i="3"/>
  <c r="HZ742" i="3"/>
  <c r="HZ734" i="3"/>
  <c r="HZ726" i="3"/>
  <c r="HZ718" i="3"/>
  <c r="HZ710" i="3"/>
  <c r="HZ702" i="3"/>
  <c r="HZ694" i="3"/>
  <c r="HZ686" i="3"/>
  <c r="HZ678" i="3"/>
  <c r="HZ670" i="3"/>
  <c r="HZ662" i="3"/>
  <c r="HZ654" i="3"/>
  <c r="HZ811" i="3"/>
  <c r="HZ803" i="3"/>
  <c r="HZ795" i="3"/>
  <c r="HZ787" i="3"/>
  <c r="HZ779" i="3"/>
  <c r="HZ771" i="3"/>
  <c r="HZ763" i="3"/>
  <c r="HZ755" i="3"/>
  <c r="HZ747" i="3"/>
  <c r="HZ739" i="3"/>
  <c r="HZ731" i="3"/>
  <c r="HZ723" i="3"/>
  <c r="HZ715" i="3"/>
  <c r="HZ707" i="3"/>
  <c r="HZ699" i="3"/>
  <c r="HZ691" i="3"/>
  <c r="HZ683" i="3"/>
  <c r="HZ675" i="3"/>
  <c r="HZ667" i="3"/>
  <c r="HZ659" i="3"/>
  <c r="HZ651" i="3"/>
  <c r="HZ808" i="3"/>
  <c r="HZ800" i="3"/>
  <c r="HZ792" i="3"/>
  <c r="HZ784" i="3"/>
  <c r="HZ776" i="3"/>
  <c r="HZ768" i="3"/>
  <c r="HZ760" i="3"/>
  <c r="HZ752" i="3"/>
  <c r="HZ744" i="3"/>
  <c r="HZ736" i="3"/>
  <c r="HZ728" i="3"/>
  <c r="HZ720" i="3"/>
  <c r="HZ712" i="3"/>
  <c r="HZ704" i="3"/>
  <c r="HZ696" i="3"/>
  <c r="HZ805" i="3"/>
  <c r="HZ797" i="3"/>
  <c r="HZ789" i="3"/>
  <c r="HZ781" i="3"/>
  <c r="HZ773" i="3"/>
  <c r="HZ765" i="3"/>
  <c r="HZ757" i="3"/>
  <c r="HZ749" i="3"/>
  <c r="HZ741" i="3"/>
  <c r="HZ733" i="3"/>
  <c r="HZ725" i="3"/>
  <c r="HZ717" i="3"/>
  <c r="HZ709" i="3"/>
  <c r="HZ701" i="3"/>
  <c r="HZ693" i="3"/>
  <c r="HZ685" i="3"/>
  <c r="HZ677" i="3"/>
  <c r="HZ669" i="3"/>
  <c r="HZ810" i="3"/>
  <c r="HZ802" i="3"/>
  <c r="HZ794" i="3"/>
  <c r="HZ786" i="3"/>
  <c r="HZ778" i="3"/>
  <c r="HZ770" i="3"/>
  <c r="HZ762" i="3"/>
  <c r="HZ754" i="3"/>
  <c r="HZ746" i="3"/>
  <c r="HZ738" i="3"/>
  <c r="HZ730" i="3"/>
  <c r="HZ722" i="3"/>
  <c r="HZ714" i="3"/>
  <c r="HZ706" i="3"/>
  <c r="HZ698" i="3"/>
  <c r="HZ807" i="3"/>
  <c r="HZ799" i="3"/>
  <c r="HZ791" i="3"/>
  <c r="HZ783" i="3"/>
  <c r="HZ775" i="3"/>
  <c r="HZ767" i="3"/>
  <c r="HZ759" i="3"/>
  <c r="HZ751" i="3"/>
  <c r="HZ743" i="3"/>
  <c r="HZ735" i="3"/>
  <c r="HZ727" i="3"/>
  <c r="HZ719" i="3"/>
  <c r="HZ711" i="3"/>
  <c r="HZ703" i="3"/>
  <c r="HZ695" i="3"/>
  <c r="HZ687" i="3"/>
  <c r="HZ679" i="3"/>
  <c r="HZ671" i="3"/>
  <c r="HZ663" i="3"/>
  <c r="HZ655" i="3"/>
  <c r="HZ664" i="3"/>
  <c r="HZ672" i="3"/>
  <c r="HZ656" i="3"/>
  <c r="HZ680" i="3"/>
  <c r="HZ690" i="3"/>
  <c r="HZ688" i="3"/>
  <c r="HZ661" i="3"/>
  <c r="HZ653" i="3"/>
  <c r="HZ674" i="3"/>
  <c r="HZ658" i="3"/>
  <c r="HZ682" i="3"/>
  <c r="HZ666" i="3"/>
  <c r="AE19" i="3"/>
  <c r="BF350" i="3" s="1"/>
  <c r="AE16" i="3"/>
  <c r="BF347" i="3" s="1"/>
  <c r="EA10" i="3"/>
  <c r="AE13" i="3"/>
  <c r="BF344" i="3" s="1"/>
  <c r="EA9" i="3"/>
  <c r="BE228" i="3"/>
  <c r="BE161" i="3"/>
  <c r="BE190" i="3"/>
  <c r="BE152" i="3"/>
  <c r="BE38" i="3"/>
  <c r="BE123" i="3"/>
  <c r="BE85" i="3"/>
  <c r="BE114" i="3"/>
  <c r="Z38" i="3"/>
  <c r="BE199" i="3"/>
  <c r="BE47" i="3"/>
  <c r="BE76" i="3"/>
  <c r="BE9" i="3"/>
  <c r="Z9" i="3"/>
  <c r="BE180" i="3"/>
  <c r="BE209" i="3"/>
  <c r="BE171" i="3"/>
  <c r="BE218" i="3"/>
  <c r="BE57" i="3"/>
  <c r="BE142" i="3"/>
  <c r="BE104" i="3"/>
  <c r="BE133" i="3"/>
  <c r="BE95" i="3"/>
  <c r="Z28" i="3"/>
  <c r="BE66" i="3"/>
  <c r="Z19" i="3"/>
  <c r="BE28" i="3"/>
  <c r="BE19" i="3"/>
  <c r="HZ1132" i="3"/>
  <c r="HZ1124" i="3"/>
  <c r="HZ1116" i="3"/>
  <c r="HZ1108" i="3"/>
  <c r="HZ1100" i="3"/>
  <c r="HZ1092" i="3"/>
  <c r="HZ1084" i="3"/>
  <c r="HZ1076" i="3"/>
  <c r="HZ1068" i="3"/>
  <c r="HZ1060" i="3"/>
  <c r="HZ1052" i="3"/>
  <c r="HZ1129" i="3"/>
  <c r="HZ1121" i="3"/>
  <c r="HZ1113" i="3"/>
  <c r="HZ1105" i="3"/>
  <c r="HZ1097" i="3"/>
  <c r="HZ1089" i="3"/>
  <c r="HZ1081" i="3"/>
  <c r="HZ1073" i="3"/>
  <c r="HZ1065" i="3"/>
  <c r="HZ1134" i="3"/>
  <c r="HZ1126" i="3"/>
  <c r="HZ1118" i="3"/>
  <c r="HZ1110" i="3"/>
  <c r="HZ1102" i="3"/>
  <c r="HZ1094" i="3"/>
  <c r="HZ1086" i="3"/>
  <c r="HZ1078" i="3"/>
  <c r="HZ1070" i="3"/>
  <c r="HZ1062" i="3"/>
  <c r="HZ1054" i="3"/>
  <c r="HZ1046" i="3"/>
  <c r="HZ1038" i="3"/>
  <c r="HZ1030" i="3"/>
  <c r="HZ1022" i="3"/>
  <c r="HZ1014" i="3"/>
  <c r="HZ1006" i="3"/>
  <c r="HZ998" i="3"/>
  <c r="HZ1131" i="3"/>
  <c r="HZ1123" i="3"/>
  <c r="HZ1115" i="3"/>
  <c r="HZ1107" i="3"/>
  <c r="HZ1099" i="3"/>
  <c r="HZ1091" i="3"/>
  <c r="HZ1083" i="3"/>
  <c r="HZ1136" i="3"/>
  <c r="HZ1128" i="3"/>
  <c r="HZ1120" i="3"/>
  <c r="HZ1112" i="3"/>
  <c r="HZ1104" i="3"/>
  <c r="HZ1096" i="3"/>
  <c r="HZ1088" i="3"/>
  <c r="HZ1080" i="3"/>
  <c r="HZ1072" i="3"/>
  <c r="HZ1064" i="3"/>
  <c r="HZ1133" i="3"/>
  <c r="HZ1125" i="3"/>
  <c r="HZ1117" i="3"/>
  <c r="HZ1109" i="3"/>
  <c r="HZ1103" i="3"/>
  <c r="HZ1085" i="3"/>
  <c r="HZ1045" i="3"/>
  <c r="HZ988" i="3"/>
  <c r="HZ980" i="3"/>
  <c r="HZ1130" i="3"/>
  <c r="HZ1093" i="3"/>
  <c r="HZ1077" i="3"/>
  <c r="HZ1059" i="3"/>
  <c r="HZ1048" i="3"/>
  <c r="HZ1011" i="3"/>
  <c r="HZ1008" i="3"/>
  <c r="HZ1005" i="3"/>
  <c r="HZ1002" i="3"/>
  <c r="HZ999" i="3"/>
  <c r="HZ1111" i="3"/>
  <c r="HZ1101" i="3"/>
  <c r="HZ1071" i="3"/>
  <c r="HZ1051" i="3"/>
  <c r="HZ1020" i="3"/>
  <c r="HZ1017" i="3"/>
  <c r="HZ996" i="3"/>
  <c r="HZ985" i="3"/>
  <c r="HZ977" i="3"/>
  <c r="HZ1035" i="3"/>
  <c r="HZ1032" i="3"/>
  <c r="HZ1029" i="3"/>
  <c r="HZ1026" i="3"/>
  <c r="HZ1023" i="3"/>
  <c r="HZ993" i="3"/>
  <c r="HZ1127" i="3"/>
  <c r="HZ1055" i="3"/>
  <c r="HZ1041" i="3"/>
  <c r="HZ990" i="3"/>
  <c r="HZ982" i="3"/>
  <c r="HZ1075" i="3"/>
  <c r="HZ1044" i="3"/>
  <c r="HZ1069" i="3"/>
  <c r="HZ1004" i="3"/>
  <c r="HZ1001" i="3"/>
  <c r="HZ987" i="3"/>
  <c r="HZ979" i="3"/>
  <c r="HZ1122" i="3"/>
  <c r="HZ1082" i="3"/>
  <c r="HZ1063" i="3"/>
  <c r="HZ1058" i="3"/>
  <c r="HZ1047" i="3"/>
  <c r="HZ1019" i="3"/>
  <c r="HZ1016" i="3"/>
  <c r="HZ1013" i="3"/>
  <c r="HZ1010" i="3"/>
  <c r="HZ1007" i="3"/>
  <c r="HZ995" i="3"/>
  <c r="HZ1090" i="3"/>
  <c r="HZ1050" i="3"/>
  <c r="HZ1028" i="3"/>
  <c r="HZ1025" i="3"/>
  <c r="HZ992" i="3"/>
  <c r="HZ984" i="3"/>
  <c r="HZ976" i="3"/>
  <c r="HZ1098" i="3"/>
  <c r="HZ1043" i="3"/>
  <c r="HZ1040" i="3"/>
  <c r="HZ1037" i="3"/>
  <c r="HZ1034" i="3"/>
  <c r="HZ1031" i="3"/>
  <c r="HZ1119" i="3"/>
  <c r="HZ1106" i="3"/>
  <c r="HZ1074" i="3"/>
  <c r="HZ1067" i="3"/>
  <c r="HZ1057" i="3"/>
  <c r="HZ989" i="3"/>
  <c r="HZ981" i="3"/>
  <c r="HZ1053" i="3"/>
  <c r="HZ1003" i="3"/>
  <c r="HZ1000" i="3"/>
  <c r="HZ1061" i="3"/>
  <c r="HZ1049" i="3"/>
  <c r="HZ1012" i="3"/>
  <c r="HZ1009" i="3"/>
  <c r="HZ997" i="3"/>
  <c r="HZ986" i="3"/>
  <c r="HZ978" i="3"/>
  <c r="HZ1135" i="3"/>
  <c r="HZ1087" i="3"/>
  <c r="HZ1056" i="3"/>
  <c r="HZ1036" i="3"/>
  <c r="HZ1033" i="3"/>
  <c r="HZ991" i="3"/>
  <c r="HZ983" i="3"/>
  <c r="HZ975" i="3"/>
  <c r="HZ1015" i="3"/>
  <c r="HZ1039" i="3"/>
  <c r="HZ1066" i="3"/>
  <c r="HZ1114" i="3"/>
  <c r="HZ1027" i="3"/>
  <c r="HZ1024" i="3"/>
  <c r="HZ1095" i="3"/>
  <c r="HZ1079" i="3"/>
  <c r="HZ1018" i="3"/>
  <c r="HZ994" i="3"/>
  <c r="HZ1042" i="3"/>
  <c r="HZ1021" i="3"/>
  <c r="BE276" i="3"/>
  <c r="BF273" i="3"/>
  <c r="BE273" i="3"/>
  <c r="BF283" i="3"/>
  <c r="BE283" i="3"/>
  <c r="BF280" i="3"/>
  <c r="BE280" i="3"/>
  <c r="BF277" i="3"/>
  <c r="BE277" i="3"/>
  <c r="BF274" i="3"/>
  <c r="BE274" i="3"/>
  <c r="BF223" i="3"/>
  <c r="BF284" i="3"/>
  <c r="BE223" i="3"/>
  <c r="BF204" i="3"/>
  <c r="BE284" i="3"/>
  <c r="BF281" i="3"/>
  <c r="BE204" i="3"/>
  <c r="BF185" i="3"/>
  <c r="BE281" i="3"/>
  <c r="BF278" i="3"/>
  <c r="BE185" i="3"/>
  <c r="BF166" i="3"/>
  <c r="BE278" i="3"/>
  <c r="BF275" i="3"/>
  <c r="BE166" i="3"/>
  <c r="BE275" i="3"/>
  <c r="BF272" i="3"/>
  <c r="BE282" i="3"/>
  <c r="BF279" i="3"/>
  <c r="BE279" i="3"/>
  <c r="BF276" i="3"/>
  <c r="BF128" i="3"/>
  <c r="BF52" i="3"/>
  <c r="BE128" i="3"/>
  <c r="BE52" i="3"/>
  <c r="BE33" i="3"/>
  <c r="BF109" i="3"/>
  <c r="BE109" i="3"/>
  <c r="BE272" i="3"/>
  <c r="BF90" i="3"/>
  <c r="BE90" i="3"/>
  <c r="BF147" i="3"/>
  <c r="BE71" i="3"/>
  <c r="Y33" i="3"/>
  <c r="BF33" i="3"/>
  <c r="BF282" i="3"/>
  <c r="BF14" i="3"/>
  <c r="Z14" i="3"/>
  <c r="BE147" i="3"/>
  <c r="BF71" i="3"/>
  <c r="BE14" i="3"/>
  <c r="Y14" i="3"/>
  <c r="Z33" i="3"/>
  <c r="BE164" i="3"/>
  <c r="BE225" i="3"/>
  <c r="BE187" i="3"/>
  <c r="BE149" i="3"/>
  <c r="BE202" i="3"/>
  <c r="BE50" i="3"/>
  <c r="BE73" i="3"/>
  <c r="BE88" i="3"/>
  <c r="BE126" i="3"/>
  <c r="BE111" i="3"/>
  <c r="BE35" i="3"/>
  <c r="Z35" i="3"/>
  <c r="BE12" i="3"/>
  <c r="Z12" i="3"/>
  <c r="BF207" i="3"/>
  <c r="BF220" i="3"/>
  <c r="BF169" i="3"/>
  <c r="BF182" i="3"/>
  <c r="BF144" i="3"/>
  <c r="BF93" i="3"/>
  <c r="BF68" i="3"/>
  <c r="BF55" i="3"/>
  <c r="Y30" i="3"/>
  <c r="BF106" i="3"/>
  <c r="BF131" i="3"/>
  <c r="Y17" i="3"/>
  <c r="BF17" i="3"/>
  <c r="BF30" i="3"/>
  <c r="CB42" i="3"/>
  <c r="CB41" i="3"/>
  <c r="CB47" i="3"/>
  <c r="CB45" i="3"/>
  <c r="CB43" i="3"/>
  <c r="CB48" i="3"/>
  <c r="CB46" i="3"/>
  <c r="CB44" i="3"/>
  <c r="CB79" i="3"/>
  <c r="CB80" i="3"/>
  <c r="CB81" i="3"/>
  <c r="CB82" i="3"/>
  <c r="CB77" i="3"/>
  <c r="CB83" i="3"/>
  <c r="CB78" i="3"/>
  <c r="CB84" i="3"/>
  <c r="BE216" i="3"/>
  <c r="BE178" i="3"/>
  <c r="BE211" i="3"/>
  <c r="BE173" i="3"/>
  <c r="BE102" i="3"/>
  <c r="BE97" i="3"/>
  <c r="BE135" i="3"/>
  <c r="BE59" i="3"/>
  <c r="BE64" i="3"/>
  <c r="BE26" i="3"/>
  <c r="Z21" i="3"/>
  <c r="BE140" i="3"/>
  <c r="BE21" i="3"/>
  <c r="Z26" i="3"/>
  <c r="HZ156" i="3"/>
  <c r="HZ153" i="3"/>
  <c r="HZ150" i="3"/>
  <c r="HZ163" i="3"/>
  <c r="HZ160" i="3"/>
  <c r="HZ157" i="3"/>
  <c r="HZ154" i="3"/>
  <c r="HZ151" i="3"/>
  <c r="HZ164" i="3"/>
  <c r="HZ161" i="3"/>
  <c r="HZ158" i="3"/>
  <c r="HZ155" i="3"/>
  <c r="HZ162" i="3"/>
  <c r="HZ146" i="3"/>
  <c r="HZ149" i="3"/>
  <c r="HZ142" i="3"/>
  <c r="HZ139" i="3"/>
  <c r="HZ123" i="3"/>
  <c r="HZ75" i="3"/>
  <c r="HZ65" i="3"/>
  <c r="HZ49" i="3"/>
  <c r="HZ47" i="3"/>
  <c r="HZ45" i="3"/>
  <c r="HZ136" i="3"/>
  <c r="HZ120" i="3"/>
  <c r="HZ110" i="3"/>
  <c r="HZ100" i="3"/>
  <c r="HZ90" i="3"/>
  <c r="HZ80" i="3"/>
  <c r="HZ70" i="3"/>
  <c r="HZ43" i="3"/>
  <c r="HZ133" i="3"/>
  <c r="HZ117" i="3"/>
  <c r="HZ105" i="3"/>
  <c r="HZ95" i="3"/>
  <c r="HZ85" i="3"/>
  <c r="HZ148" i="3"/>
  <c r="HZ130" i="3"/>
  <c r="HZ114" i="3"/>
  <c r="HZ66" i="3"/>
  <c r="HZ54" i="3"/>
  <c r="HZ152" i="3"/>
  <c r="HZ127" i="3"/>
  <c r="HZ111" i="3"/>
  <c r="HZ101" i="3"/>
  <c r="HZ91" i="3"/>
  <c r="HZ81" i="3"/>
  <c r="HZ71" i="3"/>
  <c r="HZ145" i="3"/>
  <c r="HZ140" i="3"/>
  <c r="HZ124" i="3"/>
  <c r="HZ106" i="3"/>
  <c r="HZ96" i="3"/>
  <c r="HZ86" i="3"/>
  <c r="HZ76" i="3"/>
  <c r="HZ52" i="3"/>
  <c r="HZ137" i="3"/>
  <c r="HZ121" i="3"/>
  <c r="HZ31" i="3"/>
  <c r="HZ143" i="3"/>
  <c r="HZ134" i="3"/>
  <c r="HZ118" i="3"/>
  <c r="HZ102" i="3"/>
  <c r="HZ92" i="3"/>
  <c r="HZ82" i="3"/>
  <c r="HZ72" i="3"/>
  <c r="HZ50" i="3"/>
  <c r="HZ48" i="3"/>
  <c r="HZ131" i="3"/>
  <c r="HZ115" i="3"/>
  <c r="HZ107" i="3"/>
  <c r="HZ97" i="3"/>
  <c r="HZ87" i="3"/>
  <c r="HZ77" i="3"/>
  <c r="HZ67" i="3"/>
  <c r="HZ59" i="3"/>
  <c r="HZ57" i="3"/>
  <c r="HZ147" i="3"/>
  <c r="HZ128" i="3"/>
  <c r="HZ112" i="3"/>
  <c r="HZ60" i="3"/>
  <c r="HZ58" i="3"/>
  <c r="HZ56" i="3"/>
  <c r="HZ46" i="3"/>
  <c r="HZ44" i="3"/>
  <c r="HZ41" i="3"/>
  <c r="HZ40" i="3"/>
  <c r="HZ35" i="3"/>
  <c r="HZ32" i="3"/>
  <c r="HZ141" i="3"/>
  <c r="HZ125" i="3"/>
  <c r="HZ93" i="3"/>
  <c r="HZ83" i="3"/>
  <c r="HZ73" i="3"/>
  <c r="HZ61" i="3"/>
  <c r="HZ55" i="3"/>
  <c r="HZ138" i="3"/>
  <c r="HZ122" i="3"/>
  <c r="HZ108" i="3"/>
  <c r="HZ98" i="3"/>
  <c r="HZ88" i="3"/>
  <c r="HZ78" i="3"/>
  <c r="HZ68" i="3"/>
  <c r="HZ62" i="3"/>
  <c r="HZ34" i="3"/>
  <c r="HZ33" i="3"/>
  <c r="HZ135" i="3"/>
  <c r="HZ119" i="3"/>
  <c r="HZ103" i="3"/>
  <c r="HZ63" i="3"/>
  <c r="HZ53" i="3"/>
  <c r="HZ144" i="3"/>
  <c r="HZ129" i="3"/>
  <c r="HZ113" i="3"/>
  <c r="HZ109" i="3"/>
  <c r="HZ99" i="3"/>
  <c r="HZ89" i="3"/>
  <c r="HZ79" i="3"/>
  <c r="HZ69" i="3"/>
  <c r="HZ51" i="3"/>
  <c r="HZ132" i="3"/>
  <c r="HZ22" i="3"/>
  <c r="HZ15" i="3"/>
  <c r="HZ36" i="3"/>
  <c r="HZ20" i="3"/>
  <c r="HZ10" i="3"/>
  <c r="HZ42" i="3"/>
  <c r="HZ16" i="3"/>
  <c r="HZ26" i="3"/>
  <c r="HZ17" i="3"/>
  <c r="HZ39" i="3"/>
  <c r="HZ23" i="3"/>
  <c r="HZ14" i="3"/>
  <c r="HZ12" i="3"/>
  <c r="HZ116" i="3"/>
  <c r="HZ37" i="3"/>
  <c r="HZ25" i="3"/>
  <c r="HZ21" i="3"/>
  <c r="HZ9" i="3"/>
  <c r="HZ18" i="3"/>
  <c r="HZ159" i="3"/>
  <c r="HZ84" i="3"/>
  <c r="HZ74" i="3"/>
  <c r="HZ64" i="3"/>
  <c r="HZ126" i="3"/>
  <c r="HZ104" i="3"/>
  <c r="HZ94" i="3"/>
  <c r="HZ28" i="3"/>
  <c r="HZ29" i="3"/>
  <c r="HZ27" i="3"/>
  <c r="HZ11" i="3"/>
  <c r="HZ19" i="3"/>
  <c r="HZ30" i="3"/>
  <c r="HZ38" i="3"/>
  <c r="HZ6" i="3"/>
  <c r="HZ13" i="3"/>
  <c r="HZ5" i="3"/>
  <c r="HZ8" i="3"/>
  <c r="HZ7" i="3"/>
  <c r="HZ24" i="3"/>
  <c r="BE213" i="3"/>
  <c r="BE175" i="3"/>
  <c r="BE214" i="3"/>
  <c r="BE138" i="3"/>
  <c r="BE61" i="3"/>
  <c r="BE62" i="3"/>
  <c r="BE99" i="3"/>
  <c r="BE176" i="3"/>
  <c r="BE100" i="3"/>
  <c r="BE137" i="3"/>
  <c r="Z23" i="3"/>
  <c r="BE23" i="3"/>
  <c r="Z24" i="3"/>
  <c r="BE24" i="3"/>
  <c r="EE17" i="3"/>
  <c r="AQ35" i="3"/>
  <c r="AQ36" i="3"/>
  <c r="EE24" i="3"/>
  <c r="EE16" i="3"/>
  <c r="EE30" i="3"/>
  <c r="EE29" i="3"/>
  <c r="EE25" i="3"/>
  <c r="EE8" i="3"/>
  <c r="EE9" i="3"/>
  <c r="V20" i="3"/>
  <c r="CB53" i="3"/>
  <c r="CB51" i="3"/>
  <c r="CB54" i="3"/>
  <c r="CB52" i="3"/>
  <c r="CB50" i="3"/>
  <c r="CB57" i="3"/>
  <c r="CB55" i="3"/>
  <c r="CB56" i="3"/>
  <c r="BE232" i="3"/>
  <c r="BE194" i="3"/>
  <c r="BE195" i="3"/>
  <c r="Z43" i="3"/>
  <c r="BE119" i="3"/>
  <c r="BE157" i="3"/>
  <c r="BE156" i="3"/>
  <c r="BE42" i="3"/>
  <c r="BE80" i="3"/>
  <c r="BE43" i="3"/>
  <c r="BE81" i="3"/>
  <c r="BE118" i="3"/>
  <c r="Z42" i="3"/>
  <c r="BE5" i="3"/>
  <c r="Z5" i="3"/>
  <c r="V22" i="3"/>
  <c r="BE292" i="3"/>
  <c r="BF289" i="3"/>
  <c r="BE289" i="3"/>
  <c r="BF286" i="3"/>
  <c r="BF222" i="3"/>
  <c r="BE286" i="3"/>
  <c r="BE222" i="3"/>
  <c r="BF296" i="3"/>
  <c r="BF184" i="3"/>
  <c r="BE296" i="3"/>
  <c r="BF293" i="3"/>
  <c r="BE184" i="3"/>
  <c r="BE293" i="3"/>
  <c r="BF290" i="3"/>
  <c r="BF146" i="3"/>
  <c r="BE290" i="3"/>
  <c r="BF287" i="3"/>
  <c r="BE146" i="3"/>
  <c r="BE287" i="3"/>
  <c r="BF297" i="3"/>
  <c r="BE297" i="3"/>
  <c r="BF294" i="3"/>
  <c r="BE294" i="3"/>
  <c r="BF291" i="3"/>
  <c r="BE291" i="3"/>
  <c r="BF288" i="3"/>
  <c r="BF295" i="3"/>
  <c r="BF167" i="3"/>
  <c r="BE295" i="3"/>
  <c r="BF292" i="3"/>
  <c r="BF32" i="3"/>
  <c r="BE288" i="3"/>
  <c r="BF108" i="3"/>
  <c r="BF129" i="3"/>
  <c r="BE108" i="3"/>
  <c r="BE129" i="3"/>
  <c r="BF53" i="3"/>
  <c r="BF285" i="3"/>
  <c r="BE53" i="3"/>
  <c r="BE285" i="3"/>
  <c r="BF70" i="3"/>
  <c r="BE70" i="3"/>
  <c r="Y32" i="3"/>
  <c r="BF205" i="3"/>
  <c r="BE167" i="3"/>
  <c r="BE91" i="3"/>
  <c r="BE32" i="3"/>
  <c r="Z15" i="3"/>
  <c r="Y15" i="3"/>
  <c r="BF15" i="3"/>
  <c r="BE15" i="3"/>
  <c r="Z32" i="3"/>
  <c r="BF91" i="3"/>
  <c r="BE205" i="3"/>
  <c r="V11" i="3"/>
  <c r="CB30" i="3"/>
  <c r="CB29" i="3"/>
  <c r="CB28" i="3"/>
  <c r="CB24" i="3"/>
  <c r="CB26" i="3"/>
  <c r="CB27" i="3"/>
  <c r="CB23" i="3"/>
  <c r="CB25" i="3"/>
  <c r="V23" i="3"/>
  <c r="CB99" i="3"/>
  <c r="CB100" i="3"/>
  <c r="CB95" i="3"/>
  <c r="CB101" i="3"/>
  <c r="CB96" i="3"/>
  <c r="CB102" i="3"/>
  <c r="CB97" i="3"/>
  <c r="CB98" i="3"/>
  <c r="V12" i="3"/>
  <c r="V18" i="3"/>
  <c r="V13" i="3"/>
  <c r="CB89" i="3"/>
  <c r="CB90" i="3"/>
  <c r="CB91" i="3"/>
  <c r="CB86" i="3"/>
  <c r="CB92" i="3"/>
  <c r="CB87" i="3"/>
  <c r="CB93" i="3"/>
  <c r="CB88" i="3"/>
  <c r="CB65" i="3"/>
  <c r="CB66" i="3"/>
  <c r="CB60" i="3"/>
  <c r="CB61" i="3"/>
  <c r="CB59" i="3"/>
  <c r="CB63" i="3"/>
  <c r="CB64" i="3"/>
  <c r="CB62" i="3"/>
  <c r="EL9" i="3"/>
  <c r="EL8" i="3"/>
  <c r="C520" i="1"/>
  <c r="C521" i="1" s="1"/>
  <c r="C523" i="1" s="1"/>
  <c r="H58" i="1" s="1"/>
  <c r="B57" i="2" s="1"/>
  <c r="EK9" i="3"/>
  <c r="EK8" i="3"/>
  <c r="BE244" i="3"/>
  <c r="BE241" i="3"/>
  <c r="BE238" i="3"/>
  <c r="BE235" i="3"/>
  <c r="BE245" i="3"/>
  <c r="BE229" i="3"/>
  <c r="BE242" i="3"/>
  <c r="BE239" i="3"/>
  <c r="BE191" i="3"/>
  <c r="BE236" i="3"/>
  <c r="BE233" i="3"/>
  <c r="BE198" i="3"/>
  <c r="BE243" i="3"/>
  <c r="BE234" i="3"/>
  <c r="BE115" i="3"/>
  <c r="BE77" i="3"/>
  <c r="BE153" i="3"/>
  <c r="BE122" i="3"/>
  <c r="BE46" i="3"/>
  <c r="BE240" i="3"/>
  <c r="BE39" i="3"/>
  <c r="BE84" i="3"/>
  <c r="BE160" i="3"/>
  <c r="Z39" i="3"/>
  <c r="BE237" i="3"/>
  <c r="BE8" i="3"/>
  <c r="Z8" i="3"/>
  <c r="BF161" i="3"/>
  <c r="BF190" i="3"/>
  <c r="BF152" i="3"/>
  <c r="BF199" i="3"/>
  <c r="BF228" i="3"/>
  <c r="BF123" i="3"/>
  <c r="BF85" i="3"/>
  <c r="BF114" i="3"/>
  <c r="BF47" i="3"/>
  <c r="BF76" i="3"/>
  <c r="BF38" i="3"/>
  <c r="Y38" i="3"/>
  <c r="Y9" i="3"/>
  <c r="BF9" i="3"/>
  <c r="EA12" i="3"/>
  <c r="AE24" i="3"/>
  <c r="BF354" i="3" s="1"/>
  <c r="AE25" i="3"/>
  <c r="BF355" i="3" s="1"/>
  <c r="AE21" i="3"/>
  <c r="BF351" i="3" s="1"/>
  <c r="V16" i="3"/>
  <c r="BE197" i="3"/>
  <c r="BE159" i="3"/>
  <c r="BE230" i="3"/>
  <c r="BE154" i="3"/>
  <c r="BE83" i="3"/>
  <c r="BE116" i="3"/>
  <c r="BE78" i="3"/>
  <c r="BE40" i="3"/>
  <c r="BE192" i="3"/>
  <c r="Z40" i="3"/>
  <c r="BE45" i="3"/>
  <c r="BE121" i="3"/>
  <c r="Z7" i="3"/>
  <c r="BE7" i="3"/>
  <c r="BF209" i="3"/>
  <c r="BF171" i="3"/>
  <c r="BF28" i="3"/>
  <c r="BF180" i="3"/>
  <c r="BF57" i="3"/>
  <c r="BF218" i="3"/>
  <c r="BF142" i="3"/>
  <c r="BF104" i="3"/>
  <c r="BF133" i="3"/>
  <c r="BF95" i="3"/>
  <c r="BF66" i="3"/>
  <c r="Y28" i="3"/>
  <c r="Y19" i="3"/>
  <c r="BF19" i="3"/>
  <c r="HZ316" i="3"/>
  <c r="HZ300" i="3"/>
  <c r="HZ284" i="3"/>
  <c r="HZ268" i="3"/>
  <c r="HZ252" i="3"/>
  <c r="HZ236" i="3"/>
  <c r="HZ220" i="3"/>
  <c r="HZ204" i="3"/>
  <c r="HZ188" i="3"/>
  <c r="HZ172" i="3"/>
  <c r="HZ313" i="3"/>
  <c r="HZ297" i="3"/>
  <c r="HZ281" i="3"/>
  <c r="HZ265" i="3"/>
  <c r="HZ249" i="3"/>
  <c r="HZ233" i="3"/>
  <c r="HZ217" i="3"/>
  <c r="HZ201" i="3"/>
  <c r="HZ185" i="3"/>
  <c r="HZ169" i="3"/>
  <c r="HZ326" i="3"/>
  <c r="HZ310" i="3"/>
  <c r="HZ294" i="3"/>
  <c r="HZ278" i="3"/>
  <c r="HZ262" i="3"/>
  <c r="HZ246" i="3"/>
  <c r="HZ230" i="3"/>
  <c r="HZ214" i="3"/>
  <c r="HZ198" i="3"/>
  <c r="HZ182" i="3"/>
  <c r="HZ166" i="3"/>
  <c r="HZ323" i="3"/>
  <c r="HZ307" i="3"/>
  <c r="HZ291" i="3"/>
  <c r="HZ275" i="3"/>
  <c r="HZ259" i="3"/>
  <c r="HZ243" i="3"/>
  <c r="HZ227" i="3"/>
  <c r="HZ211" i="3"/>
  <c r="HZ195" i="3"/>
  <c r="HZ179" i="3"/>
  <c r="HZ320" i="3"/>
  <c r="HZ304" i="3"/>
  <c r="HZ288" i="3"/>
  <c r="HZ272" i="3"/>
  <c r="HZ256" i="3"/>
  <c r="HZ240" i="3"/>
  <c r="HZ224" i="3"/>
  <c r="HZ208" i="3"/>
  <c r="HZ192" i="3"/>
  <c r="HZ176" i="3"/>
  <c r="HZ317" i="3"/>
  <c r="HZ301" i="3"/>
  <c r="HZ285" i="3"/>
  <c r="HZ269" i="3"/>
  <c r="HZ253" i="3"/>
  <c r="HZ237" i="3"/>
  <c r="HZ221" i="3"/>
  <c r="HZ205" i="3"/>
  <c r="HZ189" i="3"/>
  <c r="HZ173" i="3"/>
  <c r="HZ314" i="3"/>
  <c r="HZ298" i="3"/>
  <c r="HZ282" i="3"/>
  <c r="HZ266" i="3"/>
  <c r="HZ250" i="3"/>
  <c r="HZ234" i="3"/>
  <c r="HZ218" i="3"/>
  <c r="HZ202" i="3"/>
  <c r="HZ186" i="3"/>
  <c r="HZ170" i="3"/>
  <c r="HZ311" i="3"/>
  <c r="HZ295" i="3"/>
  <c r="HZ279" i="3"/>
  <c r="HZ263" i="3"/>
  <c r="HZ247" i="3"/>
  <c r="HZ231" i="3"/>
  <c r="HZ215" i="3"/>
  <c r="HZ199" i="3"/>
  <c r="HZ183" i="3"/>
  <c r="HZ167" i="3"/>
  <c r="HZ324" i="3"/>
  <c r="HZ308" i="3"/>
  <c r="HZ292" i="3"/>
  <c r="HZ276" i="3"/>
  <c r="HZ260" i="3"/>
  <c r="HZ244" i="3"/>
  <c r="HZ228" i="3"/>
  <c r="HZ212" i="3"/>
  <c r="HZ196" i="3"/>
  <c r="HZ180" i="3"/>
  <c r="HZ321" i="3"/>
  <c r="HZ305" i="3"/>
  <c r="HZ289" i="3"/>
  <c r="HZ273" i="3"/>
  <c r="HZ257" i="3"/>
  <c r="HZ241" i="3"/>
  <c r="HZ225" i="3"/>
  <c r="HZ209" i="3"/>
  <c r="HZ193" i="3"/>
  <c r="HZ177" i="3"/>
  <c r="HZ318" i="3"/>
  <c r="HZ302" i="3"/>
  <c r="HZ286" i="3"/>
  <c r="HZ270" i="3"/>
  <c r="HZ254" i="3"/>
  <c r="HZ238" i="3"/>
  <c r="HZ222" i="3"/>
  <c r="HZ206" i="3"/>
  <c r="HZ190" i="3"/>
  <c r="HZ174" i="3"/>
  <c r="HZ315" i="3"/>
  <c r="HZ299" i="3"/>
  <c r="HZ283" i="3"/>
  <c r="HZ267" i="3"/>
  <c r="HZ251" i="3"/>
  <c r="HZ235" i="3"/>
  <c r="HZ219" i="3"/>
  <c r="HZ203" i="3"/>
  <c r="HZ187" i="3"/>
  <c r="HZ171" i="3"/>
  <c r="HZ322" i="3"/>
  <c r="HZ306" i="3"/>
  <c r="HZ290" i="3"/>
  <c r="HZ274" i="3"/>
  <c r="HZ258" i="3"/>
  <c r="HZ242" i="3"/>
  <c r="HZ226" i="3"/>
  <c r="HZ210" i="3"/>
  <c r="HZ194" i="3"/>
  <c r="HZ178" i="3"/>
  <c r="HZ319" i="3"/>
  <c r="HZ303" i="3"/>
  <c r="HZ287" i="3"/>
  <c r="HZ271" i="3"/>
  <c r="HZ255" i="3"/>
  <c r="HZ165" i="3"/>
  <c r="HZ325" i="3"/>
  <c r="HZ312" i="3"/>
  <c r="HZ277" i="3"/>
  <c r="HZ264" i="3"/>
  <c r="HZ232" i="3"/>
  <c r="HZ216" i="3"/>
  <c r="HZ309" i="3"/>
  <c r="HZ200" i="3"/>
  <c r="HZ296" i="3"/>
  <c r="HZ239" i="3"/>
  <c r="HZ184" i="3"/>
  <c r="HZ261" i="3"/>
  <c r="HZ223" i="3"/>
  <c r="HZ168" i="3"/>
  <c r="HZ248" i="3"/>
  <c r="HZ207" i="3"/>
  <c r="HZ191" i="3"/>
  <c r="HZ229" i="3"/>
  <c r="HZ175" i="3"/>
  <c r="HZ280" i="3"/>
  <c r="HZ197" i="3"/>
  <c r="HZ245" i="3"/>
  <c r="HZ181" i="3"/>
  <c r="HZ293" i="3"/>
  <c r="HZ213" i="3"/>
  <c r="CB69" i="3"/>
  <c r="CB75" i="3"/>
  <c r="CB70" i="3"/>
  <c r="CB71" i="3"/>
  <c r="CB72" i="3"/>
  <c r="CB73" i="3"/>
  <c r="CB68" i="3"/>
  <c r="CB74" i="3"/>
  <c r="BF193" i="3"/>
  <c r="BF158" i="3"/>
  <c r="BF155" i="3"/>
  <c r="BF231" i="3"/>
  <c r="BF82" i="3"/>
  <c r="BF196" i="3"/>
  <c r="BF44" i="3"/>
  <c r="BF79" i="3"/>
  <c r="BF41" i="3"/>
  <c r="BF120" i="3"/>
  <c r="BF117" i="3"/>
  <c r="Y41" i="3"/>
  <c r="Y6" i="3"/>
  <c r="BF6" i="3"/>
  <c r="BE196" i="3"/>
  <c r="BE193" i="3"/>
  <c r="BE158" i="3"/>
  <c r="BE155" i="3"/>
  <c r="BE82" i="3"/>
  <c r="BE44" i="3"/>
  <c r="BE79" i="3"/>
  <c r="BE41" i="3"/>
  <c r="BE120" i="3"/>
  <c r="BE231" i="3"/>
  <c r="BE117" i="3"/>
  <c r="BE6" i="3"/>
  <c r="Z41" i="3"/>
  <c r="Z6" i="3"/>
  <c r="HZ972" i="3"/>
  <c r="HZ964" i="3"/>
  <c r="HZ956" i="3"/>
  <c r="HZ948" i="3"/>
  <c r="HZ940" i="3"/>
  <c r="HZ932" i="3"/>
  <c r="HZ924" i="3"/>
  <c r="HZ916" i="3"/>
  <c r="HZ908" i="3"/>
  <c r="HZ900" i="3"/>
  <c r="HZ892" i="3"/>
  <c r="HZ884" i="3"/>
  <c r="HZ876" i="3"/>
  <c r="HZ868" i="3"/>
  <c r="HZ860" i="3"/>
  <c r="HZ852" i="3"/>
  <c r="HZ844" i="3"/>
  <c r="HZ836" i="3"/>
  <c r="HZ828" i="3"/>
  <c r="HZ820" i="3"/>
  <c r="HZ969" i="3"/>
  <c r="HZ961" i="3"/>
  <c r="HZ953" i="3"/>
  <c r="HZ945" i="3"/>
  <c r="HZ937" i="3"/>
  <c r="HZ929" i="3"/>
  <c r="HZ921" i="3"/>
  <c r="HZ913" i="3"/>
  <c r="HZ905" i="3"/>
  <c r="HZ897" i="3"/>
  <c r="HZ889" i="3"/>
  <c r="HZ881" i="3"/>
  <c r="HZ873" i="3"/>
  <c r="HZ865" i="3"/>
  <c r="HZ857" i="3"/>
  <c r="HZ849" i="3"/>
  <c r="HZ841" i="3"/>
  <c r="HZ833" i="3"/>
  <c r="HZ825" i="3"/>
  <c r="HZ817" i="3"/>
  <c r="HZ974" i="3"/>
  <c r="HZ966" i="3"/>
  <c r="HZ958" i="3"/>
  <c r="HZ950" i="3"/>
  <c r="HZ942" i="3"/>
  <c r="HZ934" i="3"/>
  <c r="HZ926" i="3"/>
  <c r="HZ918" i="3"/>
  <c r="HZ910" i="3"/>
  <c r="HZ902" i="3"/>
  <c r="HZ894" i="3"/>
  <c r="HZ886" i="3"/>
  <c r="HZ878" i="3"/>
  <c r="HZ870" i="3"/>
  <c r="HZ862" i="3"/>
  <c r="HZ854" i="3"/>
  <c r="HZ846" i="3"/>
  <c r="HZ838" i="3"/>
  <c r="HZ830" i="3"/>
  <c r="HZ822" i="3"/>
  <c r="HZ814" i="3"/>
  <c r="HZ971" i="3"/>
  <c r="HZ963" i="3"/>
  <c r="HZ955" i="3"/>
  <c r="HZ947" i="3"/>
  <c r="HZ939" i="3"/>
  <c r="HZ931" i="3"/>
  <c r="HZ923" i="3"/>
  <c r="HZ915" i="3"/>
  <c r="HZ907" i="3"/>
  <c r="HZ899" i="3"/>
  <c r="HZ891" i="3"/>
  <c r="HZ883" i="3"/>
  <c r="HZ875" i="3"/>
  <c r="HZ867" i="3"/>
  <c r="HZ859" i="3"/>
  <c r="HZ851" i="3"/>
  <c r="HZ843" i="3"/>
  <c r="HZ835" i="3"/>
  <c r="HZ827" i="3"/>
  <c r="HZ819" i="3"/>
  <c r="HZ968" i="3"/>
  <c r="HZ960" i="3"/>
  <c r="HZ952" i="3"/>
  <c r="HZ944" i="3"/>
  <c r="HZ936" i="3"/>
  <c r="HZ928" i="3"/>
  <c r="HZ920" i="3"/>
  <c r="HZ912" i="3"/>
  <c r="HZ904" i="3"/>
  <c r="HZ896" i="3"/>
  <c r="HZ888" i="3"/>
  <c r="HZ880" i="3"/>
  <c r="HZ872" i="3"/>
  <c r="HZ864" i="3"/>
  <c r="HZ856" i="3"/>
  <c r="HZ848" i="3"/>
  <c r="HZ840" i="3"/>
  <c r="HZ832" i="3"/>
  <c r="HZ824" i="3"/>
  <c r="HZ816" i="3"/>
  <c r="HZ973" i="3"/>
  <c r="HZ965" i="3"/>
  <c r="HZ957" i="3"/>
  <c r="HZ949" i="3"/>
  <c r="HZ941" i="3"/>
  <c r="HZ933" i="3"/>
  <c r="HZ925" i="3"/>
  <c r="HZ917" i="3"/>
  <c r="HZ909" i="3"/>
  <c r="HZ901" i="3"/>
  <c r="HZ893" i="3"/>
  <c r="HZ885" i="3"/>
  <c r="HZ877" i="3"/>
  <c r="HZ869" i="3"/>
  <c r="HZ861" i="3"/>
  <c r="HZ853" i="3"/>
  <c r="HZ845" i="3"/>
  <c r="HZ837" i="3"/>
  <c r="HZ829" i="3"/>
  <c r="HZ821" i="3"/>
  <c r="HZ813" i="3"/>
  <c r="HZ970" i="3"/>
  <c r="HZ962" i="3"/>
  <c r="HZ954" i="3"/>
  <c r="HZ946" i="3"/>
  <c r="HZ938" i="3"/>
  <c r="HZ930" i="3"/>
  <c r="HZ922" i="3"/>
  <c r="HZ914" i="3"/>
  <c r="HZ906" i="3"/>
  <c r="HZ898" i="3"/>
  <c r="HZ890" i="3"/>
  <c r="HZ882" i="3"/>
  <c r="HZ874" i="3"/>
  <c r="HZ866" i="3"/>
  <c r="HZ858" i="3"/>
  <c r="HZ850" i="3"/>
  <c r="HZ842" i="3"/>
  <c r="HZ834" i="3"/>
  <c r="HZ826" i="3"/>
  <c r="HZ818" i="3"/>
  <c r="HZ967" i="3"/>
  <c r="HZ959" i="3"/>
  <c r="HZ951" i="3"/>
  <c r="HZ943" i="3"/>
  <c r="HZ935" i="3"/>
  <c r="HZ927" i="3"/>
  <c r="HZ919" i="3"/>
  <c r="HZ911" i="3"/>
  <c r="HZ903" i="3"/>
  <c r="HZ895" i="3"/>
  <c r="HZ887" i="3"/>
  <c r="HZ879" i="3"/>
  <c r="HZ871" i="3"/>
  <c r="HZ863" i="3"/>
  <c r="HZ855" i="3"/>
  <c r="HZ847" i="3"/>
  <c r="HZ839" i="3"/>
  <c r="HZ831" i="3"/>
  <c r="HZ823" i="3"/>
  <c r="HZ815" i="3"/>
  <c r="BE257" i="3"/>
  <c r="BE254" i="3"/>
  <c r="BE251" i="3"/>
  <c r="BE248" i="3"/>
  <c r="BE200" i="3"/>
  <c r="BE258" i="3"/>
  <c r="BE162" i="3"/>
  <c r="BE255" i="3"/>
  <c r="BE252" i="3"/>
  <c r="BE249" i="3"/>
  <c r="BE246" i="3"/>
  <c r="BE227" i="3"/>
  <c r="BE250" i="3"/>
  <c r="BE247" i="3"/>
  <c r="BE256" i="3"/>
  <c r="BE189" i="3"/>
  <c r="BE48" i="3"/>
  <c r="BE253" i="3"/>
  <c r="BE113" i="3"/>
  <c r="BE37" i="3"/>
  <c r="BE75" i="3"/>
  <c r="BE151" i="3"/>
  <c r="Z37" i="3"/>
  <c r="BE86" i="3"/>
  <c r="BE10" i="3"/>
  <c r="BE124" i="3"/>
  <c r="Z10" i="3"/>
  <c r="BE207" i="3"/>
  <c r="BE220" i="3"/>
  <c r="BE169" i="3"/>
  <c r="BE182" i="3"/>
  <c r="BE131" i="3"/>
  <c r="BE30" i="3"/>
  <c r="BE144" i="3"/>
  <c r="BE93" i="3"/>
  <c r="BE68" i="3"/>
  <c r="BE55" i="3"/>
  <c r="Z30" i="3"/>
  <c r="Z17" i="3"/>
  <c r="BE17" i="3"/>
  <c r="BE106" i="3"/>
  <c r="T14" i="3"/>
  <c r="BK15" i="3"/>
  <c r="T15" i="3"/>
  <c r="BA7" i="3"/>
  <c r="BA6" i="3"/>
  <c r="BA5" i="3"/>
  <c r="BA8" i="3"/>
  <c r="BA9" i="3"/>
  <c r="C268" i="1"/>
  <c r="C126" i="1"/>
  <c r="D126" i="1" s="1"/>
  <c r="C125" i="1"/>
  <c r="D125" i="1" s="1"/>
  <c r="C128" i="1" l="1"/>
  <c r="L14" i="3" s="1"/>
  <c r="IA166" i="3"/>
  <c r="C392" i="1"/>
  <c r="D392" i="1" s="1"/>
  <c r="C359" i="1"/>
  <c r="C385" i="1"/>
  <c r="B565" i="1"/>
  <c r="C394" i="1"/>
  <c r="D394" i="1" s="1"/>
  <c r="C393" i="1"/>
  <c r="D393" i="1" s="1"/>
  <c r="C386" i="1"/>
  <c r="B662" i="1"/>
  <c r="H10" i="1"/>
  <c r="B9" i="2" s="1"/>
  <c r="C390" i="1"/>
  <c r="D390" i="1" s="1"/>
  <c r="C129" i="1"/>
  <c r="T20" i="3"/>
  <c r="T16" i="3"/>
  <c r="X13" i="3"/>
  <c r="X11" i="3"/>
  <c r="BD13" i="3"/>
  <c r="BG13" i="3" s="1"/>
  <c r="BD11" i="3"/>
  <c r="BG11" i="3" s="1"/>
  <c r="T23" i="3"/>
  <c r="T21" i="3"/>
  <c r="T17" i="3"/>
  <c r="T18" i="3"/>
  <c r="T22" i="3"/>
  <c r="BK5" i="3"/>
  <c r="BD5" i="3"/>
  <c r="BG5" i="3" s="1"/>
  <c r="X7" i="3"/>
  <c r="BD8" i="3"/>
  <c r="BG8" i="3" s="1"/>
  <c r="T19" i="3"/>
  <c r="X8" i="3"/>
  <c r="X5" i="3"/>
  <c r="BD7" i="3"/>
  <c r="BG7" i="3" s="1"/>
  <c r="C318" i="1"/>
  <c r="B666" i="1"/>
  <c r="B563" i="1"/>
  <c r="C430" i="1"/>
  <c r="C273" i="1"/>
  <c r="C269" i="1"/>
  <c r="D488" i="1" s="1"/>
  <c r="H19" i="1"/>
  <c r="B18" i="2" s="1"/>
  <c r="C434" i="1"/>
  <c r="BD199" i="3"/>
  <c r="BG199" i="3" s="1"/>
  <c r="BD116" i="3"/>
  <c r="BG116" i="3" s="1"/>
  <c r="BD225" i="3"/>
  <c r="BG225" i="3" s="1"/>
  <c r="BD6" i="3"/>
  <c r="BG6" i="3" s="1"/>
  <c r="BD241" i="3"/>
  <c r="BG241" i="3" s="1"/>
  <c r="BD234" i="3"/>
  <c r="BG234" i="3" s="1"/>
  <c r="BD250" i="3"/>
  <c r="BG250" i="3" s="1"/>
  <c r="BD188" i="3"/>
  <c r="BG188" i="3" s="1"/>
  <c r="BD261" i="3"/>
  <c r="BG261" i="3" s="1"/>
  <c r="BD110" i="3"/>
  <c r="BG110" i="3" s="1"/>
  <c r="X9" i="3"/>
  <c r="BD46" i="3"/>
  <c r="BG46" i="3" s="1"/>
  <c r="BD150" i="3"/>
  <c r="BG150" i="3" s="1"/>
  <c r="BD228" i="3"/>
  <c r="BG228" i="3" s="1"/>
  <c r="BD78" i="3"/>
  <c r="BG78" i="3" s="1"/>
  <c r="BD187" i="3"/>
  <c r="BG187" i="3" s="1"/>
  <c r="BD238" i="3"/>
  <c r="BG238" i="3" s="1"/>
  <c r="BD122" i="3"/>
  <c r="BG122" i="3" s="1"/>
  <c r="BD247" i="3"/>
  <c r="BG247" i="3" s="1"/>
  <c r="BD86" i="3"/>
  <c r="BG86" i="3" s="1"/>
  <c r="BD201" i="3"/>
  <c r="BG201" i="3" s="1"/>
  <c r="BD165" i="3"/>
  <c r="BG165" i="3" s="1"/>
  <c r="BD161" i="3"/>
  <c r="BG161" i="3" s="1"/>
  <c r="BD192" i="3"/>
  <c r="BG192" i="3" s="1"/>
  <c r="BD149" i="3"/>
  <c r="BG149" i="3" s="1"/>
  <c r="BD232" i="3"/>
  <c r="BG232" i="3" s="1"/>
  <c r="BD235" i="3"/>
  <c r="BG235" i="3" s="1"/>
  <c r="BD151" i="3"/>
  <c r="BG151" i="3" s="1"/>
  <c r="BD256" i="3"/>
  <c r="BG256" i="3" s="1"/>
  <c r="BD271" i="3"/>
  <c r="BG271" i="3" s="1"/>
  <c r="BD191" i="3"/>
  <c r="BG191" i="3" s="1"/>
  <c r="BD162" i="3"/>
  <c r="BG162" i="3" s="1"/>
  <c r="BD72" i="3"/>
  <c r="BG72" i="3" s="1"/>
  <c r="BD260" i="3"/>
  <c r="BG260" i="3" s="1"/>
  <c r="X12" i="3"/>
  <c r="BD89" i="3"/>
  <c r="BG89" i="3" s="1"/>
  <c r="BD231" i="3"/>
  <c r="BG231" i="3" s="1"/>
  <c r="BD197" i="3"/>
  <c r="BG197" i="3" s="1"/>
  <c r="BD190" i="3"/>
  <c r="BG190" i="3" s="1"/>
  <c r="BD196" i="3"/>
  <c r="BG196" i="3" s="1"/>
  <c r="BD159" i="3"/>
  <c r="BG159" i="3" s="1"/>
  <c r="X35" i="3"/>
  <c r="BD111" i="3"/>
  <c r="BG111" i="3" s="1"/>
  <c r="BD194" i="3"/>
  <c r="BG194" i="3" s="1"/>
  <c r="BD245" i="3"/>
  <c r="BG245" i="3" s="1"/>
  <c r="BD240" i="3"/>
  <c r="BG240" i="3" s="1"/>
  <c r="BD257" i="3"/>
  <c r="BG257" i="3" s="1"/>
  <c r="BD227" i="3"/>
  <c r="BG227" i="3" s="1"/>
  <c r="BD112" i="3"/>
  <c r="BG112" i="3" s="1"/>
  <c r="BD268" i="3"/>
  <c r="BG268" i="3" s="1"/>
  <c r="BD84" i="3"/>
  <c r="BG84" i="3" s="1"/>
  <c r="BD48" i="3"/>
  <c r="BG48" i="3" s="1"/>
  <c r="BD265" i="3"/>
  <c r="BG265" i="3" s="1"/>
  <c r="BD12" i="3"/>
  <c r="BG12" i="3" s="1"/>
  <c r="BD117" i="3"/>
  <c r="BG117" i="3" s="1"/>
  <c r="BD80" i="3"/>
  <c r="BG80" i="3" s="1"/>
  <c r="BD37" i="3"/>
  <c r="BG37" i="3" s="1"/>
  <c r="BD152" i="3"/>
  <c r="BG152" i="3" s="1"/>
  <c r="BD193" i="3"/>
  <c r="BG193" i="3" s="1"/>
  <c r="BD121" i="3"/>
  <c r="BG121" i="3" s="1"/>
  <c r="BD50" i="3"/>
  <c r="BG50" i="3" s="1"/>
  <c r="BD157" i="3"/>
  <c r="BG157" i="3" s="1"/>
  <c r="BD229" i="3"/>
  <c r="BG229" i="3" s="1"/>
  <c r="BD254" i="3"/>
  <c r="BG254" i="3" s="1"/>
  <c r="BD125" i="3"/>
  <c r="BG125" i="3" s="1"/>
  <c r="X37" i="3"/>
  <c r="BD36" i="3"/>
  <c r="BG36" i="3" s="1"/>
  <c r="BD186" i="3"/>
  <c r="BG186" i="3" s="1"/>
  <c r="BD42" i="3"/>
  <c r="BG42" i="3" s="1"/>
  <c r="BD148" i="3"/>
  <c r="BG148" i="3" s="1"/>
  <c r="BD237" i="3"/>
  <c r="BG237" i="3" s="1"/>
  <c r="BD115" i="3"/>
  <c r="BG115" i="3" s="1"/>
  <c r="BD123" i="3"/>
  <c r="BG123" i="3" s="1"/>
  <c r="BD158" i="3"/>
  <c r="BG158" i="3" s="1"/>
  <c r="BD81" i="3"/>
  <c r="BG81" i="3" s="1"/>
  <c r="X40" i="3"/>
  <c r="BD73" i="3"/>
  <c r="BG73" i="3" s="1"/>
  <c r="X36" i="3"/>
  <c r="BD118" i="3"/>
  <c r="BG118" i="3" s="1"/>
  <c r="BD242" i="3"/>
  <c r="BG242" i="3" s="1"/>
  <c r="BD160" i="3"/>
  <c r="BG160" i="3" s="1"/>
  <c r="BD251" i="3"/>
  <c r="BG251" i="3" s="1"/>
  <c r="BD113" i="3"/>
  <c r="BG113" i="3" s="1"/>
  <c r="BD87" i="3"/>
  <c r="BG87" i="3" s="1"/>
  <c r="BD262" i="3"/>
  <c r="BG262" i="3" s="1"/>
  <c r="X6" i="3"/>
  <c r="BD40" i="3"/>
  <c r="BG40" i="3" s="1"/>
  <c r="BD124" i="3"/>
  <c r="BG124" i="3" s="1"/>
  <c r="BD263" i="3"/>
  <c r="BG263" i="3" s="1"/>
  <c r="BD255" i="3"/>
  <c r="BG255" i="3" s="1"/>
  <c r="BD120" i="3"/>
  <c r="BG120" i="3" s="1"/>
  <c r="BD252" i="3"/>
  <c r="BG252" i="3" s="1"/>
  <c r="BD85" i="3"/>
  <c r="BG85" i="3" s="1"/>
  <c r="BD155" i="3"/>
  <c r="BG155" i="3" s="1"/>
  <c r="BD45" i="3"/>
  <c r="BG45" i="3" s="1"/>
  <c r="BD202" i="3"/>
  <c r="BG202" i="3" s="1"/>
  <c r="BD239" i="3"/>
  <c r="BG239" i="3" s="1"/>
  <c r="BD39" i="3"/>
  <c r="BG39" i="3" s="1"/>
  <c r="BD248" i="3"/>
  <c r="BG248" i="3" s="1"/>
  <c r="BD75" i="3"/>
  <c r="BG75" i="3" s="1"/>
  <c r="BD163" i="3"/>
  <c r="BG163" i="3" s="1"/>
  <c r="BD269" i="3"/>
  <c r="BG269" i="3" s="1"/>
  <c r="BD114" i="3"/>
  <c r="BG114" i="3" s="1"/>
  <c r="BD88" i="3"/>
  <c r="BG88" i="3" s="1"/>
  <c r="BD195" i="3"/>
  <c r="BG195" i="3" s="1"/>
  <c r="BD200" i="3"/>
  <c r="BG200" i="3" s="1"/>
  <c r="BD74" i="3"/>
  <c r="BG74" i="3" s="1"/>
  <c r="BD233" i="3"/>
  <c r="BG233" i="3" s="1"/>
  <c r="BD43" i="3"/>
  <c r="BG43" i="3" s="1"/>
  <c r="BD82" i="3"/>
  <c r="BG82" i="3" s="1"/>
  <c r="BD266" i="3"/>
  <c r="BG266" i="3" s="1"/>
  <c r="BD76" i="3"/>
  <c r="BG76" i="3" s="1"/>
  <c r="BD44" i="3"/>
  <c r="BG44" i="3" s="1"/>
  <c r="BD126" i="3"/>
  <c r="BG126" i="3" s="1"/>
  <c r="X43" i="3"/>
  <c r="BD236" i="3"/>
  <c r="BG236" i="3" s="1"/>
  <c r="X39" i="3"/>
  <c r="BD258" i="3"/>
  <c r="BG258" i="3" s="1"/>
  <c r="BD10" i="3"/>
  <c r="BG10" i="3" s="1"/>
  <c r="BD49" i="3"/>
  <c r="BG49" i="3" s="1"/>
  <c r="X34" i="3"/>
  <c r="X38" i="3"/>
  <c r="BD127" i="3"/>
  <c r="BG127" i="3" s="1"/>
  <c r="BD35" i="3"/>
  <c r="BG35" i="3" s="1"/>
  <c r="BD119" i="3"/>
  <c r="BG119" i="3" s="1"/>
  <c r="BD79" i="3"/>
  <c r="BG79" i="3" s="1"/>
  <c r="BD198" i="3"/>
  <c r="BG198" i="3" s="1"/>
  <c r="BD249" i="3"/>
  <c r="BG249" i="3" s="1"/>
  <c r="BD47" i="3"/>
  <c r="BG47" i="3" s="1"/>
  <c r="BD41" i="3"/>
  <c r="BG41" i="3" s="1"/>
  <c r="BD156" i="3"/>
  <c r="BG156" i="3" s="1"/>
  <c r="BD153" i="3"/>
  <c r="BG153" i="3" s="1"/>
  <c r="BD224" i="3"/>
  <c r="BG224" i="3" s="1"/>
  <c r="BD270" i="3"/>
  <c r="BG270" i="3" s="1"/>
  <c r="BD267" i="3"/>
  <c r="BG267" i="3" s="1"/>
  <c r="BD230" i="3"/>
  <c r="BG230" i="3" s="1"/>
  <c r="X41" i="3"/>
  <c r="BD154" i="3"/>
  <c r="BG154" i="3" s="1"/>
  <c r="BD38" i="3"/>
  <c r="BG38" i="3" s="1"/>
  <c r="X42" i="3"/>
  <c r="BD243" i="3"/>
  <c r="BG243" i="3" s="1"/>
  <c r="BD253" i="3"/>
  <c r="BG253" i="3" s="1"/>
  <c r="X10" i="3"/>
  <c r="BD203" i="3"/>
  <c r="BG203" i="3" s="1"/>
  <c r="BD34" i="3"/>
  <c r="BG34" i="3" s="1"/>
  <c r="BD9" i="3"/>
  <c r="BG9" i="3" s="1"/>
  <c r="BD83" i="3"/>
  <c r="BG83" i="3" s="1"/>
  <c r="BD164" i="3"/>
  <c r="BG164" i="3" s="1"/>
  <c r="BD244" i="3"/>
  <c r="BG244" i="3" s="1"/>
  <c r="BD77" i="3"/>
  <c r="BG77" i="3" s="1"/>
  <c r="BD189" i="3"/>
  <c r="BG189" i="3" s="1"/>
  <c r="BD226" i="3"/>
  <c r="BG226" i="3" s="1"/>
  <c r="BD264" i="3"/>
  <c r="BG264" i="3" s="1"/>
  <c r="BD259" i="3"/>
  <c r="BG259" i="3" s="1"/>
  <c r="BD246" i="3"/>
  <c r="BG246" i="3" s="1"/>
  <c r="BD51" i="3"/>
  <c r="BG51" i="3" s="1"/>
  <c r="C488" i="1"/>
  <c r="C270" i="1"/>
  <c r="BD279" i="3"/>
  <c r="BG279" i="3" s="1"/>
  <c r="BD276" i="3"/>
  <c r="BG276" i="3" s="1"/>
  <c r="BD273" i="3"/>
  <c r="BG273" i="3" s="1"/>
  <c r="BD283" i="3"/>
  <c r="BG283" i="3" s="1"/>
  <c r="BD280" i="3"/>
  <c r="BG280" i="3" s="1"/>
  <c r="BD277" i="3"/>
  <c r="BG277" i="3" s="1"/>
  <c r="BD274" i="3"/>
  <c r="BG274" i="3" s="1"/>
  <c r="BD223" i="3"/>
  <c r="BG223" i="3" s="1"/>
  <c r="BD284" i="3"/>
  <c r="BG284" i="3" s="1"/>
  <c r="BD204" i="3"/>
  <c r="BG204" i="3" s="1"/>
  <c r="BD281" i="3"/>
  <c r="BG281" i="3" s="1"/>
  <c r="BD185" i="3"/>
  <c r="BG185" i="3" s="1"/>
  <c r="BD278" i="3"/>
  <c r="BG278" i="3" s="1"/>
  <c r="BD166" i="3"/>
  <c r="BG166" i="3" s="1"/>
  <c r="BD282" i="3"/>
  <c r="BG282" i="3" s="1"/>
  <c r="BD128" i="3"/>
  <c r="BG128" i="3" s="1"/>
  <c r="BD52" i="3"/>
  <c r="BG52" i="3" s="1"/>
  <c r="BD275" i="3"/>
  <c r="BG275" i="3" s="1"/>
  <c r="BD109" i="3"/>
  <c r="BG109" i="3" s="1"/>
  <c r="BD272" i="3"/>
  <c r="BG272" i="3" s="1"/>
  <c r="BD90" i="3"/>
  <c r="BG90" i="3" s="1"/>
  <c r="BD147" i="3"/>
  <c r="BG147" i="3" s="1"/>
  <c r="X33" i="3"/>
  <c r="BD33" i="3"/>
  <c r="BG33" i="3" s="1"/>
  <c r="AA14" i="3"/>
  <c r="AA33" i="3"/>
  <c r="BD14" i="3"/>
  <c r="BG14" i="3" s="1"/>
  <c r="X14" i="3"/>
  <c r="BD71" i="3"/>
  <c r="BG71" i="3" s="1"/>
  <c r="HY1015" i="3"/>
  <c r="IA1015" i="3" s="1"/>
  <c r="HY852" i="3"/>
  <c r="IA852" i="3" s="1"/>
  <c r="HY692" i="3"/>
  <c r="IA692" i="3" s="1"/>
  <c r="HY1014" i="3"/>
  <c r="IA1014" i="3" s="1"/>
  <c r="HY1011" i="3"/>
  <c r="IA1011" i="3" s="1"/>
  <c r="HY849" i="3"/>
  <c r="IA849" i="3" s="1"/>
  <c r="HY689" i="3"/>
  <c r="IA689" i="3" s="1"/>
  <c r="HY854" i="3"/>
  <c r="IA854" i="3" s="1"/>
  <c r="HY686" i="3"/>
  <c r="IA686" i="3" s="1"/>
  <c r="HY851" i="3"/>
  <c r="IA851" i="3" s="1"/>
  <c r="HY691" i="3"/>
  <c r="IA691" i="3" s="1"/>
  <c r="HY1016" i="3"/>
  <c r="IA1016" i="3" s="1"/>
  <c r="HY1013" i="3"/>
  <c r="IA1013" i="3" s="1"/>
  <c r="HY1010" i="3"/>
  <c r="IA1010" i="3" s="1"/>
  <c r="HY848" i="3"/>
  <c r="IA848" i="3" s="1"/>
  <c r="HY688" i="3"/>
  <c r="IA688" i="3" s="1"/>
  <c r="HY853" i="3"/>
  <c r="IA853" i="3" s="1"/>
  <c r="HY685" i="3"/>
  <c r="IA685" i="3" s="1"/>
  <c r="HY362" i="3"/>
  <c r="IA362" i="3" s="1"/>
  <c r="HY529" i="3"/>
  <c r="IA529" i="3" s="1"/>
  <c r="HY1012" i="3"/>
  <c r="IA1012" i="3" s="1"/>
  <c r="HY526" i="3"/>
  <c r="IA526" i="3" s="1"/>
  <c r="HY1009" i="3"/>
  <c r="IA1009" i="3" s="1"/>
  <c r="HY690" i="3"/>
  <c r="IA690" i="3" s="1"/>
  <c r="HY366" i="3"/>
  <c r="IA366" i="3" s="1"/>
  <c r="HY523" i="3"/>
  <c r="IA523" i="3" s="1"/>
  <c r="HY363" i="3"/>
  <c r="IA363" i="3" s="1"/>
  <c r="HY528" i="3"/>
  <c r="IA528" i="3" s="1"/>
  <c r="HY687" i="3"/>
  <c r="IA687" i="3" s="1"/>
  <c r="HY525" i="3"/>
  <c r="IA525" i="3" s="1"/>
  <c r="HY367" i="3"/>
  <c r="IA367" i="3" s="1"/>
  <c r="HY850" i="3"/>
  <c r="IA850" i="3" s="1"/>
  <c r="HY364" i="3"/>
  <c r="IA364" i="3" s="1"/>
  <c r="HY530" i="3"/>
  <c r="IA530" i="3" s="1"/>
  <c r="HY361" i="3"/>
  <c r="IA361" i="3" s="1"/>
  <c r="HY368" i="3"/>
  <c r="IA368" i="3" s="1"/>
  <c r="HY524" i="3"/>
  <c r="IA524" i="3" s="1"/>
  <c r="HY204" i="3"/>
  <c r="IA204" i="3" s="1"/>
  <c r="HY201" i="3"/>
  <c r="IA201" i="3" s="1"/>
  <c r="HY365" i="3"/>
  <c r="IA365" i="3" s="1"/>
  <c r="HY205" i="3"/>
  <c r="IA205" i="3" s="1"/>
  <c r="HY847" i="3"/>
  <c r="IA847" i="3" s="1"/>
  <c r="HY202" i="3"/>
  <c r="IA202" i="3" s="1"/>
  <c r="HY199" i="3"/>
  <c r="IA199" i="3" s="1"/>
  <c r="HY527" i="3"/>
  <c r="IA527" i="3" s="1"/>
  <c r="HY206" i="3"/>
  <c r="IA206" i="3" s="1"/>
  <c r="HY203" i="3"/>
  <c r="IA203" i="3" s="1"/>
  <c r="HY43" i="3"/>
  <c r="IA43" i="3" s="1"/>
  <c r="HY200" i="3"/>
  <c r="IA200" i="3" s="1"/>
  <c r="HY39" i="3"/>
  <c r="IA39" i="3" s="1"/>
  <c r="HY38" i="3"/>
  <c r="IA38" i="3" s="1"/>
  <c r="HY37" i="3"/>
  <c r="IA37" i="3" s="1"/>
  <c r="HY44" i="3"/>
  <c r="IA44" i="3" s="1"/>
  <c r="HY41" i="3"/>
  <c r="IA41" i="3" s="1"/>
  <c r="HY42" i="3"/>
  <c r="IA42" i="3" s="1"/>
  <c r="HY40" i="3"/>
  <c r="IA40" i="3" s="1"/>
  <c r="HY1103" i="3"/>
  <c r="IA1103" i="3" s="1"/>
  <c r="HY1100" i="3"/>
  <c r="IA1100" i="3" s="1"/>
  <c r="HY1097" i="3"/>
  <c r="IA1097" i="3" s="1"/>
  <c r="HY1102" i="3"/>
  <c r="IA1102" i="3" s="1"/>
  <c r="HY1104" i="3"/>
  <c r="IA1104" i="3" s="1"/>
  <c r="HY1098" i="3"/>
  <c r="IA1098" i="3" s="1"/>
  <c r="HY940" i="3"/>
  <c r="IA940" i="3" s="1"/>
  <c r="HY780" i="3"/>
  <c r="IA780" i="3" s="1"/>
  <c r="HY1101" i="3"/>
  <c r="IA1101" i="3" s="1"/>
  <c r="HY937" i="3"/>
  <c r="IA937" i="3" s="1"/>
  <c r="HY777" i="3"/>
  <c r="IA777" i="3" s="1"/>
  <c r="HY942" i="3"/>
  <c r="IA942" i="3" s="1"/>
  <c r="HY774" i="3"/>
  <c r="IA774" i="3" s="1"/>
  <c r="HY1099" i="3"/>
  <c r="IA1099" i="3" s="1"/>
  <c r="HY939" i="3"/>
  <c r="IA939" i="3" s="1"/>
  <c r="HY779" i="3"/>
  <c r="IA779" i="3" s="1"/>
  <c r="HY936" i="3"/>
  <c r="IA936" i="3" s="1"/>
  <c r="HY776" i="3"/>
  <c r="IA776" i="3" s="1"/>
  <c r="HY941" i="3"/>
  <c r="IA941" i="3" s="1"/>
  <c r="HY773" i="3"/>
  <c r="IA773" i="3" s="1"/>
  <c r="HY778" i="3"/>
  <c r="IA778" i="3" s="1"/>
  <c r="HY617" i="3"/>
  <c r="IA617" i="3" s="1"/>
  <c r="HY455" i="3"/>
  <c r="IA455" i="3" s="1"/>
  <c r="HY452" i="3"/>
  <c r="IA452" i="3" s="1"/>
  <c r="HY775" i="3"/>
  <c r="IA775" i="3" s="1"/>
  <c r="HY614" i="3"/>
  <c r="IA614" i="3" s="1"/>
  <c r="HY449" i="3"/>
  <c r="IA449" i="3" s="1"/>
  <c r="HY611" i="3"/>
  <c r="IA611" i="3" s="1"/>
  <c r="HY456" i="3"/>
  <c r="IA456" i="3" s="1"/>
  <c r="HY616" i="3"/>
  <c r="IA616" i="3" s="1"/>
  <c r="HY453" i="3"/>
  <c r="IA453" i="3" s="1"/>
  <c r="HY938" i="3"/>
  <c r="IA938" i="3" s="1"/>
  <c r="HY450" i="3"/>
  <c r="IA450" i="3" s="1"/>
  <c r="HY613" i="3"/>
  <c r="IA613" i="3" s="1"/>
  <c r="HY935" i="3"/>
  <c r="IA935" i="3" s="1"/>
  <c r="HY618" i="3"/>
  <c r="IA618" i="3" s="1"/>
  <c r="HY612" i="3"/>
  <c r="IA612" i="3" s="1"/>
  <c r="HY287" i="3"/>
  <c r="IA287" i="3" s="1"/>
  <c r="HY294" i="3"/>
  <c r="IA294" i="3" s="1"/>
  <c r="HY454" i="3"/>
  <c r="IA454" i="3" s="1"/>
  <c r="HY291" i="3"/>
  <c r="IA291" i="3" s="1"/>
  <c r="HY288" i="3"/>
  <c r="IA288" i="3" s="1"/>
  <c r="HY615" i="3"/>
  <c r="IA615" i="3" s="1"/>
  <c r="HY451" i="3"/>
  <c r="IA451" i="3" s="1"/>
  <c r="HY292" i="3"/>
  <c r="IA292" i="3" s="1"/>
  <c r="HY289" i="3"/>
  <c r="IA289" i="3" s="1"/>
  <c r="HY293" i="3"/>
  <c r="IA293" i="3" s="1"/>
  <c r="HY290" i="3"/>
  <c r="IA290" i="3" s="1"/>
  <c r="HY126" i="3"/>
  <c r="IA126" i="3" s="1"/>
  <c r="HY130" i="3"/>
  <c r="IA130" i="3" s="1"/>
  <c r="HY127" i="3"/>
  <c r="IA127" i="3" s="1"/>
  <c r="HY131" i="3"/>
  <c r="IA131" i="3" s="1"/>
  <c r="HY128" i="3"/>
  <c r="IA128" i="3" s="1"/>
  <c r="HY125" i="3"/>
  <c r="IA125" i="3" s="1"/>
  <c r="HY132" i="3"/>
  <c r="IA132" i="3" s="1"/>
  <c r="HY129" i="3"/>
  <c r="IA129" i="3" s="1"/>
  <c r="BH39" i="3"/>
  <c r="BH154" i="3"/>
  <c r="BH283" i="3"/>
  <c r="BC8" i="3"/>
  <c r="BD295" i="3"/>
  <c r="BG295" i="3" s="1"/>
  <c r="BD167" i="3"/>
  <c r="BG167" i="3" s="1"/>
  <c r="BD292" i="3"/>
  <c r="BG292" i="3" s="1"/>
  <c r="BD289" i="3"/>
  <c r="BG289" i="3" s="1"/>
  <c r="BD286" i="3"/>
  <c r="BG286" i="3" s="1"/>
  <c r="BD222" i="3"/>
  <c r="BG222" i="3" s="1"/>
  <c r="BD296" i="3"/>
  <c r="BG296" i="3" s="1"/>
  <c r="BD184" i="3"/>
  <c r="BG184" i="3" s="1"/>
  <c r="BD293" i="3"/>
  <c r="BG293" i="3" s="1"/>
  <c r="BD290" i="3"/>
  <c r="BG290" i="3" s="1"/>
  <c r="BD146" i="3"/>
  <c r="BG146" i="3" s="1"/>
  <c r="BD287" i="3"/>
  <c r="BG287" i="3" s="1"/>
  <c r="BD297" i="3"/>
  <c r="BG297" i="3" s="1"/>
  <c r="BD294" i="3"/>
  <c r="BG294" i="3" s="1"/>
  <c r="BD285" i="3"/>
  <c r="BG285" i="3" s="1"/>
  <c r="BD205" i="3"/>
  <c r="BG205" i="3" s="1"/>
  <c r="BD291" i="3"/>
  <c r="BG291" i="3" s="1"/>
  <c r="BD288" i="3"/>
  <c r="BG288" i="3" s="1"/>
  <c r="BD108" i="3"/>
  <c r="BG108" i="3" s="1"/>
  <c r="BD129" i="3"/>
  <c r="BG129" i="3" s="1"/>
  <c r="BD53" i="3"/>
  <c r="BG53" i="3" s="1"/>
  <c r="AA32" i="3"/>
  <c r="BD70" i="3"/>
  <c r="BG70" i="3" s="1"/>
  <c r="AA15" i="3"/>
  <c r="BD32" i="3"/>
  <c r="BG32" i="3" s="1"/>
  <c r="X15" i="3"/>
  <c r="BD15" i="3"/>
  <c r="BG15" i="3" s="1"/>
  <c r="X32" i="3"/>
  <c r="BD91" i="3"/>
  <c r="BG91" i="3" s="1"/>
  <c r="BH152" i="3"/>
  <c r="HY1063" i="3"/>
  <c r="IA1063" i="3" s="1"/>
  <c r="HY1060" i="3"/>
  <c r="IA1060" i="3" s="1"/>
  <c r="HY1057" i="3"/>
  <c r="IA1057" i="3" s="1"/>
  <c r="HY1062" i="3"/>
  <c r="IA1062" i="3" s="1"/>
  <c r="HY900" i="3"/>
  <c r="IA900" i="3" s="1"/>
  <c r="HY740" i="3"/>
  <c r="IA740" i="3" s="1"/>
  <c r="HY1059" i="3"/>
  <c r="IA1059" i="3" s="1"/>
  <c r="HY1064" i="3"/>
  <c r="IA1064" i="3" s="1"/>
  <c r="HY897" i="3"/>
  <c r="IA897" i="3" s="1"/>
  <c r="HY737" i="3"/>
  <c r="IA737" i="3" s="1"/>
  <c r="HY902" i="3"/>
  <c r="IA902" i="3" s="1"/>
  <c r="HY734" i="3"/>
  <c r="IA734" i="3" s="1"/>
  <c r="HY899" i="3"/>
  <c r="IA899" i="3" s="1"/>
  <c r="HY739" i="3"/>
  <c r="IA739" i="3" s="1"/>
  <c r="HY1058" i="3"/>
  <c r="IA1058" i="3" s="1"/>
  <c r="HY896" i="3"/>
  <c r="IA896" i="3" s="1"/>
  <c r="HY736" i="3"/>
  <c r="IA736" i="3" s="1"/>
  <c r="HY901" i="3"/>
  <c r="IA901" i="3" s="1"/>
  <c r="HY733" i="3"/>
  <c r="IA733" i="3" s="1"/>
  <c r="HY410" i="3"/>
  <c r="IA410" i="3" s="1"/>
  <c r="HY735" i="3"/>
  <c r="IA735" i="3" s="1"/>
  <c r="HY577" i="3"/>
  <c r="IA577" i="3" s="1"/>
  <c r="HY574" i="3"/>
  <c r="IA574" i="3" s="1"/>
  <c r="HY1061" i="3"/>
  <c r="IA1061" i="3" s="1"/>
  <c r="HY414" i="3"/>
  <c r="IA414" i="3" s="1"/>
  <c r="HY571" i="3"/>
  <c r="IA571" i="3" s="1"/>
  <c r="HY411" i="3"/>
  <c r="IA411" i="3" s="1"/>
  <c r="HY898" i="3"/>
  <c r="IA898" i="3" s="1"/>
  <c r="HY576" i="3"/>
  <c r="IA576" i="3" s="1"/>
  <c r="HY895" i="3"/>
  <c r="IA895" i="3" s="1"/>
  <c r="HY573" i="3"/>
  <c r="IA573" i="3" s="1"/>
  <c r="HY415" i="3"/>
  <c r="IA415" i="3" s="1"/>
  <c r="HY412" i="3"/>
  <c r="IA412" i="3" s="1"/>
  <c r="HY578" i="3"/>
  <c r="IA578" i="3" s="1"/>
  <c r="HY409" i="3"/>
  <c r="IA409" i="3" s="1"/>
  <c r="HY738" i="3"/>
  <c r="IA738" i="3" s="1"/>
  <c r="HY416" i="3"/>
  <c r="IA416" i="3" s="1"/>
  <c r="HY572" i="3"/>
  <c r="IA572" i="3" s="1"/>
  <c r="HY252" i="3"/>
  <c r="IA252" i="3" s="1"/>
  <c r="HY413" i="3"/>
  <c r="IA413" i="3" s="1"/>
  <c r="HY249" i="3"/>
  <c r="IA249" i="3" s="1"/>
  <c r="HY253" i="3"/>
  <c r="IA253" i="3" s="1"/>
  <c r="HY575" i="3"/>
  <c r="IA575" i="3" s="1"/>
  <c r="HY250" i="3"/>
  <c r="IA250" i="3" s="1"/>
  <c r="HY247" i="3"/>
  <c r="IA247" i="3" s="1"/>
  <c r="HY254" i="3"/>
  <c r="IA254" i="3" s="1"/>
  <c r="HY90" i="3"/>
  <c r="IA90" i="3" s="1"/>
  <c r="HY85" i="3"/>
  <c r="IA85" i="3" s="1"/>
  <c r="HY91" i="3"/>
  <c r="IA91" i="3" s="1"/>
  <c r="HY251" i="3"/>
  <c r="IA251" i="3" s="1"/>
  <c r="HY86" i="3"/>
  <c r="IA86" i="3" s="1"/>
  <c r="HY92" i="3"/>
  <c r="IA92" i="3" s="1"/>
  <c r="HY87" i="3"/>
  <c r="IA87" i="3" s="1"/>
  <c r="HY248" i="3"/>
  <c r="IA248" i="3" s="1"/>
  <c r="HY88" i="3"/>
  <c r="IA88" i="3" s="1"/>
  <c r="HY89" i="3"/>
  <c r="IA89" i="3" s="1"/>
  <c r="BH242" i="3"/>
  <c r="BH151" i="3"/>
  <c r="BH82" i="3"/>
  <c r="BF270" i="3"/>
  <c r="BF267" i="3"/>
  <c r="BF203" i="3"/>
  <c r="BH203" i="3" s="1"/>
  <c r="BF264" i="3"/>
  <c r="BH264" i="3" s="1"/>
  <c r="BF261" i="3"/>
  <c r="BH261" i="3" s="1"/>
  <c r="BF165" i="3"/>
  <c r="BF271" i="3"/>
  <c r="BH271" i="3" s="1"/>
  <c r="BF268" i="3"/>
  <c r="BH268" i="3" s="1"/>
  <c r="BF265" i="3"/>
  <c r="BF262" i="3"/>
  <c r="BF259" i="3"/>
  <c r="BH259" i="3" s="1"/>
  <c r="BF224" i="3"/>
  <c r="BF263" i="3"/>
  <c r="BH263" i="3" s="1"/>
  <c r="BF260" i="3"/>
  <c r="BH260" i="3" s="1"/>
  <c r="BF72" i="3"/>
  <c r="BF266" i="3"/>
  <c r="BF186" i="3"/>
  <c r="BF89" i="3"/>
  <c r="BF148" i="3"/>
  <c r="BF51" i="3"/>
  <c r="BH51" i="3" s="1"/>
  <c r="BF34" i="3"/>
  <c r="BF110" i="3"/>
  <c r="BH110" i="3" s="1"/>
  <c r="BF127" i="3"/>
  <c r="BH127" i="3" s="1"/>
  <c r="BF269" i="3"/>
  <c r="BF13" i="3"/>
  <c r="Y13" i="3"/>
  <c r="Y34" i="3"/>
  <c r="BH71" i="3"/>
  <c r="BH185" i="3"/>
  <c r="HY1095" i="3"/>
  <c r="IA1095" i="3" s="1"/>
  <c r="HY1092" i="3"/>
  <c r="IA1092" i="3" s="1"/>
  <c r="HY1089" i="3"/>
  <c r="IA1089" i="3" s="1"/>
  <c r="HY1094" i="3"/>
  <c r="IA1094" i="3" s="1"/>
  <c r="HY1096" i="3"/>
  <c r="IA1096" i="3" s="1"/>
  <c r="HY1090" i="3"/>
  <c r="IA1090" i="3" s="1"/>
  <c r="HY932" i="3"/>
  <c r="IA932" i="3" s="1"/>
  <c r="HY772" i="3"/>
  <c r="IA772" i="3" s="1"/>
  <c r="HY1093" i="3"/>
  <c r="IA1093" i="3" s="1"/>
  <c r="HY929" i="3"/>
  <c r="IA929" i="3" s="1"/>
  <c r="HY769" i="3"/>
  <c r="IA769" i="3" s="1"/>
  <c r="HY1091" i="3"/>
  <c r="IA1091" i="3" s="1"/>
  <c r="HY934" i="3"/>
  <c r="IA934" i="3" s="1"/>
  <c r="HY766" i="3"/>
  <c r="IA766" i="3" s="1"/>
  <c r="HY931" i="3"/>
  <c r="IA931" i="3" s="1"/>
  <c r="HY771" i="3"/>
  <c r="IA771" i="3" s="1"/>
  <c r="HY928" i="3"/>
  <c r="IA928" i="3" s="1"/>
  <c r="HY768" i="3"/>
  <c r="IA768" i="3" s="1"/>
  <c r="HY933" i="3"/>
  <c r="IA933" i="3" s="1"/>
  <c r="HY765" i="3"/>
  <c r="IA765" i="3" s="1"/>
  <c r="HY442" i="3"/>
  <c r="IA442" i="3" s="1"/>
  <c r="HY927" i="3"/>
  <c r="IA927" i="3" s="1"/>
  <c r="HY609" i="3"/>
  <c r="IA609" i="3" s="1"/>
  <c r="HY606" i="3"/>
  <c r="IA606" i="3" s="1"/>
  <c r="HY446" i="3"/>
  <c r="IA446" i="3" s="1"/>
  <c r="HY603" i="3"/>
  <c r="IA603" i="3" s="1"/>
  <c r="HY443" i="3"/>
  <c r="IA443" i="3" s="1"/>
  <c r="HY770" i="3"/>
  <c r="IA770" i="3" s="1"/>
  <c r="HY608" i="3"/>
  <c r="IA608" i="3" s="1"/>
  <c r="HY767" i="3"/>
  <c r="IA767" i="3" s="1"/>
  <c r="HY605" i="3"/>
  <c r="IA605" i="3" s="1"/>
  <c r="HY447" i="3"/>
  <c r="IA447" i="3" s="1"/>
  <c r="HY444" i="3"/>
  <c r="IA444" i="3" s="1"/>
  <c r="HY610" i="3"/>
  <c r="IA610" i="3" s="1"/>
  <c r="HY441" i="3"/>
  <c r="IA441" i="3" s="1"/>
  <c r="HY930" i="3"/>
  <c r="IA930" i="3" s="1"/>
  <c r="HY448" i="3"/>
  <c r="IA448" i="3" s="1"/>
  <c r="HY604" i="3"/>
  <c r="IA604" i="3" s="1"/>
  <c r="HY445" i="3"/>
  <c r="IA445" i="3" s="1"/>
  <c r="HY284" i="3"/>
  <c r="IA284" i="3" s="1"/>
  <c r="HY281" i="3"/>
  <c r="IA281" i="3" s="1"/>
  <c r="HY285" i="3"/>
  <c r="IA285" i="3" s="1"/>
  <c r="HY282" i="3"/>
  <c r="IA282" i="3" s="1"/>
  <c r="HY279" i="3"/>
  <c r="IA279" i="3" s="1"/>
  <c r="HY286" i="3"/>
  <c r="IA286" i="3" s="1"/>
  <c r="HY607" i="3"/>
  <c r="IA607" i="3" s="1"/>
  <c r="HY123" i="3"/>
  <c r="IA123" i="3" s="1"/>
  <c r="HY120" i="3"/>
  <c r="IA120" i="3" s="1"/>
  <c r="HY117" i="3"/>
  <c r="IA117" i="3" s="1"/>
  <c r="HY124" i="3"/>
  <c r="IA124" i="3" s="1"/>
  <c r="HY121" i="3"/>
  <c r="IA121" i="3" s="1"/>
  <c r="HY118" i="3"/>
  <c r="IA118" i="3" s="1"/>
  <c r="HY283" i="3"/>
  <c r="IA283" i="3" s="1"/>
  <c r="HY122" i="3"/>
  <c r="IA122" i="3" s="1"/>
  <c r="HY119" i="3"/>
  <c r="IA119" i="3" s="1"/>
  <c r="HY280" i="3"/>
  <c r="IA280" i="3" s="1"/>
  <c r="IA490" i="3"/>
  <c r="BH46" i="3"/>
  <c r="BH235" i="3"/>
  <c r="BH227" i="3"/>
  <c r="BH229" i="3"/>
  <c r="BH155" i="3"/>
  <c r="BF321" i="3"/>
  <c r="BF318" i="3"/>
  <c r="BF315" i="3"/>
  <c r="BF219" i="3"/>
  <c r="BF312" i="3"/>
  <c r="BF181" i="3"/>
  <c r="BF322" i="3"/>
  <c r="BF319" i="3"/>
  <c r="BF143" i="3"/>
  <c r="BF316" i="3"/>
  <c r="BF313" i="3"/>
  <c r="BF323" i="3"/>
  <c r="BF320" i="3"/>
  <c r="BF208" i="3"/>
  <c r="BF311" i="3"/>
  <c r="BF314" i="3"/>
  <c r="BF29" i="3"/>
  <c r="BF132" i="3"/>
  <c r="BF56" i="3"/>
  <c r="BF94" i="3"/>
  <c r="BF170" i="3"/>
  <c r="BF105" i="3"/>
  <c r="BF317" i="3"/>
  <c r="Y29" i="3"/>
  <c r="BF67" i="3"/>
  <c r="Y18" i="3"/>
  <c r="BF18" i="3"/>
  <c r="HY1031" i="3"/>
  <c r="IA1031" i="3" s="1"/>
  <c r="HY868" i="3"/>
  <c r="IA868" i="3" s="1"/>
  <c r="HY708" i="3"/>
  <c r="IA708" i="3" s="1"/>
  <c r="HY865" i="3"/>
  <c r="IA865" i="3" s="1"/>
  <c r="HY705" i="3"/>
  <c r="IA705" i="3" s="1"/>
  <c r="HY1032" i="3"/>
  <c r="IA1032" i="3" s="1"/>
  <c r="HY1029" i="3"/>
  <c r="IA1029" i="3" s="1"/>
  <c r="HY1026" i="3"/>
  <c r="IA1026" i="3" s="1"/>
  <c r="HY870" i="3"/>
  <c r="IA870" i="3" s="1"/>
  <c r="HY702" i="3"/>
  <c r="IA702" i="3" s="1"/>
  <c r="HY867" i="3"/>
  <c r="IA867" i="3" s="1"/>
  <c r="HY707" i="3"/>
  <c r="IA707" i="3" s="1"/>
  <c r="HY1028" i="3"/>
  <c r="IA1028" i="3" s="1"/>
  <c r="HY1025" i="3"/>
  <c r="IA1025" i="3" s="1"/>
  <c r="HY864" i="3"/>
  <c r="IA864" i="3" s="1"/>
  <c r="HY704" i="3"/>
  <c r="IA704" i="3" s="1"/>
  <c r="HY869" i="3"/>
  <c r="IA869" i="3" s="1"/>
  <c r="HY701" i="3"/>
  <c r="IA701" i="3" s="1"/>
  <c r="HY1030" i="3"/>
  <c r="IA1030" i="3" s="1"/>
  <c r="HY1027" i="3"/>
  <c r="IA1027" i="3" s="1"/>
  <c r="HY378" i="3"/>
  <c r="IA378" i="3" s="1"/>
  <c r="HY863" i="3"/>
  <c r="IA863" i="3" s="1"/>
  <c r="HY545" i="3"/>
  <c r="IA545" i="3" s="1"/>
  <c r="HY542" i="3"/>
  <c r="IA542" i="3" s="1"/>
  <c r="HY382" i="3"/>
  <c r="IA382" i="3" s="1"/>
  <c r="HY539" i="3"/>
  <c r="IA539" i="3" s="1"/>
  <c r="HY379" i="3"/>
  <c r="IA379" i="3" s="1"/>
  <c r="HY706" i="3"/>
  <c r="IA706" i="3" s="1"/>
  <c r="HY544" i="3"/>
  <c r="IA544" i="3" s="1"/>
  <c r="HY703" i="3"/>
  <c r="IA703" i="3" s="1"/>
  <c r="HY541" i="3"/>
  <c r="IA541" i="3" s="1"/>
  <c r="HY383" i="3"/>
  <c r="IA383" i="3" s="1"/>
  <c r="HY380" i="3"/>
  <c r="IA380" i="3" s="1"/>
  <c r="HY546" i="3"/>
  <c r="IA546" i="3" s="1"/>
  <c r="HY377" i="3"/>
  <c r="IA377" i="3" s="1"/>
  <c r="HY866" i="3"/>
  <c r="IA866" i="3" s="1"/>
  <c r="HY384" i="3"/>
  <c r="IA384" i="3" s="1"/>
  <c r="HY540" i="3"/>
  <c r="IA540" i="3" s="1"/>
  <c r="HY220" i="3"/>
  <c r="IA220" i="3" s="1"/>
  <c r="HY217" i="3"/>
  <c r="IA217" i="3" s="1"/>
  <c r="HY381" i="3"/>
  <c r="IA381" i="3" s="1"/>
  <c r="HY221" i="3"/>
  <c r="IA221" i="3" s="1"/>
  <c r="HY218" i="3"/>
  <c r="IA218" i="3" s="1"/>
  <c r="HY215" i="3"/>
  <c r="IA215" i="3" s="1"/>
  <c r="HY222" i="3"/>
  <c r="IA222" i="3" s="1"/>
  <c r="HY543" i="3"/>
  <c r="IA543" i="3" s="1"/>
  <c r="HY219" i="3"/>
  <c r="IA219" i="3" s="1"/>
  <c r="HY54" i="3"/>
  <c r="IA54" i="3" s="1"/>
  <c r="HY216" i="3"/>
  <c r="IA216" i="3" s="1"/>
  <c r="HY59" i="3"/>
  <c r="IA59" i="3" s="1"/>
  <c r="HY57" i="3"/>
  <c r="IA57" i="3" s="1"/>
  <c r="HY60" i="3"/>
  <c r="IA60" i="3" s="1"/>
  <c r="HY58" i="3"/>
  <c r="IA58" i="3" s="1"/>
  <c r="HY56" i="3"/>
  <c r="IA56" i="3" s="1"/>
  <c r="HY55" i="3"/>
  <c r="IA55" i="3" s="1"/>
  <c r="HY53" i="3"/>
  <c r="IA53" i="3" s="1"/>
  <c r="IA976" i="3"/>
  <c r="BH157" i="3"/>
  <c r="BH122" i="3"/>
  <c r="BH246" i="3"/>
  <c r="HY988" i="3"/>
  <c r="IA988" i="3" s="1"/>
  <c r="HY828" i="3"/>
  <c r="IA828" i="3" s="1"/>
  <c r="HY668" i="3"/>
  <c r="IA668" i="3" s="1"/>
  <c r="HY985" i="3"/>
  <c r="IA985" i="3" s="1"/>
  <c r="HY825" i="3"/>
  <c r="IA825" i="3" s="1"/>
  <c r="HY665" i="3"/>
  <c r="IA665" i="3" s="1"/>
  <c r="HY990" i="3"/>
  <c r="IA990" i="3" s="1"/>
  <c r="HY830" i="3"/>
  <c r="IA830" i="3" s="1"/>
  <c r="HY662" i="3"/>
  <c r="IA662" i="3" s="1"/>
  <c r="HY987" i="3"/>
  <c r="IA987" i="3" s="1"/>
  <c r="HY827" i="3"/>
  <c r="IA827" i="3" s="1"/>
  <c r="HY667" i="3"/>
  <c r="IA667" i="3" s="1"/>
  <c r="HY992" i="3"/>
  <c r="IA992" i="3" s="1"/>
  <c r="HY824" i="3"/>
  <c r="IA824" i="3" s="1"/>
  <c r="HY664" i="3"/>
  <c r="IA664" i="3" s="1"/>
  <c r="HY989" i="3"/>
  <c r="IA989" i="3" s="1"/>
  <c r="HY829" i="3"/>
  <c r="IA829" i="3" s="1"/>
  <c r="HY991" i="3"/>
  <c r="IA991" i="3" s="1"/>
  <c r="HY505" i="3"/>
  <c r="IA505" i="3" s="1"/>
  <c r="HY502" i="3"/>
  <c r="IA502" i="3" s="1"/>
  <c r="HY986" i="3"/>
  <c r="IA986" i="3" s="1"/>
  <c r="HY663" i="3"/>
  <c r="IA663" i="3" s="1"/>
  <c r="HY499" i="3"/>
  <c r="IA499" i="3" s="1"/>
  <c r="HY661" i="3"/>
  <c r="IA661" i="3" s="1"/>
  <c r="HY504" i="3"/>
  <c r="IA504" i="3" s="1"/>
  <c r="HY501" i="3"/>
  <c r="IA501" i="3" s="1"/>
  <c r="HY506" i="3"/>
  <c r="IA506" i="3" s="1"/>
  <c r="HY666" i="3"/>
  <c r="IA666" i="3" s="1"/>
  <c r="HY823" i="3"/>
  <c r="IA823" i="3" s="1"/>
  <c r="HY500" i="3"/>
  <c r="IA500" i="3" s="1"/>
  <c r="HY175" i="3"/>
  <c r="IA175" i="3" s="1"/>
  <c r="HY342" i="3"/>
  <c r="IA342" i="3" s="1"/>
  <c r="HY182" i="3"/>
  <c r="IA182" i="3" s="1"/>
  <c r="HY339" i="3"/>
  <c r="IA339" i="3" s="1"/>
  <c r="HY179" i="3"/>
  <c r="IA179" i="3" s="1"/>
  <c r="HY176" i="3"/>
  <c r="IA176" i="3" s="1"/>
  <c r="HY826" i="3"/>
  <c r="IA826" i="3" s="1"/>
  <c r="HY343" i="3"/>
  <c r="IA343" i="3" s="1"/>
  <c r="HY340" i="3"/>
  <c r="IA340" i="3" s="1"/>
  <c r="HY180" i="3"/>
  <c r="IA180" i="3" s="1"/>
  <c r="HY337" i="3"/>
  <c r="IA337" i="3" s="1"/>
  <c r="HY177" i="3"/>
  <c r="IA177" i="3" s="1"/>
  <c r="HY341" i="3"/>
  <c r="IA341" i="3" s="1"/>
  <c r="HY181" i="3"/>
  <c r="IA181" i="3" s="1"/>
  <c r="HY338" i="3"/>
  <c r="IA338" i="3" s="1"/>
  <c r="HY503" i="3"/>
  <c r="IA503" i="3" s="1"/>
  <c r="HY344" i="3"/>
  <c r="IA344" i="3" s="1"/>
  <c r="HY178" i="3"/>
  <c r="IA178" i="3" s="1"/>
  <c r="HY15" i="3"/>
  <c r="IA15" i="3" s="1"/>
  <c r="HY20" i="3"/>
  <c r="IA20" i="3" s="1"/>
  <c r="HY16" i="3"/>
  <c r="IA16" i="3" s="1"/>
  <c r="HY17" i="3"/>
  <c r="IA17" i="3" s="1"/>
  <c r="HY14" i="3"/>
  <c r="IA14" i="3" s="1"/>
  <c r="HY18" i="3"/>
  <c r="IA18" i="3" s="1"/>
  <c r="HY19" i="3"/>
  <c r="IA19" i="3" s="1"/>
  <c r="HY13" i="3"/>
  <c r="IA13" i="3" s="1"/>
  <c r="BH158" i="3"/>
  <c r="BH9" i="3"/>
  <c r="BF225" i="3"/>
  <c r="BF187" i="3"/>
  <c r="BH187" i="3" s="1"/>
  <c r="BF149" i="3"/>
  <c r="BH149" i="3" s="1"/>
  <c r="BF50" i="3"/>
  <c r="BF73" i="3"/>
  <c r="BF164" i="3"/>
  <c r="BF88" i="3"/>
  <c r="BF202" i="3"/>
  <c r="BH202" i="3" s="1"/>
  <c r="BF126" i="3"/>
  <c r="BH126" i="3" s="1"/>
  <c r="Y35" i="3"/>
  <c r="Y12" i="3"/>
  <c r="BF12" i="3"/>
  <c r="BF111" i="3"/>
  <c r="BH111" i="3" s="1"/>
  <c r="BF35" i="3"/>
  <c r="BH35" i="3" s="1"/>
  <c r="BH70" i="3"/>
  <c r="BH128" i="3"/>
  <c r="BH281" i="3"/>
  <c r="BM3860" i="3"/>
  <c r="BO3860" i="3" s="1"/>
  <c r="BM4342" i="3"/>
  <c r="BO4342" i="3" s="1"/>
  <c r="BM2896" i="3"/>
  <c r="BO2896" i="3" s="1"/>
  <c r="BM2414" i="3"/>
  <c r="BO2414" i="3" s="1"/>
  <c r="BM1932" i="3"/>
  <c r="BO1932" i="3" s="1"/>
  <c r="BM3378" i="3"/>
  <c r="BO3378" i="3" s="1"/>
  <c r="BM1450" i="3"/>
  <c r="BO1450" i="3" s="1"/>
  <c r="HY651" i="3"/>
  <c r="IA651" i="3" s="1"/>
  <c r="HY813" i="3"/>
  <c r="IA813" i="3" s="1"/>
  <c r="BM968" i="3"/>
  <c r="BO968" i="3" s="1"/>
  <c r="HY489" i="3"/>
  <c r="IA489" i="3" s="1"/>
  <c r="BM486" i="3"/>
  <c r="BO486" i="3" s="1"/>
  <c r="HY327" i="3"/>
  <c r="IA327" i="3" s="1"/>
  <c r="HY975" i="3"/>
  <c r="IA975" i="3" s="1"/>
  <c r="HY165" i="3"/>
  <c r="IA165" i="3" s="1"/>
  <c r="AZ54" i="3"/>
  <c r="AZ31" i="3"/>
  <c r="AZ52" i="3"/>
  <c r="AZ60" i="3"/>
  <c r="AZ58" i="3"/>
  <c r="AZ50" i="3"/>
  <c r="AZ48" i="3"/>
  <c r="AZ46" i="3"/>
  <c r="AZ61" i="3"/>
  <c r="AZ59" i="3"/>
  <c r="AZ57" i="3"/>
  <c r="AZ44" i="3"/>
  <c r="AZ27" i="3"/>
  <c r="AZ62" i="3"/>
  <c r="AZ56" i="3"/>
  <c r="AZ63" i="3"/>
  <c r="AZ55" i="3"/>
  <c r="AZ40" i="3"/>
  <c r="AZ39" i="3"/>
  <c r="AZ38" i="3"/>
  <c r="AZ37" i="3"/>
  <c r="AZ36" i="3"/>
  <c r="AZ64" i="3"/>
  <c r="AZ53" i="3"/>
  <c r="AZ42" i="3"/>
  <c r="AZ51" i="3"/>
  <c r="AZ49" i="3"/>
  <c r="AZ47" i="3"/>
  <c r="AZ45" i="3"/>
  <c r="AZ43" i="3"/>
  <c r="AZ22" i="3"/>
  <c r="AZ19" i="3"/>
  <c r="AZ35" i="3"/>
  <c r="AZ34" i="3"/>
  <c r="AZ26" i="3"/>
  <c r="AZ20" i="3"/>
  <c r="AZ32" i="3"/>
  <c r="AZ13" i="3"/>
  <c r="AZ11" i="3"/>
  <c r="AZ25" i="3"/>
  <c r="AZ23" i="3"/>
  <c r="AZ21" i="3"/>
  <c r="AZ17" i="3"/>
  <c r="AZ16" i="3"/>
  <c r="AZ18" i="3"/>
  <c r="AZ15" i="3"/>
  <c r="AZ29" i="3"/>
  <c r="AZ33" i="3"/>
  <c r="AZ28" i="3"/>
  <c r="AZ41" i="3"/>
  <c r="AZ12" i="3"/>
  <c r="AZ9" i="3"/>
  <c r="AZ14" i="3"/>
  <c r="AZ7" i="3"/>
  <c r="AZ6" i="3"/>
  <c r="C264" i="1"/>
  <c r="AZ24" i="3"/>
  <c r="AZ10" i="3"/>
  <c r="AZ5" i="3"/>
  <c r="AZ8" i="3"/>
  <c r="AZ30" i="3"/>
  <c r="IA814" i="3"/>
  <c r="BH153" i="3"/>
  <c r="BH249" i="3"/>
  <c r="BH193" i="3"/>
  <c r="BF334" i="3"/>
  <c r="BF331" i="3"/>
  <c r="BF328" i="3"/>
  <c r="BF325" i="3"/>
  <c r="BF210" i="3"/>
  <c r="BF335" i="3"/>
  <c r="BF332" i="3"/>
  <c r="BF172" i="3"/>
  <c r="BF329" i="3"/>
  <c r="BF217" i="3"/>
  <c r="BF326" i="3"/>
  <c r="BF179" i="3"/>
  <c r="BF336" i="3"/>
  <c r="BF327" i="3"/>
  <c r="BF324" i="3"/>
  <c r="BF141" i="3"/>
  <c r="BF58" i="3"/>
  <c r="BF103" i="3"/>
  <c r="BF333" i="3"/>
  <c r="BF65" i="3"/>
  <c r="BF330" i="3"/>
  <c r="BF134" i="3"/>
  <c r="BF96" i="3"/>
  <c r="BF27" i="3"/>
  <c r="BF20" i="3"/>
  <c r="Y27" i="3"/>
  <c r="Y20" i="3"/>
  <c r="BH14" i="3"/>
  <c r="BH276" i="3"/>
  <c r="HY1087" i="3"/>
  <c r="IA1087" i="3" s="1"/>
  <c r="HY1084" i="3"/>
  <c r="IA1084" i="3" s="1"/>
  <c r="HY1081" i="3"/>
  <c r="IA1081" i="3" s="1"/>
  <c r="HY1086" i="3"/>
  <c r="IA1086" i="3" s="1"/>
  <c r="HY1088" i="3"/>
  <c r="IA1088" i="3" s="1"/>
  <c r="HY1082" i="3"/>
  <c r="IA1082" i="3" s="1"/>
  <c r="HY1085" i="3"/>
  <c r="IA1085" i="3" s="1"/>
  <c r="HY924" i="3"/>
  <c r="IA924" i="3" s="1"/>
  <c r="HY764" i="3"/>
  <c r="IA764" i="3" s="1"/>
  <c r="HY921" i="3"/>
  <c r="IA921" i="3" s="1"/>
  <c r="HY761" i="3"/>
  <c r="IA761" i="3" s="1"/>
  <c r="HY1083" i="3"/>
  <c r="IA1083" i="3" s="1"/>
  <c r="HY926" i="3"/>
  <c r="IA926" i="3" s="1"/>
  <c r="HY758" i="3"/>
  <c r="IA758" i="3" s="1"/>
  <c r="HY923" i="3"/>
  <c r="IA923" i="3" s="1"/>
  <c r="HY763" i="3"/>
  <c r="IA763" i="3" s="1"/>
  <c r="HY920" i="3"/>
  <c r="IA920" i="3" s="1"/>
  <c r="HY760" i="3"/>
  <c r="IA760" i="3" s="1"/>
  <c r="HY925" i="3"/>
  <c r="IA925" i="3" s="1"/>
  <c r="HY757" i="3"/>
  <c r="IA757" i="3" s="1"/>
  <c r="HY601" i="3"/>
  <c r="IA601" i="3" s="1"/>
  <c r="HY439" i="3"/>
  <c r="IA439" i="3" s="1"/>
  <c r="HY436" i="3"/>
  <c r="IA436" i="3" s="1"/>
  <c r="HY598" i="3"/>
  <c r="IA598" i="3" s="1"/>
  <c r="HY433" i="3"/>
  <c r="IA433" i="3" s="1"/>
  <c r="HY922" i="3"/>
  <c r="IA922" i="3" s="1"/>
  <c r="HY595" i="3"/>
  <c r="IA595" i="3" s="1"/>
  <c r="HY440" i="3"/>
  <c r="IA440" i="3" s="1"/>
  <c r="HY919" i="3"/>
  <c r="IA919" i="3" s="1"/>
  <c r="HY600" i="3"/>
  <c r="IA600" i="3" s="1"/>
  <c r="HY437" i="3"/>
  <c r="IA437" i="3" s="1"/>
  <c r="HY434" i="3"/>
  <c r="IA434" i="3" s="1"/>
  <c r="HY597" i="3"/>
  <c r="IA597" i="3" s="1"/>
  <c r="HY602" i="3"/>
  <c r="IA602" i="3" s="1"/>
  <c r="HY759" i="3"/>
  <c r="IA759" i="3" s="1"/>
  <c r="HY596" i="3"/>
  <c r="IA596" i="3" s="1"/>
  <c r="HY271" i="3"/>
  <c r="IA271" i="3" s="1"/>
  <c r="HY278" i="3"/>
  <c r="IA278" i="3" s="1"/>
  <c r="HY275" i="3"/>
  <c r="IA275" i="3" s="1"/>
  <c r="HY599" i="3"/>
  <c r="IA599" i="3" s="1"/>
  <c r="HY272" i="3"/>
  <c r="IA272" i="3" s="1"/>
  <c r="HY276" i="3"/>
  <c r="IA276" i="3" s="1"/>
  <c r="HY438" i="3"/>
  <c r="IA438" i="3" s="1"/>
  <c r="HY273" i="3"/>
  <c r="IA273" i="3" s="1"/>
  <c r="HY762" i="3"/>
  <c r="IA762" i="3" s="1"/>
  <c r="HY277" i="3"/>
  <c r="IA277" i="3" s="1"/>
  <c r="HY435" i="3"/>
  <c r="IA435" i="3" s="1"/>
  <c r="HY274" i="3"/>
  <c r="IA274" i="3" s="1"/>
  <c r="HY110" i="3"/>
  <c r="IA110" i="3" s="1"/>
  <c r="HY114" i="3"/>
  <c r="IA114" i="3" s="1"/>
  <c r="HY111" i="3"/>
  <c r="IA111" i="3" s="1"/>
  <c r="HY115" i="3"/>
  <c r="IA115" i="3" s="1"/>
  <c r="HY112" i="3"/>
  <c r="IA112" i="3" s="1"/>
  <c r="HY116" i="3"/>
  <c r="IA116" i="3" s="1"/>
  <c r="HY109" i="3"/>
  <c r="IA109" i="3" s="1"/>
  <c r="HY113" i="3"/>
  <c r="IA113" i="3" s="1"/>
  <c r="IA652" i="3"/>
  <c r="BH37" i="3"/>
  <c r="BH252" i="3"/>
  <c r="BF226" i="3"/>
  <c r="BF188" i="3"/>
  <c r="BF201" i="3"/>
  <c r="BF163" i="3"/>
  <c r="BF112" i="3"/>
  <c r="BF125" i="3"/>
  <c r="BF87" i="3"/>
  <c r="BH87" i="3" s="1"/>
  <c r="BF74" i="3"/>
  <c r="BH74" i="3" s="1"/>
  <c r="BF49" i="3"/>
  <c r="BF36" i="3"/>
  <c r="BF11" i="3"/>
  <c r="BH11" i="3" s="1"/>
  <c r="Y11" i="3"/>
  <c r="Y36" i="3"/>
  <c r="BF150" i="3"/>
  <c r="ER18" i="3"/>
  <c r="ER16" i="3"/>
  <c r="ER13" i="3"/>
  <c r="ER19" i="3"/>
  <c r="ER15" i="3"/>
  <c r="ER20" i="3"/>
  <c r="ER14" i="3"/>
  <c r="ER17" i="3"/>
  <c r="HY1111" i="3"/>
  <c r="IA1111" i="3" s="1"/>
  <c r="HY1108" i="3"/>
  <c r="IA1108" i="3" s="1"/>
  <c r="HY1105" i="3"/>
  <c r="IA1105" i="3" s="1"/>
  <c r="HY1110" i="3"/>
  <c r="IA1110" i="3" s="1"/>
  <c r="HY1112" i="3"/>
  <c r="IA1112" i="3" s="1"/>
  <c r="HY1106" i="3"/>
  <c r="IA1106" i="3" s="1"/>
  <c r="HY948" i="3"/>
  <c r="IA948" i="3" s="1"/>
  <c r="HY788" i="3"/>
  <c r="IA788" i="3" s="1"/>
  <c r="HY945" i="3"/>
  <c r="IA945" i="3" s="1"/>
  <c r="HY785" i="3"/>
  <c r="IA785" i="3" s="1"/>
  <c r="HY1109" i="3"/>
  <c r="IA1109" i="3" s="1"/>
  <c r="HY950" i="3"/>
  <c r="IA950" i="3" s="1"/>
  <c r="HY782" i="3"/>
  <c r="IA782" i="3" s="1"/>
  <c r="HY1107" i="3"/>
  <c r="IA1107" i="3" s="1"/>
  <c r="HY947" i="3"/>
  <c r="IA947" i="3" s="1"/>
  <c r="HY787" i="3"/>
  <c r="IA787" i="3" s="1"/>
  <c r="HY944" i="3"/>
  <c r="IA944" i="3" s="1"/>
  <c r="HY784" i="3"/>
  <c r="IA784" i="3" s="1"/>
  <c r="HY949" i="3"/>
  <c r="IA949" i="3" s="1"/>
  <c r="HY781" i="3"/>
  <c r="IA781" i="3" s="1"/>
  <c r="HY458" i="3"/>
  <c r="IA458" i="3" s="1"/>
  <c r="HY625" i="3"/>
  <c r="IA625" i="3" s="1"/>
  <c r="HY946" i="3"/>
  <c r="IA946" i="3" s="1"/>
  <c r="HY622" i="3"/>
  <c r="IA622" i="3" s="1"/>
  <c r="HY462" i="3"/>
  <c r="IA462" i="3" s="1"/>
  <c r="HY943" i="3"/>
  <c r="IA943" i="3" s="1"/>
  <c r="HY619" i="3"/>
  <c r="IA619" i="3" s="1"/>
  <c r="HY459" i="3"/>
  <c r="IA459" i="3" s="1"/>
  <c r="HY624" i="3"/>
  <c r="IA624" i="3" s="1"/>
  <c r="HY464" i="3"/>
  <c r="IA464" i="3" s="1"/>
  <c r="HY621" i="3"/>
  <c r="IA621" i="3" s="1"/>
  <c r="HY461" i="3"/>
  <c r="IA461" i="3" s="1"/>
  <c r="HY786" i="3"/>
  <c r="IA786" i="3" s="1"/>
  <c r="HY626" i="3"/>
  <c r="IA626" i="3" s="1"/>
  <c r="HY457" i="3"/>
  <c r="IA457" i="3" s="1"/>
  <c r="HY620" i="3"/>
  <c r="IA620" i="3" s="1"/>
  <c r="HY460" i="3"/>
  <c r="IA460" i="3" s="1"/>
  <c r="HY300" i="3"/>
  <c r="IA300" i="3" s="1"/>
  <c r="HY297" i="3"/>
  <c r="IA297" i="3" s="1"/>
  <c r="HY623" i="3"/>
  <c r="IA623" i="3" s="1"/>
  <c r="HY301" i="3"/>
  <c r="IA301" i="3" s="1"/>
  <c r="HY298" i="3"/>
  <c r="IA298" i="3" s="1"/>
  <c r="HY295" i="3"/>
  <c r="IA295" i="3" s="1"/>
  <c r="HY463" i="3"/>
  <c r="IA463" i="3" s="1"/>
  <c r="HY302" i="3"/>
  <c r="IA302" i="3" s="1"/>
  <c r="HY139" i="3"/>
  <c r="IA139" i="3" s="1"/>
  <c r="HY136" i="3"/>
  <c r="IA136" i="3" s="1"/>
  <c r="HY783" i="3"/>
  <c r="IA783" i="3" s="1"/>
  <c r="HY133" i="3"/>
  <c r="IA133" i="3" s="1"/>
  <c r="HY299" i="3"/>
  <c r="IA299" i="3" s="1"/>
  <c r="HY140" i="3"/>
  <c r="IA140" i="3" s="1"/>
  <c r="HY137" i="3"/>
  <c r="IA137" i="3" s="1"/>
  <c r="HY134" i="3"/>
  <c r="IA134" i="3" s="1"/>
  <c r="HY296" i="3"/>
  <c r="IA296" i="3" s="1"/>
  <c r="HY138" i="3"/>
  <c r="IA138" i="3" s="1"/>
  <c r="HY135" i="3"/>
  <c r="IA135" i="3" s="1"/>
  <c r="BH195" i="3"/>
  <c r="BH255" i="3"/>
  <c r="BH159" i="3"/>
  <c r="BH38" i="3"/>
  <c r="BH285" i="3"/>
  <c r="BH279" i="3"/>
  <c r="HY1039" i="3"/>
  <c r="IA1039" i="3" s="1"/>
  <c r="HY876" i="3"/>
  <c r="IA876" i="3" s="1"/>
  <c r="HY716" i="3"/>
  <c r="IA716" i="3" s="1"/>
  <c r="HY873" i="3"/>
  <c r="IA873" i="3" s="1"/>
  <c r="HY713" i="3"/>
  <c r="IA713" i="3" s="1"/>
  <c r="HY1038" i="3"/>
  <c r="IA1038" i="3" s="1"/>
  <c r="HY1035" i="3"/>
  <c r="IA1035" i="3" s="1"/>
  <c r="HY878" i="3"/>
  <c r="IA878" i="3" s="1"/>
  <c r="HY710" i="3"/>
  <c r="IA710" i="3" s="1"/>
  <c r="HY875" i="3"/>
  <c r="IA875" i="3" s="1"/>
  <c r="HY715" i="3"/>
  <c r="IA715" i="3" s="1"/>
  <c r="HY872" i="3"/>
  <c r="IA872" i="3" s="1"/>
  <c r="HY712" i="3"/>
  <c r="IA712" i="3" s="1"/>
  <c r="HY1040" i="3"/>
  <c r="IA1040" i="3" s="1"/>
  <c r="HY1037" i="3"/>
  <c r="IA1037" i="3" s="1"/>
  <c r="HY1034" i="3"/>
  <c r="IA1034" i="3" s="1"/>
  <c r="HY877" i="3"/>
  <c r="IA877" i="3" s="1"/>
  <c r="HY709" i="3"/>
  <c r="IA709" i="3" s="1"/>
  <c r="HY714" i="3"/>
  <c r="IA714" i="3" s="1"/>
  <c r="HY553" i="3"/>
  <c r="IA553" i="3" s="1"/>
  <c r="HY391" i="3"/>
  <c r="IA391" i="3" s="1"/>
  <c r="HY388" i="3"/>
  <c r="IA388" i="3" s="1"/>
  <c r="HY1036" i="3"/>
  <c r="IA1036" i="3" s="1"/>
  <c r="HY711" i="3"/>
  <c r="IA711" i="3" s="1"/>
  <c r="HY550" i="3"/>
  <c r="IA550" i="3" s="1"/>
  <c r="HY385" i="3"/>
  <c r="IA385" i="3" s="1"/>
  <c r="HY1033" i="3"/>
  <c r="IA1033" i="3" s="1"/>
  <c r="HY547" i="3"/>
  <c r="IA547" i="3" s="1"/>
  <c r="HY392" i="3"/>
  <c r="IA392" i="3" s="1"/>
  <c r="HY552" i="3"/>
  <c r="IA552" i="3" s="1"/>
  <c r="HY389" i="3"/>
  <c r="IA389" i="3" s="1"/>
  <c r="HY874" i="3"/>
  <c r="IA874" i="3" s="1"/>
  <c r="HY386" i="3"/>
  <c r="IA386" i="3" s="1"/>
  <c r="HY549" i="3"/>
  <c r="IA549" i="3" s="1"/>
  <c r="HY871" i="3"/>
  <c r="IA871" i="3" s="1"/>
  <c r="HY554" i="3"/>
  <c r="IA554" i="3" s="1"/>
  <c r="HY548" i="3"/>
  <c r="IA548" i="3" s="1"/>
  <c r="HY390" i="3"/>
  <c r="IA390" i="3" s="1"/>
  <c r="HY223" i="3"/>
  <c r="IA223" i="3" s="1"/>
  <c r="HY230" i="3"/>
  <c r="IA230" i="3" s="1"/>
  <c r="HY227" i="3"/>
  <c r="IA227" i="3" s="1"/>
  <c r="HY224" i="3"/>
  <c r="IA224" i="3" s="1"/>
  <c r="HY387" i="3"/>
  <c r="IA387" i="3" s="1"/>
  <c r="HY551" i="3"/>
  <c r="IA551" i="3" s="1"/>
  <c r="HY228" i="3"/>
  <c r="IA228" i="3" s="1"/>
  <c r="HY225" i="3"/>
  <c r="IA225" i="3" s="1"/>
  <c r="HY229" i="3"/>
  <c r="IA229" i="3" s="1"/>
  <c r="HY65" i="3"/>
  <c r="IA65" i="3" s="1"/>
  <c r="HY226" i="3"/>
  <c r="IA226" i="3" s="1"/>
  <c r="HY66" i="3"/>
  <c r="IA66" i="3" s="1"/>
  <c r="HY67" i="3"/>
  <c r="IA67" i="3" s="1"/>
  <c r="HY61" i="3"/>
  <c r="IA61" i="3" s="1"/>
  <c r="HY68" i="3"/>
  <c r="IA68" i="3" s="1"/>
  <c r="HY62" i="3"/>
  <c r="IA62" i="3" s="1"/>
  <c r="HY64" i="3"/>
  <c r="IA64" i="3" s="1"/>
  <c r="HY63" i="3"/>
  <c r="IA63" i="3" s="1"/>
  <c r="BH162" i="3"/>
  <c r="HY1119" i="3"/>
  <c r="IA1119" i="3" s="1"/>
  <c r="HY1116" i="3"/>
  <c r="IA1116" i="3" s="1"/>
  <c r="HY1113" i="3"/>
  <c r="IA1113" i="3" s="1"/>
  <c r="HY1118" i="3"/>
  <c r="IA1118" i="3" s="1"/>
  <c r="HY1115" i="3"/>
  <c r="IA1115" i="3" s="1"/>
  <c r="HY1120" i="3"/>
  <c r="IA1120" i="3" s="1"/>
  <c r="HY1117" i="3"/>
  <c r="IA1117" i="3" s="1"/>
  <c r="HY1114" i="3"/>
  <c r="IA1114" i="3" s="1"/>
  <c r="HY956" i="3"/>
  <c r="IA956" i="3" s="1"/>
  <c r="HY796" i="3"/>
  <c r="IA796" i="3" s="1"/>
  <c r="HY953" i="3"/>
  <c r="IA953" i="3" s="1"/>
  <c r="HY793" i="3"/>
  <c r="IA793" i="3" s="1"/>
  <c r="HY958" i="3"/>
  <c r="IA958" i="3" s="1"/>
  <c r="HY790" i="3"/>
  <c r="IA790" i="3" s="1"/>
  <c r="HY955" i="3"/>
  <c r="IA955" i="3" s="1"/>
  <c r="HY795" i="3"/>
  <c r="IA795" i="3" s="1"/>
  <c r="HY952" i="3"/>
  <c r="IA952" i="3" s="1"/>
  <c r="HY792" i="3"/>
  <c r="IA792" i="3" s="1"/>
  <c r="HY957" i="3"/>
  <c r="IA957" i="3" s="1"/>
  <c r="HY789" i="3"/>
  <c r="IA789" i="3" s="1"/>
  <c r="HY633" i="3"/>
  <c r="IA633" i="3" s="1"/>
  <c r="HY465" i="3"/>
  <c r="IA465" i="3" s="1"/>
  <c r="HY630" i="3"/>
  <c r="IA630" i="3" s="1"/>
  <c r="HY470" i="3"/>
  <c r="IA470" i="3" s="1"/>
  <c r="HY794" i="3"/>
  <c r="IA794" i="3" s="1"/>
  <c r="HY627" i="3"/>
  <c r="IA627" i="3" s="1"/>
  <c r="HY467" i="3"/>
  <c r="IA467" i="3" s="1"/>
  <c r="HY791" i="3"/>
  <c r="IA791" i="3" s="1"/>
  <c r="HY632" i="3"/>
  <c r="IA632" i="3" s="1"/>
  <c r="HY472" i="3"/>
  <c r="IA472" i="3" s="1"/>
  <c r="HY629" i="3"/>
  <c r="IA629" i="3" s="1"/>
  <c r="HY469" i="3"/>
  <c r="IA469" i="3" s="1"/>
  <c r="HY634" i="3"/>
  <c r="IA634" i="3" s="1"/>
  <c r="HY466" i="3"/>
  <c r="IA466" i="3" s="1"/>
  <c r="HY951" i="3"/>
  <c r="IA951" i="3" s="1"/>
  <c r="HY628" i="3"/>
  <c r="IA628" i="3" s="1"/>
  <c r="HY468" i="3"/>
  <c r="IA468" i="3" s="1"/>
  <c r="HY303" i="3"/>
  <c r="IA303" i="3" s="1"/>
  <c r="HY143" i="3"/>
  <c r="IA143" i="3" s="1"/>
  <c r="HY310" i="3"/>
  <c r="IA310" i="3" s="1"/>
  <c r="HY307" i="3"/>
  <c r="IA307" i="3" s="1"/>
  <c r="HY147" i="3"/>
  <c r="IA147" i="3" s="1"/>
  <c r="HY471" i="3"/>
  <c r="IA471" i="3" s="1"/>
  <c r="HY304" i="3"/>
  <c r="IA304" i="3" s="1"/>
  <c r="HY144" i="3"/>
  <c r="IA144" i="3" s="1"/>
  <c r="HY308" i="3"/>
  <c r="IA308" i="3" s="1"/>
  <c r="HY305" i="3"/>
  <c r="IA305" i="3" s="1"/>
  <c r="HY309" i="3"/>
  <c r="IA309" i="3" s="1"/>
  <c r="HY306" i="3"/>
  <c r="IA306" i="3" s="1"/>
  <c r="HY954" i="3"/>
  <c r="IA954" i="3" s="1"/>
  <c r="HY146" i="3"/>
  <c r="IA146" i="3" s="1"/>
  <c r="HY142" i="3"/>
  <c r="IA142" i="3" s="1"/>
  <c r="HY148" i="3"/>
  <c r="IA148" i="3" s="1"/>
  <c r="HY145" i="3"/>
  <c r="IA145" i="3" s="1"/>
  <c r="HY631" i="3"/>
  <c r="IA631" i="3" s="1"/>
  <c r="HY141" i="3"/>
  <c r="IA141" i="3" s="1"/>
  <c r="BH6" i="3"/>
  <c r="BH76" i="3"/>
  <c r="BH91" i="3"/>
  <c r="BH53" i="3"/>
  <c r="HY1135" i="3"/>
  <c r="IA1135" i="3" s="1"/>
  <c r="HY1132" i="3"/>
  <c r="IA1132" i="3" s="1"/>
  <c r="HY1129" i="3"/>
  <c r="IA1129" i="3" s="1"/>
  <c r="HY1134" i="3"/>
  <c r="IA1134" i="3" s="1"/>
  <c r="HY1131" i="3"/>
  <c r="IA1131" i="3" s="1"/>
  <c r="HY1136" i="3"/>
  <c r="IA1136" i="3" s="1"/>
  <c r="HY1133" i="3"/>
  <c r="IA1133" i="3" s="1"/>
  <c r="HY1130" i="3"/>
  <c r="IA1130" i="3" s="1"/>
  <c r="HY972" i="3"/>
  <c r="IA972" i="3" s="1"/>
  <c r="HY812" i="3"/>
  <c r="IA812" i="3" s="1"/>
  <c r="HY969" i="3"/>
  <c r="IA969" i="3" s="1"/>
  <c r="HY809" i="3"/>
  <c r="IA809" i="3" s="1"/>
  <c r="HY649" i="3"/>
  <c r="IA649" i="3" s="1"/>
  <c r="HY974" i="3"/>
  <c r="IA974" i="3" s="1"/>
  <c r="HY806" i="3"/>
  <c r="IA806" i="3" s="1"/>
  <c r="HY646" i="3"/>
  <c r="IA646" i="3" s="1"/>
  <c r="HY971" i="3"/>
  <c r="IA971" i="3" s="1"/>
  <c r="HY811" i="3"/>
  <c r="IA811" i="3" s="1"/>
  <c r="HY968" i="3"/>
  <c r="IA968" i="3" s="1"/>
  <c r="HY808" i="3"/>
  <c r="IA808" i="3" s="1"/>
  <c r="HY973" i="3"/>
  <c r="IA973" i="3" s="1"/>
  <c r="HY805" i="3"/>
  <c r="IA805" i="3" s="1"/>
  <c r="HY970" i="3"/>
  <c r="IA970" i="3" s="1"/>
  <c r="HY647" i="3"/>
  <c r="IA647" i="3" s="1"/>
  <c r="HY644" i="3"/>
  <c r="IA644" i="3" s="1"/>
  <c r="HY481" i="3"/>
  <c r="IA481" i="3" s="1"/>
  <c r="HY967" i="3"/>
  <c r="IA967" i="3" s="1"/>
  <c r="HY486" i="3"/>
  <c r="IA486" i="3" s="1"/>
  <c r="HY650" i="3"/>
  <c r="IA650" i="3" s="1"/>
  <c r="HY643" i="3"/>
  <c r="IA643" i="3" s="1"/>
  <c r="HY483" i="3"/>
  <c r="IA483" i="3" s="1"/>
  <c r="HY488" i="3"/>
  <c r="IA488" i="3" s="1"/>
  <c r="HY810" i="3"/>
  <c r="IA810" i="3" s="1"/>
  <c r="HY485" i="3"/>
  <c r="IA485" i="3" s="1"/>
  <c r="HY648" i="3"/>
  <c r="IA648" i="3" s="1"/>
  <c r="HY645" i="3"/>
  <c r="IA645" i="3" s="1"/>
  <c r="HY807" i="3"/>
  <c r="IA807" i="3" s="1"/>
  <c r="HY482" i="3"/>
  <c r="IA482" i="3" s="1"/>
  <c r="HY484" i="3"/>
  <c r="IA484" i="3" s="1"/>
  <c r="HY319" i="3"/>
  <c r="IA319" i="3" s="1"/>
  <c r="HY159" i="3"/>
  <c r="IA159" i="3" s="1"/>
  <c r="HY326" i="3"/>
  <c r="IA326" i="3" s="1"/>
  <c r="HY323" i="3"/>
  <c r="IA323" i="3" s="1"/>
  <c r="HY163" i="3"/>
  <c r="IA163" i="3" s="1"/>
  <c r="HY320" i="3"/>
  <c r="IA320" i="3" s="1"/>
  <c r="HY160" i="3"/>
  <c r="IA160" i="3" s="1"/>
  <c r="HY157" i="3"/>
  <c r="IA157" i="3" s="1"/>
  <c r="HY487" i="3"/>
  <c r="IA487" i="3" s="1"/>
  <c r="HY324" i="3"/>
  <c r="IA324" i="3" s="1"/>
  <c r="HY164" i="3"/>
  <c r="IA164" i="3" s="1"/>
  <c r="HY321" i="3"/>
  <c r="IA321" i="3" s="1"/>
  <c r="HY161" i="3"/>
  <c r="IA161" i="3" s="1"/>
  <c r="HY158" i="3"/>
  <c r="IA158" i="3" s="1"/>
  <c r="HY325" i="3"/>
  <c r="IA325" i="3" s="1"/>
  <c r="HY322" i="3"/>
  <c r="IA322" i="3" s="1"/>
  <c r="HY162" i="3"/>
  <c r="IA162" i="3" s="1"/>
  <c r="HY1055" i="3"/>
  <c r="IA1055" i="3" s="1"/>
  <c r="HY1052" i="3"/>
  <c r="IA1052" i="3" s="1"/>
  <c r="HY892" i="3"/>
  <c r="IA892" i="3" s="1"/>
  <c r="HY732" i="3"/>
  <c r="IA732" i="3" s="1"/>
  <c r="HY1051" i="3"/>
  <c r="IA1051" i="3" s="1"/>
  <c r="HY889" i="3"/>
  <c r="IA889" i="3" s="1"/>
  <c r="HY729" i="3"/>
  <c r="IA729" i="3" s="1"/>
  <c r="HY894" i="3"/>
  <c r="IA894" i="3" s="1"/>
  <c r="HY726" i="3"/>
  <c r="IA726" i="3" s="1"/>
  <c r="HY1054" i="3"/>
  <c r="IA1054" i="3" s="1"/>
  <c r="HY891" i="3"/>
  <c r="IA891" i="3" s="1"/>
  <c r="HY731" i="3"/>
  <c r="IA731" i="3" s="1"/>
  <c r="HY1050" i="3"/>
  <c r="IA1050" i="3" s="1"/>
  <c r="HY888" i="3"/>
  <c r="IA888" i="3" s="1"/>
  <c r="HY728" i="3"/>
  <c r="IA728" i="3" s="1"/>
  <c r="HY893" i="3"/>
  <c r="IA893" i="3" s="1"/>
  <c r="HY725" i="3"/>
  <c r="IA725" i="3" s="1"/>
  <c r="HY1053" i="3"/>
  <c r="IA1053" i="3" s="1"/>
  <c r="HY569" i="3"/>
  <c r="IA569" i="3" s="1"/>
  <c r="HY407" i="3"/>
  <c r="IA407" i="3" s="1"/>
  <c r="HY404" i="3"/>
  <c r="IA404" i="3" s="1"/>
  <c r="HY566" i="3"/>
  <c r="IA566" i="3" s="1"/>
  <c r="HY401" i="3"/>
  <c r="IA401" i="3" s="1"/>
  <c r="HY730" i="3"/>
  <c r="IA730" i="3" s="1"/>
  <c r="HY563" i="3"/>
  <c r="IA563" i="3" s="1"/>
  <c r="HY408" i="3"/>
  <c r="IA408" i="3" s="1"/>
  <c r="HY1056" i="3"/>
  <c r="IA1056" i="3" s="1"/>
  <c r="HY727" i="3"/>
  <c r="IA727" i="3" s="1"/>
  <c r="HY568" i="3"/>
  <c r="IA568" i="3" s="1"/>
  <c r="HY405" i="3"/>
  <c r="IA405" i="3" s="1"/>
  <c r="HY402" i="3"/>
  <c r="IA402" i="3" s="1"/>
  <c r="HY565" i="3"/>
  <c r="IA565" i="3" s="1"/>
  <c r="HY1049" i="3"/>
  <c r="IA1049" i="3" s="1"/>
  <c r="HY570" i="3"/>
  <c r="IA570" i="3" s="1"/>
  <c r="HY887" i="3"/>
  <c r="IA887" i="3" s="1"/>
  <c r="HY564" i="3"/>
  <c r="IA564" i="3" s="1"/>
  <c r="HY239" i="3"/>
  <c r="IA239" i="3" s="1"/>
  <c r="HY890" i="3"/>
  <c r="IA890" i="3" s="1"/>
  <c r="HY246" i="3"/>
  <c r="IA246" i="3" s="1"/>
  <c r="HY243" i="3"/>
  <c r="IA243" i="3" s="1"/>
  <c r="HY240" i="3"/>
  <c r="IA240" i="3" s="1"/>
  <c r="HY403" i="3"/>
  <c r="IA403" i="3" s="1"/>
  <c r="HY244" i="3"/>
  <c r="IA244" i="3" s="1"/>
  <c r="HY241" i="3"/>
  <c r="IA241" i="3" s="1"/>
  <c r="HY245" i="3"/>
  <c r="IA245" i="3" s="1"/>
  <c r="HY406" i="3"/>
  <c r="IA406" i="3" s="1"/>
  <c r="HY242" i="3"/>
  <c r="IA242" i="3" s="1"/>
  <c r="HY80" i="3"/>
  <c r="IA80" i="3" s="1"/>
  <c r="HY81" i="3"/>
  <c r="IA81" i="3" s="1"/>
  <c r="HY82" i="3"/>
  <c r="IA82" i="3" s="1"/>
  <c r="HY77" i="3"/>
  <c r="IA77" i="3" s="1"/>
  <c r="HY83" i="3"/>
  <c r="IA83" i="3" s="1"/>
  <c r="HY78" i="3"/>
  <c r="IA78" i="3" s="1"/>
  <c r="HY84" i="3"/>
  <c r="IA84" i="3" s="1"/>
  <c r="HY567" i="3"/>
  <c r="IA567" i="3" s="1"/>
  <c r="HY79" i="3"/>
  <c r="IA79" i="3" s="1"/>
  <c r="BH194" i="3"/>
  <c r="BH240" i="3"/>
  <c r="BH86" i="3"/>
  <c r="BC5" i="3"/>
  <c r="BH297" i="3"/>
  <c r="BH286" i="3"/>
  <c r="BH272" i="3"/>
  <c r="HY836" i="3"/>
  <c r="IA836" i="3" s="1"/>
  <c r="HY676" i="3"/>
  <c r="IA676" i="3" s="1"/>
  <c r="HY999" i="3"/>
  <c r="IA999" i="3" s="1"/>
  <c r="HY996" i="3"/>
  <c r="IA996" i="3" s="1"/>
  <c r="HY833" i="3"/>
  <c r="IA833" i="3" s="1"/>
  <c r="HY673" i="3"/>
  <c r="IA673" i="3" s="1"/>
  <c r="HY993" i="3"/>
  <c r="IA993" i="3" s="1"/>
  <c r="HY838" i="3"/>
  <c r="IA838" i="3" s="1"/>
  <c r="HY670" i="3"/>
  <c r="IA670" i="3" s="1"/>
  <c r="HY998" i="3"/>
  <c r="IA998" i="3" s="1"/>
  <c r="HY835" i="3"/>
  <c r="IA835" i="3" s="1"/>
  <c r="HY675" i="3"/>
  <c r="IA675" i="3" s="1"/>
  <c r="HY995" i="3"/>
  <c r="IA995" i="3" s="1"/>
  <c r="HY832" i="3"/>
  <c r="IA832" i="3" s="1"/>
  <c r="HY672" i="3"/>
  <c r="IA672" i="3" s="1"/>
  <c r="HY837" i="3"/>
  <c r="IA837" i="3" s="1"/>
  <c r="HY1000" i="3"/>
  <c r="IA1000" i="3" s="1"/>
  <c r="HY994" i="3"/>
  <c r="IA994" i="3" s="1"/>
  <c r="HY513" i="3"/>
  <c r="IA513" i="3" s="1"/>
  <c r="HY510" i="3"/>
  <c r="IA510" i="3" s="1"/>
  <c r="HY671" i="3"/>
  <c r="IA671" i="3" s="1"/>
  <c r="HY507" i="3"/>
  <c r="IA507" i="3" s="1"/>
  <c r="HY834" i="3"/>
  <c r="IA834" i="3" s="1"/>
  <c r="HY669" i="3"/>
  <c r="IA669" i="3" s="1"/>
  <c r="HY512" i="3"/>
  <c r="IA512" i="3" s="1"/>
  <c r="HY831" i="3"/>
  <c r="IA831" i="3" s="1"/>
  <c r="HY509" i="3"/>
  <c r="IA509" i="3" s="1"/>
  <c r="HY514" i="3"/>
  <c r="IA514" i="3" s="1"/>
  <c r="HY352" i="3"/>
  <c r="IA352" i="3" s="1"/>
  <c r="HY674" i="3"/>
  <c r="IA674" i="3" s="1"/>
  <c r="HY508" i="3"/>
  <c r="IA508" i="3" s="1"/>
  <c r="HY348" i="3"/>
  <c r="IA348" i="3" s="1"/>
  <c r="HY188" i="3"/>
  <c r="IA188" i="3" s="1"/>
  <c r="HY345" i="3"/>
  <c r="IA345" i="3" s="1"/>
  <c r="HY185" i="3"/>
  <c r="IA185" i="3" s="1"/>
  <c r="HY351" i="3"/>
  <c r="IA351" i="3" s="1"/>
  <c r="HY189" i="3"/>
  <c r="IA189" i="3" s="1"/>
  <c r="HY511" i="3"/>
  <c r="IA511" i="3" s="1"/>
  <c r="HY349" i="3"/>
  <c r="IA349" i="3" s="1"/>
  <c r="HY346" i="3"/>
  <c r="IA346" i="3" s="1"/>
  <c r="HY186" i="3"/>
  <c r="IA186" i="3" s="1"/>
  <c r="HY997" i="3"/>
  <c r="IA997" i="3" s="1"/>
  <c r="HY183" i="3"/>
  <c r="IA183" i="3" s="1"/>
  <c r="HY190" i="3"/>
  <c r="IA190" i="3" s="1"/>
  <c r="HY187" i="3"/>
  <c r="IA187" i="3" s="1"/>
  <c r="HY28" i="3"/>
  <c r="IA28" i="3" s="1"/>
  <c r="HY27" i="3"/>
  <c r="IA27" i="3" s="1"/>
  <c r="HY350" i="3"/>
  <c r="IA350" i="3" s="1"/>
  <c r="HY184" i="3"/>
  <c r="IA184" i="3" s="1"/>
  <c r="HY22" i="3"/>
  <c r="IA22" i="3" s="1"/>
  <c r="HY26" i="3"/>
  <c r="IA26" i="3" s="1"/>
  <c r="HY23" i="3"/>
  <c r="IA23" i="3" s="1"/>
  <c r="HY25" i="3"/>
  <c r="IA25" i="3" s="1"/>
  <c r="HY21" i="3"/>
  <c r="IA21" i="3" s="1"/>
  <c r="HY347" i="3"/>
  <c r="IA347" i="3" s="1"/>
  <c r="HY24" i="3"/>
  <c r="IA24" i="3" s="1"/>
  <c r="HY1127" i="3"/>
  <c r="IA1127" i="3" s="1"/>
  <c r="HY1124" i="3"/>
  <c r="IA1124" i="3" s="1"/>
  <c r="HY1121" i="3"/>
  <c r="IA1121" i="3" s="1"/>
  <c r="HY1126" i="3"/>
  <c r="IA1126" i="3" s="1"/>
  <c r="HY1123" i="3"/>
  <c r="IA1123" i="3" s="1"/>
  <c r="HY1128" i="3"/>
  <c r="IA1128" i="3" s="1"/>
  <c r="HY1125" i="3"/>
  <c r="IA1125" i="3" s="1"/>
  <c r="HY1122" i="3"/>
  <c r="IA1122" i="3" s="1"/>
  <c r="HY964" i="3"/>
  <c r="IA964" i="3" s="1"/>
  <c r="HY804" i="3"/>
  <c r="IA804" i="3" s="1"/>
  <c r="HY961" i="3"/>
  <c r="IA961" i="3" s="1"/>
  <c r="HY801" i="3"/>
  <c r="IA801" i="3" s="1"/>
  <c r="HY966" i="3"/>
  <c r="IA966" i="3" s="1"/>
  <c r="HY798" i="3"/>
  <c r="IA798" i="3" s="1"/>
  <c r="HY963" i="3"/>
  <c r="IA963" i="3" s="1"/>
  <c r="HY803" i="3"/>
  <c r="IA803" i="3" s="1"/>
  <c r="HY960" i="3"/>
  <c r="IA960" i="3" s="1"/>
  <c r="HY800" i="3"/>
  <c r="IA800" i="3" s="1"/>
  <c r="HY965" i="3"/>
  <c r="IA965" i="3" s="1"/>
  <c r="HY797" i="3"/>
  <c r="IA797" i="3" s="1"/>
  <c r="HY799" i="3"/>
  <c r="IA799" i="3" s="1"/>
  <c r="HY641" i="3"/>
  <c r="IA641" i="3" s="1"/>
  <c r="HY473" i="3"/>
  <c r="IA473" i="3" s="1"/>
  <c r="HY638" i="3"/>
  <c r="IA638" i="3" s="1"/>
  <c r="HY478" i="3"/>
  <c r="IA478" i="3" s="1"/>
  <c r="HY635" i="3"/>
  <c r="IA635" i="3" s="1"/>
  <c r="HY475" i="3"/>
  <c r="IA475" i="3" s="1"/>
  <c r="HY962" i="3"/>
  <c r="IA962" i="3" s="1"/>
  <c r="HY640" i="3"/>
  <c r="IA640" i="3" s="1"/>
  <c r="HY480" i="3"/>
  <c r="IA480" i="3" s="1"/>
  <c r="HY959" i="3"/>
  <c r="IA959" i="3" s="1"/>
  <c r="HY637" i="3"/>
  <c r="IA637" i="3" s="1"/>
  <c r="HY477" i="3"/>
  <c r="IA477" i="3" s="1"/>
  <c r="HY642" i="3"/>
  <c r="IA642" i="3" s="1"/>
  <c r="HY474" i="3"/>
  <c r="IA474" i="3" s="1"/>
  <c r="HY802" i="3"/>
  <c r="IA802" i="3" s="1"/>
  <c r="HY636" i="3"/>
  <c r="IA636" i="3" s="1"/>
  <c r="HY476" i="3"/>
  <c r="IA476" i="3" s="1"/>
  <c r="HY316" i="3"/>
  <c r="IA316" i="3" s="1"/>
  <c r="HY156" i="3"/>
  <c r="IA156" i="3" s="1"/>
  <c r="HY313" i="3"/>
  <c r="IA313" i="3" s="1"/>
  <c r="HY153" i="3"/>
  <c r="IA153" i="3" s="1"/>
  <c r="HY150" i="3"/>
  <c r="IA150" i="3" s="1"/>
  <c r="HY317" i="3"/>
  <c r="IA317" i="3" s="1"/>
  <c r="HY639" i="3"/>
  <c r="IA639" i="3" s="1"/>
  <c r="HY314" i="3"/>
  <c r="IA314" i="3" s="1"/>
  <c r="HY154" i="3"/>
  <c r="IA154" i="3" s="1"/>
  <c r="HY311" i="3"/>
  <c r="IA311" i="3" s="1"/>
  <c r="HY318" i="3"/>
  <c r="IA318" i="3" s="1"/>
  <c r="HY149" i="3"/>
  <c r="IA149" i="3" s="1"/>
  <c r="HY479" i="3"/>
  <c r="IA479" i="3" s="1"/>
  <c r="HY312" i="3"/>
  <c r="IA312" i="3" s="1"/>
  <c r="HY152" i="3"/>
  <c r="IA152" i="3" s="1"/>
  <c r="HY151" i="3"/>
  <c r="IA151" i="3" s="1"/>
  <c r="HY155" i="3"/>
  <c r="IA155" i="3" s="1"/>
  <c r="HY315" i="3"/>
  <c r="IA315" i="3" s="1"/>
  <c r="BH232" i="3"/>
  <c r="BH243" i="3"/>
  <c r="BH121" i="3"/>
  <c r="BH200" i="3"/>
  <c r="HY1047" i="3"/>
  <c r="IA1047" i="3" s="1"/>
  <c r="HY1044" i="3"/>
  <c r="IA1044" i="3" s="1"/>
  <c r="HY1042" i="3"/>
  <c r="IA1042" i="3" s="1"/>
  <c r="HY1045" i="3"/>
  <c r="IA1045" i="3" s="1"/>
  <c r="HY884" i="3"/>
  <c r="IA884" i="3" s="1"/>
  <c r="HY724" i="3"/>
  <c r="IA724" i="3" s="1"/>
  <c r="HY1048" i="3"/>
  <c r="IA1048" i="3" s="1"/>
  <c r="HY881" i="3"/>
  <c r="IA881" i="3" s="1"/>
  <c r="HY721" i="3"/>
  <c r="IA721" i="3" s="1"/>
  <c r="HY1041" i="3"/>
  <c r="IA1041" i="3" s="1"/>
  <c r="HY886" i="3"/>
  <c r="IA886" i="3" s="1"/>
  <c r="HY718" i="3"/>
  <c r="IA718" i="3" s="1"/>
  <c r="HY883" i="3"/>
  <c r="IA883" i="3" s="1"/>
  <c r="HY723" i="3"/>
  <c r="IA723" i="3" s="1"/>
  <c r="HY880" i="3"/>
  <c r="IA880" i="3" s="1"/>
  <c r="HY720" i="3"/>
  <c r="IA720" i="3" s="1"/>
  <c r="HY1043" i="3"/>
  <c r="IA1043" i="3" s="1"/>
  <c r="HY1046" i="3"/>
  <c r="IA1046" i="3" s="1"/>
  <c r="HY885" i="3"/>
  <c r="IA885" i="3" s="1"/>
  <c r="HY717" i="3"/>
  <c r="IA717" i="3" s="1"/>
  <c r="HY394" i="3"/>
  <c r="IA394" i="3" s="1"/>
  <c r="HY561" i="3"/>
  <c r="IA561" i="3" s="1"/>
  <c r="HY882" i="3"/>
  <c r="IA882" i="3" s="1"/>
  <c r="HY558" i="3"/>
  <c r="IA558" i="3" s="1"/>
  <c r="HY398" i="3"/>
  <c r="IA398" i="3" s="1"/>
  <c r="HY879" i="3"/>
  <c r="IA879" i="3" s="1"/>
  <c r="HY555" i="3"/>
  <c r="IA555" i="3" s="1"/>
  <c r="HY395" i="3"/>
  <c r="IA395" i="3" s="1"/>
  <c r="HY560" i="3"/>
  <c r="IA560" i="3" s="1"/>
  <c r="HY557" i="3"/>
  <c r="IA557" i="3" s="1"/>
  <c r="HY399" i="3"/>
  <c r="IA399" i="3" s="1"/>
  <c r="HY722" i="3"/>
  <c r="IA722" i="3" s="1"/>
  <c r="HY396" i="3"/>
  <c r="IA396" i="3" s="1"/>
  <c r="HY562" i="3"/>
  <c r="IA562" i="3" s="1"/>
  <c r="HY393" i="3"/>
  <c r="IA393" i="3" s="1"/>
  <c r="HY400" i="3"/>
  <c r="IA400" i="3" s="1"/>
  <c r="HY556" i="3"/>
  <c r="IA556" i="3" s="1"/>
  <c r="HY236" i="3"/>
  <c r="IA236" i="3" s="1"/>
  <c r="HY233" i="3"/>
  <c r="IA233" i="3" s="1"/>
  <c r="HY719" i="3"/>
  <c r="IA719" i="3" s="1"/>
  <c r="HY559" i="3"/>
  <c r="IA559" i="3" s="1"/>
  <c r="HY397" i="3"/>
  <c r="IA397" i="3" s="1"/>
  <c r="HY237" i="3"/>
  <c r="IA237" i="3" s="1"/>
  <c r="HY234" i="3"/>
  <c r="IA234" i="3" s="1"/>
  <c r="HY231" i="3"/>
  <c r="IA231" i="3" s="1"/>
  <c r="HY238" i="3"/>
  <c r="IA238" i="3" s="1"/>
  <c r="HY75" i="3"/>
  <c r="IA75" i="3" s="1"/>
  <c r="HY70" i="3"/>
  <c r="IA70" i="3" s="1"/>
  <c r="HY71" i="3"/>
  <c r="IA71" i="3" s="1"/>
  <c r="HY232" i="3"/>
  <c r="IA232" i="3" s="1"/>
  <c r="HY76" i="3"/>
  <c r="IA76" i="3" s="1"/>
  <c r="HY72" i="3"/>
  <c r="IA72" i="3" s="1"/>
  <c r="HY73" i="3"/>
  <c r="IA73" i="3" s="1"/>
  <c r="HY74" i="3"/>
  <c r="IA74" i="3" s="1"/>
  <c r="HY69" i="3"/>
  <c r="IA69" i="3" s="1"/>
  <c r="HY235" i="3"/>
  <c r="IA235" i="3" s="1"/>
  <c r="BH147" i="3"/>
  <c r="HY1007" i="3"/>
  <c r="IA1007" i="3" s="1"/>
  <c r="HY844" i="3"/>
  <c r="IA844" i="3" s="1"/>
  <c r="HY684" i="3"/>
  <c r="IA684" i="3" s="1"/>
  <c r="HY1008" i="3"/>
  <c r="IA1008" i="3" s="1"/>
  <c r="HY1005" i="3"/>
  <c r="IA1005" i="3" s="1"/>
  <c r="HY1002" i="3"/>
  <c r="IA1002" i="3" s="1"/>
  <c r="HY841" i="3"/>
  <c r="IA841" i="3" s="1"/>
  <c r="HY681" i="3"/>
  <c r="IA681" i="3" s="1"/>
  <c r="HY846" i="3"/>
  <c r="IA846" i="3" s="1"/>
  <c r="HY678" i="3"/>
  <c r="IA678" i="3" s="1"/>
  <c r="HY1004" i="3"/>
  <c r="IA1004" i="3" s="1"/>
  <c r="HY1001" i="3"/>
  <c r="IA1001" i="3" s="1"/>
  <c r="HY843" i="3"/>
  <c r="IA843" i="3" s="1"/>
  <c r="HY683" i="3"/>
  <c r="IA683" i="3" s="1"/>
  <c r="HY840" i="3"/>
  <c r="IA840" i="3" s="1"/>
  <c r="HY680" i="3"/>
  <c r="IA680" i="3" s="1"/>
  <c r="HY845" i="3"/>
  <c r="IA845" i="3" s="1"/>
  <c r="HY1006" i="3"/>
  <c r="IA1006" i="3" s="1"/>
  <c r="HY1003" i="3"/>
  <c r="IA1003" i="3" s="1"/>
  <c r="HY842" i="3"/>
  <c r="IA842" i="3" s="1"/>
  <c r="HY682" i="3"/>
  <c r="IA682" i="3" s="1"/>
  <c r="HY521" i="3"/>
  <c r="IA521" i="3" s="1"/>
  <c r="HY359" i="3"/>
  <c r="IA359" i="3" s="1"/>
  <c r="HY839" i="3"/>
  <c r="IA839" i="3" s="1"/>
  <c r="HY518" i="3"/>
  <c r="IA518" i="3" s="1"/>
  <c r="HY515" i="3"/>
  <c r="IA515" i="3" s="1"/>
  <c r="HY679" i="3"/>
  <c r="IA679" i="3" s="1"/>
  <c r="HY360" i="3"/>
  <c r="IA360" i="3" s="1"/>
  <c r="HY520" i="3"/>
  <c r="IA520" i="3" s="1"/>
  <c r="HY357" i="3"/>
  <c r="IA357" i="3" s="1"/>
  <c r="HY677" i="3"/>
  <c r="IA677" i="3" s="1"/>
  <c r="HY354" i="3"/>
  <c r="IA354" i="3" s="1"/>
  <c r="HY517" i="3"/>
  <c r="IA517" i="3" s="1"/>
  <c r="HY522" i="3"/>
  <c r="IA522" i="3" s="1"/>
  <c r="HY516" i="3"/>
  <c r="IA516" i="3" s="1"/>
  <c r="HY191" i="3"/>
  <c r="IA191" i="3" s="1"/>
  <c r="HY519" i="3"/>
  <c r="IA519" i="3" s="1"/>
  <c r="HY356" i="3"/>
  <c r="IA356" i="3" s="1"/>
  <c r="HY198" i="3"/>
  <c r="IA198" i="3" s="1"/>
  <c r="HY195" i="3"/>
  <c r="IA195" i="3" s="1"/>
  <c r="HY358" i="3"/>
  <c r="IA358" i="3" s="1"/>
  <c r="HY192" i="3"/>
  <c r="IA192" i="3" s="1"/>
  <c r="HY353" i="3"/>
  <c r="IA353" i="3" s="1"/>
  <c r="HY355" i="3"/>
  <c r="IA355" i="3" s="1"/>
  <c r="HY196" i="3"/>
  <c r="IA196" i="3" s="1"/>
  <c r="HY193" i="3"/>
  <c r="IA193" i="3" s="1"/>
  <c r="HY197" i="3"/>
  <c r="IA197" i="3" s="1"/>
  <c r="HY194" i="3"/>
  <c r="IA194" i="3" s="1"/>
  <c r="HY36" i="3"/>
  <c r="IA36" i="3" s="1"/>
  <c r="HY31" i="3"/>
  <c r="IA31" i="3" s="1"/>
  <c r="HY32" i="3"/>
  <c r="IA32" i="3" s="1"/>
  <c r="HY29" i="3"/>
  <c r="IA29" i="3" s="1"/>
  <c r="HY34" i="3"/>
  <c r="IA34" i="3" s="1"/>
  <c r="HY33" i="3"/>
  <c r="IA33" i="3" s="1"/>
  <c r="HY30" i="3"/>
  <c r="IA30" i="3" s="1"/>
  <c r="HY35" i="3"/>
  <c r="IA35" i="3" s="1"/>
  <c r="HY1079" i="3"/>
  <c r="IA1079" i="3" s="1"/>
  <c r="HY1076" i="3"/>
  <c r="IA1076" i="3" s="1"/>
  <c r="HY1073" i="3"/>
  <c r="IA1073" i="3" s="1"/>
  <c r="HY1078" i="3"/>
  <c r="IA1078" i="3" s="1"/>
  <c r="HY1080" i="3"/>
  <c r="IA1080" i="3" s="1"/>
  <c r="HY1074" i="3"/>
  <c r="IA1074" i="3" s="1"/>
  <c r="HY916" i="3"/>
  <c r="IA916" i="3" s="1"/>
  <c r="HY756" i="3"/>
  <c r="IA756" i="3" s="1"/>
  <c r="HY1077" i="3"/>
  <c r="IA1077" i="3" s="1"/>
  <c r="HY913" i="3"/>
  <c r="IA913" i="3" s="1"/>
  <c r="HY753" i="3"/>
  <c r="IA753" i="3" s="1"/>
  <c r="HY918" i="3"/>
  <c r="IA918" i="3" s="1"/>
  <c r="HY750" i="3"/>
  <c r="IA750" i="3" s="1"/>
  <c r="HY1075" i="3"/>
  <c r="IA1075" i="3" s="1"/>
  <c r="HY915" i="3"/>
  <c r="IA915" i="3" s="1"/>
  <c r="HY755" i="3"/>
  <c r="IA755" i="3" s="1"/>
  <c r="HY912" i="3"/>
  <c r="IA912" i="3" s="1"/>
  <c r="HY752" i="3"/>
  <c r="IA752" i="3" s="1"/>
  <c r="HY917" i="3"/>
  <c r="IA917" i="3" s="1"/>
  <c r="HY749" i="3"/>
  <c r="IA749" i="3" s="1"/>
  <c r="HY426" i="3"/>
  <c r="IA426" i="3" s="1"/>
  <c r="HY593" i="3"/>
  <c r="IA593" i="3" s="1"/>
  <c r="HY754" i="3"/>
  <c r="IA754" i="3" s="1"/>
  <c r="HY590" i="3"/>
  <c r="IA590" i="3" s="1"/>
  <c r="HY430" i="3"/>
  <c r="IA430" i="3" s="1"/>
  <c r="HY751" i="3"/>
  <c r="IA751" i="3" s="1"/>
  <c r="HY587" i="3"/>
  <c r="IA587" i="3" s="1"/>
  <c r="HY427" i="3"/>
  <c r="IA427" i="3" s="1"/>
  <c r="HY592" i="3"/>
  <c r="IA592" i="3" s="1"/>
  <c r="HY589" i="3"/>
  <c r="IA589" i="3" s="1"/>
  <c r="HY431" i="3"/>
  <c r="IA431" i="3" s="1"/>
  <c r="HY914" i="3"/>
  <c r="IA914" i="3" s="1"/>
  <c r="HY428" i="3"/>
  <c r="IA428" i="3" s="1"/>
  <c r="HY594" i="3"/>
  <c r="IA594" i="3" s="1"/>
  <c r="HY425" i="3"/>
  <c r="IA425" i="3" s="1"/>
  <c r="HY432" i="3"/>
  <c r="IA432" i="3" s="1"/>
  <c r="HY588" i="3"/>
  <c r="IA588" i="3" s="1"/>
  <c r="HY429" i="3"/>
  <c r="IA429" i="3" s="1"/>
  <c r="HY911" i="3"/>
  <c r="IA911" i="3" s="1"/>
  <c r="HY268" i="3"/>
  <c r="IA268" i="3" s="1"/>
  <c r="HY265" i="3"/>
  <c r="IA265" i="3" s="1"/>
  <c r="HY269" i="3"/>
  <c r="IA269" i="3" s="1"/>
  <c r="HY266" i="3"/>
  <c r="IA266" i="3" s="1"/>
  <c r="HY263" i="3"/>
  <c r="IA263" i="3" s="1"/>
  <c r="HY591" i="3"/>
  <c r="IA591" i="3" s="1"/>
  <c r="HY270" i="3"/>
  <c r="IA270" i="3" s="1"/>
  <c r="HY267" i="3"/>
  <c r="IA267" i="3" s="1"/>
  <c r="HY104" i="3"/>
  <c r="IA104" i="3" s="1"/>
  <c r="HY105" i="3"/>
  <c r="IA105" i="3" s="1"/>
  <c r="HY264" i="3"/>
  <c r="IA264" i="3" s="1"/>
  <c r="HY101" i="3"/>
  <c r="IA101" i="3" s="1"/>
  <c r="HY106" i="3"/>
  <c r="IA106" i="3" s="1"/>
  <c r="HY102" i="3"/>
  <c r="IA102" i="3" s="1"/>
  <c r="HY107" i="3"/>
  <c r="IA107" i="3" s="1"/>
  <c r="HY108" i="3"/>
  <c r="IA108" i="3" s="1"/>
  <c r="HY103" i="3"/>
  <c r="IA103" i="3" s="1"/>
  <c r="BH198" i="3"/>
  <c r="BH45" i="3"/>
  <c r="BH75" i="3"/>
  <c r="BH245" i="3"/>
  <c r="BC6" i="3"/>
  <c r="BC7" i="3"/>
  <c r="BH15" i="3"/>
  <c r="HY980" i="3"/>
  <c r="IA980" i="3" s="1"/>
  <c r="HY820" i="3"/>
  <c r="IA820" i="3" s="1"/>
  <c r="HY660" i="3"/>
  <c r="IA660" i="3" s="1"/>
  <c r="HY977" i="3"/>
  <c r="IA977" i="3" s="1"/>
  <c r="HY817" i="3"/>
  <c r="IA817" i="3" s="1"/>
  <c r="HY657" i="3"/>
  <c r="IA657" i="3" s="1"/>
  <c r="HY982" i="3"/>
  <c r="IA982" i="3" s="1"/>
  <c r="HY822" i="3"/>
  <c r="IA822" i="3" s="1"/>
  <c r="HY654" i="3"/>
  <c r="IA654" i="3" s="1"/>
  <c r="HY979" i="3"/>
  <c r="IA979" i="3" s="1"/>
  <c r="HY819" i="3"/>
  <c r="IA819" i="3" s="1"/>
  <c r="HY659" i="3"/>
  <c r="IA659" i="3" s="1"/>
  <c r="HY984" i="3"/>
  <c r="IA984" i="3" s="1"/>
  <c r="HY816" i="3"/>
  <c r="IA816" i="3" s="1"/>
  <c r="HY656" i="3"/>
  <c r="IA656" i="3" s="1"/>
  <c r="HY981" i="3"/>
  <c r="IA981" i="3" s="1"/>
  <c r="HY821" i="3"/>
  <c r="IA821" i="3" s="1"/>
  <c r="HY497" i="3"/>
  <c r="IA497" i="3" s="1"/>
  <c r="HY818" i="3"/>
  <c r="IA818" i="3" s="1"/>
  <c r="HY494" i="3"/>
  <c r="IA494" i="3" s="1"/>
  <c r="HY815" i="3"/>
  <c r="IA815" i="3" s="1"/>
  <c r="HY491" i="3"/>
  <c r="IA491" i="3" s="1"/>
  <c r="HY655" i="3"/>
  <c r="IA655" i="3" s="1"/>
  <c r="HY983" i="3"/>
  <c r="IA983" i="3" s="1"/>
  <c r="HY496" i="3"/>
  <c r="IA496" i="3" s="1"/>
  <c r="HY493" i="3"/>
  <c r="IA493" i="3" s="1"/>
  <c r="HY978" i="3"/>
  <c r="IA978" i="3" s="1"/>
  <c r="HY653" i="3"/>
  <c r="IA653" i="3" s="1"/>
  <c r="HY498" i="3"/>
  <c r="IA498" i="3" s="1"/>
  <c r="HY658" i="3"/>
  <c r="IA658" i="3" s="1"/>
  <c r="HY492" i="3"/>
  <c r="IA492" i="3" s="1"/>
  <c r="HY335" i="3"/>
  <c r="IA335" i="3" s="1"/>
  <c r="HY332" i="3"/>
  <c r="IA332" i="3" s="1"/>
  <c r="HY172" i="3"/>
  <c r="IA172" i="3" s="1"/>
  <c r="HY329" i="3"/>
  <c r="IA329" i="3" s="1"/>
  <c r="HY169" i="3"/>
  <c r="IA169" i="3" s="1"/>
  <c r="HY495" i="3"/>
  <c r="IA495" i="3" s="1"/>
  <c r="HY336" i="3"/>
  <c r="IA336" i="3" s="1"/>
  <c r="HY333" i="3"/>
  <c r="IA333" i="3" s="1"/>
  <c r="HY173" i="3"/>
  <c r="IA173" i="3" s="1"/>
  <c r="HY330" i="3"/>
  <c r="IA330" i="3" s="1"/>
  <c r="HY170" i="3"/>
  <c r="IA170" i="3" s="1"/>
  <c r="HY167" i="3"/>
  <c r="IA167" i="3" s="1"/>
  <c r="HY334" i="3"/>
  <c r="IA334" i="3" s="1"/>
  <c r="HY174" i="3"/>
  <c r="IA174" i="3" s="1"/>
  <c r="HY171" i="3"/>
  <c r="IA171" i="3" s="1"/>
  <c r="HY331" i="3"/>
  <c r="IA331" i="3" s="1"/>
  <c r="HY168" i="3"/>
  <c r="IA168" i="3" s="1"/>
  <c r="HY10" i="3"/>
  <c r="IA10" i="3" s="1"/>
  <c r="HY12" i="3"/>
  <c r="IA12" i="3" s="1"/>
  <c r="HY9" i="3"/>
  <c r="IA9" i="3" s="1"/>
  <c r="HY11" i="3"/>
  <c r="IA11" i="3" s="1"/>
  <c r="HY6" i="3"/>
  <c r="IA6" i="3" s="1"/>
  <c r="HY5" i="3"/>
  <c r="IA5" i="3" s="1"/>
  <c r="HY8" i="3"/>
  <c r="IA8" i="3" s="1"/>
  <c r="HY7" i="3"/>
  <c r="IA7" i="3" s="1"/>
  <c r="HY1071" i="3"/>
  <c r="IA1071" i="3" s="1"/>
  <c r="HY1068" i="3"/>
  <c r="IA1068" i="3" s="1"/>
  <c r="HY1065" i="3"/>
  <c r="IA1065" i="3" s="1"/>
  <c r="HY1070" i="3"/>
  <c r="IA1070" i="3" s="1"/>
  <c r="HY1066" i="3"/>
  <c r="IA1066" i="3" s="1"/>
  <c r="HY908" i="3"/>
  <c r="IA908" i="3" s="1"/>
  <c r="HY748" i="3"/>
  <c r="IA748" i="3" s="1"/>
  <c r="HY905" i="3"/>
  <c r="IA905" i="3" s="1"/>
  <c r="HY745" i="3"/>
  <c r="IA745" i="3" s="1"/>
  <c r="HY910" i="3"/>
  <c r="IA910" i="3" s="1"/>
  <c r="HY742" i="3"/>
  <c r="IA742" i="3" s="1"/>
  <c r="HY1069" i="3"/>
  <c r="IA1069" i="3" s="1"/>
  <c r="HY907" i="3"/>
  <c r="IA907" i="3" s="1"/>
  <c r="HY747" i="3"/>
  <c r="IA747" i="3" s="1"/>
  <c r="HY904" i="3"/>
  <c r="IA904" i="3" s="1"/>
  <c r="HY744" i="3"/>
  <c r="IA744" i="3" s="1"/>
  <c r="HY1067" i="3"/>
  <c r="IA1067" i="3" s="1"/>
  <c r="HY909" i="3"/>
  <c r="IA909" i="3" s="1"/>
  <c r="HY741" i="3"/>
  <c r="IA741" i="3" s="1"/>
  <c r="HY1072" i="3"/>
  <c r="IA1072" i="3" s="1"/>
  <c r="HY906" i="3"/>
  <c r="IA906" i="3" s="1"/>
  <c r="HY585" i="3"/>
  <c r="IA585" i="3" s="1"/>
  <c r="HY423" i="3"/>
  <c r="IA423" i="3" s="1"/>
  <c r="HY420" i="3"/>
  <c r="IA420" i="3" s="1"/>
  <c r="HY903" i="3"/>
  <c r="IA903" i="3" s="1"/>
  <c r="HY582" i="3"/>
  <c r="IA582" i="3" s="1"/>
  <c r="HY417" i="3"/>
  <c r="IA417" i="3" s="1"/>
  <c r="HY579" i="3"/>
  <c r="IA579" i="3" s="1"/>
  <c r="HY424" i="3"/>
  <c r="IA424" i="3" s="1"/>
  <c r="HY584" i="3"/>
  <c r="IA584" i="3" s="1"/>
  <c r="HY421" i="3"/>
  <c r="IA421" i="3" s="1"/>
  <c r="HY746" i="3"/>
  <c r="IA746" i="3" s="1"/>
  <c r="HY418" i="3"/>
  <c r="IA418" i="3" s="1"/>
  <c r="HY581" i="3"/>
  <c r="IA581" i="3" s="1"/>
  <c r="HY743" i="3"/>
  <c r="IA743" i="3" s="1"/>
  <c r="HY586" i="3"/>
  <c r="IA586" i="3" s="1"/>
  <c r="HY580" i="3"/>
  <c r="IA580" i="3" s="1"/>
  <c r="HY422" i="3"/>
  <c r="IA422" i="3" s="1"/>
  <c r="HY255" i="3"/>
  <c r="IA255" i="3" s="1"/>
  <c r="HY583" i="3"/>
  <c r="IA583" i="3" s="1"/>
  <c r="HY262" i="3"/>
  <c r="IA262" i="3" s="1"/>
  <c r="HY259" i="3"/>
  <c r="IA259" i="3" s="1"/>
  <c r="HY419" i="3"/>
  <c r="IA419" i="3" s="1"/>
  <c r="HY256" i="3"/>
  <c r="IA256" i="3" s="1"/>
  <c r="HY260" i="3"/>
  <c r="IA260" i="3" s="1"/>
  <c r="HY257" i="3"/>
  <c r="IA257" i="3" s="1"/>
  <c r="HY261" i="3"/>
  <c r="IA261" i="3" s="1"/>
  <c r="HY258" i="3"/>
  <c r="IA258" i="3" s="1"/>
  <c r="HY94" i="3"/>
  <c r="IA94" i="3" s="1"/>
  <c r="HY100" i="3"/>
  <c r="IA100" i="3" s="1"/>
  <c r="HY95" i="3"/>
  <c r="IA95" i="3" s="1"/>
  <c r="HY96" i="3"/>
  <c r="IA96" i="3" s="1"/>
  <c r="HY97" i="3"/>
  <c r="IA97" i="3" s="1"/>
  <c r="HY93" i="3"/>
  <c r="IA93" i="3" s="1"/>
  <c r="HY98" i="3"/>
  <c r="IA98" i="3" s="1"/>
  <c r="HY99" i="3"/>
  <c r="IA99" i="3" s="1"/>
  <c r="BH8" i="3"/>
  <c r="BH233" i="3"/>
  <c r="BH78" i="3"/>
  <c r="BH251" i="3"/>
  <c r="BC9" i="3"/>
  <c r="BH120" i="3"/>
  <c r="BF305" i="3"/>
  <c r="BF145" i="3"/>
  <c r="BF302" i="3"/>
  <c r="BF206" i="3"/>
  <c r="BF299" i="3"/>
  <c r="BF168" i="3"/>
  <c r="BF309" i="3"/>
  <c r="BF306" i="3"/>
  <c r="BF303" i="3"/>
  <c r="BF300" i="3"/>
  <c r="BF310" i="3"/>
  <c r="BF307" i="3"/>
  <c r="BF304" i="3"/>
  <c r="BF183" i="3"/>
  <c r="BF308" i="3"/>
  <c r="BF92" i="3"/>
  <c r="BF107" i="3"/>
  <c r="BF301" i="3"/>
  <c r="BF298" i="3"/>
  <c r="BF69" i="3"/>
  <c r="BF130" i="3"/>
  <c r="BF54" i="3"/>
  <c r="Y16" i="3"/>
  <c r="Y31" i="3"/>
  <c r="BF16" i="3"/>
  <c r="BF221" i="3"/>
  <c r="BF31" i="3"/>
  <c r="BH123" i="3"/>
  <c r="BH108" i="3"/>
  <c r="BH275" i="3"/>
  <c r="IA328" i="3"/>
  <c r="BH5" i="3"/>
  <c r="BH236" i="3"/>
  <c r="BH116" i="3"/>
  <c r="BH254" i="3"/>
  <c r="BH41" i="3"/>
  <c r="BH228" i="3"/>
  <c r="BF213" i="3"/>
  <c r="BF175" i="3"/>
  <c r="BF214" i="3"/>
  <c r="BF176" i="3"/>
  <c r="BF138" i="3"/>
  <c r="BF61" i="3"/>
  <c r="BF62" i="3"/>
  <c r="BF99" i="3"/>
  <c r="BF100" i="3"/>
  <c r="Y23" i="3"/>
  <c r="BF23" i="3"/>
  <c r="BF137" i="3"/>
  <c r="Y24" i="3"/>
  <c r="BF24" i="3"/>
  <c r="BF177" i="3"/>
  <c r="BF174" i="3"/>
  <c r="BF215" i="3"/>
  <c r="BF212" i="3"/>
  <c r="BF60" i="3"/>
  <c r="BF98" i="3"/>
  <c r="BF63" i="3"/>
  <c r="BF139" i="3"/>
  <c r="BF136" i="3"/>
  <c r="Y25" i="3"/>
  <c r="BF25" i="3"/>
  <c r="Y22" i="3"/>
  <c r="BF101" i="3"/>
  <c r="BF22" i="3"/>
  <c r="BH277" i="3"/>
  <c r="HY1023" i="3"/>
  <c r="IA1023" i="3" s="1"/>
  <c r="HY860" i="3"/>
  <c r="IA860" i="3" s="1"/>
  <c r="HY700" i="3"/>
  <c r="IA700" i="3" s="1"/>
  <c r="HY1020" i="3"/>
  <c r="IA1020" i="3" s="1"/>
  <c r="HY1017" i="3"/>
  <c r="IA1017" i="3" s="1"/>
  <c r="HY857" i="3"/>
  <c r="IA857" i="3" s="1"/>
  <c r="HY697" i="3"/>
  <c r="IA697" i="3" s="1"/>
  <c r="HY862" i="3"/>
  <c r="IA862" i="3" s="1"/>
  <c r="HY694" i="3"/>
  <c r="IA694" i="3" s="1"/>
  <c r="HY859" i="3"/>
  <c r="IA859" i="3" s="1"/>
  <c r="HY699" i="3"/>
  <c r="IA699" i="3" s="1"/>
  <c r="HY1022" i="3"/>
  <c r="IA1022" i="3" s="1"/>
  <c r="HY1019" i="3"/>
  <c r="IA1019" i="3" s="1"/>
  <c r="HY856" i="3"/>
  <c r="IA856" i="3" s="1"/>
  <c r="HY696" i="3"/>
  <c r="IA696" i="3" s="1"/>
  <c r="HY861" i="3"/>
  <c r="IA861" i="3" s="1"/>
  <c r="HY693" i="3"/>
  <c r="IA693" i="3" s="1"/>
  <c r="HY1024" i="3"/>
  <c r="IA1024" i="3" s="1"/>
  <c r="HY1021" i="3"/>
  <c r="IA1021" i="3" s="1"/>
  <c r="HY1018" i="3"/>
  <c r="IA1018" i="3" s="1"/>
  <c r="HY537" i="3"/>
  <c r="IA537" i="3" s="1"/>
  <c r="HY375" i="3"/>
  <c r="IA375" i="3" s="1"/>
  <c r="HY372" i="3"/>
  <c r="IA372" i="3" s="1"/>
  <c r="HY534" i="3"/>
  <c r="IA534" i="3" s="1"/>
  <c r="HY369" i="3"/>
  <c r="IA369" i="3" s="1"/>
  <c r="HY858" i="3"/>
  <c r="IA858" i="3" s="1"/>
  <c r="HY531" i="3"/>
  <c r="IA531" i="3" s="1"/>
  <c r="HY376" i="3"/>
  <c r="IA376" i="3" s="1"/>
  <c r="HY855" i="3"/>
  <c r="IA855" i="3" s="1"/>
  <c r="HY536" i="3"/>
  <c r="IA536" i="3" s="1"/>
  <c r="HY373" i="3"/>
  <c r="IA373" i="3" s="1"/>
  <c r="HY370" i="3"/>
  <c r="IA370" i="3" s="1"/>
  <c r="HY533" i="3"/>
  <c r="IA533" i="3" s="1"/>
  <c r="HY538" i="3"/>
  <c r="IA538" i="3" s="1"/>
  <c r="HY695" i="3"/>
  <c r="IA695" i="3" s="1"/>
  <c r="HY532" i="3"/>
  <c r="IA532" i="3" s="1"/>
  <c r="HY207" i="3"/>
  <c r="IA207" i="3" s="1"/>
  <c r="HY374" i="3"/>
  <c r="IA374" i="3" s="1"/>
  <c r="HY214" i="3"/>
  <c r="IA214" i="3" s="1"/>
  <c r="HY698" i="3"/>
  <c r="IA698" i="3" s="1"/>
  <c r="HY211" i="3"/>
  <c r="IA211" i="3" s="1"/>
  <c r="HY535" i="3"/>
  <c r="IA535" i="3" s="1"/>
  <c r="HY208" i="3"/>
  <c r="IA208" i="3" s="1"/>
  <c r="HY371" i="3"/>
  <c r="IA371" i="3" s="1"/>
  <c r="HY212" i="3"/>
  <c r="IA212" i="3" s="1"/>
  <c r="HY209" i="3"/>
  <c r="IA209" i="3" s="1"/>
  <c r="HY213" i="3"/>
  <c r="IA213" i="3" s="1"/>
  <c r="HY49" i="3"/>
  <c r="IA49" i="3" s="1"/>
  <c r="HY47" i="3"/>
  <c r="IA47" i="3" s="1"/>
  <c r="HY45" i="3"/>
  <c r="IA45" i="3" s="1"/>
  <c r="HY210" i="3"/>
  <c r="IA210" i="3" s="1"/>
  <c r="HY52" i="3"/>
  <c r="IA52" i="3" s="1"/>
  <c r="HY50" i="3"/>
  <c r="IA50" i="3" s="1"/>
  <c r="HY48" i="3"/>
  <c r="IA48" i="3" s="1"/>
  <c r="HY46" i="3"/>
  <c r="IA46" i="3" s="1"/>
  <c r="HY51" i="3"/>
  <c r="IA51" i="3" s="1"/>
  <c r="BH81" i="3"/>
  <c r="BH191" i="3"/>
  <c r="BH253" i="3"/>
  <c r="BH257" i="3"/>
  <c r="BH72" i="3" l="1"/>
  <c r="BH125" i="3"/>
  <c r="BH112" i="3"/>
  <c r="BH273" i="3"/>
  <c r="BH47" i="3"/>
  <c r="BH34" i="3"/>
  <c r="BH160" i="3"/>
  <c r="BH44" i="3"/>
  <c r="BH238" i="3"/>
  <c r="BH296" i="3"/>
  <c r="BH119" i="3"/>
  <c r="BH256" i="3"/>
  <c r="BH282" i="3"/>
  <c r="BH150" i="3"/>
  <c r="BH250" i="3"/>
  <c r="BH73" i="3"/>
  <c r="BH50" i="3"/>
  <c r="BH89" i="3"/>
  <c r="BH85" i="3"/>
  <c r="BH186" i="3"/>
  <c r="BH115" i="3"/>
  <c r="BH226" i="3"/>
  <c r="BH204" i="3"/>
  <c r="BH7" i="3"/>
  <c r="BH196" i="3"/>
  <c r="BH88" i="3"/>
  <c r="BH124" i="3"/>
  <c r="BH49" i="3"/>
  <c r="BH230" i="3"/>
  <c r="BH184" i="3"/>
  <c r="BH188" i="3"/>
  <c r="BH192" i="3"/>
  <c r="L9" i="3"/>
  <c r="L13" i="3"/>
  <c r="BH197" i="3"/>
  <c r="BH223" i="3"/>
  <c r="BH234" i="3"/>
  <c r="BH269" i="3"/>
  <c r="BH165" i="3"/>
  <c r="BH33" i="3"/>
  <c r="BH148" i="3"/>
  <c r="BH258" i="3"/>
  <c r="BH270" i="3"/>
  <c r="BH222" i="3"/>
  <c r="BH12" i="3"/>
  <c r="BH77" i="3"/>
  <c r="BH293" i="3"/>
  <c r="BH292" i="3"/>
  <c r="BH266" i="3"/>
  <c r="BH48" i="3"/>
  <c r="BH118" i="3"/>
  <c r="BH52" i="3"/>
  <c r="BH164" i="3"/>
  <c r="BH167" i="3"/>
  <c r="BH289" i="3"/>
  <c r="BH129" i="3"/>
  <c r="BH109" i="3"/>
  <c r="BH239" i="3"/>
  <c r="BH199" i="3"/>
  <c r="BH288" i="3"/>
  <c r="BH156" i="3"/>
  <c r="BH280" i="3"/>
  <c r="BH248" i="3"/>
  <c r="BH83" i="3"/>
  <c r="BH84" i="3"/>
  <c r="BH90" i="3"/>
  <c r="BH36" i="3"/>
  <c r="BH247" i="3"/>
  <c r="BH225" i="3"/>
  <c r="BH113" i="3"/>
  <c r="BH205" i="3"/>
  <c r="BH295" i="3"/>
  <c r="BH291" i="3"/>
  <c r="BH166" i="3"/>
  <c r="BH201" i="3"/>
  <c r="BH32" i="3"/>
  <c r="BM4346" i="3"/>
  <c r="BO4346" i="3" s="1"/>
  <c r="BM3866" i="3"/>
  <c r="BO3866" i="3" s="1"/>
  <c r="BM4345" i="3"/>
  <c r="BO4345" i="3" s="1"/>
  <c r="BM3865" i="3"/>
  <c r="BO3865" i="3" s="1"/>
  <c r="BM4350" i="3"/>
  <c r="BO4350" i="3" s="1"/>
  <c r="BM4344" i="3"/>
  <c r="BO4344" i="3" s="1"/>
  <c r="BM3864" i="3"/>
  <c r="BO3864" i="3" s="1"/>
  <c r="BM4349" i="3"/>
  <c r="BO4349" i="3" s="1"/>
  <c r="BM4343" i="3"/>
  <c r="BO4343" i="3" s="1"/>
  <c r="BM3863" i="3"/>
  <c r="BO3863" i="3" s="1"/>
  <c r="BM4348" i="3"/>
  <c r="BO4348" i="3" s="1"/>
  <c r="BM3868" i="3"/>
  <c r="BO3868" i="3" s="1"/>
  <c r="BM3862" i="3"/>
  <c r="BO3862" i="3" s="1"/>
  <c r="BM3383" i="3"/>
  <c r="BO3383" i="3" s="1"/>
  <c r="BM3861" i="3"/>
  <c r="BO3861" i="3" s="1"/>
  <c r="BM3382" i="3"/>
  <c r="BO3382" i="3" s="1"/>
  <c r="BM3381" i="3"/>
  <c r="BO3381" i="3" s="1"/>
  <c r="BM3386" i="3"/>
  <c r="BO3386" i="3" s="1"/>
  <c r="BM3380" i="3"/>
  <c r="BO3380" i="3" s="1"/>
  <c r="BM3385" i="3"/>
  <c r="BO3385" i="3" s="1"/>
  <c r="BM3867" i="3"/>
  <c r="BO3867" i="3" s="1"/>
  <c r="BM3379" i="3"/>
  <c r="BO3379" i="3" s="1"/>
  <c r="BM2903" i="3"/>
  <c r="BO2903" i="3" s="1"/>
  <c r="BM4347" i="3"/>
  <c r="BO4347" i="3" s="1"/>
  <c r="BM2897" i="3"/>
  <c r="BO2897" i="3" s="1"/>
  <c r="BM2417" i="3"/>
  <c r="BO2417" i="3" s="1"/>
  <c r="BM2902" i="3"/>
  <c r="BO2902" i="3" s="1"/>
  <c r="BM2422" i="3"/>
  <c r="BO2422" i="3" s="1"/>
  <c r="BM2416" i="3"/>
  <c r="BO2416" i="3" s="1"/>
  <c r="BM2901" i="3"/>
  <c r="BO2901" i="3" s="1"/>
  <c r="BM2900" i="3"/>
  <c r="BO2900" i="3" s="1"/>
  <c r="BM3384" i="3"/>
  <c r="BO3384" i="3" s="1"/>
  <c r="BM2899" i="3"/>
  <c r="BO2899" i="3" s="1"/>
  <c r="BM1933" i="3"/>
  <c r="BO1933" i="3" s="1"/>
  <c r="BM2421" i="3"/>
  <c r="BO2421" i="3" s="1"/>
  <c r="BM1938" i="3"/>
  <c r="BO1938" i="3" s="1"/>
  <c r="BM2904" i="3"/>
  <c r="BO2904" i="3" s="1"/>
  <c r="BM2420" i="3"/>
  <c r="BO2420" i="3" s="1"/>
  <c r="BM1937" i="3"/>
  <c r="BO1937" i="3" s="1"/>
  <c r="BM2898" i="3"/>
  <c r="BO2898" i="3" s="1"/>
  <c r="BM2419" i="3"/>
  <c r="BO2419" i="3" s="1"/>
  <c r="BM1936" i="3"/>
  <c r="BO1936" i="3" s="1"/>
  <c r="BM2418" i="3"/>
  <c r="BO2418" i="3" s="1"/>
  <c r="BM1935" i="3"/>
  <c r="BO1935" i="3" s="1"/>
  <c r="BM1940" i="3"/>
  <c r="BO1940" i="3" s="1"/>
  <c r="BM1939" i="3"/>
  <c r="BO1939" i="3" s="1"/>
  <c r="BM1454" i="3"/>
  <c r="BO1454" i="3" s="1"/>
  <c r="BM1934" i="3"/>
  <c r="BO1934" i="3" s="1"/>
  <c r="BM1453" i="3"/>
  <c r="BO1453" i="3" s="1"/>
  <c r="BM1458" i="3"/>
  <c r="BO1458" i="3" s="1"/>
  <c r="BM1452" i="3"/>
  <c r="BO1452" i="3" s="1"/>
  <c r="BM1457" i="3"/>
  <c r="BO1457" i="3" s="1"/>
  <c r="BM2415" i="3"/>
  <c r="BO2415" i="3" s="1"/>
  <c r="BM1451" i="3"/>
  <c r="BO1451" i="3" s="1"/>
  <c r="BM1456" i="3"/>
  <c r="BO1456" i="3" s="1"/>
  <c r="BM970" i="3"/>
  <c r="BO970" i="3" s="1"/>
  <c r="BM975" i="3"/>
  <c r="BO975" i="3" s="1"/>
  <c r="BM972" i="3"/>
  <c r="BO972" i="3" s="1"/>
  <c r="BM969" i="3"/>
  <c r="BO969" i="3" s="1"/>
  <c r="BM974" i="3"/>
  <c r="BO974" i="3" s="1"/>
  <c r="BM971" i="3"/>
  <c r="BO971" i="3" s="1"/>
  <c r="BM976" i="3"/>
  <c r="BO976" i="3" s="1"/>
  <c r="BM973" i="3"/>
  <c r="BO973" i="3" s="1"/>
  <c r="BM487" i="3"/>
  <c r="BO487" i="3" s="1"/>
  <c r="BM492" i="3"/>
  <c r="BO492" i="3" s="1"/>
  <c r="BM489" i="3"/>
  <c r="BO489" i="3" s="1"/>
  <c r="BM494" i="3"/>
  <c r="BO494" i="3" s="1"/>
  <c r="BM1455" i="3"/>
  <c r="BO1455" i="3" s="1"/>
  <c r="BM491" i="3"/>
  <c r="BO491" i="3" s="1"/>
  <c r="BM488" i="3"/>
  <c r="BO488" i="3" s="1"/>
  <c r="BM490" i="3"/>
  <c r="BO490" i="3" s="1"/>
  <c r="BM493" i="3"/>
  <c r="BO493" i="3" s="1"/>
  <c r="BM9" i="3"/>
  <c r="BO9" i="3" s="1"/>
  <c r="BM12" i="3"/>
  <c r="BO12" i="3" s="1"/>
  <c r="BM8" i="3"/>
  <c r="BO8" i="3" s="1"/>
  <c r="BM10" i="3"/>
  <c r="BO10" i="3" s="1"/>
  <c r="BM7" i="3"/>
  <c r="BO7" i="3" s="1"/>
  <c r="BM6" i="3"/>
  <c r="BO6" i="3" s="1"/>
  <c r="BM11" i="3"/>
  <c r="BO11" i="3" s="1"/>
  <c r="BM5" i="3"/>
  <c r="BO5" i="3" s="1"/>
  <c r="BM4444" i="3"/>
  <c r="BO4444" i="3" s="1"/>
  <c r="BM4443" i="3"/>
  <c r="BO4443" i="3" s="1"/>
  <c r="BM4442" i="3"/>
  <c r="BO4442" i="3" s="1"/>
  <c r="BM4441" i="3"/>
  <c r="BO4441" i="3" s="1"/>
  <c r="BM4446" i="3"/>
  <c r="BO4446" i="3" s="1"/>
  <c r="BM4439" i="3"/>
  <c r="BO4439" i="3" s="1"/>
  <c r="BM3962" i="3"/>
  <c r="BO3962" i="3" s="1"/>
  <c r="BM3961" i="3"/>
  <c r="BO3961" i="3" s="1"/>
  <c r="BM3960" i="3"/>
  <c r="BO3960" i="3" s="1"/>
  <c r="BM3959" i="3"/>
  <c r="BO3959" i="3" s="1"/>
  <c r="BM3964" i="3"/>
  <c r="BO3964" i="3" s="1"/>
  <c r="BM4440" i="3"/>
  <c r="BO4440" i="3" s="1"/>
  <c r="BM3957" i="3"/>
  <c r="BO3957" i="3" s="1"/>
  <c r="BM3479" i="3"/>
  <c r="BO3479" i="3" s="1"/>
  <c r="BM2999" i="3"/>
  <c r="BO2999" i="3" s="1"/>
  <c r="BM4445" i="3"/>
  <c r="BO4445" i="3" s="1"/>
  <c r="BM3478" i="3"/>
  <c r="BO3478" i="3" s="1"/>
  <c r="BM3477" i="3"/>
  <c r="BO3477" i="3" s="1"/>
  <c r="BM2997" i="3"/>
  <c r="BO2997" i="3" s="1"/>
  <c r="BM3482" i="3"/>
  <c r="BO3482" i="3" s="1"/>
  <c r="BM3476" i="3"/>
  <c r="BO3476" i="3" s="1"/>
  <c r="BM3481" i="3"/>
  <c r="BO3481" i="3" s="1"/>
  <c r="BM3963" i="3"/>
  <c r="BO3963" i="3" s="1"/>
  <c r="BM3475" i="3"/>
  <c r="BO3475" i="3" s="1"/>
  <c r="BM3958" i="3"/>
  <c r="BO3958" i="3" s="1"/>
  <c r="BM2995" i="3"/>
  <c r="BO2995" i="3" s="1"/>
  <c r="BM2513" i="3"/>
  <c r="BO2513" i="3" s="1"/>
  <c r="BM3000" i="3"/>
  <c r="BO3000" i="3" s="1"/>
  <c r="BM2994" i="3"/>
  <c r="BO2994" i="3" s="1"/>
  <c r="BM2518" i="3"/>
  <c r="BO2518" i="3" s="1"/>
  <c r="BM2993" i="3"/>
  <c r="BO2993" i="3" s="1"/>
  <c r="BM2512" i="3"/>
  <c r="BO2512" i="3" s="1"/>
  <c r="BM3480" i="3"/>
  <c r="BO3480" i="3" s="1"/>
  <c r="BM2998" i="3"/>
  <c r="BO2998" i="3" s="1"/>
  <c r="BM2029" i="3"/>
  <c r="BO2029" i="3" s="1"/>
  <c r="BM2034" i="3"/>
  <c r="BO2034" i="3" s="1"/>
  <c r="BM2996" i="3"/>
  <c r="BO2996" i="3" s="1"/>
  <c r="BM2517" i="3"/>
  <c r="BO2517" i="3" s="1"/>
  <c r="BM2033" i="3"/>
  <c r="BO2033" i="3" s="1"/>
  <c r="BM2516" i="3"/>
  <c r="BO2516" i="3" s="1"/>
  <c r="BM2515" i="3"/>
  <c r="BO2515" i="3" s="1"/>
  <c r="BM2032" i="3"/>
  <c r="BO2032" i="3" s="1"/>
  <c r="BM2514" i="3"/>
  <c r="BO2514" i="3" s="1"/>
  <c r="BM2031" i="3"/>
  <c r="BO2031" i="3" s="1"/>
  <c r="BM2511" i="3"/>
  <c r="BO2511" i="3" s="1"/>
  <c r="BM2036" i="3"/>
  <c r="BO2036" i="3" s="1"/>
  <c r="BM2035" i="3"/>
  <c r="BO2035" i="3" s="1"/>
  <c r="BM1550" i="3"/>
  <c r="BO1550" i="3" s="1"/>
  <c r="BM1066" i="3"/>
  <c r="BO1066" i="3" s="1"/>
  <c r="BM1549" i="3"/>
  <c r="BO1549" i="3" s="1"/>
  <c r="BM1071" i="3"/>
  <c r="BO1071" i="3" s="1"/>
  <c r="BM1554" i="3"/>
  <c r="BO1554" i="3" s="1"/>
  <c r="BM1068" i="3"/>
  <c r="BO1068" i="3" s="1"/>
  <c r="BM1548" i="3"/>
  <c r="BO1548" i="3" s="1"/>
  <c r="BM1553" i="3"/>
  <c r="BO1553" i="3" s="1"/>
  <c r="BM1547" i="3"/>
  <c r="BO1547" i="3" s="1"/>
  <c r="BM1070" i="3"/>
  <c r="BO1070" i="3" s="1"/>
  <c r="BM1552" i="3"/>
  <c r="BO1552" i="3" s="1"/>
  <c r="BM2030" i="3"/>
  <c r="BO2030" i="3" s="1"/>
  <c r="BM1072" i="3"/>
  <c r="BO1072" i="3" s="1"/>
  <c r="BM1065" i="3"/>
  <c r="BO1065" i="3" s="1"/>
  <c r="BM1069" i="3"/>
  <c r="BO1069" i="3" s="1"/>
  <c r="BM1551" i="3"/>
  <c r="BO1551" i="3" s="1"/>
  <c r="BM583" i="3"/>
  <c r="BO583" i="3" s="1"/>
  <c r="BM1067" i="3"/>
  <c r="BO1067" i="3" s="1"/>
  <c r="BM588" i="3"/>
  <c r="BO588" i="3" s="1"/>
  <c r="BM585" i="3"/>
  <c r="BO585" i="3" s="1"/>
  <c r="BM590" i="3"/>
  <c r="BO590" i="3" s="1"/>
  <c r="BM587" i="3"/>
  <c r="BO587" i="3" s="1"/>
  <c r="BM584" i="3"/>
  <c r="BO584" i="3" s="1"/>
  <c r="BM586" i="3"/>
  <c r="BO586" i="3" s="1"/>
  <c r="BM103" i="3"/>
  <c r="BO103" i="3" s="1"/>
  <c r="BM108" i="3"/>
  <c r="BO108" i="3" s="1"/>
  <c r="BM104" i="3"/>
  <c r="BO104" i="3" s="1"/>
  <c r="BM105" i="3"/>
  <c r="BO105" i="3" s="1"/>
  <c r="BM589" i="3"/>
  <c r="BO589" i="3" s="1"/>
  <c r="BM101" i="3"/>
  <c r="BO101" i="3" s="1"/>
  <c r="BM106" i="3"/>
  <c r="BO106" i="3" s="1"/>
  <c r="BM107" i="3"/>
  <c r="BO107" i="3" s="1"/>
  <c r="BM102" i="3"/>
  <c r="BO102" i="3" s="1"/>
  <c r="BM4700" i="3"/>
  <c r="BO4700" i="3" s="1"/>
  <c r="BM4699" i="3"/>
  <c r="BO4699" i="3" s="1"/>
  <c r="BM4698" i="3"/>
  <c r="BO4698" i="3" s="1"/>
  <c r="BM4697" i="3"/>
  <c r="BO4697" i="3" s="1"/>
  <c r="BM4702" i="3"/>
  <c r="BO4702" i="3" s="1"/>
  <c r="BM4695" i="3"/>
  <c r="BO4695" i="3" s="1"/>
  <c r="BM4218" i="3"/>
  <c r="BO4218" i="3" s="1"/>
  <c r="BM3738" i="3"/>
  <c r="BO3738" i="3" s="1"/>
  <c r="BM3732" i="3"/>
  <c r="BO3732" i="3" s="1"/>
  <c r="BM4217" i="3"/>
  <c r="BO4217" i="3" s="1"/>
  <c r="BM3737" i="3"/>
  <c r="BO3737" i="3" s="1"/>
  <c r="BM3731" i="3"/>
  <c r="BO3731" i="3" s="1"/>
  <c r="BM4216" i="3"/>
  <c r="BO4216" i="3" s="1"/>
  <c r="BM3736" i="3"/>
  <c r="BO3736" i="3" s="1"/>
  <c r="BM4215" i="3"/>
  <c r="BO4215" i="3" s="1"/>
  <c r="BM3735" i="3"/>
  <c r="BO3735" i="3" s="1"/>
  <c r="BM4220" i="3"/>
  <c r="BO4220" i="3" s="1"/>
  <c r="BM4214" i="3"/>
  <c r="BO4214" i="3" s="1"/>
  <c r="BM4696" i="3"/>
  <c r="BO4696" i="3" s="1"/>
  <c r="BM4213" i="3"/>
  <c r="BO4213" i="3" s="1"/>
  <c r="BM3255" i="3"/>
  <c r="BO3255" i="3" s="1"/>
  <c r="BM3249" i="3"/>
  <c r="BO3249" i="3" s="1"/>
  <c r="BM3254" i="3"/>
  <c r="BO3254" i="3" s="1"/>
  <c r="BM4701" i="3"/>
  <c r="BO4701" i="3" s="1"/>
  <c r="BM3734" i="3"/>
  <c r="BO3734" i="3" s="1"/>
  <c r="BM3253" i="3"/>
  <c r="BO3253" i="3" s="1"/>
  <c r="BM3733" i="3"/>
  <c r="BO3733" i="3" s="1"/>
  <c r="BM3252" i="3"/>
  <c r="BO3252" i="3" s="1"/>
  <c r="BM3251" i="3"/>
  <c r="BO3251" i="3" s="1"/>
  <c r="BM2769" i="3"/>
  <c r="BO2769" i="3" s="1"/>
  <c r="BM2289" i="3"/>
  <c r="BO2289" i="3" s="1"/>
  <c r="BM2774" i="3"/>
  <c r="BO2774" i="3" s="1"/>
  <c r="BM2768" i="3"/>
  <c r="BO2768" i="3" s="1"/>
  <c r="BM2773" i="3"/>
  <c r="BO2773" i="3" s="1"/>
  <c r="BM4219" i="3"/>
  <c r="BO4219" i="3" s="1"/>
  <c r="BM2767" i="3"/>
  <c r="BO2767" i="3" s="1"/>
  <c r="BM2772" i="3"/>
  <c r="BO2772" i="3" s="1"/>
  <c r="BM3256" i="3"/>
  <c r="BO3256" i="3" s="1"/>
  <c r="BM2771" i="3"/>
  <c r="BO2771" i="3" s="1"/>
  <c r="BM1805" i="3"/>
  <c r="BO1805" i="3" s="1"/>
  <c r="BM1810" i="3"/>
  <c r="BO1810" i="3" s="1"/>
  <c r="BM2288" i="3"/>
  <c r="BO2288" i="3" s="1"/>
  <c r="BM1804" i="3"/>
  <c r="BO1804" i="3" s="1"/>
  <c r="BM1809" i="3"/>
  <c r="BO1809" i="3" s="1"/>
  <c r="BM2770" i="3"/>
  <c r="BO2770" i="3" s="1"/>
  <c r="BM2287" i="3"/>
  <c r="BO2287" i="3" s="1"/>
  <c r="BM1803" i="3"/>
  <c r="BO1803" i="3" s="1"/>
  <c r="BM2292" i="3"/>
  <c r="BO2292" i="3" s="1"/>
  <c r="BM2286" i="3"/>
  <c r="BO2286" i="3" s="1"/>
  <c r="BM3250" i="3"/>
  <c r="BO3250" i="3" s="1"/>
  <c r="BM2291" i="3"/>
  <c r="BO2291" i="3" s="1"/>
  <c r="BM2285" i="3"/>
  <c r="BO2285" i="3" s="1"/>
  <c r="BM2290" i="3"/>
  <c r="BO2290" i="3" s="1"/>
  <c r="BM1326" i="3"/>
  <c r="BO1326" i="3" s="1"/>
  <c r="BM1808" i="3"/>
  <c r="BO1808" i="3" s="1"/>
  <c r="BM1325" i="3"/>
  <c r="BO1325" i="3" s="1"/>
  <c r="BM1807" i="3"/>
  <c r="BO1807" i="3" s="1"/>
  <c r="BM1324" i="3"/>
  <c r="BO1324" i="3" s="1"/>
  <c r="BM1806" i="3"/>
  <c r="BO1806" i="3" s="1"/>
  <c r="BM1323" i="3"/>
  <c r="BO1323" i="3" s="1"/>
  <c r="BM1328" i="3"/>
  <c r="BO1328" i="3" s="1"/>
  <c r="BM1322" i="3"/>
  <c r="BO1322" i="3" s="1"/>
  <c r="BM842" i="3"/>
  <c r="BO842" i="3" s="1"/>
  <c r="BM839" i="3"/>
  <c r="BO839" i="3" s="1"/>
  <c r="BM844" i="3"/>
  <c r="BO844" i="3" s="1"/>
  <c r="BM1327" i="3"/>
  <c r="BO1327" i="3" s="1"/>
  <c r="BM841" i="3"/>
  <c r="BO841" i="3" s="1"/>
  <c r="BM1321" i="3"/>
  <c r="BO1321" i="3" s="1"/>
  <c r="BM846" i="3"/>
  <c r="BO846" i="3" s="1"/>
  <c r="BM843" i="3"/>
  <c r="BO843" i="3" s="1"/>
  <c r="BM840" i="3"/>
  <c r="BO840" i="3" s="1"/>
  <c r="BM845" i="3"/>
  <c r="BO845" i="3" s="1"/>
  <c r="BM362" i="3"/>
  <c r="BO362" i="3" s="1"/>
  <c r="BM359" i="3"/>
  <c r="BO359" i="3" s="1"/>
  <c r="BM363" i="3"/>
  <c r="BO363" i="3" s="1"/>
  <c r="BM360" i="3"/>
  <c r="BO360" i="3" s="1"/>
  <c r="BM361" i="3"/>
  <c r="BO361" i="3" s="1"/>
  <c r="BM364" i="3"/>
  <c r="BO364" i="3" s="1"/>
  <c r="BM358" i="3"/>
  <c r="BO358" i="3" s="1"/>
  <c r="BM357" i="3"/>
  <c r="BO357" i="3" s="1"/>
  <c r="BM4764" i="3"/>
  <c r="BO4764" i="3" s="1"/>
  <c r="BM4763" i="3"/>
  <c r="BO4763" i="3" s="1"/>
  <c r="BM4762" i="3"/>
  <c r="BO4762" i="3" s="1"/>
  <c r="BM4761" i="3"/>
  <c r="BO4761" i="3" s="1"/>
  <c r="BM4766" i="3"/>
  <c r="BO4766" i="3" s="1"/>
  <c r="BM4759" i="3"/>
  <c r="BO4759" i="3" s="1"/>
  <c r="BM4282" i="3"/>
  <c r="BO4282" i="3" s="1"/>
  <c r="BM3802" i="3"/>
  <c r="BO3802" i="3" s="1"/>
  <c r="BM3796" i="3"/>
  <c r="BO3796" i="3" s="1"/>
  <c r="BM4281" i="3"/>
  <c r="BO4281" i="3" s="1"/>
  <c r="BM3801" i="3"/>
  <c r="BO3801" i="3" s="1"/>
  <c r="BM4765" i="3"/>
  <c r="BO4765" i="3" s="1"/>
  <c r="BM3795" i="3"/>
  <c r="BO3795" i="3" s="1"/>
  <c r="BM4760" i="3"/>
  <c r="BO4760" i="3" s="1"/>
  <c r="BM4280" i="3"/>
  <c r="BO4280" i="3" s="1"/>
  <c r="BM3800" i="3"/>
  <c r="BO3800" i="3" s="1"/>
  <c r="BM4279" i="3"/>
  <c r="BO4279" i="3" s="1"/>
  <c r="BM3799" i="3"/>
  <c r="BO3799" i="3" s="1"/>
  <c r="BM4284" i="3"/>
  <c r="BO4284" i="3" s="1"/>
  <c r="BM4278" i="3"/>
  <c r="BO4278" i="3" s="1"/>
  <c r="BM4277" i="3"/>
  <c r="BO4277" i="3" s="1"/>
  <c r="BM3319" i="3"/>
  <c r="BO3319" i="3" s="1"/>
  <c r="BM3798" i="3"/>
  <c r="BO3798" i="3" s="1"/>
  <c r="BM3313" i="3"/>
  <c r="BO3313" i="3" s="1"/>
  <c r="BM3318" i="3"/>
  <c r="BO3318" i="3" s="1"/>
  <c r="BM3797" i="3"/>
  <c r="BO3797" i="3" s="1"/>
  <c r="BM4283" i="3"/>
  <c r="BO4283" i="3" s="1"/>
  <c r="BM3317" i="3"/>
  <c r="BO3317" i="3" s="1"/>
  <c r="BM3316" i="3"/>
  <c r="BO3316" i="3" s="1"/>
  <c r="BM3315" i="3"/>
  <c r="BO3315" i="3" s="1"/>
  <c r="BM3320" i="3"/>
  <c r="BO3320" i="3" s="1"/>
  <c r="BM2833" i="3"/>
  <c r="BO2833" i="3" s="1"/>
  <c r="BM2353" i="3"/>
  <c r="BO2353" i="3" s="1"/>
  <c r="BM2838" i="3"/>
  <c r="BO2838" i="3" s="1"/>
  <c r="BM3314" i="3"/>
  <c r="BO3314" i="3" s="1"/>
  <c r="BM2832" i="3"/>
  <c r="BO2832" i="3" s="1"/>
  <c r="BM2837" i="3"/>
  <c r="BO2837" i="3" s="1"/>
  <c r="BM2831" i="3"/>
  <c r="BO2831" i="3" s="1"/>
  <c r="BM2836" i="3"/>
  <c r="BO2836" i="3" s="1"/>
  <c r="BM2835" i="3"/>
  <c r="BO2835" i="3" s="1"/>
  <c r="BM2356" i="3"/>
  <c r="BO2356" i="3" s="1"/>
  <c r="BM2350" i="3"/>
  <c r="BO2350" i="3" s="1"/>
  <c r="BM1869" i="3"/>
  <c r="BO1869" i="3" s="1"/>
  <c r="BM1874" i="3"/>
  <c r="BO1874" i="3" s="1"/>
  <c r="BM2355" i="3"/>
  <c r="BO2355" i="3" s="1"/>
  <c r="BM2349" i="3"/>
  <c r="BO2349" i="3" s="1"/>
  <c r="BM1868" i="3"/>
  <c r="BO1868" i="3" s="1"/>
  <c r="BM1873" i="3"/>
  <c r="BO1873" i="3" s="1"/>
  <c r="BM2354" i="3"/>
  <c r="BO2354" i="3" s="1"/>
  <c r="BM1867" i="3"/>
  <c r="BO1867" i="3" s="1"/>
  <c r="BM1872" i="3"/>
  <c r="BO1872" i="3" s="1"/>
  <c r="BM2352" i="3"/>
  <c r="BO2352" i="3" s="1"/>
  <c r="BM1871" i="3"/>
  <c r="BO1871" i="3" s="1"/>
  <c r="BM1390" i="3"/>
  <c r="BO1390" i="3" s="1"/>
  <c r="BM1389" i="3"/>
  <c r="BO1389" i="3" s="1"/>
  <c r="BM1388" i="3"/>
  <c r="BO1388" i="3" s="1"/>
  <c r="BM1387" i="3"/>
  <c r="BO1387" i="3" s="1"/>
  <c r="BM2351" i="3"/>
  <c r="BO2351" i="3" s="1"/>
  <c r="BM1870" i="3"/>
  <c r="BO1870" i="3" s="1"/>
  <c r="BM1392" i="3"/>
  <c r="BO1392" i="3" s="1"/>
  <c r="BM1386" i="3"/>
  <c r="BO1386" i="3" s="1"/>
  <c r="BM2834" i="3"/>
  <c r="BO2834" i="3" s="1"/>
  <c r="BM1385" i="3"/>
  <c r="BO1385" i="3" s="1"/>
  <c r="BM906" i="3"/>
  <c r="BO906" i="3" s="1"/>
  <c r="BM903" i="3"/>
  <c r="BO903" i="3" s="1"/>
  <c r="BM908" i="3"/>
  <c r="BO908" i="3" s="1"/>
  <c r="BM905" i="3"/>
  <c r="BO905" i="3" s="1"/>
  <c r="BM910" i="3"/>
  <c r="BO910" i="3" s="1"/>
  <c r="BM1391" i="3"/>
  <c r="BO1391" i="3" s="1"/>
  <c r="BM907" i="3"/>
  <c r="BO907" i="3" s="1"/>
  <c r="BM904" i="3"/>
  <c r="BO904" i="3" s="1"/>
  <c r="BM909" i="3"/>
  <c r="BO909" i="3" s="1"/>
  <c r="BM426" i="3"/>
  <c r="BO426" i="3" s="1"/>
  <c r="BM423" i="3"/>
  <c r="BO423" i="3" s="1"/>
  <c r="BM427" i="3"/>
  <c r="BO427" i="3" s="1"/>
  <c r="BM424" i="3"/>
  <c r="BO424" i="3" s="1"/>
  <c r="BM421" i="3"/>
  <c r="BO421" i="3" s="1"/>
  <c r="BM425" i="3"/>
  <c r="BO425" i="3" s="1"/>
  <c r="BM422" i="3"/>
  <c r="BO422" i="3" s="1"/>
  <c r="BM428" i="3"/>
  <c r="BO428" i="3" s="1"/>
  <c r="BH42" i="3"/>
  <c r="BH262" i="3"/>
  <c r="BH163" i="3"/>
  <c r="BM4385" i="3"/>
  <c r="BO4385" i="3" s="1"/>
  <c r="BM4390" i="3"/>
  <c r="BO4390" i="3" s="1"/>
  <c r="BM4384" i="3"/>
  <c r="BO4384" i="3" s="1"/>
  <c r="BM4389" i="3"/>
  <c r="BO4389" i="3" s="1"/>
  <c r="BM4383" i="3"/>
  <c r="BO4383" i="3" s="1"/>
  <c r="BM4388" i="3"/>
  <c r="BO4388" i="3" s="1"/>
  <c r="BM4387" i="3"/>
  <c r="BO4387" i="3" s="1"/>
  <c r="BM4386" i="3"/>
  <c r="BO4386" i="3" s="1"/>
  <c r="BM3908" i="3"/>
  <c r="BO3908" i="3" s="1"/>
  <c r="BM3902" i="3"/>
  <c r="BO3902" i="3" s="1"/>
  <c r="BM3907" i="3"/>
  <c r="BO3907" i="3" s="1"/>
  <c r="BM3901" i="3"/>
  <c r="BO3901" i="3" s="1"/>
  <c r="BM3906" i="3"/>
  <c r="BO3906" i="3" s="1"/>
  <c r="BM3904" i="3"/>
  <c r="BO3904" i="3" s="1"/>
  <c r="BM3420" i="3"/>
  <c r="BO3420" i="3" s="1"/>
  <c r="BM3425" i="3"/>
  <c r="BO3425" i="3" s="1"/>
  <c r="BM3419" i="3"/>
  <c r="BO3419" i="3" s="1"/>
  <c r="BM3424" i="3"/>
  <c r="BO3424" i="3" s="1"/>
  <c r="BM3905" i="3"/>
  <c r="BO3905" i="3" s="1"/>
  <c r="BM3423" i="3"/>
  <c r="BO3423" i="3" s="1"/>
  <c r="BM3903" i="3"/>
  <c r="BO3903" i="3" s="1"/>
  <c r="BM3422" i="3"/>
  <c r="BO3422" i="3" s="1"/>
  <c r="BM3421" i="3"/>
  <c r="BO3421" i="3" s="1"/>
  <c r="BM2455" i="3"/>
  <c r="BO2455" i="3" s="1"/>
  <c r="BM2940" i="3"/>
  <c r="BO2940" i="3" s="1"/>
  <c r="BM2460" i="3"/>
  <c r="BO2460" i="3" s="1"/>
  <c r="BM2939" i="3"/>
  <c r="BO2939" i="3" s="1"/>
  <c r="BM2459" i="3"/>
  <c r="BO2459" i="3" s="1"/>
  <c r="BM2944" i="3"/>
  <c r="BO2944" i="3" s="1"/>
  <c r="BM2938" i="3"/>
  <c r="BO2938" i="3" s="1"/>
  <c r="BM2943" i="3"/>
  <c r="BO2943" i="3" s="1"/>
  <c r="BM2937" i="3"/>
  <c r="BO2937" i="3" s="1"/>
  <c r="BM2457" i="3"/>
  <c r="BO2457" i="3" s="1"/>
  <c r="BM3426" i="3"/>
  <c r="BO3426" i="3" s="1"/>
  <c r="BM2942" i="3"/>
  <c r="BO2942" i="3" s="1"/>
  <c r="BM2456" i="3"/>
  <c r="BO2456" i="3" s="1"/>
  <c r="BM1975" i="3"/>
  <c r="BO1975" i="3" s="1"/>
  <c r="BM1980" i="3"/>
  <c r="BO1980" i="3" s="1"/>
  <c r="BM2941" i="3"/>
  <c r="BO2941" i="3" s="1"/>
  <c r="BM1974" i="3"/>
  <c r="BO1974" i="3" s="1"/>
  <c r="BM1979" i="3"/>
  <c r="BO1979" i="3" s="1"/>
  <c r="BM2462" i="3"/>
  <c r="BO2462" i="3" s="1"/>
  <c r="BM1973" i="3"/>
  <c r="BO1973" i="3" s="1"/>
  <c r="BM1978" i="3"/>
  <c r="BO1978" i="3" s="1"/>
  <c r="BM2461" i="3"/>
  <c r="BO2461" i="3" s="1"/>
  <c r="BM1977" i="3"/>
  <c r="BO1977" i="3" s="1"/>
  <c r="BM1491" i="3"/>
  <c r="BO1491" i="3" s="1"/>
  <c r="BM1496" i="3"/>
  <c r="BO1496" i="3" s="1"/>
  <c r="BM1976" i="3"/>
  <c r="BO1976" i="3" s="1"/>
  <c r="BM1495" i="3"/>
  <c r="BO1495" i="3" s="1"/>
  <c r="BM1012" i="3"/>
  <c r="BO1012" i="3" s="1"/>
  <c r="BM1494" i="3"/>
  <c r="BO1494" i="3" s="1"/>
  <c r="BM1493" i="3"/>
  <c r="BO1493" i="3" s="1"/>
  <c r="BM1498" i="3"/>
  <c r="BO1498" i="3" s="1"/>
  <c r="BM2458" i="3"/>
  <c r="BO2458" i="3" s="1"/>
  <c r="BM1492" i="3"/>
  <c r="BO1492" i="3" s="1"/>
  <c r="BM1497" i="3"/>
  <c r="BO1497" i="3" s="1"/>
  <c r="BM1015" i="3"/>
  <c r="BO1015" i="3" s="1"/>
  <c r="BM1014" i="3"/>
  <c r="BO1014" i="3" s="1"/>
  <c r="BM1011" i="3"/>
  <c r="BO1011" i="3" s="1"/>
  <c r="BM1010" i="3"/>
  <c r="BO1010" i="3" s="1"/>
  <c r="BM1016" i="3"/>
  <c r="BO1016" i="3" s="1"/>
  <c r="BM1013" i="3"/>
  <c r="BO1013" i="3" s="1"/>
  <c r="BM527" i="3"/>
  <c r="BO527" i="3" s="1"/>
  <c r="BM532" i="3"/>
  <c r="BO532" i="3" s="1"/>
  <c r="BM529" i="3"/>
  <c r="BO529" i="3" s="1"/>
  <c r="BM1009" i="3"/>
  <c r="BO1009" i="3" s="1"/>
  <c r="BM534" i="3"/>
  <c r="BO534" i="3" s="1"/>
  <c r="BM531" i="3"/>
  <c r="BO531" i="3" s="1"/>
  <c r="BM528" i="3"/>
  <c r="BO528" i="3" s="1"/>
  <c r="BM530" i="3"/>
  <c r="BO530" i="3" s="1"/>
  <c r="BM533" i="3"/>
  <c r="BO533" i="3" s="1"/>
  <c r="BM51" i="3"/>
  <c r="BO51" i="3" s="1"/>
  <c r="BM49" i="3"/>
  <c r="BO49" i="3" s="1"/>
  <c r="BM47" i="3"/>
  <c r="BO47" i="3" s="1"/>
  <c r="BM45" i="3"/>
  <c r="BO45" i="3" s="1"/>
  <c r="BM50" i="3"/>
  <c r="BO50" i="3" s="1"/>
  <c r="BM46" i="3"/>
  <c r="BO46" i="3" s="1"/>
  <c r="BM52" i="3"/>
  <c r="BO52" i="3" s="1"/>
  <c r="BM48" i="3"/>
  <c r="BO48" i="3" s="1"/>
  <c r="BM4476" i="3"/>
  <c r="BO4476" i="3" s="1"/>
  <c r="BM4475" i="3"/>
  <c r="BO4475" i="3" s="1"/>
  <c r="BM4474" i="3"/>
  <c r="BO4474" i="3" s="1"/>
  <c r="BM4473" i="3"/>
  <c r="BO4473" i="3" s="1"/>
  <c r="BM4478" i="3"/>
  <c r="BO4478" i="3" s="1"/>
  <c r="BM4471" i="3"/>
  <c r="BO4471" i="3" s="1"/>
  <c r="BM3994" i="3"/>
  <c r="BO3994" i="3" s="1"/>
  <c r="BM4477" i="3"/>
  <c r="BO4477" i="3" s="1"/>
  <c r="BM4472" i="3"/>
  <c r="BO4472" i="3" s="1"/>
  <c r="BM3993" i="3"/>
  <c r="BO3993" i="3" s="1"/>
  <c r="BM3992" i="3"/>
  <c r="BO3992" i="3" s="1"/>
  <c r="BM3991" i="3"/>
  <c r="BO3991" i="3" s="1"/>
  <c r="BM3996" i="3"/>
  <c r="BO3996" i="3" s="1"/>
  <c r="BM3990" i="3"/>
  <c r="BO3990" i="3" s="1"/>
  <c r="BM3989" i="3"/>
  <c r="BO3989" i="3" s="1"/>
  <c r="BM3511" i="3"/>
  <c r="BO3511" i="3" s="1"/>
  <c r="BM3031" i="3"/>
  <c r="BO3031" i="3" s="1"/>
  <c r="BM3510" i="3"/>
  <c r="BO3510" i="3" s="1"/>
  <c r="BM3509" i="3"/>
  <c r="BO3509" i="3" s="1"/>
  <c r="BM3029" i="3"/>
  <c r="BO3029" i="3" s="1"/>
  <c r="BM3995" i="3"/>
  <c r="BO3995" i="3" s="1"/>
  <c r="BM3514" i="3"/>
  <c r="BO3514" i="3" s="1"/>
  <c r="BM3508" i="3"/>
  <c r="BO3508" i="3" s="1"/>
  <c r="BM3513" i="3"/>
  <c r="BO3513" i="3" s="1"/>
  <c r="BM3507" i="3"/>
  <c r="BO3507" i="3" s="1"/>
  <c r="BM3027" i="3"/>
  <c r="BO3027" i="3" s="1"/>
  <c r="BM2545" i="3"/>
  <c r="BO2545" i="3" s="1"/>
  <c r="BM3026" i="3"/>
  <c r="BO3026" i="3" s="1"/>
  <c r="BM2550" i="3"/>
  <c r="BO2550" i="3" s="1"/>
  <c r="BM3025" i="3"/>
  <c r="BO3025" i="3" s="1"/>
  <c r="BM3032" i="3"/>
  <c r="BO3032" i="3" s="1"/>
  <c r="BM2544" i="3"/>
  <c r="BO2544" i="3" s="1"/>
  <c r="BM2549" i="3"/>
  <c r="BO2549" i="3" s="1"/>
  <c r="BM3030" i="3"/>
  <c r="BO3030" i="3" s="1"/>
  <c r="BM2548" i="3"/>
  <c r="BO2548" i="3" s="1"/>
  <c r="BM3512" i="3"/>
  <c r="BO3512" i="3" s="1"/>
  <c r="BM2547" i="3"/>
  <c r="BO2547" i="3" s="1"/>
  <c r="BM2061" i="3"/>
  <c r="BO2061" i="3" s="1"/>
  <c r="BM2066" i="3"/>
  <c r="BO2066" i="3" s="1"/>
  <c r="BM2065" i="3"/>
  <c r="BO2065" i="3" s="1"/>
  <c r="BM2546" i="3"/>
  <c r="BO2546" i="3" s="1"/>
  <c r="BM2064" i="3"/>
  <c r="BO2064" i="3" s="1"/>
  <c r="BM3028" i="3"/>
  <c r="BO3028" i="3" s="1"/>
  <c r="BM2543" i="3"/>
  <c r="BO2543" i="3" s="1"/>
  <c r="BM2063" i="3"/>
  <c r="BO2063" i="3" s="1"/>
  <c r="BM2068" i="3"/>
  <c r="BO2068" i="3" s="1"/>
  <c r="BM2067" i="3"/>
  <c r="BO2067" i="3" s="1"/>
  <c r="BM1582" i="3"/>
  <c r="BO1582" i="3" s="1"/>
  <c r="BM1098" i="3"/>
  <c r="BO1098" i="3" s="1"/>
  <c r="BM2062" i="3"/>
  <c r="BO2062" i="3" s="1"/>
  <c r="BM1581" i="3"/>
  <c r="BO1581" i="3" s="1"/>
  <c r="BM1103" i="3"/>
  <c r="BO1103" i="3" s="1"/>
  <c r="BM1586" i="3"/>
  <c r="BO1586" i="3" s="1"/>
  <c r="BM1100" i="3"/>
  <c r="BO1100" i="3" s="1"/>
  <c r="BM1580" i="3"/>
  <c r="BO1580" i="3" s="1"/>
  <c r="BM1585" i="3"/>
  <c r="BO1585" i="3" s="1"/>
  <c r="BM1097" i="3"/>
  <c r="BO1097" i="3" s="1"/>
  <c r="BM1579" i="3"/>
  <c r="BO1579" i="3" s="1"/>
  <c r="BM1102" i="3"/>
  <c r="BO1102" i="3" s="1"/>
  <c r="BM1584" i="3"/>
  <c r="BO1584" i="3" s="1"/>
  <c r="BM1583" i="3"/>
  <c r="BO1583" i="3" s="1"/>
  <c r="BM1101" i="3"/>
  <c r="BO1101" i="3" s="1"/>
  <c r="BM1099" i="3"/>
  <c r="BO1099" i="3" s="1"/>
  <c r="BM615" i="3"/>
  <c r="BO615" i="3" s="1"/>
  <c r="BM620" i="3"/>
  <c r="BO620" i="3" s="1"/>
  <c r="BM617" i="3"/>
  <c r="BO617" i="3" s="1"/>
  <c r="BM622" i="3"/>
  <c r="BO622" i="3" s="1"/>
  <c r="BM619" i="3"/>
  <c r="BO619" i="3" s="1"/>
  <c r="BM1104" i="3"/>
  <c r="BO1104" i="3" s="1"/>
  <c r="BM616" i="3"/>
  <c r="BO616" i="3" s="1"/>
  <c r="BM618" i="3"/>
  <c r="BO618" i="3" s="1"/>
  <c r="BM621" i="3"/>
  <c r="BO621" i="3" s="1"/>
  <c r="BM135" i="3"/>
  <c r="BO135" i="3" s="1"/>
  <c r="BM139" i="3"/>
  <c r="BO139" i="3" s="1"/>
  <c r="BM136" i="3"/>
  <c r="BO136" i="3" s="1"/>
  <c r="BM133" i="3"/>
  <c r="BO133" i="3" s="1"/>
  <c r="BM140" i="3"/>
  <c r="BO140" i="3" s="1"/>
  <c r="BM137" i="3"/>
  <c r="BO137" i="3" s="1"/>
  <c r="BM134" i="3"/>
  <c r="BO134" i="3" s="1"/>
  <c r="BM138" i="3"/>
  <c r="BO138" i="3" s="1"/>
  <c r="BM4716" i="3"/>
  <c r="BO4716" i="3" s="1"/>
  <c r="BM4715" i="3"/>
  <c r="BO4715" i="3" s="1"/>
  <c r="BM4714" i="3"/>
  <c r="BO4714" i="3" s="1"/>
  <c r="BM4713" i="3"/>
  <c r="BO4713" i="3" s="1"/>
  <c r="BM4718" i="3"/>
  <c r="BO4718" i="3" s="1"/>
  <c r="BM4711" i="3"/>
  <c r="BO4711" i="3" s="1"/>
  <c r="BM4234" i="3"/>
  <c r="BO4234" i="3" s="1"/>
  <c r="BM3754" i="3"/>
  <c r="BO3754" i="3" s="1"/>
  <c r="BM3748" i="3"/>
  <c r="BO3748" i="3" s="1"/>
  <c r="BM4233" i="3"/>
  <c r="BO4233" i="3" s="1"/>
  <c r="BM3753" i="3"/>
  <c r="BO3753" i="3" s="1"/>
  <c r="BM3747" i="3"/>
  <c r="BO3747" i="3" s="1"/>
  <c r="BM4232" i="3"/>
  <c r="BO4232" i="3" s="1"/>
  <c r="BM3752" i="3"/>
  <c r="BO3752" i="3" s="1"/>
  <c r="BM4717" i="3"/>
  <c r="BO4717" i="3" s="1"/>
  <c r="BM4712" i="3"/>
  <c r="BO4712" i="3" s="1"/>
  <c r="BM4231" i="3"/>
  <c r="BO4231" i="3" s="1"/>
  <c r="BM3751" i="3"/>
  <c r="BO3751" i="3" s="1"/>
  <c r="BM4236" i="3"/>
  <c r="BO4236" i="3" s="1"/>
  <c r="BM4230" i="3"/>
  <c r="BO4230" i="3" s="1"/>
  <c r="BM4229" i="3"/>
  <c r="BO4229" i="3" s="1"/>
  <c r="BM3271" i="3"/>
  <c r="BO3271" i="3" s="1"/>
  <c r="BM3749" i="3"/>
  <c r="BO3749" i="3" s="1"/>
  <c r="BM3265" i="3"/>
  <c r="BO3265" i="3" s="1"/>
  <c r="BM3270" i="3"/>
  <c r="BO3270" i="3" s="1"/>
  <c r="BM3269" i="3"/>
  <c r="BO3269" i="3" s="1"/>
  <c r="BM4235" i="3"/>
  <c r="BO4235" i="3" s="1"/>
  <c r="BM3268" i="3"/>
  <c r="BO3268" i="3" s="1"/>
  <c r="BM3267" i="3"/>
  <c r="BO3267" i="3" s="1"/>
  <c r="BM3750" i="3"/>
  <c r="BO3750" i="3" s="1"/>
  <c r="BM2785" i="3"/>
  <c r="BO2785" i="3" s="1"/>
  <c r="BM2305" i="3"/>
  <c r="BO2305" i="3" s="1"/>
  <c r="BM2790" i="3"/>
  <c r="BO2790" i="3" s="1"/>
  <c r="BM3272" i="3"/>
  <c r="BO3272" i="3" s="1"/>
  <c r="BM2784" i="3"/>
  <c r="BO2784" i="3" s="1"/>
  <c r="BM2789" i="3"/>
  <c r="BO2789" i="3" s="1"/>
  <c r="BM3266" i="3"/>
  <c r="BO3266" i="3" s="1"/>
  <c r="BM2783" i="3"/>
  <c r="BO2783" i="3" s="1"/>
  <c r="BM2788" i="3"/>
  <c r="BO2788" i="3" s="1"/>
  <c r="BM2787" i="3"/>
  <c r="BO2787" i="3" s="1"/>
  <c r="BM1821" i="3"/>
  <c r="BO1821" i="3" s="1"/>
  <c r="BM2307" i="3"/>
  <c r="BO2307" i="3" s="1"/>
  <c r="BM2301" i="3"/>
  <c r="BO2301" i="3" s="1"/>
  <c r="BM1826" i="3"/>
  <c r="BO1826" i="3" s="1"/>
  <c r="BM1820" i="3"/>
  <c r="BO1820" i="3" s="1"/>
  <c r="BM2306" i="3"/>
  <c r="BO2306" i="3" s="1"/>
  <c r="BM1825" i="3"/>
  <c r="BO1825" i="3" s="1"/>
  <c r="BM1819" i="3"/>
  <c r="BO1819" i="3" s="1"/>
  <c r="BM1824" i="3"/>
  <c r="BO1824" i="3" s="1"/>
  <c r="BM2304" i="3"/>
  <c r="BO2304" i="3" s="1"/>
  <c r="BM2303" i="3"/>
  <c r="BO2303" i="3" s="1"/>
  <c r="BM2308" i="3"/>
  <c r="BO2308" i="3" s="1"/>
  <c r="BM2302" i="3"/>
  <c r="BO2302" i="3" s="1"/>
  <c r="BM1822" i="3"/>
  <c r="BO1822" i="3" s="1"/>
  <c r="BM1342" i="3"/>
  <c r="BO1342" i="3" s="1"/>
  <c r="BM2786" i="3"/>
  <c r="BO2786" i="3" s="1"/>
  <c r="BM1341" i="3"/>
  <c r="BO1341" i="3" s="1"/>
  <c r="BM1340" i="3"/>
  <c r="BO1340" i="3" s="1"/>
  <c r="BM1339" i="3"/>
  <c r="BO1339" i="3" s="1"/>
  <c r="BM1344" i="3"/>
  <c r="BO1344" i="3" s="1"/>
  <c r="BM1338" i="3"/>
  <c r="BO1338" i="3" s="1"/>
  <c r="BM1337" i="3"/>
  <c r="BO1337" i="3" s="1"/>
  <c r="BM858" i="3"/>
  <c r="BO858" i="3" s="1"/>
  <c r="BM1823" i="3"/>
  <c r="BO1823" i="3" s="1"/>
  <c r="BM1343" i="3"/>
  <c r="BO1343" i="3" s="1"/>
  <c r="BM855" i="3"/>
  <c r="BO855" i="3" s="1"/>
  <c r="BM860" i="3"/>
  <c r="BO860" i="3" s="1"/>
  <c r="BM857" i="3"/>
  <c r="BO857" i="3" s="1"/>
  <c r="BM862" i="3"/>
  <c r="BO862" i="3" s="1"/>
  <c r="BM859" i="3"/>
  <c r="BO859" i="3" s="1"/>
  <c r="BM856" i="3"/>
  <c r="BO856" i="3" s="1"/>
  <c r="BM861" i="3"/>
  <c r="BO861" i="3" s="1"/>
  <c r="BM378" i="3"/>
  <c r="BO378" i="3" s="1"/>
  <c r="BM375" i="3"/>
  <c r="BO375" i="3" s="1"/>
  <c r="BM379" i="3"/>
  <c r="BO379" i="3" s="1"/>
  <c r="BM376" i="3"/>
  <c r="BO376" i="3" s="1"/>
  <c r="BM373" i="3"/>
  <c r="BO373" i="3" s="1"/>
  <c r="BM377" i="3"/>
  <c r="BO377" i="3" s="1"/>
  <c r="BM374" i="3"/>
  <c r="BO374" i="3" s="1"/>
  <c r="BM380" i="3"/>
  <c r="BO380" i="3" s="1"/>
  <c r="BM4780" i="3"/>
  <c r="BO4780" i="3" s="1"/>
  <c r="BM4779" i="3"/>
  <c r="BO4779" i="3" s="1"/>
  <c r="BM4778" i="3"/>
  <c r="BO4778" i="3" s="1"/>
  <c r="BM4777" i="3"/>
  <c r="BO4777" i="3" s="1"/>
  <c r="BM4782" i="3"/>
  <c r="BO4782" i="3" s="1"/>
  <c r="BM4775" i="3"/>
  <c r="BO4775" i="3" s="1"/>
  <c r="BM4776" i="3"/>
  <c r="BO4776" i="3" s="1"/>
  <c r="BM4298" i="3"/>
  <c r="BO4298" i="3" s="1"/>
  <c r="BM3818" i="3"/>
  <c r="BO3818" i="3" s="1"/>
  <c r="BM3812" i="3"/>
  <c r="BO3812" i="3" s="1"/>
  <c r="BM4297" i="3"/>
  <c r="BO4297" i="3" s="1"/>
  <c r="BM3817" i="3"/>
  <c r="BO3817" i="3" s="1"/>
  <c r="BM3811" i="3"/>
  <c r="BO3811" i="3" s="1"/>
  <c r="BM4296" i="3"/>
  <c r="BO4296" i="3" s="1"/>
  <c r="BM3816" i="3"/>
  <c r="BO3816" i="3" s="1"/>
  <c r="BM4295" i="3"/>
  <c r="BO4295" i="3" s="1"/>
  <c r="BM3815" i="3"/>
  <c r="BO3815" i="3" s="1"/>
  <c r="BM4300" i="3"/>
  <c r="BO4300" i="3" s="1"/>
  <c r="BM4294" i="3"/>
  <c r="BO4294" i="3" s="1"/>
  <c r="BM4781" i="3"/>
  <c r="BO4781" i="3" s="1"/>
  <c r="BM4293" i="3"/>
  <c r="BO4293" i="3" s="1"/>
  <c r="BM3335" i="3"/>
  <c r="BO3335" i="3" s="1"/>
  <c r="BM3813" i="3"/>
  <c r="BO3813" i="3" s="1"/>
  <c r="BM3329" i="3"/>
  <c r="BO3329" i="3" s="1"/>
  <c r="BM3334" i="3"/>
  <c r="BO3334" i="3" s="1"/>
  <c r="BM3333" i="3"/>
  <c r="BO3333" i="3" s="1"/>
  <c r="BM3332" i="3"/>
  <c r="BO3332" i="3" s="1"/>
  <c r="BM3331" i="3"/>
  <c r="BO3331" i="3" s="1"/>
  <c r="BM2849" i="3"/>
  <c r="BO2849" i="3" s="1"/>
  <c r="BM2369" i="3"/>
  <c r="BO2369" i="3" s="1"/>
  <c r="BM2854" i="3"/>
  <c r="BO2854" i="3" s="1"/>
  <c r="BM4299" i="3"/>
  <c r="BO4299" i="3" s="1"/>
  <c r="BM2848" i="3"/>
  <c r="BO2848" i="3" s="1"/>
  <c r="BM2853" i="3"/>
  <c r="BO2853" i="3" s="1"/>
  <c r="BM2847" i="3"/>
  <c r="BO2847" i="3" s="1"/>
  <c r="BM2852" i="3"/>
  <c r="BO2852" i="3" s="1"/>
  <c r="BM3814" i="3"/>
  <c r="BO3814" i="3" s="1"/>
  <c r="BM3336" i="3"/>
  <c r="BO3336" i="3" s="1"/>
  <c r="BM2851" i="3"/>
  <c r="BO2851" i="3" s="1"/>
  <c r="BM1885" i="3"/>
  <c r="BO1885" i="3" s="1"/>
  <c r="BM1890" i="3"/>
  <c r="BO1890" i="3" s="1"/>
  <c r="BM2368" i="3"/>
  <c r="BO2368" i="3" s="1"/>
  <c r="BM1884" i="3"/>
  <c r="BO1884" i="3" s="1"/>
  <c r="BM1889" i="3"/>
  <c r="BO1889" i="3" s="1"/>
  <c r="BM2367" i="3"/>
  <c r="BO2367" i="3" s="1"/>
  <c r="BM1883" i="3"/>
  <c r="BO1883" i="3" s="1"/>
  <c r="BM3330" i="3"/>
  <c r="BO3330" i="3" s="1"/>
  <c r="BM2850" i="3"/>
  <c r="BO2850" i="3" s="1"/>
  <c r="BM1888" i="3"/>
  <c r="BO1888" i="3" s="1"/>
  <c r="BM2366" i="3"/>
  <c r="BO2366" i="3" s="1"/>
  <c r="BM2372" i="3"/>
  <c r="BO2372" i="3" s="1"/>
  <c r="BM1887" i="3"/>
  <c r="BO1887" i="3" s="1"/>
  <c r="BM2365" i="3"/>
  <c r="BO2365" i="3" s="1"/>
  <c r="BM2371" i="3"/>
  <c r="BO2371" i="3" s="1"/>
  <c r="BM1406" i="3"/>
  <c r="BO1406" i="3" s="1"/>
  <c r="BM1405" i="3"/>
  <c r="BO1405" i="3" s="1"/>
  <c r="BM1886" i="3"/>
  <c r="BO1886" i="3" s="1"/>
  <c r="BM2370" i="3"/>
  <c r="BO2370" i="3" s="1"/>
  <c r="BM1404" i="3"/>
  <c r="BO1404" i="3" s="1"/>
  <c r="BM1403" i="3"/>
  <c r="BO1403" i="3" s="1"/>
  <c r="BM1408" i="3"/>
  <c r="BO1408" i="3" s="1"/>
  <c r="BM1402" i="3"/>
  <c r="BO1402" i="3" s="1"/>
  <c r="BM1401" i="3"/>
  <c r="BO1401" i="3" s="1"/>
  <c r="BM922" i="3"/>
  <c r="BO922" i="3" s="1"/>
  <c r="BM919" i="3"/>
  <c r="BO919" i="3" s="1"/>
  <c r="BM924" i="3"/>
  <c r="BO924" i="3" s="1"/>
  <c r="BM1407" i="3"/>
  <c r="BO1407" i="3" s="1"/>
  <c r="BM921" i="3"/>
  <c r="BO921" i="3" s="1"/>
  <c r="BM926" i="3"/>
  <c r="BO926" i="3" s="1"/>
  <c r="BM923" i="3"/>
  <c r="BO923" i="3" s="1"/>
  <c r="BM920" i="3"/>
  <c r="BO920" i="3" s="1"/>
  <c r="BM925" i="3"/>
  <c r="BO925" i="3" s="1"/>
  <c r="BM442" i="3"/>
  <c r="BO442" i="3" s="1"/>
  <c r="BM439" i="3"/>
  <c r="BO439" i="3" s="1"/>
  <c r="BM443" i="3"/>
  <c r="BO443" i="3" s="1"/>
  <c r="BM440" i="3"/>
  <c r="BO440" i="3" s="1"/>
  <c r="BM437" i="3"/>
  <c r="BO437" i="3" s="1"/>
  <c r="BM441" i="3"/>
  <c r="BO441" i="3" s="1"/>
  <c r="BM438" i="3"/>
  <c r="BO438" i="3" s="1"/>
  <c r="BM444" i="3"/>
  <c r="BO444" i="3" s="1"/>
  <c r="BH13" i="3"/>
  <c r="BH265" i="3"/>
  <c r="BH114" i="3"/>
  <c r="BM3859" i="3"/>
  <c r="BO3859" i="3" s="1"/>
  <c r="BM4341" i="3"/>
  <c r="BO4341" i="3" s="1"/>
  <c r="BM3377" i="3"/>
  <c r="BO3377" i="3" s="1"/>
  <c r="BM2895" i="3"/>
  <c r="BO2895" i="3" s="1"/>
  <c r="BM2413" i="3"/>
  <c r="BO2413" i="3" s="1"/>
  <c r="BM1931" i="3"/>
  <c r="BO1931" i="3" s="1"/>
  <c r="BM1449" i="3"/>
  <c r="BO1449" i="3" s="1"/>
  <c r="BM967" i="3"/>
  <c r="BO967" i="3" s="1"/>
  <c r="BM485" i="3"/>
  <c r="BO485" i="3" s="1"/>
  <c r="ET15" i="3"/>
  <c r="ET14" i="3"/>
  <c r="ET12" i="3"/>
  <c r="ET13" i="3"/>
  <c r="ET11" i="3"/>
  <c r="C512" i="1"/>
  <c r="BX13" i="3"/>
  <c r="BX6" i="3"/>
  <c r="BX10" i="3"/>
  <c r="BX16" i="3"/>
  <c r="BX8" i="3"/>
  <c r="BX7" i="3"/>
  <c r="BX9" i="3"/>
  <c r="BX12" i="3"/>
  <c r="BX14" i="3"/>
  <c r="BX11" i="3"/>
  <c r="BX15" i="3"/>
  <c r="C424" i="1"/>
  <c r="BM4508" i="3"/>
  <c r="BO4508" i="3" s="1"/>
  <c r="BM4507" i="3"/>
  <c r="BO4507" i="3" s="1"/>
  <c r="BM4506" i="3"/>
  <c r="BO4506" i="3" s="1"/>
  <c r="BM4505" i="3"/>
  <c r="BO4505" i="3" s="1"/>
  <c r="BM4510" i="3"/>
  <c r="BO4510" i="3" s="1"/>
  <c r="BM4503" i="3"/>
  <c r="BO4503" i="3" s="1"/>
  <c r="BM4026" i="3"/>
  <c r="BO4026" i="3" s="1"/>
  <c r="BM4025" i="3"/>
  <c r="BO4025" i="3" s="1"/>
  <c r="BM4509" i="3"/>
  <c r="BO4509" i="3" s="1"/>
  <c r="BM4504" i="3"/>
  <c r="BO4504" i="3" s="1"/>
  <c r="BM4024" i="3"/>
  <c r="BO4024" i="3" s="1"/>
  <c r="BM4023" i="3"/>
  <c r="BO4023" i="3" s="1"/>
  <c r="BM4028" i="3"/>
  <c r="BO4028" i="3" s="1"/>
  <c r="BM4022" i="3"/>
  <c r="BO4022" i="3" s="1"/>
  <c r="BM4021" i="3"/>
  <c r="BO4021" i="3" s="1"/>
  <c r="BM3543" i="3"/>
  <c r="BO3543" i="3" s="1"/>
  <c r="BM3063" i="3"/>
  <c r="BO3063" i="3" s="1"/>
  <c r="BM3057" i="3"/>
  <c r="BO3057" i="3" s="1"/>
  <c r="BM3542" i="3"/>
  <c r="BO3542" i="3" s="1"/>
  <c r="BM3062" i="3"/>
  <c r="BO3062" i="3" s="1"/>
  <c r="BM4027" i="3"/>
  <c r="BO4027" i="3" s="1"/>
  <c r="BM3541" i="3"/>
  <c r="BO3541" i="3" s="1"/>
  <c r="BM3061" i="3"/>
  <c r="BO3061" i="3" s="1"/>
  <c r="BM3546" i="3"/>
  <c r="BO3546" i="3" s="1"/>
  <c r="BM3540" i="3"/>
  <c r="BO3540" i="3" s="1"/>
  <c r="BM3545" i="3"/>
  <c r="BO3545" i="3" s="1"/>
  <c r="BM3539" i="3"/>
  <c r="BO3539" i="3" s="1"/>
  <c r="BM3059" i="3"/>
  <c r="BO3059" i="3" s="1"/>
  <c r="BM2577" i="3"/>
  <c r="BO2577" i="3" s="1"/>
  <c r="BM2582" i="3"/>
  <c r="BO2582" i="3" s="1"/>
  <c r="BM3058" i="3"/>
  <c r="BO3058" i="3" s="1"/>
  <c r="BM2576" i="3"/>
  <c r="BO2576" i="3" s="1"/>
  <c r="BM2581" i="3"/>
  <c r="BO2581" i="3" s="1"/>
  <c r="BM2575" i="3"/>
  <c r="BO2575" i="3" s="1"/>
  <c r="BM2580" i="3"/>
  <c r="BO2580" i="3" s="1"/>
  <c r="BM3064" i="3"/>
  <c r="BO3064" i="3" s="1"/>
  <c r="BM2579" i="3"/>
  <c r="BO2579" i="3" s="1"/>
  <c r="BM3544" i="3"/>
  <c r="BO3544" i="3" s="1"/>
  <c r="BM2093" i="3"/>
  <c r="BO2093" i="3" s="1"/>
  <c r="BM3060" i="3"/>
  <c r="BO3060" i="3" s="1"/>
  <c r="BM2578" i="3"/>
  <c r="BO2578" i="3" s="1"/>
  <c r="BM2098" i="3"/>
  <c r="BO2098" i="3" s="1"/>
  <c r="BM2097" i="3"/>
  <c r="BO2097" i="3" s="1"/>
  <c r="BM2096" i="3"/>
  <c r="BO2096" i="3" s="1"/>
  <c r="BM2095" i="3"/>
  <c r="BO2095" i="3" s="1"/>
  <c r="BM2100" i="3"/>
  <c r="BO2100" i="3" s="1"/>
  <c r="BM2099" i="3"/>
  <c r="BO2099" i="3" s="1"/>
  <c r="BM1614" i="3"/>
  <c r="BO1614" i="3" s="1"/>
  <c r="BM1130" i="3"/>
  <c r="BO1130" i="3" s="1"/>
  <c r="BM1613" i="3"/>
  <c r="BO1613" i="3" s="1"/>
  <c r="BM1135" i="3"/>
  <c r="BO1135" i="3" s="1"/>
  <c r="BM1618" i="3"/>
  <c r="BO1618" i="3" s="1"/>
  <c r="BM1132" i="3"/>
  <c r="BO1132" i="3" s="1"/>
  <c r="BM2094" i="3"/>
  <c r="BO2094" i="3" s="1"/>
  <c r="BM1612" i="3"/>
  <c r="BO1612" i="3" s="1"/>
  <c r="BM1617" i="3"/>
  <c r="BO1617" i="3" s="1"/>
  <c r="BM1129" i="3"/>
  <c r="BO1129" i="3" s="1"/>
  <c r="BM1611" i="3"/>
  <c r="BO1611" i="3" s="1"/>
  <c r="BM1134" i="3"/>
  <c r="BO1134" i="3" s="1"/>
  <c r="BM1616" i="3"/>
  <c r="BO1616" i="3" s="1"/>
  <c r="BM1131" i="3"/>
  <c r="BO1131" i="3" s="1"/>
  <c r="BM1133" i="3"/>
  <c r="BO1133" i="3" s="1"/>
  <c r="BM650" i="3"/>
  <c r="BO650" i="3" s="1"/>
  <c r="BM653" i="3"/>
  <c r="BO653" i="3" s="1"/>
  <c r="BM651" i="3"/>
  <c r="BO651" i="3" s="1"/>
  <c r="BM647" i="3"/>
  <c r="BO647" i="3" s="1"/>
  <c r="BM1136" i="3"/>
  <c r="BO1136" i="3" s="1"/>
  <c r="BM1615" i="3"/>
  <c r="BO1615" i="3" s="1"/>
  <c r="BM654" i="3"/>
  <c r="BO654" i="3" s="1"/>
  <c r="BM649" i="3"/>
  <c r="BO649" i="3" s="1"/>
  <c r="BM652" i="3"/>
  <c r="BO652" i="3" s="1"/>
  <c r="BM168" i="3"/>
  <c r="BO168" i="3" s="1"/>
  <c r="BM648" i="3"/>
  <c r="BO648" i="3" s="1"/>
  <c r="BM165" i="3"/>
  <c r="BO165" i="3" s="1"/>
  <c r="BM172" i="3"/>
  <c r="BO172" i="3" s="1"/>
  <c r="BM169" i="3"/>
  <c r="BO169" i="3" s="1"/>
  <c r="BM166" i="3"/>
  <c r="BO166" i="3" s="1"/>
  <c r="BM170" i="3"/>
  <c r="BO170" i="3" s="1"/>
  <c r="BM167" i="3"/>
  <c r="BO167" i="3" s="1"/>
  <c r="BM171" i="3"/>
  <c r="BO171" i="3" s="1"/>
  <c r="BM4732" i="3"/>
  <c r="BO4732" i="3" s="1"/>
  <c r="BM4731" i="3"/>
  <c r="BO4731" i="3" s="1"/>
  <c r="BM4730" i="3"/>
  <c r="BO4730" i="3" s="1"/>
  <c r="BM4729" i="3"/>
  <c r="BO4729" i="3" s="1"/>
  <c r="BM4734" i="3"/>
  <c r="BO4734" i="3" s="1"/>
  <c r="BM4727" i="3"/>
  <c r="BO4727" i="3" s="1"/>
  <c r="BM4250" i="3"/>
  <c r="BO4250" i="3" s="1"/>
  <c r="BM3770" i="3"/>
  <c r="BO3770" i="3" s="1"/>
  <c r="BM4733" i="3"/>
  <c r="BO4733" i="3" s="1"/>
  <c r="BM4728" i="3"/>
  <c r="BO4728" i="3" s="1"/>
  <c r="BM3764" i="3"/>
  <c r="BO3764" i="3" s="1"/>
  <c r="BM4249" i="3"/>
  <c r="BO4249" i="3" s="1"/>
  <c r="BM3769" i="3"/>
  <c r="BO3769" i="3" s="1"/>
  <c r="BM3763" i="3"/>
  <c r="BO3763" i="3" s="1"/>
  <c r="BM4248" i="3"/>
  <c r="BO4248" i="3" s="1"/>
  <c r="BM3768" i="3"/>
  <c r="BO3768" i="3" s="1"/>
  <c r="BM4247" i="3"/>
  <c r="BO4247" i="3" s="1"/>
  <c r="BM3767" i="3"/>
  <c r="BO3767" i="3" s="1"/>
  <c r="BM4252" i="3"/>
  <c r="BO4252" i="3" s="1"/>
  <c r="BM4246" i="3"/>
  <c r="BO4246" i="3" s="1"/>
  <c r="BM4245" i="3"/>
  <c r="BO4245" i="3" s="1"/>
  <c r="BM3287" i="3"/>
  <c r="BO3287" i="3" s="1"/>
  <c r="BM4251" i="3"/>
  <c r="BO4251" i="3" s="1"/>
  <c r="BM3281" i="3"/>
  <c r="BO3281" i="3" s="1"/>
  <c r="BM3286" i="3"/>
  <c r="BO3286" i="3" s="1"/>
  <c r="BM3285" i="3"/>
  <c r="BO3285" i="3" s="1"/>
  <c r="BM3766" i="3"/>
  <c r="BO3766" i="3" s="1"/>
  <c r="BM3284" i="3"/>
  <c r="BO3284" i="3" s="1"/>
  <c r="BM3765" i="3"/>
  <c r="BO3765" i="3" s="1"/>
  <c r="BM3283" i="3"/>
  <c r="BO3283" i="3" s="1"/>
  <c r="BM3282" i="3"/>
  <c r="BO3282" i="3" s="1"/>
  <c r="BM2801" i="3"/>
  <c r="BO2801" i="3" s="1"/>
  <c r="BM2321" i="3"/>
  <c r="BO2321" i="3" s="1"/>
  <c r="BM2806" i="3"/>
  <c r="BO2806" i="3" s="1"/>
  <c r="BM2800" i="3"/>
  <c r="BO2800" i="3" s="1"/>
  <c r="BM2805" i="3"/>
  <c r="BO2805" i="3" s="1"/>
  <c r="BM2799" i="3"/>
  <c r="BO2799" i="3" s="1"/>
  <c r="BM2804" i="3"/>
  <c r="BO2804" i="3" s="1"/>
  <c r="BM2803" i="3"/>
  <c r="BO2803" i="3" s="1"/>
  <c r="BM3288" i="3"/>
  <c r="BO3288" i="3" s="1"/>
  <c r="BM1837" i="3"/>
  <c r="BO1837" i="3" s="1"/>
  <c r="BM2319" i="3"/>
  <c r="BO2319" i="3" s="1"/>
  <c r="BM1842" i="3"/>
  <c r="BO1842" i="3" s="1"/>
  <c r="BM1836" i="3"/>
  <c r="BO1836" i="3" s="1"/>
  <c r="BM2324" i="3"/>
  <c r="BO2324" i="3" s="1"/>
  <c r="BM2318" i="3"/>
  <c r="BO2318" i="3" s="1"/>
  <c r="BM1841" i="3"/>
  <c r="BO1841" i="3" s="1"/>
  <c r="BM1835" i="3"/>
  <c r="BO1835" i="3" s="1"/>
  <c r="BM2323" i="3"/>
  <c r="BO2323" i="3" s="1"/>
  <c r="BM2317" i="3"/>
  <c r="BO2317" i="3" s="1"/>
  <c r="BM1840" i="3"/>
  <c r="BO1840" i="3" s="1"/>
  <c r="BM2802" i="3"/>
  <c r="BO2802" i="3" s="1"/>
  <c r="BM2322" i="3"/>
  <c r="BO2322" i="3" s="1"/>
  <c r="BM2320" i="3"/>
  <c r="BO2320" i="3" s="1"/>
  <c r="BM1358" i="3"/>
  <c r="BO1358" i="3" s="1"/>
  <c r="BM1357" i="3"/>
  <c r="BO1357" i="3" s="1"/>
  <c r="BM1356" i="3"/>
  <c r="BO1356" i="3" s="1"/>
  <c r="BM1355" i="3"/>
  <c r="BO1355" i="3" s="1"/>
  <c r="BM1360" i="3"/>
  <c r="BO1360" i="3" s="1"/>
  <c r="BM1839" i="3"/>
  <c r="BO1839" i="3" s="1"/>
  <c r="BM1354" i="3"/>
  <c r="BO1354" i="3" s="1"/>
  <c r="BM1838" i="3"/>
  <c r="BO1838" i="3" s="1"/>
  <c r="BM1353" i="3"/>
  <c r="BO1353" i="3" s="1"/>
  <c r="BM874" i="3"/>
  <c r="BO874" i="3" s="1"/>
  <c r="BM871" i="3"/>
  <c r="BO871" i="3" s="1"/>
  <c r="BM876" i="3"/>
  <c r="BO876" i="3" s="1"/>
  <c r="BM873" i="3"/>
  <c r="BO873" i="3" s="1"/>
  <c r="BM878" i="3"/>
  <c r="BO878" i="3" s="1"/>
  <c r="BM875" i="3"/>
  <c r="BO875" i="3" s="1"/>
  <c r="BM872" i="3"/>
  <c r="BO872" i="3" s="1"/>
  <c r="BM877" i="3"/>
  <c r="BO877" i="3" s="1"/>
  <c r="BM394" i="3"/>
  <c r="BO394" i="3" s="1"/>
  <c r="BM391" i="3"/>
  <c r="BO391" i="3" s="1"/>
  <c r="BM395" i="3"/>
  <c r="BO395" i="3" s="1"/>
  <c r="BM392" i="3"/>
  <c r="BO392" i="3" s="1"/>
  <c r="BM389" i="3"/>
  <c r="BO389" i="3" s="1"/>
  <c r="BM1359" i="3"/>
  <c r="BO1359" i="3" s="1"/>
  <c r="BM393" i="3"/>
  <c r="BO393" i="3" s="1"/>
  <c r="BM390" i="3"/>
  <c r="BO390" i="3" s="1"/>
  <c r="BM396" i="3"/>
  <c r="BO396" i="3" s="1"/>
  <c r="BM4673" i="3"/>
  <c r="BO4673" i="3" s="1"/>
  <c r="BM4678" i="3"/>
  <c r="BO4678" i="3" s="1"/>
  <c r="BM4672" i="3"/>
  <c r="BO4672" i="3" s="1"/>
  <c r="BM4677" i="3"/>
  <c r="BO4677" i="3" s="1"/>
  <c r="BM4671" i="3"/>
  <c r="BO4671" i="3" s="1"/>
  <c r="BM4676" i="3"/>
  <c r="BO4676" i="3" s="1"/>
  <c r="BM4675" i="3"/>
  <c r="BO4675" i="3" s="1"/>
  <c r="BM4674" i="3"/>
  <c r="BO4674" i="3" s="1"/>
  <c r="BM4196" i="3"/>
  <c r="BO4196" i="3" s="1"/>
  <c r="BM4190" i="3"/>
  <c r="BO4190" i="3" s="1"/>
  <c r="BM3710" i="3"/>
  <c r="BO3710" i="3" s="1"/>
  <c r="BM4195" i="3"/>
  <c r="BO4195" i="3" s="1"/>
  <c r="BM4189" i="3"/>
  <c r="BO4189" i="3" s="1"/>
  <c r="BM4194" i="3"/>
  <c r="BO4194" i="3" s="1"/>
  <c r="BM4192" i="3"/>
  <c r="BO4192" i="3" s="1"/>
  <c r="BM3712" i="3"/>
  <c r="BO3712" i="3" s="1"/>
  <c r="BM3228" i="3"/>
  <c r="BO3228" i="3" s="1"/>
  <c r="BM3711" i="3"/>
  <c r="BO3711" i="3" s="1"/>
  <c r="BM3709" i="3"/>
  <c r="BO3709" i="3" s="1"/>
  <c r="BM3227" i="3"/>
  <c r="BO3227" i="3" s="1"/>
  <c r="BM3232" i="3"/>
  <c r="BO3232" i="3" s="1"/>
  <c r="BM4193" i="3"/>
  <c r="BO4193" i="3" s="1"/>
  <c r="BM3708" i="3"/>
  <c r="BO3708" i="3" s="1"/>
  <c r="BM3226" i="3"/>
  <c r="BO3226" i="3" s="1"/>
  <c r="BM3231" i="3"/>
  <c r="BO3231" i="3" s="1"/>
  <c r="BM4191" i="3"/>
  <c r="BO4191" i="3" s="1"/>
  <c r="BM3714" i="3"/>
  <c r="BO3714" i="3" s="1"/>
  <c r="BM3707" i="3"/>
  <c r="BO3707" i="3" s="1"/>
  <c r="BM3225" i="3"/>
  <c r="BO3225" i="3" s="1"/>
  <c r="BM3230" i="3"/>
  <c r="BO3230" i="3" s="1"/>
  <c r="BM3229" i="3"/>
  <c r="BO3229" i="3" s="1"/>
  <c r="BM2743" i="3"/>
  <c r="BO2743" i="3" s="1"/>
  <c r="BM2263" i="3"/>
  <c r="BO2263" i="3" s="1"/>
  <c r="BM2748" i="3"/>
  <c r="BO2748" i="3" s="1"/>
  <c r="BM2747" i="3"/>
  <c r="BO2747" i="3" s="1"/>
  <c r="BM2746" i="3"/>
  <c r="BO2746" i="3" s="1"/>
  <c r="BM2745" i="3"/>
  <c r="BO2745" i="3" s="1"/>
  <c r="BM2750" i="3"/>
  <c r="BO2750" i="3" s="1"/>
  <c r="BM3713" i="3"/>
  <c r="BO3713" i="3" s="1"/>
  <c r="BM2749" i="3"/>
  <c r="BO2749" i="3" s="1"/>
  <c r="BM2264" i="3"/>
  <c r="BO2264" i="3" s="1"/>
  <c r="BM1783" i="3"/>
  <c r="BO1783" i="3" s="1"/>
  <c r="BM1782" i="3"/>
  <c r="BO1782" i="3" s="1"/>
  <c r="BM2268" i="3"/>
  <c r="BO2268" i="3" s="1"/>
  <c r="BM2262" i="3"/>
  <c r="BO2262" i="3" s="1"/>
  <c r="BM2267" i="3"/>
  <c r="BO2267" i="3" s="1"/>
  <c r="BM2261" i="3"/>
  <c r="BO2261" i="3" s="1"/>
  <c r="BM2266" i="3"/>
  <c r="BO2266" i="3" s="1"/>
  <c r="BM2744" i="3"/>
  <c r="BO2744" i="3" s="1"/>
  <c r="BM1781" i="3"/>
  <c r="BO1781" i="3" s="1"/>
  <c r="BM1299" i="3"/>
  <c r="BO1299" i="3" s="1"/>
  <c r="BM1304" i="3"/>
  <c r="BO1304" i="3" s="1"/>
  <c r="BM1780" i="3"/>
  <c r="BO1780" i="3" s="1"/>
  <c r="BM1298" i="3"/>
  <c r="BO1298" i="3" s="1"/>
  <c r="BM1303" i="3"/>
  <c r="BO1303" i="3" s="1"/>
  <c r="BM2265" i="3"/>
  <c r="BO2265" i="3" s="1"/>
  <c r="BM1779" i="3"/>
  <c r="BO1779" i="3" s="1"/>
  <c r="BM1297" i="3"/>
  <c r="BO1297" i="3" s="1"/>
  <c r="BM1786" i="3"/>
  <c r="BO1786" i="3" s="1"/>
  <c r="BM1302" i="3"/>
  <c r="BO1302" i="3" s="1"/>
  <c r="BM1785" i="3"/>
  <c r="BO1785" i="3" s="1"/>
  <c r="BM1301" i="3"/>
  <c r="BO1301" i="3" s="1"/>
  <c r="BM1784" i="3"/>
  <c r="BO1784" i="3" s="1"/>
  <c r="BM1300" i="3"/>
  <c r="BO1300" i="3" s="1"/>
  <c r="BM818" i="3"/>
  <c r="BO818" i="3" s="1"/>
  <c r="BM815" i="3"/>
  <c r="BO815" i="3" s="1"/>
  <c r="BM820" i="3"/>
  <c r="BO820" i="3" s="1"/>
  <c r="BM817" i="3"/>
  <c r="BO817" i="3" s="1"/>
  <c r="BM822" i="3"/>
  <c r="BO822" i="3" s="1"/>
  <c r="BM819" i="3"/>
  <c r="BO819" i="3" s="1"/>
  <c r="BM816" i="3"/>
  <c r="BO816" i="3" s="1"/>
  <c r="BM821" i="3"/>
  <c r="BO821" i="3" s="1"/>
  <c r="BM338" i="3"/>
  <c r="BO338" i="3" s="1"/>
  <c r="BM335" i="3"/>
  <c r="BO335" i="3" s="1"/>
  <c r="BM339" i="3"/>
  <c r="BO339" i="3" s="1"/>
  <c r="BM336" i="3"/>
  <c r="BO336" i="3" s="1"/>
  <c r="BM333" i="3"/>
  <c r="BO333" i="3" s="1"/>
  <c r="BM334" i="3"/>
  <c r="BO334" i="3" s="1"/>
  <c r="BM337" i="3"/>
  <c r="BO337" i="3" s="1"/>
  <c r="BM340" i="3"/>
  <c r="BO340" i="3" s="1"/>
  <c r="BD183" i="3"/>
  <c r="BG183" i="3" s="1"/>
  <c r="BD308" i="3"/>
  <c r="BG308" i="3" s="1"/>
  <c r="BD305" i="3"/>
  <c r="BG305" i="3" s="1"/>
  <c r="BD302" i="3"/>
  <c r="BG302" i="3" s="1"/>
  <c r="BD206" i="3"/>
  <c r="BG206" i="3" s="1"/>
  <c r="BD299" i="3"/>
  <c r="BG299" i="3" s="1"/>
  <c r="BD168" i="3"/>
  <c r="BG168" i="3" s="1"/>
  <c r="BD309" i="3"/>
  <c r="BG309" i="3" s="1"/>
  <c r="BD306" i="3"/>
  <c r="BG306" i="3" s="1"/>
  <c r="BD303" i="3"/>
  <c r="BG303" i="3" s="1"/>
  <c r="BD300" i="3"/>
  <c r="BG300" i="3" s="1"/>
  <c r="BD310" i="3"/>
  <c r="BG310" i="3" s="1"/>
  <c r="BD301" i="3"/>
  <c r="BG301" i="3" s="1"/>
  <c r="BD221" i="3"/>
  <c r="BG221" i="3" s="1"/>
  <c r="BD298" i="3"/>
  <c r="BG298" i="3" s="1"/>
  <c r="BD54" i="3"/>
  <c r="BG54" i="3" s="1"/>
  <c r="BD31" i="3"/>
  <c r="BG31" i="3" s="1"/>
  <c r="BD92" i="3"/>
  <c r="BG92" i="3" s="1"/>
  <c r="BD107" i="3"/>
  <c r="BG107" i="3" s="1"/>
  <c r="AA31" i="3"/>
  <c r="BD69" i="3"/>
  <c r="BG69" i="3" s="1"/>
  <c r="X31" i="3"/>
  <c r="BD307" i="3"/>
  <c r="BG307" i="3" s="1"/>
  <c r="BD145" i="3"/>
  <c r="BG145" i="3" s="1"/>
  <c r="BD130" i="3"/>
  <c r="BG130" i="3" s="1"/>
  <c r="X16" i="3"/>
  <c r="BD16" i="3"/>
  <c r="BG16" i="3" s="1"/>
  <c r="BD304" i="3"/>
  <c r="BG304" i="3" s="1"/>
  <c r="AA16" i="3"/>
  <c r="BM4351" i="3"/>
  <c r="BO4351" i="3" s="1"/>
  <c r="BM4356" i="3"/>
  <c r="BO4356" i="3" s="1"/>
  <c r="BM3876" i="3"/>
  <c r="BO3876" i="3" s="1"/>
  <c r="BM3870" i="3"/>
  <c r="BO3870" i="3" s="1"/>
  <c r="BM4355" i="3"/>
  <c r="BO4355" i="3" s="1"/>
  <c r="BM3875" i="3"/>
  <c r="BO3875" i="3" s="1"/>
  <c r="BM3869" i="3"/>
  <c r="BO3869" i="3" s="1"/>
  <c r="BM4354" i="3"/>
  <c r="BO4354" i="3" s="1"/>
  <c r="BM3874" i="3"/>
  <c r="BO3874" i="3" s="1"/>
  <c r="BM4358" i="3"/>
  <c r="BO4358" i="3" s="1"/>
  <c r="BM4352" i="3"/>
  <c r="BO4352" i="3" s="1"/>
  <c r="BM3872" i="3"/>
  <c r="BO3872" i="3" s="1"/>
  <c r="BM4357" i="3"/>
  <c r="BO4357" i="3" s="1"/>
  <c r="BM3388" i="3"/>
  <c r="BO3388" i="3" s="1"/>
  <c r="BM3393" i="3"/>
  <c r="BO3393" i="3" s="1"/>
  <c r="BM3387" i="3"/>
  <c r="BO3387" i="3" s="1"/>
  <c r="BM3873" i="3"/>
  <c r="BO3873" i="3" s="1"/>
  <c r="BM3392" i="3"/>
  <c r="BO3392" i="3" s="1"/>
  <c r="BM3391" i="3"/>
  <c r="BO3391" i="3" s="1"/>
  <c r="BM3871" i="3"/>
  <c r="BO3871" i="3" s="1"/>
  <c r="BM4353" i="3"/>
  <c r="BO4353" i="3" s="1"/>
  <c r="BM3390" i="3"/>
  <c r="BO3390" i="3" s="1"/>
  <c r="BM3389" i="3"/>
  <c r="BO3389" i="3" s="1"/>
  <c r="BM2423" i="3"/>
  <c r="BO2423" i="3" s="1"/>
  <c r="BM2908" i="3"/>
  <c r="BO2908" i="3" s="1"/>
  <c r="BM2428" i="3"/>
  <c r="BO2428" i="3" s="1"/>
  <c r="BM2907" i="3"/>
  <c r="BO2907" i="3" s="1"/>
  <c r="BM2427" i="3"/>
  <c r="BO2427" i="3" s="1"/>
  <c r="BM2912" i="3"/>
  <c r="BO2912" i="3" s="1"/>
  <c r="BM3394" i="3"/>
  <c r="BO3394" i="3" s="1"/>
  <c r="BM2906" i="3"/>
  <c r="BO2906" i="3" s="1"/>
  <c r="BM2911" i="3"/>
  <c r="BO2911" i="3" s="1"/>
  <c r="BM2905" i="3"/>
  <c r="BO2905" i="3" s="1"/>
  <c r="BM2910" i="3"/>
  <c r="BO2910" i="3" s="1"/>
  <c r="BM2909" i="3"/>
  <c r="BO2909" i="3" s="1"/>
  <c r="BM2430" i="3"/>
  <c r="BO2430" i="3" s="1"/>
  <c r="BM1943" i="3"/>
  <c r="BO1943" i="3" s="1"/>
  <c r="BM1948" i="3"/>
  <c r="BO1948" i="3" s="1"/>
  <c r="BM2429" i="3"/>
  <c r="BO2429" i="3" s="1"/>
  <c r="BM1942" i="3"/>
  <c r="BO1942" i="3" s="1"/>
  <c r="BM1947" i="3"/>
  <c r="BO1947" i="3" s="1"/>
  <c r="BM2426" i="3"/>
  <c r="BO2426" i="3" s="1"/>
  <c r="BM1941" i="3"/>
  <c r="BO1941" i="3" s="1"/>
  <c r="BM1946" i="3"/>
  <c r="BO1946" i="3" s="1"/>
  <c r="BM2425" i="3"/>
  <c r="BO2425" i="3" s="1"/>
  <c r="BM1945" i="3"/>
  <c r="BO1945" i="3" s="1"/>
  <c r="BM2424" i="3"/>
  <c r="BO2424" i="3" s="1"/>
  <c r="BM1459" i="3"/>
  <c r="BO1459" i="3" s="1"/>
  <c r="BM1464" i="3"/>
  <c r="BO1464" i="3" s="1"/>
  <c r="BM1463" i="3"/>
  <c r="BO1463" i="3" s="1"/>
  <c r="BM1462" i="3"/>
  <c r="BO1462" i="3" s="1"/>
  <c r="BM1461" i="3"/>
  <c r="BO1461" i="3" s="1"/>
  <c r="BM1466" i="3"/>
  <c r="BO1466" i="3" s="1"/>
  <c r="BM1460" i="3"/>
  <c r="BO1460" i="3" s="1"/>
  <c r="BM1944" i="3"/>
  <c r="BO1944" i="3" s="1"/>
  <c r="BM1465" i="3"/>
  <c r="BO1465" i="3" s="1"/>
  <c r="BM978" i="3"/>
  <c r="BO978" i="3" s="1"/>
  <c r="BM983" i="3"/>
  <c r="BO983" i="3" s="1"/>
  <c r="BM980" i="3"/>
  <c r="BO980" i="3" s="1"/>
  <c r="BM977" i="3"/>
  <c r="BO977" i="3" s="1"/>
  <c r="BM982" i="3"/>
  <c r="BO982" i="3" s="1"/>
  <c r="BM979" i="3"/>
  <c r="BO979" i="3" s="1"/>
  <c r="BM984" i="3"/>
  <c r="BO984" i="3" s="1"/>
  <c r="BM981" i="3"/>
  <c r="BO981" i="3" s="1"/>
  <c r="BM495" i="3"/>
  <c r="BO495" i="3" s="1"/>
  <c r="BM500" i="3"/>
  <c r="BO500" i="3" s="1"/>
  <c r="BM497" i="3"/>
  <c r="BO497" i="3" s="1"/>
  <c r="BM502" i="3"/>
  <c r="BO502" i="3" s="1"/>
  <c r="BM499" i="3"/>
  <c r="BO499" i="3" s="1"/>
  <c r="BM496" i="3"/>
  <c r="BO496" i="3" s="1"/>
  <c r="BM498" i="3"/>
  <c r="BO498" i="3" s="1"/>
  <c r="BM501" i="3"/>
  <c r="BO501" i="3" s="1"/>
  <c r="BM17" i="3"/>
  <c r="BO17" i="3" s="1"/>
  <c r="BM16" i="3"/>
  <c r="BO16" i="3" s="1"/>
  <c r="BM18" i="3"/>
  <c r="BO18" i="3" s="1"/>
  <c r="BM15" i="3"/>
  <c r="BO15" i="3" s="1"/>
  <c r="BM14" i="3"/>
  <c r="BO14" i="3" s="1"/>
  <c r="BM19" i="3"/>
  <c r="BO19" i="3" s="1"/>
  <c r="BM13" i="3"/>
  <c r="BO13" i="3" s="1"/>
  <c r="BM20" i="3"/>
  <c r="BO20" i="3" s="1"/>
  <c r="BM4396" i="3"/>
  <c r="BO4396" i="3" s="1"/>
  <c r="BM4395" i="3"/>
  <c r="BO4395" i="3" s="1"/>
  <c r="BM4394" i="3"/>
  <c r="BO4394" i="3" s="1"/>
  <c r="BM4393" i="3"/>
  <c r="BO4393" i="3" s="1"/>
  <c r="BM4398" i="3"/>
  <c r="BO4398" i="3" s="1"/>
  <c r="BM4391" i="3"/>
  <c r="BO4391" i="3" s="1"/>
  <c r="BM4392" i="3"/>
  <c r="BO4392" i="3" s="1"/>
  <c r="BM3914" i="3"/>
  <c r="BO3914" i="3" s="1"/>
  <c r="BM3913" i="3"/>
  <c r="BO3913" i="3" s="1"/>
  <c r="BM3912" i="3"/>
  <c r="BO3912" i="3" s="1"/>
  <c r="BM3911" i="3"/>
  <c r="BO3911" i="3" s="1"/>
  <c r="BM3916" i="3"/>
  <c r="BO3916" i="3" s="1"/>
  <c r="BM4397" i="3"/>
  <c r="BO4397" i="3" s="1"/>
  <c r="BM3431" i="3"/>
  <c r="BO3431" i="3" s="1"/>
  <c r="BM2951" i="3"/>
  <c r="BO2951" i="3" s="1"/>
  <c r="BM3910" i="3"/>
  <c r="BO3910" i="3" s="1"/>
  <c r="BM3430" i="3"/>
  <c r="BO3430" i="3" s="1"/>
  <c r="BM3909" i="3"/>
  <c r="BO3909" i="3" s="1"/>
  <c r="BM3429" i="3"/>
  <c r="BO3429" i="3" s="1"/>
  <c r="BM2949" i="3"/>
  <c r="BO2949" i="3" s="1"/>
  <c r="BM3434" i="3"/>
  <c r="BO3434" i="3" s="1"/>
  <c r="BM3428" i="3"/>
  <c r="BO3428" i="3" s="1"/>
  <c r="BM3433" i="3"/>
  <c r="BO3433" i="3" s="1"/>
  <c r="BM3427" i="3"/>
  <c r="BO3427" i="3" s="1"/>
  <c r="BM2952" i="3"/>
  <c r="BO2952" i="3" s="1"/>
  <c r="BM2946" i="3"/>
  <c r="BO2946" i="3" s="1"/>
  <c r="BM2465" i="3"/>
  <c r="BO2465" i="3" s="1"/>
  <c r="BM2945" i="3"/>
  <c r="BO2945" i="3" s="1"/>
  <c r="BM2470" i="3"/>
  <c r="BO2470" i="3" s="1"/>
  <c r="BM2464" i="3"/>
  <c r="BO2464" i="3" s="1"/>
  <c r="BM2950" i="3"/>
  <c r="BO2950" i="3" s="1"/>
  <c r="BM3432" i="3"/>
  <c r="BO3432" i="3" s="1"/>
  <c r="BM2948" i="3"/>
  <c r="BO2948" i="3" s="1"/>
  <c r="BM2947" i="3"/>
  <c r="BO2947" i="3" s="1"/>
  <c r="BM1981" i="3"/>
  <c r="BO1981" i="3" s="1"/>
  <c r="BM1986" i="3"/>
  <c r="BO1986" i="3" s="1"/>
  <c r="BM2466" i="3"/>
  <c r="BO2466" i="3" s="1"/>
  <c r="BM3915" i="3"/>
  <c r="BO3915" i="3" s="1"/>
  <c r="BM1985" i="3"/>
  <c r="BO1985" i="3" s="1"/>
  <c r="BM2463" i="3"/>
  <c r="BO2463" i="3" s="1"/>
  <c r="BM1984" i="3"/>
  <c r="BO1984" i="3" s="1"/>
  <c r="BM2469" i="3"/>
  <c r="BO2469" i="3" s="1"/>
  <c r="BM1983" i="3"/>
  <c r="BO1983" i="3" s="1"/>
  <c r="BM1988" i="3"/>
  <c r="BO1988" i="3" s="1"/>
  <c r="BM1987" i="3"/>
  <c r="BO1987" i="3" s="1"/>
  <c r="BM1982" i="3"/>
  <c r="BO1982" i="3" s="1"/>
  <c r="BM1502" i="3"/>
  <c r="BO1502" i="3" s="1"/>
  <c r="BM1501" i="3"/>
  <c r="BO1501" i="3" s="1"/>
  <c r="BM1506" i="3"/>
  <c r="BO1506" i="3" s="1"/>
  <c r="BM1020" i="3"/>
  <c r="BO1020" i="3" s="1"/>
  <c r="BM1500" i="3"/>
  <c r="BO1500" i="3" s="1"/>
  <c r="BM1505" i="3"/>
  <c r="BO1505" i="3" s="1"/>
  <c r="BM1499" i="3"/>
  <c r="BO1499" i="3" s="1"/>
  <c r="BM1504" i="3"/>
  <c r="BO1504" i="3" s="1"/>
  <c r="BM2468" i="3"/>
  <c r="BO2468" i="3" s="1"/>
  <c r="BM1018" i="3"/>
  <c r="BO1018" i="3" s="1"/>
  <c r="BM1024" i="3"/>
  <c r="BO1024" i="3" s="1"/>
  <c r="BM1021" i="3"/>
  <c r="BO1021" i="3" s="1"/>
  <c r="BM2467" i="3"/>
  <c r="BO2467" i="3" s="1"/>
  <c r="BM1503" i="3"/>
  <c r="BO1503" i="3" s="1"/>
  <c r="BM1017" i="3"/>
  <c r="BO1017" i="3" s="1"/>
  <c r="BM1023" i="3"/>
  <c r="BO1023" i="3" s="1"/>
  <c r="BM1022" i="3"/>
  <c r="BO1022" i="3" s="1"/>
  <c r="BM1019" i="3"/>
  <c r="BO1019" i="3" s="1"/>
  <c r="BM535" i="3"/>
  <c r="BO535" i="3" s="1"/>
  <c r="BM540" i="3"/>
  <c r="BO540" i="3" s="1"/>
  <c r="BM537" i="3"/>
  <c r="BO537" i="3" s="1"/>
  <c r="BM542" i="3"/>
  <c r="BO542" i="3" s="1"/>
  <c r="BM539" i="3"/>
  <c r="BO539" i="3" s="1"/>
  <c r="BM536" i="3"/>
  <c r="BO536" i="3" s="1"/>
  <c r="BM538" i="3"/>
  <c r="BO538" i="3" s="1"/>
  <c r="BM541" i="3"/>
  <c r="BO541" i="3" s="1"/>
  <c r="BM59" i="3"/>
  <c r="BO59" i="3" s="1"/>
  <c r="BM57" i="3"/>
  <c r="BO57" i="3" s="1"/>
  <c r="BM56" i="3"/>
  <c r="BO56" i="3" s="1"/>
  <c r="BM55" i="3"/>
  <c r="BO55" i="3" s="1"/>
  <c r="BM53" i="3"/>
  <c r="BO53" i="3" s="1"/>
  <c r="BM54" i="3"/>
  <c r="BO54" i="3" s="1"/>
  <c r="BM60" i="3"/>
  <c r="BO60" i="3" s="1"/>
  <c r="BM58" i="3"/>
  <c r="BO58" i="3" s="1"/>
  <c r="BM4817" i="3"/>
  <c r="BO4817" i="3" s="1"/>
  <c r="BM4822" i="3"/>
  <c r="BO4822" i="3" s="1"/>
  <c r="BM4816" i="3"/>
  <c r="BO4816" i="3" s="1"/>
  <c r="BM4821" i="3"/>
  <c r="BO4821" i="3" s="1"/>
  <c r="BM4815" i="3"/>
  <c r="BO4815" i="3" s="1"/>
  <c r="BM4820" i="3"/>
  <c r="BO4820" i="3" s="1"/>
  <c r="BM4819" i="3"/>
  <c r="BO4819" i="3" s="1"/>
  <c r="BM4818" i="3"/>
  <c r="BO4818" i="3" s="1"/>
  <c r="BM4335" i="3"/>
  <c r="BO4335" i="3" s="1"/>
  <c r="BM4340" i="3"/>
  <c r="BO4340" i="3" s="1"/>
  <c r="BM4334" i="3"/>
  <c r="BO4334" i="3" s="1"/>
  <c r="BM3854" i="3"/>
  <c r="BO3854" i="3" s="1"/>
  <c r="BM4339" i="3"/>
  <c r="BO4339" i="3" s="1"/>
  <c r="BM4333" i="3"/>
  <c r="BO4333" i="3" s="1"/>
  <c r="BM3853" i="3"/>
  <c r="BO3853" i="3" s="1"/>
  <c r="BM4338" i="3"/>
  <c r="BO4338" i="3" s="1"/>
  <c r="BM3858" i="3"/>
  <c r="BO3858" i="3" s="1"/>
  <c r="BM3852" i="3"/>
  <c r="BO3852" i="3" s="1"/>
  <c r="BM4336" i="3"/>
  <c r="BO4336" i="3" s="1"/>
  <c r="BM3856" i="3"/>
  <c r="BO3856" i="3" s="1"/>
  <c r="BM4337" i="3"/>
  <c r="BO4337" i="3" s="1"/>
  <c r="BM3372" i="3"/>
  <c r="BO3372" i="3" s="1"/>
  <c r="BM3857" i="3"/>
  <c r="BO3857" i="3" s="1"/>
  <c r="BM3371" i="3"/>
  <c r="BO3371" i="3" s="1"/>
  <c r="BM3376" i="3"/>
  <c r="BO3376" i="3" s="1"/>
  <c r="BM3370" i="3"/>
  <c r="BO3370" i="3" s="1"/>
  <c r="BM3855" i="3"/>
  <c r="BO3855" i="3" s="1"/>
  <c r="BM3375" i="3"/>
  <c r="BO3375" i="3" s="1"/>
  <c r="BM3369" i="3"/>
  <c r="BO3369" i="3" s="1"/>
  <c r="BM3851" i="3"/>
  <c r="BO3851" i="3" s="1"/>
  <c r="BM3374" i="3"/>
  <c r="BO3374" i="3" s="1"/>
  <c r="BM3373" i="3"/>
  <c r="BO3373" i="3" s="1"/>
  <c r="BM2887" i="3"/>
  <c r="BO2887" i="3" s="1"/>
  <c r="BM2407" i="3"/>
  <c r="BO2407" i="3" s="1"/>
  <c r="BM2892" i="3"/>
  <c r="BO2892" i="3" s="1"/>
  <c r="BM2412" i="3"/>
  <c r="BO2412" i="3" s="1"/>
  <c r="BM2891" i="3"/>
  <c r="BO2891" i="3" s="1"/>
  <c r="BM2411" i="3"/>
  <c r="BO2411" i="3" s="1"/>
  <c r="BM2890" i="3"/>
  <c r="BO2890" i="3" s="1"/>
  <c r="BM2889" i="3"/>
  <c r="BO2889" i="3" s="1"/>
  <c r="BM2894" i="3"/>
  <c r="BO2894" i="3" s="1"/>
  <c r="BM2893" i="3"/>
  <c r="BO2893" i="3" s="1"/>
  <c r="BM2406" i="3"/>
  <c r="BO2406" i="3" s="1"/>
  <c r="BM2405" i="3"/>
  <c r="BO2405" i="3" s="1"/>
  <c r="BM1927" i="3"/>
  <c r="BO1927" i="3" s="1"/>
  <c r="BM1926" i="3"/>
  <c r="BO1926" i="3" s="1"/>
  <c r="BM2410" i="3"/>
  <c r="BO2410" i="3" s="1"/>
  <c r="BM2888" i="3"/>
  <c r="BO2888" i="3" s="1"/>
  <c r="BM1925" i="3"/>
  <c r="BO1925" i="3" s="1"/>
  <c r="BM1930" i="3"/>
  <c r="BO1930" i="3" s="1"/>
  <c r="BM2409" i="3"/>
  <c r="BO2409" i="3" s="1"/>
  <c r="BM1924" i="3"/>
  <c r="BO1924" i="3" s="1"/>
  <c r="BM1929" i="3"/>
  <c r="BO1929" i="3" s="1"/>
  <c r="BM1923" i="3"/>
  <c r="BO1923" i="3" s="1"/>
  <c r="BM1443" i="3"/>
  <c r="BO1443" i="3" s="1"/>
  <c r="BM1448" i="3"/>
  <c r="BO1448" i="3" s="1"/>
  <c r="BM1442" i="3"/>
  <c r="BO1442" i="3" s="1"/>
  <c r="BM1928" i="3"/>
  <c r="BO1928" i="3" s="1"/>
  <c r="BM1447" i="3"/>
  <c r="BO1447" i="3" s="1"/>
  <c r="BM1441" i="3"/>
  <c r="BO1441" i="3" s="1"/>
  <c r="BM1446" i="3"/>
  <c r="BO1446" i="3" s="1"/>
  <c r="BM2408" i="3"/>
  <c r="BO2408" i="3" s="1"/>
  <c r="BM1445" i="3"/>
  <c r="BO1445" i="3" s="1"/>
  <c r="BM1444" i="3"/>
  <c r="BO1444" i="3" s="1"/>
  <c r="BM962" i="3"/>
  <c r="BO962" i="3" s="1"/>
  <c r="BM959" i="3"/>
  <c r="BO959" i="3" s="1"/>
  <c r="BM964" i="3"/>
  <c r="BO964" i="3" s="1"/>
  <c r="BM961" i="3"/>
  <c r="BO961" i="3" s="1"/>
  <c r="BM966" i="3"/>
  <c r="BO966" i="3" s="1"/>
  <c r="BM963" i="3"/>
  <c r="BO963" i="3" s="1"/>
  <c r="BM960" i="3"/>
  <c r="BO960" i="3" s="1"/>
  <c r="BM965" i="3"/>
  <c r="BO965" i="3" s="1"/>
  <c r="BM479" i="3"/>
  <c r="BO479" i="3" s="1"/>
  <c r="BM484" i="3"/>
  <c r="BO484" i="3" s="1"/>
  <c r="BM481" i="3"/>
  <c r="BO481" i="3" s="1"/>
  <c r="BM478" i="3"/>
  <c r="BO478" i="3" s="1"/>
  <c r="BM483" i="3"/>
  <c r="BO483" i="3" s="1"/>
  <c r="BM480" i="3"/>
  <c r="BO480" i="3" s="1"/>
  <c r="BM482" i="3"/>
  <c r="BO482" i="3" s="1"/>
  <c r="BM477" i="3"/>
  <c r="BO477" i="3" s="1"/>
  <c r="BM4689" i="3"/>
  <c r="BO4689" i="3" s="1"/>
  <c r="BM4694" i="3"/>
  <c r="BO4694" i="3" s="1"/>
  <c r="BM4688" i="3"/>
  <c r="BO4688" i="3" s="1"/>
  <c r="BM4693" i="3"/>
  <c r="BO4693" i="3" s="1"/>
  <c r="BM4687" i="3"/>
  <c r="BO4687" i="3" s="1"/>
  <c r="BM4692" i="3"/>
  <c r="BO4692" i="3" s="1"/>
  <c r="BM4691" i="3"/>
  <c r="BO4691" i="3" s="1"/>
  <c r="BM4690" i="3"/>
  <c r="BO4690" i="3" s="1"/>
  <c r="BM4207" i="3"/>
  <c r="BO4207" i="3" s="1"/>
  <c r="BM4212" i="3"/>
  <c r="BO4212" i="3" s="1"/>
  <c r="BM4206" i="3"/>
  <c r="BO4206" i="3" s="1"/>
  <c r="BM3726" i="3"/>
  <c r="BO3726" i="3" s="1"/>
  <c r="BM4211" i="3"/>
  <c r="BO4211" i="3" s="1"/>
  <c r="BM4205" i="3"/>
  <c r="BO4205" i="3" s="1"/>
  <c r="BM4210" i="3"/>
  <c r="BO4210" i="3" s="1"/>
  <c r="BM3730" i="3"/>
  <c r="BO3730" i="3" s="1"/>
  <c r="BM4208" i="3"/>
  <c r="BO4208" i="3" s="1"/>
  <c r="BM4209" i="3"/>
  <c r="BO4209" i="3" s="1"/>
  <c r="BM3728" i="3"/>
  <c r="BO3728" i="3" s="1"/>
  <c r="BM3244" i="3"/>
  <c r="BO3244" i="3" s="1"/>
  <c r="BM3727" i="3"/>
  <c r="BO3727" i="3" s="1"/>
  <c r="BM3243" i="3"/>
  <c r="BO3243" i="3" s="1"/>
  <c r="BM3725" i="3"/>
  <c r="BO3725" i="3" s="1"/>
  <c r="BM3248" i="3"/>
  <c r="BO3248" i="3" s="1"/>
  <c r="BM3724" i="3"/>
  <c r="BO3724" i="3" s="1"/>
  <c r="BM3242" i="3"/>
  <c r="BO3242" i="3" s="1"/>
  <c r="BM3247" i="3"/>
  <c r="BO3247" i="3" s="1"/>
  <c r="BM3723" i="3"/>
  <c r="BO3723" i="3" s="1"/>
  <c r="BM3241" i="3"/>
  <c r="BO3241" i="3" s="1"/>
  <c r="BM3246" i="3"/>
  <c r="BO3246" i="3" s="1"/>
  <c r="BM3729" i="3"/>
  <c r="BO3729" i="3" s="1"/>
  <c r="BM3245" i="3"/>
  <c r="BO3245" i="3" s="1"/>
  <c r="BM2759" i="3"/>
  <c r="BO2759" i="3" s="1"/>
  <c r="BM2279" i="3"/>
  <c r="BO2279" i="3" s="1"/>
  <c r="BM2764" i="3"/>
  <c r="BO2764" i="3" s="1"/>
  <c r="BM2763" i="3"/>
  <c r="BO2763" i="3" s="1"/>
  <c r="BM2762" i="3"/>
  <c r="BO2762" i="3" s="1"/>
  <c r="BM2761" i="3"/>
  <c r="BO2761" i="3" s="1"/>
  <c r="BM2766" i="3"/>
  <c r="BO2766" i="3" s="1"/>
  <c r="BM2765" i="3"/>
  <c r="BO2765" i="3" s="1"/>
  <c r="BM2282" i="3"/>
  <c r="BO2282" i="3" s="1"/>
  <c r="BM1799" i="3"/>
  <c r="BO1799" i="3" s="1"/>
  <c r="BM2281" i="3"/>
  <c r="BO2281" i="3" s="1"/>
  <c r="BM1798" i="3"/>
  <c r="BO1798" i="3" s="1"/>
  <c r="BM2760" i="3"/>
  <c r="BO2760" i="3" s="1"/>
  <c r="BM2280" i="3"/>
  <c r="BO2280" i="3" s="1"/>
  <c r="BM2278" i="3"/>
  <c r="BO2278" i="3" s="1"/>
  <c r="BM2284" i="3"/>
  <c r="BO2284" i="3" s="1"/>
  <c r="BM2283" i="3"/>
  <c r="BO2283" i="3" s="1"/>
  <c r="BM1315" i="3"/>
  <c r="BO1315" i="3" s="1"/>
  <c r="BM1800" i="3"/>
  <c r="BO1800" i="3" s="1"/>
  <c r="BM1320" i="3"/>
  <c r="BO1320" i="3" s="1"/>
  <c r="BM2277" i="3"/>
  <c r="BO2277" i="3" s="1"/>
  <c r="BM1797" i="3"/>
  <c r="BO1797" i="3" s="1"/>
  <c r="BM1314" i="3"/>
  <c r="BO1314" i="3" s="1"/>
  <c r="BM1319" i="3"/>
  <c r="BO1319" i="3" s="1"/>
  <c r="BM1796" i="3"/>
  <c r="BO1796" i="3" s="1"/>
  <c r="BM1313" i="3"/>
  <c r="BO1313" i="3" s="1"/>
  <c r="BM1318" i="3"/>
  <c r="BO1318" i="3" s="1"/>
  <c r="BM1795" i="3"/>
  <c r="BO1795" i="3" s="1"/>
  <c r="BM1317" i="3"/>
  <c r="BO1317" i="3" s="1"/>
  <c r="BM1802" i="3"/>
  <c r="BO1802" i="3" s="1"/>
  <c r="BM1316" i="3"/>
  <c r="BO1316" i="3" s="1"/>
  <c r="BM1801" i="3"/>
  <c r="BO1801" i="3" s="1"/>
  <c r="BM834" i="3"/>
  <c r="BO834" i="3" s="1"/>
  <c r="BM831" i="3"/>
  <c r="BO831" i="3" s="1"/>
  <c r="BM836" i="3"/>
  <c r="BO836" i="3" s="1"/>
  <c r="BM833" i="3"/>
  <c r="BO833" i="3" s="1"/>
  <c r="BM838" i="3"/>
  <c r="BO838" i="3" s="1"/>
  <c r="BM835" i="3"/>
  <c r="BO835" i="3" s="1"/>
  <c r="BM832" i="3"/>
  <c r="BO832" i="3" s="1"/>
  <c r="BM837" i="3"/>
  <c r="BO837" i="3" s="1"/>
  <c r="BM355" i="3"/>
  <c r="BO355" i="3" s="1"/>
  <c r="BM352" i="3"/>
  <c r="BO352" i="3" s="1"/>
  <c r="BM353" i="3"/>
  <c r="BO353" i="3" s="1"/>
  <c r="BM354" i="3"/>
  <c r="BO354" i="3" s="1"/>
  <c r="BM356" i="3"/>
  <c r="BO356" i="3" s="1"/>
  <c r="BM351" i="3"/>
  <c r="BO351" i="3" s="1"/>
  <c r="BM349" i="3"/>
  <c r="BO349" i="3" s="1"/>
  <c r="BM350" i="3"/>
  <c r="BO350" i="3" s="1"/>
  <c r="BD327" i="3"/>
  <c r="BG327" i="3" s="1"/>
  <c r="BD324" i="3"/>
  <c r="BG324" i="3" s="1"/>
  <c r="BD334" i="3"/>
  <c r="BG334" i="3" s="1"/>
  <c r="BD331" i="3"/>
  <c r="BG331" i="3" s="1"/>
  <c r="BD328" i="3"/>
  <c r="BG328" i="3" s="1"/>
  <c r="BD325" i="3"/>
  <c r="BG325" i="3" s="1"/>
  <c r="BD210" i="3"/>
  <c r="BG210" i="3" s="1"/>
  <c r="BD335" i="3"/>
  <c r="BG335" i="3" s="1"/>
  <c r="BD332" i="3"/>
  <c r="BG332" i="3" s="1"/>
  <c r="BD172" i="3"/>
  <c r="BG172" i="3" s="1"/>
  <c r="BD329" i="3"/>
  <c r="BG329" i="3" s="1"/>
  <c r="BD217" i="3"/>
  <c r="BG217" i="3" s="1"/>
  <c r="BD326" i="3"/>
  <c r="BG326" i="3" s="1"/>
  <c r="BD333" i="3"/>
  <c r="BG333" i="3" s="1"/>
  <c r="BD330" i="3"/>
  <c r="BG330" i="3" s="1"/>
  <c r="BD134" i="3"/>
  <c r="BG134" i="3" s="1"/>
  <c r="BD96" i="3"/>
  <c r="BG96" i="3" s="1"/>
  <c r="BD336" i="3"/>
  <c r="BG336" i="3" s="1"/>
  <c r="BD141" i="3"/>
  <c r="BG141" i="3" s="1"/>
  <c r="BD179" i="3"/>
  <c r="BG179" i="3" s="1"/>
  <c r="BD58" i="3"/>
  <c r="BG58" i="3" s="1"/>
  <c r="BD103" i="3"/>
  <c r="BG103" i="3" s="1"/>
  <c r="BD65" i="3"/>
  <c r="BG65" i="3" s="1"/>
  <c r="BD27" i="3"/>
  <c r="BG27" i="3" s="1"/>
  <c r="BD20" i="3"/>
  <c r="BG20" i="3" s="1"/>
  <c r="AA27" i="3"/>
  <c r="AA20" i="3"/>
  <c r="X27" i="3"/>
  <c r="X20" i="3"/>
  <c r="BH117" i="3"/>
  <c r="BH284" i="3"/>
  <c r="BM4362" i="3"/>
  <c r="BO4362" i="3" s="1"/>
  <c r="BM3882" i="3"/>
  <c r="BO3882" i="3" s="1"/>
  <c r="BM4361" i="3"/>
  <c r="BO4361" i="3" s="1"/>
  <c r="BM3881" i="3"/>
  <c r="BO3881" i="3" s="1"/>
  <c r="BM4366" i="3"/>
  <c r="BO4366" i="3" s="1"/>
  <c r="BM4360" i="3"/>
  <c r="BO4360" i="3" s="1"/>
  <c r="BM3880" i="3"/>
  <c r="BO3880" i="3" s="1"/>
  <c r="BM4365" i="3"/>
  <c r="BO4365" i="3" s="1"/>
  <c r="BM4359" i="3"/>
  <c r="BO4359" i="3" s="1"/>
  <c r="BM3879" i="3"/>
  <c r="BO3879" i="3" s="1"/>
  <c r="BM4364" i="3"/>
  <c r="BO4364" i="3" s="1"/>
  <c r="BM3884" i="3"/>
  <c r="BO3884" i="3" s="1"/>
  <c r="BM3399" i="3"/>
  <c r="BO3399" i="3" s="1"/>
  <c r="BM3878" i="3"/>
  <c r="BO3878" i="3" s="1"/>
  <c r="BM3877" i="3"/>
  <c r="BO3877" i="3" s="1"/>
  <c r="BM3398" i="3"/>
  <c r="BO3398" i="3" s="1"/>
  <c r="BM3397" i="3"/>
  <c r="BO3397" i="3" s="1"/>
  <c r="BM4363" i="3"/>
  <c r="BO4363" i="3" s="1"/>
  <c r="BM3402" i="3"/>
  <c r="BO3402" i="3" s="1"/>
  <c r="BM3396" i="3"/>
  <c r="BO3396" i="3" s="1"/>
  <c r="BM3401" i="3"/>
  <c r="BO3401" i="3" s="1"/>
  <c r="BM3395" i="3"/>
  <c r="BO3395" i="3" s="1"/>
  <c r="BM2919" i="3"/>
  <c r="BO2919" i="3" s="1"/>
  <c r="BM3883" i="3"/>
  <c r="BO3883" i="3" s="1"/>
  <c r="BM2913" i="3"/>
  <c r="BO2913" i="3" s="1"/>
  <c r="BM2433" i="3"/>
  <c r="BO2433" i="3" s="1"/>
  <c r="BM2918" i="3"/>
  <c r="BO2918" i="3" s="1"/>
  <c r="BM2438" i="3"/>
  <c r="BO2438" i="3" s="1"/>
  <c r="BM3400" i="3"/>
  <c r="BO3400" i="3" s="1"/>
  <c r="BM2432" i="3"/>
  <c r="BO2432" i="3" s="1"/>
  <c r="BM2917" i="3"/>
  <c r="BO2917" i="3" s="1"/>
  <c r="BM2916" i="3"/>
  <c r="BO2916" i="3" s="1"/>
  <c r="BM2915" i="3"/>
  <c r="BO2915" i="3" s="1"/>
  <c r="BM1949" i="3"/>
  <c r="BO1949" i="3" s="1"/>
  <c r="BM1954" i="3"/>
  <c r="BO1954" i="3" s="1"/>
  <c r="BM2437" i="3"/>
  <c r="BO2437" i="3" s="1"/>
  <c r="BM1953" i="3"/>
  <c r="BO1953" i="3" s="1"/>
  <c r="BM2436" i="3"/>
  <c r="BO2436" i="3" s="1"/>
  <c r="BM1952" i="3"/>
  <c r="BO1952" i="3" s="1"/>
  <c r="BM2435" i="3"/>
  <c r="BO2435" i="3" s="1"/>
  <c r="BM1951" i="3"/>
  <c r="BO1951" i="3" s="1"/>
  <c r="BM1956" i="3"/>
  <c r="BO1956" i="3" s="1"/>
  <c r="BM2920" i="3"/>
  <c r="BO2920" i="3" s="1"/>
  <c r="BM2434" i="3"/>
  <c r="BO2434" i="3" s="1"/>
  <c r="BM1955" i="3"/>
  <c r="BO1955" i="3" s="1"/>
  <c r="BM1470" i="3"/>
  <c r="BO1470" i="3" s="1"/>
  <c r="BM1469" i="3"/>
  <c r="BO1469" i="3" s="1"/>
  <c r="BM1474" i="3"/>
  <c r="BO1474" i="3" s="1"/>
  <c r="BM2431" i="3"/>
  <c r="BO2431" i="3" s="1"/>
  <c r="BM1468" i="3"/>
  <c r="BO1468" i="3" s="1"/>
  <c r="BM1473" i="3"/>
  <c r="BO1473" i="3" s="1"/>
  <c r="BM1467" i="3"/>
  <c r="BO1467" i="3" s="1"/>
  <c r="BM1472" i="3"/>
  <c r="BO1472" i="3" s="1"/>
  <c r="BM2914" i="3"/>
  <c r="BO2914" i="3" s="1"/>
  <c r="BM1950" i="3"/>
  <c r="BO1950" i="3" s="1"/>
  <c r="BM986" i="3"/>
  <c r="BO986" i="3" s="1"/>
  <c r="BM991" i="3"/>
  <c r="BO991" i="3" s="1"/>
  <c r="BM988" i="3"/>
  <c r="BO988" i="3" s="1"/>
  <c r="BM985" i="3"/>
  <c r="BO985" i="3" s="1"/>
  <c r="BM990" i="3"/>
  <c r="BO990" i="3" s="1"/>
  <c r="BM1471" i="3"/>
  <c r="BO1471" i="3" s="1"/>
  <c r="BM987" i="3"/>
  <c r="BO987" i="3" s="1"/>
  <c r="BM992" i="3"/>
  <c r="BO992" i="3" s="1"/>
  <c r="BM989" i="3"/>
  <c r="BO989" i="3" s="1"/>
  <c r="BM503" i="3"/>
  <c r="BO503" i="3" s="1"/>
  <c r="BM508" i="3"/>
  <c r="BO508" i="3" s="1"/>
  <c r="BM505" i="3"/>
  <c r="BO505" i="3" s="1"/>
  <c r="BM510" i="3"/>
  <c r="BO510" i="3" s="1"/>
  <c r="BM507" i="3"/>
  <c r="BO507" i="3" s="1"/>
  <c r="BM504" i="3"/>
  <c r="BO504" i="3" s="1"/>
  <c r="BM506" i="3"/>
  <c r="BO506" i="3" s="1"/>
  <c r="BM509" i="3"/>
  <c r="BO509" i="3" s="1"/>
  <c r="BM25" i="3"/>
  <c r="BO25" i="3" s="1"/>
  <c r="BM23" i="3"/>
  <c r="BO23" i="3" s="1"/>
  <c r="BM21" i="3"/>
  <c r="BO21" i="3" s="1"/>
  <c r="BM28" i="3"/>
  <c r="BO28" i="3" s="1"/>
  <c r="BM24" i="3"/>
  <c r="BO24" i="3" s="1"/>
  <c r="BM22" i="3"/>
  <c r="BO22" i="3" s="1"/>
  <c r="BM26" i="3"/>
  <c r="BO26" i="3" s="1"/>
  <c r="BM27" i="3"/>
  <c r="BO27" i="3" s="1"/>
  <c r="BM4412" i="3"/>
  <c r="BO4412" i="3" s="1"/>
  <c r="BM4411" i="3"/>
  <c r="BO4411" i="3" s="1"/>
  <c r="BM4410" i="3"/>
  <c r="BO4410" i="3" s="1"/>
  <c r="BM4409" i="3"/>
  <c r="BO4409" i="3" s="1"/>
  <c r="BM4414" i="3"/>
  <c r="BO4414" i="3" s="1"/>
  <c r="BM4407" i="3"/>
  <c r="BO4407" i="3" s="1"/>
  <c r="BM3930" i="3"/>
  <c r="BO3930" i="3" s="1"/>
  <c r="BM3929" i="3"/>
  <c r="BO3929" i="3" s="1"/>
  <c r="BM3928" i="3"/>
  <c r="BO3928" i="3" s="1"/>
  <c r="BM4413" i="3"/>
  <c r="BO4413" i="3" s="1"/>
  <c r="BM3927" i="3"/>
  <c r="BO3927" i="3" s="1"/>
  <c r="BM4408" i="3"/>
  <c r="BO4408" i="3" s="1"/>
  <c r="BM3932" i="3"/>
  <c r="BO3932" i="3" s="1"/>
  <c r="BM3925" i="3"/>
  <c r="BO3925" i="3" s="1"/>
  <c r="BM3447" i="3"/>
  <c r="BO3447" i="3" s="1"/>
  <c r="BM2967" i="3"/>
  <c r="BO2967" i="3" s="1"/>
  <c r="BM3931" i="3"/>
  <c r="BO3931" i="3" s="1"/>
  <c r="BM3446" i="3"/>
  <c r="BO3446" i="3" s="1"/>
  <c r="BM3926" i="3"/>
  <c r="BO3926" i="3" s="1"/>
  <c r="BM3445" i="3"/>
  <c r="BO3445" i="3" s="1"/>
  <c r="BM2965" i="3"/>
  <c r="BO2965" i="3" s="1"/>
  <c r="BM3450" i="3"/>
  <c r="BO3450" i="3" s="1"/>
  <c r="BM3444" i="3"/>
  <c r="BO3444" i="3" s="1"/>
  <c r="BM3449" i="3"/>
  <c r="BO3449" i="3" s="1"/>
  <c r="BM3443" i="3"/>
  <c r="BO3443" i="3" s="1"/>
  <c r="BM2964" i="3"/>
  <c r="BO2964" i="3" s="1"/>
  <c r="BM3448" i="3"/>
  <c r="BO3448" i="3" s="1"/>
  <c r="BM2481" i="3"/>
  <c r="BO2481" i="3" s="1"/>
  <c r="BM2486" i="3"/>
  <c r="BO2486" i="3" s="1"/>
  <c r="BM2963" i="3"/>
  <c r="BO2963" i="3" s="1"/>
  <c r="BM2480" i="3"/>
  <c r="BO2480" i="3" s="1"/>
  <c r="BM2968" i="3"/>
  <c r="BO2968" i="3" s="1"/>
  <c r="BM2962" i="3"/>
  <c r="BO2962" i="3" s="1"/>
  <c r="BM2961" i="3"/>
  <c r="BO2961" i="3" s="1"/>
  <c r="BM2966" i="3"/>
  <c r="BO2966" i="3" s="1"/>
  <c r="BM1997" i="3"/>
  <c r="BO1997" i="3" s="1"/>
  <c r="BM2485" i="3"/>
  <c r="BO2485" i="3" s="1"/>
  <c r="BM2002" i="3"/>
  <c r="BO2002" i="3" s="1"/>
  <c r="BM2484" i="3"/>
  <c r="BO2484" i="3" s="1"/>
  <c r="BM2001" i="3"/>
  <c r="BO2001" i="3" s="1"/>
  <c r="BM2483" i="3"/>
  <c r="BO2483" i="3" s="1"/>
  <c r="BM2000" i="3"/>
  <c r="BO2000" i="3" s="1"/>
  <c r="BM2482" i="3"/>
  <c r="BO2482" i="3" s="1"/>
  <c r="BM1999" i="3"/>
  <c r="BO1999" i="3" s="1"/>
  <c r="BM2479" i="3"/>
  <c r="BO2479" i="3" s="1"/>
  <c r="BM2004" i="3"/>
  <c r="BO2004" i="3" s="1"/>
  <c r="BM2003" i="3"/>
  <c r="BO2003" i="3" s="1"/>
  <c r="BM1518" i="3"/>
  <c r="BO1518" i="3" s="1"/>
  <c r="BM1517" i="3"/>
  <c r="BO1517" i="3" s="1"/>
  <c r="BM1522" i="3"/>
  <c r="BO1522" i="3" s="1"/>
  <c r="BM1036" i="3"/>
  <c r="BO1036" i="3" s="1"/>
  <c r="BM1516" i="3"/>
  <c r="BO1516" i="3" s="1"/>
  <c r="BM1521" i="3"/>
  <c r="BO1521" i="3" s="1"/>
  <c r="BM1515" i="3"/>
  <c r="BO1515" i="3" s="1"/>
  <c r="BM1998" i="3"/>
  <c r="BO1998" i="3" s="1"/>
  <c r="BM1520" i="3"/>
  <c r="BO1520" i="3" s="1"/>
  <c r="BM1519" i="3"/>
  <c r="BO1519" i="3" s="1"/>
  <c r="BM1033" i="3"/>
  <c r="BO1033" i="3" s="1"/>
  <c r="BM1039" i="3"/>
  <c r="BO1039" i="3" s="1"/>
  <c r="BM1038" i="3"/>
  <c r="BO1038" i="3" s="1"/>
  <c r="BM1035" i="3"/>
  <c r="BO1035" i="3" s="1"/>
  <c r="BM1034" i="3"/>
  <c r="BO1034" i="3" s="1"/>
  <c r="BM1040" i="3"/>
  <c r="BO1040" i="3" s="1"/>
  <c r="BM551" i="3"/>
  <c r="BO551" i="3" s="1"/>
  <c r="BM1037" i="3"/>
  <c r="BO1037" i="3" s="1"/>
  <c r="BM556" i="3"/>
  <c r="BO556" i="3" s="1"/>
  <c r="BM553" i="3"/>
  <c r="BO553" i="3" s="1"/>
  <c r="BM558" i="3"/>
  <c r="BO558" i="3" s="1"/>
  <c r="BM555" i="3"/>
  <c r="BO555" i="3" s="1"/>
  <c r="BM552" i="3"/>
  <c r="BO552" i="3" s="1"/>
  <c r="BM554" i="3"/>
  <c r="BO554" i="3" s="1"/>
  <c r="BM557" i="3"/>
  <c r="BO557" i="3" s="1"/>
  <c r="BM73" i="3"/>
  <c r="BO73" i="3" s="1"/>
  <c r="BM74" i="3"/>
  <c r="BO74" i="3" s="1"/>
  <c r="BM69" i="3"/>
  <c r="BO69" i="3" s="1"/>
  <c r="BM75" i="3"/>
  <c r="BO75" i="3" s="1"/>
  <c r="BM70" i="3"/>
  <c r="BO70" i="3" s="1"/>
  <c r="BM76" i="3"/>
  <c r="BO76" i="3" s="1"/>
  <c r="BM71" i="3"/>
  <c r="BO71" i="3" s="1"/>
  <c r="BM72" i="3"/>
  <c r="BO72" i="3" s="1"/>
  <c r="BM4593" i="3"/>
  <c r="BO4593" i="3" s="1"/>
  <c r="BM4598" i="3"/>
  <c r="BO4598" i="3" s="1"/>
  <c r="BM4592" i="3"/>
  <c r="BO4592" i="3" s="1"/>
  <c r="BM4597" i="3"/>
  <c r="BO4597" i="3" s="1"/>
  <c r="BM4591" i="3"/>
  <c r="BO4591" i="3" s="1"/>
  <c r="BM4596" i="3"/>
  <c r="BO4596" i="3" s="1"/>
  <c r="BM4595" i="3"/>
  <c r="BO4595" i="3" s="1"/>
  <c r="BM4594" i="3"/>
  <c r="BO4594" i="3" s="1"/>
  <c r="BM4116" i="3"/>
  <c r="BO4116" i="3" s="1"/>
  <c r="BM4110" i="3"/>
  <c r="BO4110" i="3" s="1"/>
  <c r="BM4115" i="3"/>
  <c r="BO4115" i="3" s="1"/>
  <c r="BM4109" i="3"/>
  <c r="BO4109" i="3" s="1"/>
  <c r="BM4114" i="3"/>
  <c r="BO4114" i="3" s="1"/>
  <c r="BM4112" i="3"/>
  <c r="BO4112" i="3" s="1"/>
  <c r="BM3148" i="3"/>
  <c r="BO3148" i="3" s="1"/>
  <c r="BM3628" i="3"/>
  <c r="BO3628" i="3" s="1"/>
  <c r="BM3634" i="3"/>
  <c r="BO3634" i="3" s="1"/>
  <c r="BM4113" i="3"/>
  <c r="BO4113" i="3" s="1"/>
  <c r="BM3147" i="3"/>
  <c r="BO3147" i="3" s="1"/>
  <c r="BM3627" i="3"/>
  <c r="BO3627" i="3" s="1"/>
  <c r="BM3152" i="3"/>
  <c r="BO3152" i="3" s="1"/>
  <c r="BM4111" i="3"/>
  <c r="BO4111" i="3" s="1"/>
  <c r="BM3633" i="3"/>
  <c r="BO3633" i="3" s="1"/>
  <c r="BM3632" i="3"/>
  <c r="BO3632" i="3" s="1"/>
  <c r="BM3145" i="3"/>
  <c r="BO3145" i="3" s="1"/>
  <c r="BM3631" i="3"/>
  <c r="BO3631" i="3" s="1"/>
  <c r="BM3149" i="3"/>
  <c r="BO3149" i="3" s="1"/>
  <c r="BM2663" i="3"/>
  <c r="BO2663" i="3" s="1"/>
  <c r="BM2668" i="3"/>
  <c r="BO2668" i="3" s="1"/>
  <c r="BM3630" i="3"/>
  <c r="BO3630" i="3" s="1"/>
  <c r="BM3629" i="3"/>
  <c r="BO3629" i="3" s="1"/>
  <c r="BM3146" i="3"/>
  <c r="BO3146" i="3" s="1"/>
  <c r="BM2667" i="3"/>
  <c r="BO2667" i="3" s="1"/>
  <c r="BM2666" i="3"/>
  <c r="BO2666" i="3" s="1"/>
  <c r="BM2665" i="3"/>
  <c r="BO2665" i="3" s="1"/>
  <c r="BM3151" i="3"/>
  <c r="BO3151" i="3" s="1"/>
  <c r="BM2669" i="3"/>
  <c r="BO2669" i="3" s="1"/>
  <c r="BM2664" i="3"/>
  <c r="BO2664" i="3" s="1"/>
  <c r="BM3150" i="3"/>
  <c r="BO3150" i="3" s="1"/>
  <c r="BM2183" i="3"/>
  <c r="BO2183" i="3" s="1"/>
  <c r="BM2188" i="3"/>
  <c r="BO2188" i="3" s="1"/>
  <c r="BM2182" i="3"/>
  <c r="BO2182" i="3" s="1"/>
  <c r="BM1702" i="3"/>
  <c r="BO1702" i="3" s="1"/>
  <c r="BM2187" i="3"/>
  <c r="BO2187" i="3" s="1"/>
  <c r="BM2181" i="3"/>
  <c r="BO2181" i="3" s="1"/>
  <c r="BM2186" i="3"/>
  <c r="BO2186" i="3" s="1"/>
  <c r="BM2670" i="3"/>
  <c r="BO2670" i="3" s="1"/>
  <c r="BM2185" i="3"/>
  <c r="BO2185" i="3" s="1"/>
  <c r="BM1703" i="3"/>
  <c r="BO1703" i="3" s="1"/>
  <c r="BM1219" i="3"/>
  <c r="BO1219" i="3" s="1"/>
  <c r="BM1224" i="3"/>
  <c r="BO1224" i="3" s="1"/>
  <c r="BM1218" i="3"/>
  <c r="BO1218" i="3" s="1"/>
  <c r="BM2184" i="3"/>
  <c r="BO2184" i="3" s="1"/>
  <c r="BM1701" i="3"/>
  <c r="BO1701" i="3" s="1"/>
  <c r="BM1223" i="3"/>
  <c r="BO1223" i="3" s="1"/>
  <c r="BM1217" i="3"/>
  <c r="BO1217" i="3" s="1"/>
  <c r="BM1706" i="3"/>
  <c r="BO1706" i="3" s="1"/>
  <c r="BM1700" i="3"/>
  <c r="BO1700" i="3" s="1"/>
  <c r="BM1222" i="3"/>
  <c r="BO1222" i="3" s="1"/>
  <c r="BM1705" i="3"/>
  <c r="BO1705" i="3" s="1"/>
  <c r="BM1699" i="3"/>
  <c r="BO1699" i="3" s="1"/>
  <c r="BM1221" i="3"/>
  <c r="BO1221" i="3" s="1"/>
  <c r="BM1704" i="3"/>
  <c r="BO1704" i="3" s="1"/>
  <c r="BM1220" i="3"/>
  <c r="BO1220" i="3" s="1"/>
  <c r="BM738" i="3"/>
  <c r="BO738" i="3" s="1"/>
  <c r="BM735" i="3"/>
  <c r="BO735" i="3" s="1"/>
  <c r="BM740" i="3"/>
  <c r="BO740" i="3" s="1"/>
  <c r="BM737" i="3"/>
  <c r="BO737" i="3" s="1"/>
  <c r="BM742" i="3"/>
  <c r="BO742" i="3" s="1"/>
  <c r="BM739" i="3"/>
  <c r="BO739" i="3" s="1"/>
  <c r="BM736" i="3"/>
  <c r="BO736" i="3" s="1"/>
  <c r="BM741" i="3"/>
  <c r="BO741" i="3" s="1"/>
  <c r="BM258" i="3"/>
  <c r="BO258" i="3" s="1"/>
  <c r="BM255" i="3"/>
  <c r="BO255" i="3" s="1"/>
  <c r="BM259" i="3"/>
  <c r="BO259" i="3" s="1"/>
  <c r="BM256" i="3"/>
  <c r="BO256" i="3" s="1"/>
  <c r="BM253" i="3"/>
  <c r="BO253" i="3" s="1"/>
  <c r="BM254" i="3"/>
  <c r="BO254" i="3" s="1"/>
  <c r="BM260" i="3"/>
  <c r="BO260" i="3" s="1"/>
  <c r="BM257" i="3"/>
  <c r="BO257" i="3" s="1"/>
  <c r="BM4705" i="3"/>
  <c r="BO4705" i="3" s="1"/>
  <c r="BM4710" i="3"/>
  <c r="BO4710" i="3" s="1"/>
  <c r="BM4704" i="3"/>
  <c r="BO4704" i="3" s="1"/>
  <c r="BM4709" i="3"/>
  <c r="BO4709" i="3" s="1"/>
  <c r="BM4703" i="3"/>
  <c r="BO4703" i="3" s="1"/>
  <c r="BM4708" i="3"/>
  <c r="BO4708" i="3" s="1"/>
  <c r="BM4707" i="3"/>
  <c r="BO4707" i="3" s="1"/>
  <c r="BM4706" i="3"/>
  <c r="BO4706" i="3" s="1"/>
  <c r="BM4223" i="3"/>
  <c r="BO4223" i="3" s="1"/>
  <c r="BM4228" i="3"/>
  <c r="BO4228" i="3" s="1"/>
  <c r="BM4222" i="3"/>
  <c r="BO4222" i="3" s="1"/>
  <c r="BM3742" i="3"/>
  <c r="BO3742" i="3" s="1"/>
  <c r="BM4227" i="3"/>
  <c r="BO4227" i="3" s="1"/>
  <c r="BM4221" i="3"/>
  <c r="BO4221" i="3" s="1"/>
  <c r="BM4226" i="3"/>
  <c r="BO4226" i="3" s="1"/>
  <c r="BM3746" i="3"/>
  <c r="BO3746" i="3" s="1"/>
  <c r="BM4224" i="3"/>
  <c r="BO4224" i="3" s="1"/>
  <c r="BM3260" i="3"/>
  <c r="BO3260" i="3" s="1"/>
  <c r="BM3259" i="3"/>
  <c r="BO3259" i="3" s="1"/>
  <c r="BM3745" i="3"/>
  <c r="BO3745" i="3" s="1"/>
  <c r="BM3264" i="3"/>
  <c r="BO3264" i="3" s="1"/>
  <c r="BM3258" i="3"/>
  <c r="BO3258" i="3" s="1"/>
  <c r="BM3744" i="3"/>
  <c r="BO3744" i="3" s="1"/>
  <c r="BM3263" i="3"/>
  <c r="BO3263" i="3" s="1"/>
  <c r="BM4225" i="3"/>
  <c r="BO4225" i="3" s="1"/>
  <c r="BM3743" i="3"/>
  <c r="BO3743" i="3" s="1"/>
  <c r="BM3257" i="3"/>
  <c r="BO3257" i="3" s="1"/>
  <c r="BM3741" i="3"/>
  <c r="BO3741" i="3" s="1"/>
  <c r="BM3262" i="3"/>
  <c r="BO3262" i="3" s="1"/>
  <c r="BM3740" i="3"/>
  <c r="BO3740" i="3" s="1"/>
  <c r="BM3261" i="3"/>
  <c r="BO3261" i="3" s="1"/>
  <c r="BM2775" i="3"/>
  <c r="BO2775" i="3" s="1"/>
  <c r="BM2295" i="3"/>
  <c r="BO2295" i="3" s="1"/>
  <c r="BM2780" i="3"/>
  <c r="BO2780" i="3" s="1"/>
  <c r="BM2779" i="3"/>
  <c r="BO2779" i="3" s="1"/>
  <c r="BM3739" i="3"/>
  <c r="BO3739" i="3" s="1"/>
  <c r="BM2778" i="3"/>
  <c r="BO2778" i="3" s="1"/>
  <c r="BM2777" i="3"/>
  <c r="BO2777" i="3" s="1"/>
  <c r="BM2782" i="3"/>
  <c r="BO2782" i="3" s="1"/>
  <c r="BM2781" i="3"/>
  <c r="BO2781" i="3" s="1"/>
  <c r="BM2776" i="3"/>
  <c r="BO2776" i="3" s="1"/>
  <c r="BM2294" i="3"/>
  <c r="BO2294" i="3" s="1"/>
  <c r="BM1815" i="3"/>
  <c r="BO1815" i="3" s="1"/>
  <c r="BM2300" i="3"/>
  <c r="BO2300" i="3" s="1"/>
  <c r="BM2299" i="3"/>
  <c r="BO2299" i="3" s="1"/>
  <c r="BM2293" i="3"/>
  <c r="BO2293" i="3" s="1"/>
  <c r="BM1814" i="3"/>
  <c r="BO1814" i="3" s="1"/>
  <c r="BM2298" i="3"/>
  <c r="BO2298" i="3" s="1"/>
  <c r="BM1818" i="3"/>
  <c r="BO1818" i="3" s="1"/>
  <c r="BM2297" i="3"/>
  <c r="BO2297" i="3" s="1"/>
  <c r="BM2296" i="3"/>
  <c r="BO2296" i="3" s="1"/>
  <c r="BM1811" i="3"/>
  <c r="BO1811" i="3" s="1"/>
  <c r="BM1331" i="3"/>
  <c r="BO1331" i="3" s="1"/>
  <c r="BM1336" i="3"/>
  <c r="BO1336" i="3" s="1"/>
  <c r="BM1330" i="3"/>
  <c r="BO1330" i="3" s="1"/>
  <c r="BM1335" i="3"/>
  <c r="BO1335" i="3" s="1"/>
  <c r="BM1817" i="3"/>
  <c r="BO1817" i="3" s="1"/>
  <c r="BM1329" i="3"/>
  <c r="BO1329" i="3" s="1"/>
  <c r="BM1334" i="3"/>
  <c r="BO1334" i="3" s="1"/>
  <c r="BM1816" i="3"/>
  <c r="BO1816" i="3" s="1"/>
  <c r="BM1813" i="3"/>
  <c r="BO1813" i="3" s="1"/>
  <c r="BM1333" i="3"/>
  <c r="BO1333" i="3" s="1"/>
  <c r="BM1332" i="3"/>
  <c r="BO1332" i="3" s="1"/>
  <c r="BM850" i="3"/>
  <c r="BO850" i="3" s="1"/>
  <c r="BM1812" i="3"/>
  <c r="BO1812" i="3" s="1"/>
  <c r="BM847" i="3"/>
  <c r="BO847" i="3" s="1"/>
  <c r="BM852" i="3"/>
  <c r="BO852" i="3" s="1"/>
  <c r="BM849" i="3"/>
  <c r="BO849" i="3" s="1"/>
  <c r="BM854" i="3"/>
  <c r="BO854" i="3" s="1"/>
  <c r="BM851" i="3"/>
  <c r="BO851" i="3" s="1"/>
  <c r="BM848" i="3"/>
  <c r="BO848" i="3" s="1"/>
  <c r="BM853" i="3"/>
  <c r="BO853" i="3" s="1"/>
  <c r="BM371" i="3"/>
  <c r="BO371" i="3" s="1"/>
  <c r="BM368" i="3"/>
  <c r="BO368" i="3" s="1"/>
  <c r="BM365" i="3"/>
  <c r="BO365" i="3" s="1"/>
  <c r="BM372" i="3"/>
  <c r="BO372" i="3" s="1"/>
  <c r="BM369" i="3"/>
  <c r="BO369" i="3" s="1"/>
  <c r="BM366" i="3"/>
  <c r="BO366" i="3" s="1"/>
  <c r="BM370" i="3"/>
  <c r="BO370" i="3" s="1"/>
  <c r="BM367" i="3"/>
  <c r="BO367" i="3" s="1"/>
  <c r="BH80" i="3"/>
  <c r="BM4497" i="3"/>
  <c r="BO4497" i="3" s="1"/>
  <c r="BM4502" i="3"/>
  <c r="BO4502" i="3" s="1"/>
  <c r="BM4496" i="3"/>
  <c r="BO4496" i="3" s="1"/>
  <c r="BM4501" i="3"/>
  <c r="BO4501" i="3" s="1"/>
  <c r="BM4495" i="3"/>
  <c r="BO4495" i="3" s="1"/>
  <c r="BM4500" i="3"/>
  <c r="BO4500" i="3" s="1"/>
  <c r="BM4499" i="3"/>
  <c r="BO4499" i="3" s="1"/>
  <c r="BM4498" i="3"/>
  <c r="BO4498" i="3" s="1"/>
  <c r="BM4020" i="3"/>
  <c r="BO4020" i="3" s="1"/>
  <c r="BM4014" i="3"/>
  <c r="BO4014" i="3" s="1"/>
  <c r="BM4019" i="3"/>
  <c r="BO4019" i="3" s="1"/>
  <c r="BM4013" i="3"/>
  <c r="BO4013" i="3" s="1"/>
  <c r="BM4018" i="3"/>
  <c r="BO4018" i="3" s="1"/>
  <c r="BM4016" i="3"/>
  <c r="BO4016" i="3" s="1"/>
  <c r="BM3532" i="3"/>
  <c r="BO3532" i="3" s="1"/>
  <c r="BM3052" i="3"/>
  <c r="BO3052" i="3" s="1"/>
  <c r="BM3537" i="3"/>
  <c r="BO3537" i="3" s="1"/>
  <c r="BM3531" i="3"/>
  <c r="BO3531" i="3" s="1"/>
  <c r="BM3051" i="3"/>
  <c r="BO3051" i="3" s="1"/>
  <c r="BM3536" i="3"/>
  <c r="BO3536" i="3" s="1"/>
  <c r="BM3056" i="3"/>
  <c r="BO3056" i="3" s="1"/>
  <c r="BM3535" i="3"/>
  <c r="BO3535" i="3" s="1"/>
  <c r="BM4017" i="3"/>
  <c r="BO4017" i="3" s="1"/>
  <c r="BM3534" i="3"/>
  <c r="BO3534" i="3" s="1"/>
  <c r="BM4015" i="3"/>
  <c r="BO4015" i="3" s="1"/>
  <c r="BM3533" i="3"/>
  <c r="BO3533" i="3" s="1"/>
  <c r="BM2567" i="3"/>
  <c r="BO2567" i="3" s="1"/>
  <c r="BM3538" i="3"/>
  <c r="BO3538" i="3" s="1"/>
  <c r="BM2572" i="3"/>
  <c r="BO2572" i="3" s="1"/>
  <c r="BM3049" i="3"/>
  <c r="BO3049" i="3" s="1"/>
  <c r="BM2571" i="3"/>
  <c r="BO2571" i="3" s="1"/>
  <c r="BM3055" i="3"/>
  <c r="BO3055" i="3" s="1"/>
  <c r="BM2570" i="3"/>
  <c r="BO2570" i="3" s="1"/>
  <c r="BM3054" i="3"/>
  <c r="BO3054" i="3" s="1"/>
  <c r="BM2569" i="3"/>
  <c r="BO2569" i="3" s="1"/>
  <c r="BM2573" i="3"/>
  <c r="BO2573" i="3" s="1"/>
  <c r="BM3053" i="3"/>
  <c r="BO3053" i="3" s="1"/>
  <c r="BM2574" i="3"/>
  <c r="BO2574" i="3" s="1"/>
  <c r="BM2087" i="3"/>
  <c r="BO2087" i="3" s="1"/>
  <c r="BM3050" i="3"/>
  <c r="BO3050" i="3" s="1"/>
  <c r="BM2092" i="3"/>
  <c r="BO2092" i="3" s="1"/>
  <c r="BM2086" i="3"/>
  <c r="BO2086" i="3" s="1"/>
  <c r="BM2568" i="3"/>
  <c r="BO2568" i="3" s="1"/>
  <c r="BM2091" i="3"/>
  <c r="BO2091" i="3" s="1"/>
  <c r="BM2085" i="3"/>
  <c r="BO2085" i="3" s="1"/>
  <c r="BM2090" i="3"/>
  <c r="BO2090" i="3" s="1"/>
  <c r="BM2089" i="3"/>
  <c r="BO2089" i="3" s="1"/>
  <c r="BM1603" i="3"/>
  <c r="BO1603" i="3" s="1"/>
  <c r="BM1122" i="3"/>
  <c r="BO1122" i="3" s="1"/>
  <c r="BM1608" i="3"/>
  <c r="BO1608" i="3" s="1"/>
  <c r="BM1127" i="3"/>
  <c r="BO1127" i="3" s="1"/>
  <c r="BM1607" i="3"/>
  <c r="BO1607" i="3" s="1"/>
  <c r="BM1124" i="3"/>
  <c r="BO1124" i="3" s="1"/>
  <c r="BM1121" i="3"/>
  <c r="BO1121" i="3" s="1"/>
  <c r="BM1606" i="3"/>
  <c r="BO1606" i="3" s="1"/>
  <c r="BM2088" i="3"/>
  <c r="BO2088" i="3" s="1"/>
  <c r="BM1126" i="3"/>
  <c r="BO1126" i="3" s="1"/>
  <c r="BM1605" i="3"/>
  <c r="BO1605" i="3" s="1"/>
  <c r="BM1123" i="3"/>
  <c r="BO1123" i="3" s="1"/>
  <c r="BM1610" i="3"/>
  <c r="BO1610" i="3" s="1"/>
  <c r="BM1604" i="3"/>
  <c r="BO1604" i="3" s="1"/>
  <c r="BM1609" i="3"/>
  <c r="BO1609" i="3" s="1"/>
  <c r="BM1128" i="3"/>
  <c r="BO1128" i="3" s="1"/>
  <c r="BM1125" i="3"/>
  <c r="BO1125" i="3" s="1"/>
  <c r="BM639" i="3"/>
  <c r="BO639" i="3" s="1"/>
  <c r="BM644" i="3"/>
  <c r="BO644" i="3" s="1"/>
  <c r="BM641" i="3"/>
  <c r="BO641" i="3" s="1"/>
  <c r="BM646" i="3"/>
  <c r="BO646" i="3" s="1"/>
  <c r="BM643" i="3"/>
  <c r="BO643" i="3" s="1"/>
  <c r="BM640" i="3"/>
  <c r="BO640" i="3" s="1"/>
  <c r="BM642" i="3"/>
  <c r="BO642" i="3" s="1"/>
  <c r="BM162" i="3"/>
  <c r="BO162" i="3" s="1"/>
  <c r="BM645" i="3"/>
  <c r="BO645" i="3" s="1"/>
  <c r="BM159" i="3"/>
  <c r="BO159" i="3" s="1"/>
  <c r="BM163" i="3"/>
  <c r="BO163" i="3" s="1"/>
  <c r="BM160" i="3"/>
  <c r="BO160" i="3" s="1"/>
  <c r="BM158" i="3"/>
  <c r="BO158" i="3" s="1"/>
  <c r="BM164" i="3"/>
  <c r="BO164" i="3" s="1"/>
  <c r="BM157" i="3"/>
  <c r="BO157" i="3" s="1"/>
  <c r="BM161" i="3"/>
  <c r="BO161" i="3" s="1"/>
  <c r="BH308" i="3"/>
  <c r="BH189" i="3"/>
  <c r="BH294" i="3"/>
  <c r="BM4417" i="3"/>
  <c r="BO4417" i="3" s="1"/>
  <c r="BM4422" i="3"/>
  <c r="BO4422" i="3" s="1"/>
  <c r="BM4416" i="3"/>
  <c r="BO4416" i="3" s="1"/>
  <c r="BM4421" i="3"/>
  <c r="BO4421" i="3" s="1"/>
  <c r="BM4415" i="3"/>
  <c r="BO4415" i="3" s="1"/>
  <c r="BM4420" i="3"/>
  <c r="BO4420" i="3" s="1"/>
  <c r="BM4419" i="3"/>
  <c r="BO4419" i="3" s="1"/>
  <c r="BM4418" i="3"/>
  <c r="BO4418" i="3" s="1"/>
  <c r="BM3940" i="3"/>
  <c r="BO3940" i="3" s="1"/>
  <c r="BM3934" i="3"/>
  <c r="BO3934" i="3" s="1"/>
  <c r="BM3939" i="3"/>
  <c r="BO3939" i="3" s="1"/>
  <c r="BM3933" i="3"/>
  <c r="BO3933" i="3" s="1"/>
  <c r="BM3938" i="3"/>
  <c r="BO3938" i="3" s="1"/>
  <c r="BM3936" i="3"/>
  <c r="BO3936" i="3" s="1"/>
  <c r="BM3935" i="3"/>
  <c r="BO3935" i="3" s="1"/>
  <c r="BM3452" i="3"/>
  <c r="BO3452" i="3" s="1"/>
  <c r="BM3457" i="3"/>
  <c r="BO3457" i="3" s="1"/>
  <c r="BM3451" i="3"/>
  <c r="BO3451" i="3" s="1"/>
  <c r="BM3456" i="3"/>
  <c r="BO3456" i="3" s="1"/>
  <c r="BM3455" i="3"/>
  <c r="BO3455" i="3" s="1"/>
  <c r="BM3454" i="3"/>
  <c r="BO3454" i="3" s="1"/>
  <c r="BM3453" i="3"/>
  <c r="BO3453" i="3" s="1"/>
  <c r="BM2487" i="3"/>
  <c r="BO2487" i="3" s="1"/>
  <c r="BM2970" i="3"/>
  <c r="BO2970" i="3" s="1"/>
  <c r="BM2492" i="3"/>
  <c r="BO2492" i="3" s="1"/>
  <c r="BM2976" i="3"/>
  <c r="BO2976" i="3" s="1"/>
  <c r="BM2975" i="3"/>
  <c r="BO2975" i="3" s="1"/>
  <c r="BM2969" i="3"/>
  <c r="BO2969" i="3" s="1"/>
  <c r="BM2491" i="3"/>
  <c r="BO2491" i="3" s="1"/>
  <c r="BM2974" i="3"/>
  <c r="BO2974" i="3" s="1"/>
  <c r="BM2973" i="3"/>
  <c r="BO2973" i="3" s="1"/>
  <c r="BM2489" i="3"/>
  <c r="BO2489" i="3" s="1"/>
  <c r="BM3937" i="3"/>
  <c r="BO3937" i="3" s="1"/>
  <c r="BM2972" i="3"/>
  <c r="BO2972" i="3" s="1"/>
  <c r="BM2493" i="3"/>
  <c r="BO2493" i="3" s="1"/>
  <c r="BM3458" i="3"/>
  <c r="BO3458" i="3" s="1"/>
  <c r="BM2007" i="3"/>
  <c r="BO2007" i="3" s="1"/>
  <c r="BM2012" i="3"/>
  <c r="BO2012" i="3" s="1"/>
  <c r="BM2494" i="3"/>
  <c r="BO2494" i="3" s="1"/>
  <c r="BM2006" i="3"/>
  <c r="BO2006" i="3" s="1"/>
  <c r="BM2011" i="3"/>
  <c r="BO2011" i="3" s="1"/>
  <c r="BM2005" i="3"/>
  <c r="BO2005" i="3" s="1"/>
  <c r="BM2010" i="3"/>
  <c r="BO2010" i="3" s="1"/>
  <c r="BM2490" i="3"/>
  <c r="BO2490" i="3" s="1"/>
  <c r="BM2971" i="3"/>
  <c r="BO2971" i="3" s="1"/>
  <c r="BM2009" i="3"/>
  <c r="BO2009" i="3" s="1"/>
  <c r="BM1523" i="3"/>
  <c r="BO1523" i="3" s="1"/>
  <c r="BM1528" i="3"/>
  <c r="BO1528" i="3" s="1"/>
  <c r="BM1527" i="3"/>
  <c r="BO1527" i="3" s="1"/>
  <c r="BM1044" i="3"/>
  <c r="BO1044" i="3" s="1"/>
  <c r="BM2008" i="3"/>
  <c r="BO2008" i="3" s="1"/>
  <c r="BM1526" i="3"/>
  <c r="BO1526" i="3" s="1"/>
  <c r="BM2488" i="3"/>
  <c r="BO2488" i="3" s="1"/>
  <c r="BM1525" i="3"/>
  <c r="BO1525" i="3" s="1"/>
  <c r="BM1530" i="3"/>
  <c r="BO1530" i="3" s="1"/>
  <c r="BM1524" i="3"/>
  <c r="BO1524" i="3" s="1"/>
  <c r="BM1529" i="3"/>
  <c r="BO1529" i="3" s="1"/>
  <c r="BM1042" i="3"/>
  <c r="BO1042" i="3" s="1"/>
  <c r="BM1045" i="3"/>
  <c r="BO1045" i="3" s="1"/>
  <c r="BM1048" i="3"/>
  <c r="BO1048" i="3" s="1"/>
  <c r="BM1041" i="3"/>
  <c r="BO1041" i="3" s="1"/>
  <c r="BM1047" i="3"/>
  <c r="BO1047" i="3" s="1"/>
  <c r="BM1046" i="3"/>
  <c r="BO1046" i="3" s="1"/>
  <c r="BM559" i="3"/>
  <c r="BO559" i="3" s="1"/>
  <c r="BM564" i="3"/>
  <c r="BO564" i="3" s="1"/>
  <c r="BM561" i="3"/>
  <c r="BO561" i="3" s="1"/>
  <c r="BM566" i="3"/>
  <c r="BO566" i="3" s="1"/>
  <c r="BM563" i="3"/>
  <c r="BO563" i="3" s="1"/>
  <c r="BM560" i="3"/>
  <c r="BO560" i="3" s="1"/>
  <c r="BM1043" i="3"/>
  <c r="BO1043" i="3" s="1"/>
  <c r="BM562" i="3"/>
  <c r="BO562" i="3" s="1"/>
  <c r="BM565" i="3"/>
  <c r="BO565" i="3" s="1"/>
  <c r="BM83" i="3"/>
  <c r="BO83" i="3" s="1"/>
  <c r="BM78" i="3"/>
  <c r="BO78" i="3" s="1"/>
  <c r="BM84" i="3"/>
  <c r="BO84" i="3" s="1"/>
  <c r="BM79" i="3"/>
  <c r="BO79" i="3" s="1"/>
  <c r="BM80" i="3"/>
  <c r="BO80" i="3" s="1"/>
  <c r="BM81" i="3"/>
  <c r="BO81" i="3" s="1"/>
  <c r="BM77" i="3"/>
  <c r="BO77" i="3" s="1"/>
  <c r="BM82" i="3"/>
  <c r="BO82" i="3" s="1"/>
  <c r="BM4561" i="3"/>
  <c r="BO4561" i="3" s="1"/>
  <c r="BM4566" i="3"/>
  <c r="BO4566" i="3" s="1"/>
  <c r="BM4560" i="3"/>
  <c r="BO4560" i="3" s="1"/>
  <c r="BM4565" i="3"/>
  <c r="BO4565" i="3" s="1"/>
  <c r="BM4559" i="3"/>
  <c r="BO4559" i="3" s="1"/>
  <c r="BM4564" i="3"/>
  <c r="BO4564" i="3" s="1"/>
  <c r="BM4563" i="3"/>
  <c r="BO4563" i="3" s="1"/>
  <c r="BM4562" i="3"/>
  <c r="BO4562" i="3" s="1"/>
  <c r="BM4084" i="3"/>
  <c r="BO4084" i="3" s="1"/>
  <c r="BM4078" i="3"/>
  <c r="BO4078" i="3" s="1"/>
  <c r="BM4083" i="3"/>
  <c r="BO4083" i="3" s="1"/>
  <c r="BM4077" i="3"/>
  <c r="BO4077" i="3" s="1"/>
  <c r="BM4082" i="3"/>
  <c r="BO4082" i="3" s="1"/>
  <c r="BM4080" i="3"/>
  <c r="BO4080" i="3" s="1"/>
  <c r="BM3596" i="3"/>
  <c r="BO3596" i="3" s="1"/>
  <c r="BM3602" i="3"/>
  <c r="BO3602" i="3" s="1"/>
  <c r="BM3116" i="3"/>
  <c r="BO3116" i="3" s="1"/>
  <c r="BM3595" i="3"/>
  <c r="BO3595" i="3" s="1"/>
  <c r="BM3601" i="3"/>
  <c r="BO3601" i="3" s="1"/>
  <c r="BM3115" i="3"/>
  <c r="BO3115" i="3" s="1"/>
  <c r="BM3120" i="3"/>
  <c r="BO3120" i="3" s="1"/>
  <c r="BM4081" i="3"/>
  <c r="BO4081" i="3" s="1"/>
  <c r="BM3600" i="3"/>
  <c r="BO3600" i="3" s="1"/>
  <c r="BM4079" i="3"/>
  <c r="BO4079" i="3" s="1"/>
  <c r="BM3599" i="3"/>
  <c r="BO3599" i="3" s="1"/>
  <c r="BM3598" i="3"/>
  <c r="BO3598" i="3" s="1"/>
  <c r="BM2631" i="3"/>
  <c r="BO2631" i="3" s="1"/>
  <c r="BM2636" i="3"/>
  <c r="BO2636" i="3" s="1"/>
  <c r="BM3119" i="3"/>
  <c r="BO3119" i="3" s="1"/>
  <c r="BM3118" i="3"/>
  <c r="BO3118" i="3" s="1"/>
  <c r="BM2635" i="3"/>
  <c r="BO2635" i="3" s="1"/>
  <c r="BM3117" i="3"/>
  <c r="BO3117" i="3" s="1"/>
  <c r="BM2634" i="3"/>
  <c r="BO2634" i="3" s="1"/>
  <c r="BM3114" i="3"/>
  <c r="BO3114" i="3" s="1"/>
  <c r="BM3113" i="3"/>
  <c r="BO3113" i="3" s="1"/>
  <c r="BM2633" i="3"/>
  <c r="BO2633" i="3" s="1"/>
  <c r="BM3597" i="3"/>
  <c r="BO3597" i="3" s="1"/>
  <c r="BM2637" i="3"/>
  <c r="BO2637" i="3" s="1"/>
  <c r="BM2632" i="3"/>
  <c r="BO2632" i="3" s="1"/>
  <c r="BM2151" i="3"/>
  <c r="BO2151" i="3" s="1"/>
  <c r="BM2156" i="3"/>
  <c r="BO2156" i="3" s="1"/>
  <c r="BM2150" i="3"/>
  <c r="BO2150" i="3" s="1"/>
  <c r="BM1670" i="3"/>
  <c r="BO1670" i="3" s="1"/>
  <c r="BM2155" i="3"/>
  <c r="BO2155" i="3" s="1"/>
  <c r="BM2149" i="3"/>
  <c r="BO2149" i="3" s="1"/>
  <c r="BM2154" i="3"/>
  <c r="BO2154" i="3" s="1"/>
  <c r="BM2153" i="3"/>
  <c r="BO2153" i="3" s="1"/>
  <c r="BM2638" i="3"/>
  <c r="BO2638" i="3" s="1"/>
  <c r="BM2152" i="3"/>
  <c r="BO2152" i="3" s="1"/>
  <c r="BM1187" i="3"/>
  <c r="BO1187" i="3" s="1"/>
  <c r="BM1672" i="3"/>
  <c r="BO1672" i="3" s="1"/>
  <c r="BM1192" i="3"/>
  <c r="BO1192" i="3" s="1"/>
  <c r="BM1671" i="3"/>
  <c r="BO1671" i="3" s="1"/>
  <c r="BM1186" i="3"/>
  <c r="BO1186" i="3" s="1"/>
  <c r="BM1191" i="3"/>
  <c r="BO1191" i="3" s="1"/>
  <c r="BM1185" i="3"/>
  <c r="BO1185" i="3" s="1"/>
  <c r="BM1190" i="3"/>
  <c r="BO1190" i="3" s="1"/>
  <c r="BM1669" i="3"/>
  <c r="BO1669" i="3" s="1"/>
  <c r="BM1189" i="3"/>
  <c r="BO1189" i="3" s="1"/>
  <c r="BM1674" i="3"/>
  <c r="BO1674" i="3" s="1"/>
  <c r="BM1668" i="3"/>
  <c r="BO1668" i="3" s="1"/>
  <c r="BM1188" i="3"/>
  <c r="BO1188" i="3" s="1"/>
  <c r="BM1673" i="3"/>
  <c r="BO1673" i="3" s="1"/>
  <c r="BM1667" i="3"/>
  <c r="BO1667" i="3" s="1"/>
  <c r="BM706" i="3"/>
  <c r="BO706" i="3" s="1"/>
  <c r="BM703" i="3"/>
  <c r="BO703" i="3" s="1"/>
  <c r="BM708" i="3"/>
  <c r="BO708" i="3" s="1"/>
  <c r="BM705" i="3"/>
  <c r="BO705" i="3" s="1"/>
  <c r="BM710" i="3"/>
  <c r="BO710" i="3" s="1"/>
  <c r="BM707" i="3"/>
  <c r="BO707" i="3" s="1"/>
  <c r="BM704" i="3"/>
  <c r="BO704" i="3" s="1"/>
  <c r="BM709" i="3"/>
  <c r="BO709" i="3" s="1"/>
  <c r="BM226" i="3"/>
  <c r="BO226" i="3" s="1"/>
  <c r="BM223" i="3"/>
  <c r="BO223" i="3" s="1"/>
  <c r="BM227" i="3"/>
  <c r="BO227" i="3" s="1"/>
  <c r="BM224" i="3"/>
  <c r="BO224" i="3" s="1"/>
  <c r="BM221" i="3"/>
  <c r="BO221" i="3" s="1"/>
  <c r="BM222" i="3"/>
  <c r="BO222" i="3" s="1"/>
  <c r="BM225" i="3"/>
  <c r="BO225" i="3" s="1"/>
  <c r="BM228" i="3"/>
  <c r="BO228" i="3" s="1"/>
  <c r="BM4604" i="3"/>
  <c r="BO4604" i="3" s="1"/>
  <c r="BM4603" i="3"/>
  <c r="BO4603" i="3" s="1"/>
  <c r="BM4602" i="3"/>
  <c r="BO4602" i="3" s="1"/>
  <c r="BM4601" i="3"/>
  <c r="BO4601" i="3" s="1"/>
  <c r="BM4606" i="3"/>
  <c r="BO4606" i="3" s="1"/>
  <c r="BM4599" i="3"/>
  <c r="BO4599" i="3" s="1"/>
  <c r="BM4122" i="3"/>
  <c r="BO4122" i="3" s="1"/>
  <c r="BM3642" i="3"/>
  <c r="BO3642" i="3" s="1"/>
  <c r="BM4605" i="3"/>
  <c r="BO4605" i="3" s="1"/>
  <c r="BM4600" i="3"/>
  <c r="BO4600" i="3" s="1"/>
  <c r="BM3636" i="3"/>
  <c r="BO3636" i="3" s="1"/>
  <c r="BM4121" i="3"/>
  <c r="BO4121" i="3" s="1"/>
  <c r="BM3641" i="3"/>
  <c r="BO3641" i="3" s="1"/>
  <c r="BM3635" i="3"/>
  <c r="BO3635" i="3" s="1"/>
  <c r="BM4120" i="3"/>
  <c r="BO4120" i="3" s="1"/>
  <c r="BM4119" i="3"/>
  <c r="BO4119" i="3" s="1"/>
  <c r="BM4124" i="3"/>
  <c r="BO4124" i="3" s="1"/>
  <c r="BM4118" i="3"/>
  <c r="BO4118" i="3" s="1"/>
  <c r="BM4117" i="3"/>
  <c r="BO4117" i="3" s="1"/>
  <c r="BM3159" i="3"/>
  <c r="BO3159" i="3" s="1"/>
  <c r="BM3153" i="3"/>
  <c r="BO3153" i="3" s="1"/>
  <c r="BM3158" i="3"/>
  <c r="BO3158" i="3" s="1"/>
  <c r="BM3640" i="3"/>
  <c r="BO3640" i="3" s="1"/>
  <c r="BM3157" i="3"/>
  <c r="BO3157" i="3" s="1"/>
  <c r="BM3639" i="3"/>
  <c r="BO3639" i="3" s="1"/>
  <c r="BM3156" i="3"/>
  <c r="BO3156" i="3" s="1"/>
  <c r="BM3638" i="3"/>
  <c r="BO3638" i="3" s="1"/>
  <c r="BM3637" i="3"/>
  <c r="BO3637" i="3" s="1"/>
  <c r="BM2673" i="3"/>
  <c r="BO2673" i="3" s="1"/>
  <c r="BM2678" i="3"/>
  <c r="BO2678" i="3" s="1"/>
  <c r="BM3160" i="3"/>
  <c r="BO3160" i="3" s="1"/>
  <c r="BM2672" i="3"/>
  <c r="BO2672" i="3" s="1"/>
  <c r="BM2677" i="3"/>
  <c r="BO2677" i="3" s="1"/>
  <c r="BM2671" i="3"/>
  <c r="BO2671" i="3" s="1"/>
  <c r="BM2676" i="3"/>
  <c r="BO2676" i="3" s="1"/>
  <c r="BM3155" i="3"/>
  <c r="BO3155" i="3" s="1"/>
  <c r="BM3154" i="3"/>
  <c r="BO3154" i="3" s="1"/>
  <c r="BM2675" i="3"/>
  <c r="BO2675" i="3" s="1"/>
  <c r="BM2189" i="3"/>
  <c r="BO2189" i="3" s="1"/>
  <c r="BM1709" i="3"/>
  <c r="BO1709" i="3" s="1"/>
  <c r="BM4123" i="3"/>
  <c r="BO4123" i="3" s="1"/>
  <c r="BM2194" i="3"/>
  <c r="BO2194" i="3" s="1"/>
  <c r="BM2193" i="3"/>
  <c r="BO2193" i="3" s="1"/>
  <c r="BM2192" i="3"/>
  <c r="BO2192" i="3" s="1"/>
  <c r="BM2191" i="3"/>
  <c r="BO2191" i="3" s="1"/>
  <c r="BM2674" i="3"/>
  <c r="BO2674" i="3" s="1"/>
  <c r="BM2196" i="3"/>
  <c r="BO2196" i="3" s="1"/>
  <c r="BM2195" i="3"/>
  <c r="BO2195" i="3" s="1"/>
  <c r="BM1230" i="3"/>
  <c r="BO1230" i="3" s="1"/>
  <c r="BM2190" i="3"/>
  <c r="BO2190" i="3" s="1"/>
  <c r="BM1714" i="3"/>
  <c r="BO1714" i="3" s="1"/>
  <c r="BM1708" i="3"/>
  <c r="BO1708" i="3" s="1"/>
  <c r="BM1229" i="3"/>
  <c r="BO1229" i="3" s="1"/>
  <c r="BM1707" i="3"/>
  <c r="BO1707" i="3" s="1"/>
  <c r="BM1713" i="3"/>
  <c r="BO1713" i="3" s="1"/>
  <c r="BM1228" i="3"/>
  <c r="BO1228" i="3" s="1"/>
  <c r="BM1712" i="3"/>
  <c r="BO1712" i="3" s="1"/>
  <c r="BM1227" i="3"/>
  <c r="BO1227" i="3" s="1"/>
  <c r="BM1232" i="3"/>
  <c r="BO1232" i="3" s="1"/>
  <c r="BM1711" i="3"/>
  <c r="BO1711" i="3" s="1"/>
  <c r="BM1226" i="3"/>
  <c r="BO1226" i="3" s="1"/>
  <c r="BM1710" i="3"/>
  <c r="BO1710" i="3" s="1"/>
  <c r="BM746" i="3"/>
  <c r="BO746" i="3" s="1"/>
  <c r="BM743" i="3"/>
  <c r="BO743" i="3" s="1"/>
  <c r="BM748" i="3"/>
  <c r="BO748" i="3" s="1"/>
  <c r="BM745" i="3"/>
  <c r="BO745" i="3" s="1"/>
  <c r="BM750" i="3"/>
  <c r="BO750" i="3" s="1"/>
  <c r="BM1231" i="3"/>
  <c r="BO1231" i="3" s="1"/>
  <c r="BM747" i="3"/>
  <c r="BO747" i="3" s="1"/>
  <c r="BM1225" i="3"/>
  <c r="BO1225" i="3" s="1"/>
  <c r="BM744" i="3"/>
  <c r="BO744" i="3" s="1"/>
  <c r="BM749" i="3"/>
  <c r="BO749" i="3" s="1"/>
  <c r="BM264" i="3"/>
  <c r="BO264" i="3" s="1"/>
  <c r="BM261" i="3"/>
  <c r="BO261" i="3" s="1"/>
  <c r="BM268" i="3"/>
  <c r="BO268" i="3" s="1"/>
  <c r="BM265" i="3"/>
  <c r="BO265" i="3" s="1"/>
  <c r="BM262" i="3"/>
  <c r="BO262" i="3" s="1"/>
  <c r="BM266" i="3"/>
  <c r="BO266" i="3" s="1"/>
  <c r="BM263" i="3"/>
  <c r="BO263" i="3" s="1"/>
  <c r="BM267" i="3"/>
  <c r="BO267" i="3" s="1"/>
  <c r="BM4769" i="3"/>
  <c r="BO4769" i="3" s="1"/>
  <c r="BM4774" i="3"/>
  <c r="BO4774" i="3" s="1"/>
  <c r="BM4768" i="3"/>
  <c r="BO4768" i="3" s="1"/>
  <c r="BM4773" i="3"/>
  <c r="BO4773" i="3" s="1"/>
  <c r="BM4767" i="3"/>
  <c r="BO4767" i="3" s="1"/>
  <c r="BM4772" i="3"/>
  <c r="BO4772" i="3" s="1"/>
  <c r="BM4771" i="3"/>
  <c r="BO4771" i="3" s="1"/>
  <c r="BM4770" i="3"/>
  <c r="BO4770" i="3" s="1"/>
  <c r="BM4287" i="3"/>
  <c r="BO4287" i="3" s="1"/>
  <c r="BM4292" i="3"/>
  <c r="BO4292" i="3" s="1"/>
  <c r="BM4286" i="3"/>
  <c r="BO4286" i="3" s="1"/>
  <c r="BM3806" i="3"/>
  <c r="BO3806" i="3" s="1"/>
  <c r="BM4291" i="3"/>
  <c r="BO4291" i="3" s="1"/>
  <c r="BM4285" i="3"/>
  <c r="BO4285" i="3" s="1"/>
  <c r="BM3805" i="3"/>
  <c r="BO3805" i="3" s="1"/>
  <c r="BM4290" i="3"/>
  <c r="BO4290" i="3" s="1"/>
  <c r="BM3810" i="3"/>
  <c r="BO3810" i="3" s="1"/>
  <c r="BM3804" i="3"/>
  <c r="BO3804" i="3" s="1"/>
  <c r="BM4288" i="3"/>
  <c r="BO4288" i="3" s="1"/>
  <c r="BM3324" i="3"/>
  <c r="BO3324" i="3" s="1"/>
  <c r="BM4289" i="3"/>
  <c r="BO4289" i="3" s="1"/>
  <c r="BM3809" i="3"/>
  <c r="BO3809" i="3" s="1"/>
  <c r="BM3323" i="3"/>
  <c r="BO3323" i="3" s="1"/>
  <c r="BM3328" i="3"/>
  <c r="BO3328" i="3" s="1"/>
  <c r="BM3808" i="3"/>
  <c r="BO3808" i="3" s="1"/>
  <c r="BM3322" i="3"/>
  <c r="BO3322" i="3" s="1"/>
  <c r="BM3327" i="3"/>
  <c r="BO3327" i="3" s="1"/>
  <c r="BM3807" i="3"/>
  <c r="BO3807" i="3" s="1"/>
  <c r="BM3321" i="3"/>
  <c r="BO3321" i="3" s="1"/>
  <c r="BM3326" i="3"/>
  <c r="BO3326" i="3" s="1"/>
  <c r="BM3803" i="3"/>
  <c r="BO3803" i="3" s="1"/>
  <c r="BM3325" i="3"/>
  <c r="BO3325" i="3" s="1"/>
  <c r="BM2839" i="3"/>
  <c r="BO2839" i="3" s="1"/>
  <c r="BM2359" i="3"/>
  <c r="BO2359" i="3" s="1"/>
  <c r="BM2844" i="3"/>
  <c r="BO2844" i="3" s="1"/>
  <c r="BM2843" i="3"/>
  <c r="BO2843" i="3" s="1"/>
  <c r="BM2363" i="3"/>
  <c r="BO2363" i="3" s="1"/>
  <c r="BM2842" i="3"/>
  <c r="BO2842" i="3" s="1"/>
  <c r="BM2841" i="3"/>
  <c r="BO2841" i="3" s="1"/>
  <c r="BM2846" i="3"/>
  <c r="BO2846" i="3" s="1"/>
  <c r="BM2845" i="3"/>
  <c r="BO2845" i="3" s="1"/>
  <c r="BM2362" i="3"/>
  <c r="BO2362" i="3" s="1"/>
  <c r="BM1879" i="3"/>
  <c r="BO1879" i="3" s="1"/>
  <c r="BM2361" i="3"/>
  <c r="BO2361" i="3" s="1"/>
  <c r="BM1878" i="3"/>
  <c r="BO1878" i="3" s="1"/>
  <c r="BM2360" i="3"/>
  <c r="BO2360" i="3" s="1"/>
  <c r="BM1877" i="3"/>
  <c r="BO1877" i="3" s="1"/>
  <c r="BM1882" i="3"/>
  <c r="BO1882" i="3" s="1"/>
  <c r="BM2840" i="3"/>
  <c r="BO2840" i="3" s="1"/>
  <c r="BM2358" i="3"/>
  <c r="BO2358" i="3" s="1"/>
  <c r="BM1876" i="3"/>
  <c r="BO1876" i="3" s="1"/>
  <c r="BM1881" i="3"/>
  <c r="BO1881" i="3" s="1"/>
  <c r="BM1875" i="3"/>
  <c r="BO1875" i="3" s="1"/>
  <c r="BM1395" i="3"/>
  <c r="BO1395" i="3" s="1"/>
  <c r="BM1400" i="3"/>
  <c r="BO1400" i="3" s="1"/>
  <c r="BM1394" i="3"/>
  <c r="BO1394" i="3" s="1"/>
  <c r="BM1399" i="3"/>
  <c r="BO1399" i="3" s="1"/>
  <c r="BM2364" i="3"/>
  <c r="BO2364" i="3" s="1"/>
  <c r="BM1880" i="3"/>
  <c r="BO1880" i="3" s="1"/>
  <c r="BM1393" i="3"/>
  <c r="BO1393" i="3" s="1"/>
  <c r="BM2357" i="3"/>
  <c r="BO2357" i="3" s="1"/>
  <c r="BM1398" i="3"/>
  <c r="BO1398" i="3" s="1"/>
  <c r="BM1397" i="3"/>
  <c r="BO1397" i="3" s="1"/>
  <c r="BM1396" i="3"/>
  <c r="BO1396" i="3" s="1"/>
  <c r="BM914" i="3"/>
  <c r="BO914" i="3" s="1"/>
  <c r="BM911" i="3"/>
  <c r="BO911" i="3" s="1"/>
  <c r="BM916" i="3"/>
  <c r="BO916" i="3" s="1"/>
  <c r="BM913" i="3"/>
  <c r="BO913" i="3" s="1"/>
  <c r="BM918" i="3"/>
  <c r="BO918" i="3" s="1"/>
  <c r="BM915" i="3"/>
  <c r="BO915" i="3" s="1"/>
  <c r="BM912" i="3"/>
  <c r="BO912" i="3" s="1"/>
  <c r="BM917" i="3"/>
  <c r="BO917" i="3" s="1"/>
  <c r="BM435" i="3"/>
  <c r="BO435" i="3" s="1"/>
  <c r="BM432" i="3"/>
  <c r="BO432" i="3" s="1"/>
  <c r="BM429" i="3"/>
  <c r="BO429" i="3" s="1"/>
  <c r="BM436" i="3"/>
  <c r="BO436" i="3" s="1"/>
  <c r="BM433" i="3"/>
  <c r="BO433" i="3" s="1"/>
  <c r="BM430" i="3"/>
  <c r="BO430" i="3" s="1"/>
  <c r="BM434" i="3"/>
  <c r="BO434" i="3" s="1"/>
  <c r="BM431" i="3"/>
  <c r="BO431" i="3" s="1"/>
  <c r="BH43" i="3"/>
  <c r="BH161" i="3"/>
  <c r="BM4380" i="3"/>
  <c r="BO4380" i="3" s="1"/>
  <c r="BM4379" i="3"/>
  <c r="BO4379" i="3" s="1"/>
  <c r="BM4378" i="3"/>
  <c r="BO4378" i="3" s="1"/>
  <c r="BM4377" i="3"/>
  <c r="BO4377" i="3" s="1"/>
  <c r="BM4382" i="3"/>
  <c r="BO4382" i="3" s="1"/>
  <c r="BM4375" i="3"/>
  <c r="BO4375" i="3" s="1"/>
  <c r="BM3898" i="3"/>
  <c r="BO3898" i="3" s="1"/>
  <c r="BM3897" i="3"/>
  <c r="BO3897" i="3" s="1"/>
  <c r="BM4381" i="3"/>
  <c r="BO4381" i="3" s="1"/>
  <c r="BM4376" i="3"/>
  <c r="BO4376" i="3" s="1"/>
  <c r="BM3896" i="3"/>
  <c r="BO3896" i="3" s="1"/>
  <c r="BM3895" i="3"/>
  <c r="BO3895" i="3" s="1"/>
  <c r="BM3900" i="3"/>
  <c r="BO3900" i="3" s="1"/>
  <c r="BM3415" i="3"/>
  <c r="BO3415" i="3" s="1"/>
  <c r="BM3894" i="3"/>
  <c r="BO3894" i="3" s="1"/>
  <c r="BM3414" i="3"/>
  <c r="BO3414" i="3" s="1"/>
  <c r="BM3893" i="3"/>
  <c r="BO3893" i="3" s="1"/>
  <c r="BM3413" i="3"/>
  <c r="BO3413" i="3" s="1"/>
  <c r="BM3418" i="3"/>
  <c r="BO3418" i="3" s="1"/>
  <c r="BM3412" i="3"/>
  <c r="BO3412" i="3" s="1"/>
  <c r="BM3417" i="3"/>
  <c r="BO3417" i="3" s="1"/>
  <c r="BM3411" i="3"/>
  <c r="BO3411" i="3" s="1"/>
  <c r="BM3899" i="3"/>
  <c r="BO3899" i="3" s="1"/>
  <c r="BM2935" i="3"/>
  <c r="BO2935" i="3" s="1"/>
  <c r="BM2929" i="3"/>
  <c r="BO2929" i="3" s="1"/>
  <c r="BM2449" i="3"/>
  <c r="BO2449" i="3" s="1"/>
  <c r="BM2934" i="3"/>
  <c r="BO2934" i="3" s="1"/>
  <c r="BM2454" i="3"/>
  <c r="BO2454" i="3" s="1"/>
  <c r="BM2448" i="3"/>
  <c r="BO2448" i="3" s="1"/>
  <c r="BM2933" i="3"/>
  <c r="BO2933" i="3" s="1"/>
  <c r="BM2932" i="3"/>
  <c r="BO2932" i="3" s="1"/>
  <c r="BM2931" i="3"/>
  <c r="BO2931" i="3" s="1"/>
  <c r="BM3416" i="3"/>
  <c r="BO3416" i="3" s="1"/>
  <c r="BM1965" i="3"/>
  <c r="BO1965" i="3" s="1"/>
  <c r="BM2447" i="3"/>
  <c r="BO2447" i="3" s="1"/>
  <c r="BM1970" i="3"/>
  <c r="BO1970" i="3" s="1"/>
  <c r="BM1969" i="3"/>
  <c r="BO1969" i="3" s="1"/>
  <c r="BM2453" i="3"/>
  <c r="BO2453" i="3" s="1"/>
  <c r="BM2936" i="3"/>
  <c r="BO2936" i="3" s="1"/>
  <c r="BM1968" i="3"/>
  <c r="BO1968" i="3" s="1"/>
  <c r="BM2452" i="3"/>
  <c r="BO2452" i="3" s="1"/>
  <c r="BM2930" i="3"/>
  <c r="BO2930" i="3" s="1"/>
  <c r="BM1967" i="3"/>
  <c r="BO1967" i="3" s="1"/>
  <c r="BM2451" i="3"/>
  <c r="BO2451" i="3" s="1"/>
  <c r="BM1972" i="3"/>
  <c r="BO1972" i="3" s="1"/>
  <c r="BM2450" i="3"/>
  <c r="BO2450" i="3" s="1"/>
  <c r="BM1971" i="3"/>
  <c r="BO1971" i="3" s="1"/>
  <c r="BM1486" i="3"/>
  <c r="BO1486" i="3" s="1"/>
  <c r="BM1485" i="3"/>
  <c r="BO1485" i="3" s="1"/>
  <c r="BM1490" i="3"/>
  <c r="BO1490" i="3" s="1"/>
  <c r="BM1004" i="3"/>
  <c r="BO1004" i="3" s="1"/>
  <c r="BM1966" i="3"/>
  <c r="BO1966" i="3" s="1"/>
  <c r="BM1484" i="3"/>
  <c r="BO1484" i="3" s="1"/>
  <c r="BM1489" i="3"/>
  <c r="BO1489" i="3" s="1"/>
  <c r="BM1483" i="3"/>
  <c r="BO1483" i="3" s="1"/>
  <c r="BM1488" i="3"/>
  <c r="BO1488" i="3" s="1"/>
  <c r="BM1002" i="3"/>
  <c r="BO1002" i="3" s="1"/>
  <c r="BM1008" i="3"/>
  <c r="BO1008" i="3" s="1"/>
  <c r="BM1005" i="3"/>
  <c r="BO1005" i="3" s="1"/>
  <c r="BM1487" i="3"/>
  <c r="BO1487" i="3" s="1"/>
  <c r="BM1001" i="3"/>
  <c r="BO1001" i="3" s="1"/>
  <c r="BM1007" i="3"/>
  <c r="BO1007" i="3" s="1"/>
  <c r="BM519" i="3"/>
  <c r="BO519" i="3" s="1"/>
  <c r="BM524" i="3"/>
  <c r="BO524" i="3" s="1"/>
  <c r="BM521" i="3"/>
  <c r="BO521" i="3" s="1"/>
  <c r="BM526" i="3"/>
  <c r="BO526" i="3" s="1"/>
  <c r="BM1006" i="3"/>
  <c r="BO1006" i="3" s="1"/>
  <c r="BM523" i="3"/>
  <c r="BO523" i="3" s="1"/>
  <c r="BM1003" i="3"/>
  <c r="BO1003" i="3" s="1"/>
  <c r="BM520" i="3"/>
  <c r="BO520" i="3" s="1"/>
  <c r="BM522" i="3"/>
  <c r="BO522" i="3" s="1"/>
  <c r="BM525" i="3"/>
  <c r="BO525" i="3" s="1"/>
  <c r="BM44" i="3"/>
  <c r="BO44" i="3" s="1"/>
  <c r="BM40" i="3"/>
  <c r="BO40" i="3" s="1"/>
  <c r="BM39" i="3"/>
  <c r="BO39" i="3" s="1"/>
  <c r="BM38" i="3"/>
  <c r="BO38" i="3" s="1"/>
  <c r="BM37" i="3"/>
  <c r="BO37" i="3" s="1"/>
  <c r="BM42" i="3"/>
  <c r="BO42" i="3" s="1"/>
  <c r="BM41" i="3"/>
  <c r="BO41" i="3" s="1"/>
  <c r="BM43" i="3"/>
  <c r="BO43" i="3" s="1"/>
  <c r="BM4465" i="3"/>
  <c r="BO4465" i="3" s="1"/>
  <c r="BM4470" i="3"/>
  <c r="BO4470" i="3" s="1"/>
  <c r="BM4464" i="3"/>
  <c r="BO4464" i="3" s="1"/>
  <c r="BM4469" i="3"/>
  <c r="BO4469" i="3" s="1"/>
  <c r="BM4463" i="3"/>
  <c r="BO4463" i="3" s="1"/>
  <c r="BM4468" i="3"/>
  <c r="BO4468" i="3" s="1"/>
  <c r="BM4467" i="3"/>
  <c r="BO4467" i="3" s="1"/>
  <c r="BM4466" i="3"/>
  <c r="BO4466" i="3" s="1"/>
  <c r="BM3988" i="3"/>
  <c r="BO3988" i="3" s="1"/>
  <c r="BM3982" i="3"/>
  <c r="BO3982" i="3" s="1"/>
  <c r="BM3987" i="3"/>
  <c r="BO3987" i="3" s="1"/>
  <c r="BM3981" i="3"/>
  <c r="BO3981" i="3" s="1"/>
  <c r="BM3986" i="3"/>
  <c r="BO3986" i="3" s="1"/>
  <c r="BM3984" i="3"/>
  <c r="BO3984" i="3" s="1"/>
  <c r="BM3500" i="3"/>
  <c r="BO3500" i="3" s="1"/>
  <c r="BM3020" i="3"/>
  <c r="BO3020" i="3" s="1"/>
  <c r="BM3505" i="3"/>
  <c r="BO3505" i="3" s="1"/>
  <c r="BM3499" i="3"/>
  <c r="BO3499" i="3" s="1"/>
  <c r="BM3504" i="3"/>
  <c r="BO3504" i="3" s="1"/>
  <c r="BM3503" i="3"/>
  <c r="BO3503" i="3" s="1"/>
  <c r="BM3502" i="3"/>
  <c r="BO3502" i="3" s="1"/>
  <c r="BM3985" i="3"/>
  <c r="BO3985" i="3" s="1"/>
  <c r="BM3983" i="3"/>
  <c r="BO3983" i="3" s="1"/>
  <c r="BM3501" i="3"/>
  <c r="BO3501" i="3" s="1"/>
  <c r="BM2535" i="3"/>
  <c r="BO2535" i="3" s="1"/>
  <c r="BM2540" i="3"/>
  <c r="BO2540" i="3" s="1"/>
  <c r="BM3019" i="3"/>
  <c r="BO3019" i="3" s="1"/>
  <c r="BM3018" i="3"/>
  <c r="BO3018" i="3" s="1"/>
  <c r="BM2539" i="3"/>
  <c r="BO2539" i="3" s="1"/>
  <c r="BM3024" i="3"/>
  <c r="BO3024" i="3" s="1"/>
  <c r="BM3017" i="3"/>
  <c r="BO3017" i="3" s="1"/>
  <c r="BM2538" i="3"/>
  <c r="BO2538" i="3" s="1"/>
  <c r="BM3023" i="3"/>
  <c r="BO3023" i="3" s="1"/>
  <c r="BM2537" i="3"/>
  <c r="BO2537" i="3" s="1"/>
  <c r="BM3022" i="3"/>
  <c r="BO3022" i="3" s="1"/>
  <c r="BM3021" i="3"/>
  <c r="BO3021" i="3" s="1"/>
  <c r="BM2541" i="3"/>
  <c r="BO2541" i="3" s="1"/>
  <c r="BM2055" i="3"/>
  <c r="BO2055" i="3" s="1"/>
  <c r="BM2060" i="3"/>
  <c r="BO2060" i="3" s="1"/>
  <c r="BM2054" i="3"/>
  <c r="BO2054" i="3" s="1"/>
  <c r="BM2059" i="3"/>
  <c r="BO2059" i="3" s="1"/>
  <c r="BM2053" i="3"/>
  <c r="BO2053" i="3" s="1"/>
  <c r="BM2542" i="3"/>
  <c r="BO2542" i="3" s="1"/>
  <c r="BM2058" i="3"/>
  <c r="BO2058" i="3" s="1"/>
  <c r="BM2057" i="3"/>
  <c r="BO2057" i="3" s="1"/>
  <c r="BM3506" i="3"/>
  <c r="BO3506" i="3" s="1"/>
  <c r="BM2536" i="3"/>
  <c r="BO2536" i="3" s="1"/>
  <c r="BM1571" i="3"/>
  <c r="BO1571" i="3" s="1"/>
  <c r="BM1090" i="3"/>
  <c r="BO1090" i="3" s="1"/>
  <c r="BM1576" i="3"/>
  <c r="BO1576" i="3" s="1"/>
  <c r="BM1095" i="3"/>
  <c r="BO1095" i="3" s="1"/>
  <c r="BM2056" i="3"/>
  <c r="BO2056" i="3" s="1"/>
  <c r="BM1575" i="3"/>
  <c r="BO1575" i="3" s="1"/>
  <c r="BM1092" i="3"/>
  <c r="BO1092" i="3" s="1"/>
  <c r="BM1089" i="3"/>
  <c r="BO1089" i="3" s="1"/>
  <c r="BM1574" i="3"/>
  <c r="BO1574" i="3" s="1"/>
  <c r="BM1094" i="3"/>
  <c r="BO1094" i="3" s="1"/>
  <c r="BM1573" i="3"/>
  <c r="BO1573" i="3" s="1"/>
  <c r="BM1578" i="3"/>
  <c r="BO1578" i="3" s="1"/>
  <c r="BM1572" i="3"/>
  <c r="BO1572" i="3" s="1"/>
  <c r="BM1577" i="3"/>
  <c r="BO1577" i="3" s="1"/>
  <c r="BM1093" i="3"/>
  <c r="BO1093" i="3" s="1"/>
  <c r="BM1091" i="3"/>
  <c r="BO1091" i="3" s="1"/>
  <c r="BM1096" i="3"/>
  <c r="BO1096" i="3" s="1"/>
  <c r="BM607" i="3"/>
  <c r="BO607" i="3" s="1"/>
  <c r="BM612" i="3"/>
  <c r="BO612" i="3" s="1"/>
  <c r="BM609" i="3"/>
  <c r="BO609" i="3" s="1"/>
  <c r="BM614" i="3"/>
  <c r="BO614" i="3" s="1"/>
  <c r="BM611" i="3"/>
  <c r="BO611" i="3" s="1"/>
  <c r="BM608" i="3"/>
  <c r="BO608" i="3" s="1"/>
  <c r="BM610" i="3"/>
  <c r="BO610" i="3" s="1"/>
  <c r="BM613" i="3"/>
  <c r="BO613" i="3" s="1"/>
  <c r="BM132" i="3"/>
  <c r="BO132" i="3" s="1"/>
  <c r="BM129" i="3"/>
  <c r="BO129" i="3" s="1"/>
  <c r="BM126" i="3"/>
  <c r="BO126" i="3" s="1"/>
  <c r="BM130" i="3"/>
  <c r="BO130" i="3" s="1"/>
  <c r="BM127" i="3"/>
  <c r="BO127" i="3" s="1"/>
  <c r="BM131" i="3"/>
  <c r="BO131" i="3" s="1"/>
  <c r="BM125" i="3"/>
  <c r="BO125" i="3" s="1"/>
  <c r="BM128" i="3"/>
  <c r="BO128" i="3" s="1"/>
  <c r="BM4609" i="3"/>
  <c r="BO4609" i="3" s="1"/>
  <c r="BM4614" i="3"/>
  <c r="BO4614" i="3" s="1"/>
  <c r="BM4608" i="3"/>
  <c r="BO4608" i="3" s="1"/>
  <c r="BM4613" i="3"/>
  <c r="BO4613" i="3" s="1"/>
  <c r="BM4607" i="3"/>
  <c r="BO4607" i="3" s="1"/>
  <c r="BM4612" i="3"/>
  <c r="BO4612" i="3" s="1"/>
  <c r="BM4611" i="3"/>
  <c r="BO4611" i="3" s="1"/>
  <c r="BM4610" i="3"/>
  <c r="BO4610" i="3" s="1"/>
  <c r="BM4132" i="3"/>
  <c r="BO4132" i="3" s="1"/>
  <c r="BM4126" i="3"/>
  <c r="BO4126" i="3" s="1"/>
  <c r="BM4131" i="3"/>
  <c r="BO4131" i="3" s="1"/>
  <c r="BM4125" i="3"/>
  <c r="BO4125" i="3" s="1"/>
  <c r="BM4130" i="3"/>
  <c r="BO4130" i="3" s="1"/>
  <c r="BM4128" i="3"/>
  <c r="BO4128" i="3" s="1"/>
  <c r="BM3643" i="3"/>
  <c r="BO3643" i="3" s="1"/>
  <c r="BM3164" i="3"/>
  <c r="BO3164" i="3" s="1"/>
  <c r="BM3649" i="3"/>
  <c r="BO3649" i="3" s="1"/>
  <c r="BM3163" i="3"/>
  <c r="BO3163" i="3" s="1"/>
  <c r="BM3648" i="3"/>
  <c r="BO3648" i="3" s="1"/>
  <c r="BM3168" i="3"/>
  <c r="BO3168" i="3" s="1"/>
  <c r="BM3647" i="3"/>
  <c r="BO3647" i="3" s="1"/>
  <c r="BM3646" i="3"/>
  <c r="BO3646" i="3" s="1"/>
  <c r="BM3645" i="3"/>
  <c r="BO3645" i="3" s="1"/>
  <c r="BM3161" i="3"/>
  <c r="BO3161" i="3" s="1"/>
  <c r="BM4129" i="3"/>
  <c r="BO4129" i="3" s="1"/>
  <c r="BM3166" i="3"/>
  <c r="BO3166" i="3" s="1"/>
  <c r="BM3165" i="3"/>
  <c r="BO3165" i="3" s="1"/>
  <c r="BM2679" i="3"/>
  <c r="BO2679" i="3" s="1"/>
  <c r="BM3162" i="3"/>
  <c r="BO3162" i="3" s="1"/>
  <c r="BM2684" i="3"/>
  <c r="BO2684" i="3" s="1"/>
  <c r="BM2683" i="3"/>
  <c r="BO2683" i="3" s="1"/>
  <c r="BM2682" i="3"/>
  <c r="BO2682" i="3" s="1"/>
  <c r="BM2681" i="3"/>
  <c r="BO2681" i="3" s="1"/>
  <c r="BM2686" i="3"/>
  <c r="BO2686" i="3" s="1"/>
  <c r="BM4127" i="3"/>
  <c r="BO4127" i="3" s="1"/>
  <c r="BM3644" i="3"/>
  <c r="BO3644" i="3" s="1"/>
  <c r="BM3167" i="3"/>
  <c r="BO3167" i="3" s="1"/>
  <c r="BM2685" i="3"/>
  <c r="BO2685" i="3" s="1"/>
  <c r="BM2199" i="3"/>
  <c r="BO2199" i="3" s="1"/>
  <c r="BM1719" i="3"/>
  <c r="BO1719" i="3" s="1"/>
  <c r="BM2204" i="3"/>
  <c r="BO2204" i="3" s="1"/>
  <c r="BM2198" i="3"/>
  <c r="BO2198" i="3" s="1"/>
  <c r="BM1718" i="3"/>
  <c r="BO1718" i="3" s="1"/>
  <c r="BM2203" i="3"/>
  <c r="BO2203" i="3" s="1"/>
  <c r="BM2680" i="3"/>
  <c r="BO2680" i="3" s="1"/>
  <c r="BM3650" i="3"/>
  <c r="BO3650" i="3" s="1"/>
  <c r="BM2197" i="3"/>
  <c r="BO2197" i="3" s="1"/>
  <c r="BM2202" i="3"/>
  <c r="BO2202" i="3" s="1"/>
  <c r="BM2201" i="3"/>
  <c r="BO2201" i="3" s="1"/>
  <c r="BM1722" i="3"/>
  <c r="BO1722" i="3" s="1"/>
  <c r="BM1715" i="3"/>
  <c r="BO1715" i="3" s="1"/>
  <c r="BM1235" i="3"/>
  <c r="BO1235" i="3" s="1"/>
  <c r="BM1240" i="3"/>
  <c r="BO1240" i="3" s="1"/>
  <c r="BM1721" i="3"/>
  <c r="BO1721" i="3" s="1"/>
  <c r="BM1234" i="3"/>
  <c r="BO1234" i="3" s="1"/>
  <c r="BM1239" i="3"/>
  <c r="BO1239" i="3" s="1"/>
  <c r="BM1720" i="3"/>
  <c r="BO1720" i="3" s="1"/>
  <c r="BM1233" i="3"/>
  <c r="BO1233" i="3" s="1"/>
  <c r="BM1238" i="3"/>
  <c r="BO1238" i="3" s="1"/>
  <c r="BM1717" i="3"/>
  <c r="BO1717" i="3" s="1"/>
  <c r="BM1237" i="3"/>
  <c r="BO1237" i="3" s="1"/>
  <c r="BM1716" i="3"/>
  <c r="BO1716" i="3" s="1"/>
  <c r="BM1236" i="3"/>
  <c r="BO1236" i="3" s="1"/>
  <c r="BM2200" i="3"/>
  <c r="BO2200" i="3" s="1"/>
  <c r="BM754" i="3"/>
  <c r="BO754" i="3" s="1"/>
  <c r="BM751" i="3"/>
  <c r="BO751" i="3" s="1"/>
  <c r="BM756" i="3"/>
  <c r="BO756" i="3" s="1"/>
  <c r="BM753" i="3"/>
  <c r="BO753" i="3" s="1"/>
  <c r="BM758" i="3"/>
  <c r="BO758" i="3" s="1"/>
  <c r="BM755" i="3"/>
  <c r="BO755" i="3" s="1"/>
  <c r="BM752" i="3"/>
  <c r="BO752" i="3" s="1"/>
  <c r="BM757" i="3"/>
  <c r="BO757" i="3" s="1"/>
  <c r="BM274" i="3"/>
  <c r="BO274" i="3" s="1"/>
  <c r="BM271" i="3"/>
  <c r="BO271" i="3" s="1"/>
  <c r="BM275" i="3"/>
  <c r="BO275" i="3" s="1"/>
  <c r="BM272" i="3"/>
  <c r="BO272" i="3" s="1"/>
  <c r="BM269" i="3"/>
  <c r="BO269" i="3" s="1"/>
  <c r="BM270" i="3"/>
  <c r="BO270" i="3" s="1"/>
  <c r="BM276" i="3"/>
  <c r="BO276" i="3" s="1"/>
  <c r="BM273" i="3"/>
  <c r="BO273" i="3" s="1"/>
  <c r="BM4785" i="3"/>
  <c r="BO4785" i="3" s="1"/>
  <c r="BM4790" i="3"/>
  <c r="BO4790" i="3" s="1"/>
  <c r="BM4784" i="3"/>
  <c r="BO4784" i="3" s="1"/>
  <c r="BM4789" i="3"/>
  <c r="BO4789" i="3" s="1"/>
  <c r="BM4783" i="3"/>
  <c r="BO4783" i="3" s="1"/>
  <c r="BM4788" i="3"/>
  <c r="BO4788" i="3" s="1"/>
  <c r="BM4787" i="3"/>
  <c r="BO4787" i="3" s="1"/>
  <c r="BM4786" i="3"/>
  <c r="BO4786" i="3" s="1"/>
  <c r="BM4303" i="3"/>
  <c r="BO4303" i="3" s="1"/>
  <c r="BM4308" i="3"/>
  <c r="BO4308" i="3" s="1"/>
  <c r="BM4302" i="3"/>
  <c r="BO4302" i="3" s="1"/>
  <c r="BM3822" i="3"/>
  <c r="BO3822" i="3" s="1"/>
  <c r="BM4307" i="3"/>
  <c r="BO4307" i="3" s="1"/>
  <c r="BM4301" i="3"/>
  <c r="BO4301" i="3" s="1"/>
  <c r="BM3821" i="3"/>
  <c r="BO3821" i="3" s="1"/>
  <c r="BM4306" i="3"/>
  <c r="BO4306" i="3" s="1"/>
  <c r="BM3826" i="3"/>
  <c r="BO3826" i="3" s="1"/>
  <c r="BM3820" i="3"/>
  <c r="BO3820" i="3" s="1"/>
  <c r="BM4304" i="3"/>
  <c r="BO4304" i="3" s="1"/>
  <c r="BM3340" i="3"/>
  <c r="BO3340" i="3" s="1"/>
  <c r="BM3825" i="3"/>
  <c r="BO3825" i="3" s="1"/>
  <c r="BM3339" i="3"/>
  <c r="BO3339" i="3" s="1"/>
  <c r="BM3824" i="3"/>
  <c r="BO3824" i="3" s="1"/>
  <c r="BM3344" i="3"/>
  <c r="BO3344" i="3" s="1"/>
  <c r="BM3823" i="3"/>
  <c r="BO3823" i="3" s="1"/>
  <c r="BM3338" i="3"/>
  <c r="BO3338" i="3" s="1"/>
  <c r="BM3343" i="3"/>
  <c r="BO3343" i="3" s="1"/>
  <c r="BM3819" i="3"/>
  <c r="BO3819" i="3" s="1"/>
  <c r="BM3337" i="3"/>
  <c r="BO3337" i="3" s="1"/>
  <c r="BM3342" i="3"/>
  <c r="BO3342" i="3" s="1"/>
  <c r="BM4305" i="3"/>
  <c r="BO4305" i="3" s="1"/>
  <c r="BM3341" i="3"/>
  <c r="BO3341" i="3" s="1"/>
  <c r="BM2855" i="3"/>
  <c r="BO2855" i="3" s="1"/>
  <c r="BM2375" i="3"/>
  <c r="BO2375" i="3" s="1"/>
  <c r="BM2860" i="3"/>
  <c r="BO2860" i="3" s="1"/>
  <c r="BM2859" i="3"/>
  <c r="BO2859" i="3" s="1"/>
  <c r="BM2379" i="3"/>
  <c r="BO2379" i="3" s="1"/>
  <c r="BM2858" i="3"/>
  <c r="BO2858" i="3" s="1"/>
  <c r="BM2857" i="3"/>
  <c r="BO2857" i="3" s="1"/>
  <c r="BM2862" i="3"/>
  <c r="BO2862" i="3" s="1"/>
  <c r="BM2861" i="3"/>
  <c r="BO2861" i="3" s="1"/>
  <c r="BM2376" i="3"/>
  <c r="BO2376" i="3" s="1"/>
  <c r="BM1895" i="3"/>
  <c r="BO1895" i="3" s="1"/>
  <c r="BM2856" i="3"/>
  <c r="BO2856" i="3" s="1"/>
  <c r="BM2374" i="3"/>
  <c r="BO2374" i="3" s="1"/>
  <c r="BM1894" i="3"/>
  <c r="BO1894" i="3" s="1"/>
  <c r="BM2373" i="3"/>
  <c r="BO2373" i="3" s="1"/>
  <c r="BM2380" i="3"/>
  <c r="BO2380" i="3" s="1"/>
  <c r="BM1893" i="3"/>
  <c r="BO1893" i="3" s="1"/>
  <c r="BM1898" i="3"/>
  <c r="BO1898" i="3" s="1"/>
  <c r="BM2378" i="3"/>
  <c r="BO2378" i="3" s="1"/>
  <c r="BM1892" i="3"/>
  <c r="BO1892" i="3" s="1"/>
  <c r="BM1897" i="3"/>
  <c r="BO1897" i="3" s="1"/>
  <c r="BM2377" i="3"/>
  <c r="BO2377" i="3" s="1"/>
  <c r="BM1891" i="3"/>
  <c r="BO1891" i="3" s="1"/>
  <c r="BM1896" i="3"/>
  <c r="BO1896" i="3" s="1"/>
  <c r="BM1411" i="3"/>
  <c r="BO1411" i="3" s="1"/>
  <c r="BM1416" i="3"/>
  <c r="BO1416" i="3" s="1"/>
  <c r="BM1410" i="3"/>
  <c r="BO1410" i="3" s="1"/>
  <c r="BM1415" i="3"/>
  <c r="BO1415" i="3" s="1"/>
  <c r="BM1409" i="3"/>
  <c r="BO1409" i="3" s="1"/>
  <c r="BM1414" i="3"/>
  <c r="BO1414" i="3" s="1"/>
  <c r="BM1413" i="3"/>
  <c r="BO1413" i="3" s="1"/>
  <c r="BM1412" i="3"/>
  <c r="BO1412" i="3" s="1"/>
  <c r="BM930" i="3"/>
  <c r="BO930" i="3" s="1"/>
  <c r="BM927" i="3"/>
  <c r="BO927" i="3" s="1"/>
  <c r="BM932" i="3"/>
  <c r="BO932" i="3" s="1"/>
  <c r="BM929" i="3"/>
  <c r="BO929" i="3" s="1"/>
  <c r="BM934" i="3"/>
  <c r="BO934" i="3" s="1"/>
  <c r="BM931" i="3"/>
  <c r="BO931" i="3" s="1"/>
  <c r="BM928" i="3"/>
  <c r="BO928" i="3" s="1"/>
  <c r="BM933" i="3"/>
  <c r="BO933" i="3" s="1"/>
  <c r="BM451" i="3"/>
  <c r="BO451" i="3" s="1"/>
  <c r="BM448" i="3"/>
  <c r="BO448" i="3" s="1"/>
  <c r="BM445" i="3"/>
  <c r="BO445" i="3" s="1"/>
  <c r="BM452" i="3"/>
  <c r="BO452" i="3" s="1"/>
  <c r="BM449" i="3"/>
  <c r="BO449" i="3" s="1"/>
  <c r="BM446" i="3"/>
  <c r="BO446" i="3" s="1"/>
  <c r="BM450" i="3"/>
  <c r="BO450" i="3" s="1"/>
  <c r="BM447" i="3"/>
  <c r="BO447" i="3" s="1"/>
  <c r="BH278" i="3"/>
  <c r="C361" i="1"/>
  <c r="C362" i="1" s="1"/>
  <c r="BM4641" i="3"/>
  <c r="BO4641" i="3" s="1"/>
  <c r="BM4646" i="3"/>
  <c r="BO4646" i="3" s="1"/>
  <c r="BM4640" i="3"/>
  <c r="BO4640" i="3" s="1"/>
  <c r="BM4645" i="3"/>
  <c r="BO4645" i="3" s="1"/>
  <c r="BM4639" i="3"/>
  <c r="BO4639" i="3" s="1"/>
  <c r="BM4644" i="3"/>
  <c r="BO4644" i="3" s="1"/>
  <c r="BM4643" i="3"/>
  <c r="BO4643" i="3" s="1"/>
  <c r="BM4642" i="3"/>
  <c r="BO4642" i="3" s="1"/>
  <c r="BM4164" i="3"/>
  <c r="BO4164" i="3" s="1"/>
  <c r="BM4158" i="3"/>
  <c r="BO4158" i="3" s="1"/>
  <c r="BM3678" i="3"/>
  <c r="BO3678" i="3" s="1"/>
  <c r="BM4163" i="3"/>
  <c r="BO4163" i="3" s="1"/>
  <c r="BM4157" i="3"/>
  <c r="BO4157" i="3" s="1"/>
  <c r="BM4162" i="3"/>
  <c r="BO4162" i="3" s="1"/>
  <c r="BM4160" i="3"/>
  <c r="BO4160" i="3" s="1"/>
  <c r="BM3196" i="3"/>
  <c r="BO3196" i="3" s="1"/>
  <c r="BM3680" i="3"/>
  <c r="BO3680" i="3" s="1"/>
  <c r="BM3679" i="3"/>
  <c r="BO3679" i="3" s="1"/>
  <c r="BM3195" i="3"/>
  <c r="BO3195" i="3" s="1"/>
  <c r="BM3200" i="3"/>
  <c r="BO3200" i="3" s="1"/>
  <c r="BM3677" i="3"/>
  <c r="BO3677" i="3" s="1"/>
  <c r="BM3194" i="3"/>
  <c r="BO3194" i="3" s="1"/>
  <c r="BM3199" i="3"/>
  <c r="BO3199" i="3" s="1"/>
  <c r="BM4161" i="3"/>
  <c r="BO4161" i="3" s="1"/>
  <c r="BM3676" i="3"/>
  <c r="BO3676" i="3" s="1"/>
  <c r="BM3193" i="3"/>
  <c r="BO3193" i="3" s="1"/>
  <c r="BM4159" i="3"/>
  <c r="BO4159" i="3" s="1"/>
  <c r="BM3198" i="3"/>
  <c r="BO3198" i="3" s="1"/>
  <c r="BM3682" i="3"/>
  <c r="BO3682" i="3" s="1"/>
  <c r="BM3675" i="3"/>
  <c r="BO3675" i="3" s="1"/>
  <c r="BM3197" i="3"/>
  <c r="BO3197" i="3" s="1"/>
  <c r="BM2711" i="3"/>
  <c r="BO2711" i="3" s="1"/>
  <c r="BM2716" i="3"/>
  <c r="BO2716" i="3" s="1"/>
  <c r="BM2715" i="3"/>
  <c r="BO2715" i="3" s="1"/>
  <c r="BM3681" i="3"/>
  <c r="BO3681" i="3" s="1"/>
  <c r="BM2714" i="3"/>
  <c r="BO2714" i="3" s="1"/>
  <c r="BM2713" i="3"/>
  <c r="BO2713" i="3" s="1"/>
  <c r="BM2718" i="3"/>
  <c r="BO2718" i="3" s="1"/>
  <c r="BM2717" i="3"/>
  <c r="BO2717" i="3" s="1"/>
  <c r="BM2231" i="3"/>
  <c r="BO2231" i="3" s="1"/>
  <c r="BM1751" i="3"/>
  <c r="BO1751" i="3" s="1"/>
  <c r="BM2236" i="3"/>
  <c r="BO2236" i="3" s="1"/>
  <c r="BM2230" i="3"/>
  <c r="BO2230" i="3" s="1"/>
  <c r="BM1750" i="3"/>
  <c r="BO1750" i="3" s="1"/>
  <c r="BM2235" i="3"/>
  <c r="BO2235" i="3" s="1"/>
  <c r="BM2229" i="3"/>
  <c r="BO2229" i="3" s="1"/>
  <c r="BM2234" i="3"/>
  <c r="BO2234" i="3" s="1"/>
  <c r="BM2712" i="3"/>
  <c r="BO2712" i="3" s="1"/>
  <c r="BM2233" i="3"/>
  <c r="BO2233" i="3" s="1"/>
  <c r="BM1267" i="3"/>
  <c r="BO1267" i="3" s="1"/>
  <c r="BM1272" i="3"/>
  <c r="BO1272" i="3" s="1"/>
  <c r="BM2232" i="3"/>
  <c r="BO2232" i="3" s="1"/>
  <c r="BM1749" i="3"/>
  <c r="BO1749" i="3" s="1"/>
  <c r="BM1266" i="3"/>
  <c r="BO1266" i="3" s="1"/>
  <c r="BM1271" i="3"/>
  <c r="BO1271" i="3" s="1"/>
  <c r="BM1748" i="3"/>
  <c r="BO1748" i="3" s="1"/>
  <c r="BM1265" i="3"/>
  <c r="BO1265" i="3" s="1"/>
  <c r="BM1754" i="3"/>
  <c r="BO1754" i="3" s="1"/>
  <c r="BM1270" i="3"/>
  <c r="BO1270" i="3" s="1"/>
  <c r="BM1747" i="3"/>
  <c r="BO1747" i="3" s="1"/>
  <c r="BM1753" i="3"/>
  <c r="BO1753" i="3" s="1"/>
  <c r="BM1269" i="3"/>
  <c r="BO1269" i="3" s="1"/>
  <c r="BM1752" i="3"/>
  <c r="BO1752" i="3" s="1"/>
  <c r="BM1268" i="3"/>
  <c r="BO1268" i="3" s="1"/>
  <c r="BM786" i="3"/>
  <c r="BO786" i="3" s="1"/>
  <c r="BM783" i="3"/>
  <c r="BO783" i="3" s="1"/>
  <c r="BM788" i="3"/>
  <c r="BO788" i="3" s="1"/>
  <c r="BM785" i="3"/>
  <c r="BO785" i="3" s="1"/>
  <c r="BM790" i="3"/>
  <c r="BO790" i="3" s="1"/>
  <c r="BM787" i="3"/>
  <c r="BO787" i="3" s="1"/>
  <c r="BM784" i="3"/>
  <c r="BO784" i="3" s="1"/>
  <c r="BM789" i="3"/>
  <c r="BO789" i="3" s="1"/>
  <c r="BM306" i="3"/>
  <c r="BO306" i="3" s="1"/>
  <c r="BM303" i="3"/>
  <c r="BO303" i="3" s="1"/>
  <c r="BM307" i="3"/>
  <c r="BO307" i="3" s="1"/>
  <c r="BM304" i="3"/>
  <c r="BO304" i="3" s="1"/>
  <c r="BM301" i="3"/>
  <c r="BO301" i="3" s="1"/>
  <c r="BM302" i="3"/>
  <c r="BO302" i="3" s="1"/>
  <c r="BM308" i="3"/>
  <c r="BO308" i="3" s="1"/>
  <c r="BM305" i="3"/>
  <c r="BO305" i="3" s="1"/>
  <c r="BM4401" i="3"/>
  <c r="BO4401" i="3" s="1"/>
  <c r="BM4406" i="3"/>
  <c r="BO4406" i="3" s="1"/>
  <c r="BM4400" i="3"/>
  <c r="BO4400" i="3" s="1"/>
  <c r="BM4405" i="3"/>
  <c r="BO4405" i="3" s="1"/>
  <c r="BM4399" i="3"/>
  <c r="BO4399" i="3" s="1"/>
  <c r="BM4404" i="3"/>
  <c r="BO4404" i="3" s="1"/>
  <c r="BM4403" i="3"/>
  <c r="BO4403" i="3" s="1"/>
  <c r="BM4402" i="3"/>
  <c r="BO4402" i="3" s="1"/>
  <c r="BM3924" i="3"/>
  <c r="BO3924" i="3" s="1"/>
  <c r="BM3918" i="3"/>
  <c r="BO3918" i="3" s="1"/>
  <c r="BM3923" i="3"/>
  <c r="BO3923" i="3" s="1"/>
  <c r="BM3917" i="3"/>
  <c r="BO3917" i="3" s="1"/>
  <c r="BM3922" i="3"/>
  <c r="BO3922" i="3" s="1"/>
  <c r="BM3920" i="3"/>
  <c r="BO3920" i="3" s="1"/>
  <c r="BM3436" i="3"/>
  <c r="BO3436" i="3" s="1"/>
  <c r="BM3441" i="3"/>
  <c r="BO3441" i="3" s="1"/>
  <c r="BM3435" i="3"/>
  <c r="BO3435" i="3" s="1"/>
  <c r="BM3440" i="3"/>
  <c r="BO3440" i="3" s="1"/>
  <c r="BM3439" i="3"/>
  <c r="BO3439" i="3" s="1"/>
  <c r="BM3921" i="3"/>
  <c r="BO3921" i="3" s="1"/>
  <c r="BM3438" i="3"/>
  <c r="BO3438" i="3" s="1"/>
  <c r="BM3919" i="3"/>
  <c r="BO3919" i="3" s="1"/>
  <c r="BM3437" i="3"/>
  <c r="BO3437" i="3" s="1"/>
  <c r="BM2471" i="3"/>
  <c r="BO2471" i="3" s="1"/>
  <c r="BM2958" i="3"/>
  <c r="BO2958" i="3" s="1"/>
  <c r="BM2476" i="3"/>
  <c r="BO2476" i="3" s="1"/>
  <c r="BM2957" i="3"/>
  <c r="BO2957" i="3" s="1"/>
  <c r="BM2475" i="3"/>
  <c r="BO2475" i="3" s="1"/>
  <c r="BM3442" i="3"/>
  <c r="BO3442" i="3" s="1"/>
  <c r="BM2956" i="3"/>
  <c r="BO2956" i="3" s="1"/>
  <c r="BM2955" i="3"/>
  <c r="BO2955" i="3" s="1"/>
  <c r="BM2473" i="3"/>
  <c r="BO2473" i="3" s="1"/>
  <c r="BM2954" i="3"/>
  <c r="BO2954" i="3" s="1"/>
  <c r="BM2960" i="3"/>
  <c r="BO2960" i="3" s="1"/>
  <c r="BM2959" i="3"/>
  <c r="BO2959" i="3" s="1"/>
  <c r="BM2953" i="3"/>
  <c r="BO2953" i="3" s="1"/>
  <c r="BM2477" i="3"/>
  <c r="BO2477" i="3" s="1"/>
  <c r="BM2474" i="3"/>
  <c r="BO2474" i="3" s="1"/>
  <c r="BM1991" i="3"/>
  <c r="BO1991" i="3" s="1"/>
  <c r="BM1996" i="3"/>
  <c r="BO1996" i="3" s="1"/>
  <c r="BM1990" i="3"/>
  <c r="BO1990" i="3" s="1"/>
  <c r="BM1995" i="3"/>
  <c r="BO1995" i="3" s="1"/>
  <c r="BM2472" i="3"/>
  <c r="BO2472" i="3" s="1"/>
  <c r="BM1989" i="3"/>
  <c r="BO1989" i="3" s="1"/>
  <c r="BM1994" i="3"/>
  <c r="BO1994" i="3" s="1"/>
  <c r="BM1993" i="3"/>
  <c r="BO1993" i="3" s="1"/>
  <c r="BM1507" i="3"/>
  <c r="BO1507" i="3" s="1"/>
  <c r="BM1512" i="3"/>
  <c r="BO1512" i="3" s="1"/>
  <c r="BM1511" i="3"/>
  <c r="BO1511" i="3" s="1"/>
  <c r="BM1028" i="3"/>
  <c r="BO1028" i="3" s="1"/>
  <c r="BM1510" i="3"/>
  <c r="BO1510" i="3" s="1"/>
  <c r="BM2478" i="3"/>
  <c r="BO2478" i="3" s="1"/>
  <c r="BM1509" i="3"/>
  <c r="BO1509" i="3" s="1"/>
  <c r="BM1514" i="3"/>
  <c r="BO1514" i="3" s="1"/>
  <c r="BM1508" i="3"/>
  <c r="BO1508" i="3" s="1"/>
  <c r="BM1513" i="3"/>
  <c r="BO1513" i="3" s="1"/>
  <c r="BM1030" i="3"/>
  <c r="BO1030" i="3" s="1"/>
  <c r="BM1027" i="3"/>
  <c r="BO1027" i="3" s="1"/>
  <c r="BM1026" i="3"/>
  <c r="BO1026" i="3" s="1"/>
  <c r="BM1032" i="3"/>
  <c r="BO1032" i="3" s="1"/>
  <c r="BM1029" i="3"/>
  <c r="BO1029" i="3" s="1"/>
  <c r="BM1025" i="3"/>
  <c r="BO1025" i="3" s="1"/>
  <c r="BM1992" i="3"/>
  <c r="BO1992" i="3" s="1"/>
  <c r="BM1031" i="3"/>
  <c r="BO1031" i="3" s="1"/>
  <c r="BM543" i="3"/>
  <c r="BO543" i="3" s="1"/>
  <c r="BM548" i="3"/>
  <c r="BO548" i="3" s="1"/>
  <c r="BM545" i="3"/>
  <c r="BO545" i="3" s="1"/>
  <c r="BM550" i="3"/>
  <c r="BO550" i="3" s="1"/>
  <c r="BM547" i="3"/>
  <c r="BO547" i="3" s="1"/>
  <c r="BM544" i="3"/>
  <c r="BO544" i="3" s="1"/>
  <c r="BM546" i="3"/>
  <c r="BO546" i="3" s="1"/>
  <c r="BM549" i="3"/>
  <c r="BO549" i="3" s="1"/>
  <c r="BM61" i="3"/>
  <c r="BO61" i="3" s="1"/>
  <c r="BM68" i="3"/>
  <c r="BO68" i="3" s="1"/>
  <c r="BM62" i="3"/>
  <c r="BO62" i="3" s="1"/>
  <c r="BM63" i="3"/>
  <c r="BO63" i="3" s="1"/>
  <c r="BM64" i="3"/>
  <c r="BO64" i="3" s="1"/>
  <c r="BM65" i="3"/>
  <c r="BO65" i="3" s="1"/>
  <c r="BM66" i="3"/>
  <c r="BO66" i="3" s="1"/>
  <c r="BM67" i="3"/>
  <c r="BO67" i="3" s="1"/>
  <c r="BM4513" i="3"/>
  <c r="BO4513" i="3" s="1"/>
  <c r="BM4518" i="3"/>
  <c r="BO4518" i="3" s="1"/>
  <c r="BM4512" i="3"/>
  <c r="BO4512" i="3" s="1"/>
  <c r="BM4517" i="3"/>
  <c r="BO4517" i="3" s="1"/>
  <c r="BM4511" i="3"/>
  <c r="BO4511" i="3" s="1"/>
  <c r="BM4516" i="3"/>
  <c r="BO4516" i="3" s="1"/>
  <c r="BM4515" i="3"/>
  <c r="BO4515" i="3" s="1"/>
  <c r="BM4514" i="3"/>
  <c r="BO4514" i="3" s="1"/>
  <c r="BM4036" i="3"/>
  <c r="BO4036" i="3" s="1"/>
  <c r="BM4030" i="3"/>
  <c r="BO4030" i="3" s="1"/>
  <c r="BM4035" i="3"/>
  <c r="BO4035" i="3" s="1"/>
  <c r="BM4029" i="3"/>
  <c r="BO4029" i="3" s="1"/>
  <c r="BM4034" i="3"/>
  <c r="BO4034" i="3" s="1"/>
  <c r="BM4032" i="3"/>
  <c r="BO4032" i="3" s="1"/>
  <c r="BM4033" i="3"/>
  <c r="BO4033" i="3" s="1"/>
  <c r="BM3548" i="3"/>
  <c r="BO3548" i="3" s="1"/>
  <c r="BM3068" i="3"/>
  <c r="BO3068" i="3" s="1"/>
  <c r="BM3553" i="3"/>
  <c r="BO3553" i="3" s="1"/>
  <c r="BM4031" i="3"/>
  <c r="BO4031" i="3" s="1"/>
  <c r="BM3547" i="3"/>
  <c r="BO3547" i="3" s="1"/>
  <c r="BM3067" i="3"/>
  <c r="BO3067" i="3" s="1"/>
  <c r="BM3552" i="3"/>
  <c r="BO3552" i="3" s="1"/>
  <c r="BM3072" i="3"/>
  <c r="BO3072" i="3" s="1"/>
  <c r="BM3551" i="3"/>
  <c r="BO3551" i="3" s="1"/>
  <c r="BM3550" i="3"/>
  <c r="BO3550" i="3" s="1"/>
  <c r="BM3549" i="3"/>
  <c r="BO3549" i="3" s="1"/>
  <c r="BM2583" i="3"/>
  <c r="BO2583" i="3" s="1"/>
  <c r="BM2588" i="3"/>
  <c r="BO2588" i="3" s="1"/>
  <c r="BM3069" i="3"/>
  <c r="BO3069" i="3" s="1"/>
  <c r="BM3066" i="3"/>
  <c r="BO3066" i="3" s="1"/>
  <c r="BM2587" i="3"/>
  <c r="BO2587" i="3" s="1"/>
  <c r="BM3065" i="3"/>
  <c r="BO3065" i="3" s="1"/>
  <c r="BM2586" i="3"/>
  <c r="BO2586" i="3" s="1"/>
  <c r="BM2585" i="3"/>
  <c r="BO2585" i="3" s="1"/>
  <c r="BM3554" i="3"/>
  <c r="BO3554" i="3" s="1"/>
  <c r="BM3071" i="3"/>
  <c r="BO3071" i="3" s="1"/>
  <c r="BM2589" i="3"/>
  <c r="BO2589" i="3" s="1"/>
  <c r="BM2103" i="3"/>
  <c r="BO2103" i="3" s="1"/>
  <c r="BM2108" i="3"/>
  <c r="BO2108" i="3" s="1"/>
  <c r="BM2102" i="3"/>
  <c r="BO2102" i="3" s="1"/>
  <c r="BM2107" i="3"/>
  <c r="BO2107" i="3" s="1"/>
  <c r="BM2101" i="3"/>
  <c r="BO2101" i="3" s="1"/>
  <c r="BM2590" i="3"/>
  <c r="BO2590" i="3" s="1"/>
  <c r="BM2106" i="3"/>
  <c r="BO2106" i="3" s="1"/>
  <c r="BM2105" i="3"/>
  <c r="BO2105" i="3" s="1"/>
  <c r="BM1619" i="3"/>
  <c r="BO1619" i="3" s="1"/>
  <c r="BM1139" i="3"/>
  <c r="BO1139" i="3" s="1"/>
  <c r="BM1624" i="3"/>
  <c r="BO1624" i="3" s="1"/>
  <c r="BM1144" i="3"/>
  <c r="BO1144" i="3" s="1"/>
  <c r="BM2104" i="3"/>
  <c r="BO2104" i="3" s="1"/>
  <c r="BM1138" i="3"/>
  <c r="BO1138" i="3" s="1"/>
  <c r="BM3070" i="3"/>
  <c r="BO3070" i="3" s="1"/>
  <c r="BM1623" i="3"/>
  <c r="BO1623" i="3" s="1"/>
  <c r="BM1143" i="3"/>
  <c r="BO1143" i="3" s="1"/>
  <c r="BM1137" i="3"/>
  <c r="BO1137" i="3" s="1"/>
  <c r="BM1622" i="3"/>
  <c r="BO1622" i="3" s="1"/>
  <c r="BM1142" i="3"/>
  <c r="BO1142" i="3" s="1"/>
  <c r="BM1621" i="3"/>
  <c r="BO1621" i="3" s="1"/>
  <c r="BM1141" i="3"/>
  <c r="BO1141" i="3" s="1"/>
  <c r="BM2584" i="3"/>
  <c r="BO2584" i="3" s="1"/>
  <c r="BM1626" i="3"/>
  <c r="BO1626" i="3" s="1"/>
  <c r="BM1620" i="3"/>
  <c r="BO1620" i="3" s="1"/>
  <c r="BM1140" i="3"/>
  <c r="BO1140" i="3" s="1"/>
  <c r="BM1625" i="3"/>
  <c r="BO1625" i="3" s="1"/>
  <c r="BM658" i="3"/>
  <c r="BO658" i="3" s="1"/>
  <c r="BM655" i="3"/>
  <c r="BO655" i="3" s="1"/>
  <c r="BM660" i="3"/>
  <c r="BO660" i="3" s="1"/>
  <c r="BM657" i="3"/>
  <c r="BO657" i="3" s="1"/>
  <c r="BM661" i="3"/>
  <c r="BO661" i="3" s="1"/>
  <c r="BM656" i="3"/>
  <c r="BO656" i="3" s="1"/>
  <c r="BM662" i="3"/>
  <c r="BO662" i="3" s="1"/>
  <c r="BM178" i="3"/>
  <c r="BO178" i="3" s="1"/>
  <c r="BM175" i="3"/>
  <c r="BO175" i="3" s="1"/>
  <c r="BM179" i="3"/>
  <c r="BO179" i="3" s="1"/>
  <c r="BM176" i="3"/>
  <c r="BO176" i="3" s="1"/>
  <c r="BM173" i="3"/>
  <c r="BO173" i="3" s="1"/>
  <c r="BM174" i="3"/>
  <c r="BO174" i="3" s="1"/>
  <c r="BM180" i="3"/>
  <c r="BO180" i="3" s="1"/>
  <c r="BM659" i="3"/>
  <c r="BO659" i="3" s="1"/>
  <c r="BM177" i="3"/>
  <c r="BO177" i="3" s="1"/>
  <c r="BM4620" i="3"/>
  <c r="BO4620" i="3" s="1"/>
  <c r="BM4619" i="3"/>
  <c r="BO4619" i="3" s="1"/>
  <c r="BM4618" i="3"/>
  <c r="BO4618" i="3" s="1"/>
  <c r="BM4617" i="3"/>
  <c r="BO4617" i="3" s="1"/>
  <c r="BM4622" i="3"/>
  <c r="BO4622" i="3" s="1"/>
  <c r="BM4615" i="3"/>
  <c r="BO4615" i="3" s="1"/>
  <c r="BM4138" i="3"/>
  <c r="BO4138" i="3" s="1"/>
  <c r="BM3658" i="3"/>
  <c r="BO3658" i="3" s="1"/>
  <c r="BM3652" i="3"/>
  <c r="BO3652" i="3" s="1"/>
  <c r="BM4137" i="3"/>
  <c r="BO4137" i="3" s="1"/>
  <c r="BM3657" i="3"/>
  <c r="BO3657" i="3" s="1"/>
  <c r="BM3651" i="3"/>
  <c r="BO3651" i="3" s="1"/>
  <c r="BM4136" i="3"/>
  <c r="BO4136" i="3" s="1"/>
  <c r="BM4135" i="3"/>
  <c r="BO4135" i="3" s="1"/>
  <c r="BM4140" i="3"/>
  <c r="BO4140" i="3" s="1"/>
  <c r="BM4616" i="3"/>
  <c r="BO4616" i="3" s="1"/>
  <c r="BM4134" i="3"/>
  <c r="BO4134" i="3" s="1"/>
  <c r="BM4133" i="3"/>
  <c r="BO4133" i="3" s="1"/>
  <c r="BM3175" i="3"/>
  <c r="BO3175" i="3" s="1"/>
  <c r="BM3656" i="3"/>
  <c r="BO3656" i="3" s="1"/>
  <c r="BM3169" i="3"/>
  <c r="BO3169" i="3" s="1"/>
  <c r="BM3174" i="3"/>
  <c r="BO3174" i="3" s="1"/>
  <c r="BM3655" i="3"/>
  <c r="BO3655" i="3" s="1"/>
  <c r="BM4139" i="3"/>
  <c r="BO4139" i="3" s="1"/>
  <c r="BM3173" i="3"/>
  <c r="BO3173" i="3" s="1"/>
  <c r="BM3654" i="3"/>
  <c r="BO3654" i="3" s="1"/>
  <c r="BM4621" i="3"/>
  <c r="BO4621" i="3" s="1"/>
  <c r="BM3172" i="3"/>
  <c r="BO3172" i="3" s="1"/>
  <c r="BM3653" i="3"/>
  <c r="BO3653" i="3" s="1"/>
  <c r="BM3171" i="3"/>
  <c r="BO3171" i="3" s="1"/>
  <c r="BM2689" i="3"/>
  <c r="BO2689" i="3" s="1"/>
  <c r="BM2694" i="3"/>
  <c r="BO2694" i="3" s="1"/>
  <c r="BM2688" i="3"/>
  <c r="BO2688" i="3" s="1"/>
  <c r="BM2693" i="3"/>
  <c r="BO2693" i="3" s="1"/>
  <c r="BM2687" i="3"/>
  <c r="BO2687" i="3" s="1"/>
  <c r="BM3176" i="3"/>
  <c r="BO3176" i="3" s="1"/>
  <c r="BM2692" i="3"/>
  <c r="BO2692" i="3" s="1"/>
  <c r="BM2691" i="3"/>
  <c r="BO2691" i="3" s="1"/>
  <c r="BM2205" i="3"/>
  <c r="BO2205" i="3" s="1"/>
  <c r="BM1725" i="3"/>
  <c r="BO1725" i="3" s="1"/>
  <c r="BM2210" i="3"/>
  <c r="BO2210" i="3" s="1"/>
  <c r="BM2690" i="3"/>
  <c r="BO2690" i="3" s="1"/>
  <c r="BM1724" i="3"/>
  <c r="BO1724" i="3" s="1"/>
  <c r="BM2209" i="3"/>
  <c r="BO2209" i="3" s="1"/>
  <c r="BM2208" i="3"/>
  <c r="BO2208" i="3" s="1"/>
  <c r="BM2207" i="3"/>
  <c r="BO2207" i="3" s="1"/>
  <c r="BM2212" i="3"/>
  <c r="BO2212" i="3" s="1"/>
  <c r="BM3170" i="3"/>
  <c r="BO3170" i="3" s="1"/>
  <c r="BM2211" i="3"/>
  <c r="BO2211" i="3" s="1"/>
  <c r="BM1729" i="3"/>
  <c r="BO1729" i="3" s="1"/>
  <c r="BM1246" i="3"/>
  <c r="BO1246" i="3" s="1"/>
  <c r="BM1728" i="3"/>
  <c r="BO1728" i="3" s="1"/>
  <c r="BM1245" i="3"/>
  <c r="BO1245" i="3" s="1"/>
  <c r="BM1727" i="3"/>
  <c r="BO1727" i="3" s="1"/>
  <c r="BM1244" i="3"/>
  <c r="BO1244" i="3" s="1"/>
  <c r="BM1726" i="3"/>
  <c r="BO1726" i="3" s="1"/>
  <c r="BM1243" i="3"/>
  <c r="BO1243" i="3" s="1"/>
  <c r="BM1248" i="3"/>
  <c r="BO1248" i="3" s="1"/>
  <c r="BM2206" i="3"/>
  <c r="BO2206" i="3" s="1"/>
  <c r="BM1242" i="3"/>
  <c r="BO1242" i="3" s="1"/>
  <c r="BM1730" i="3"/>
  <c r="BO1730" i="3" s="1"/>
  <c r="BM762" i="3"/>
  <c r="BO762" i="3" s="1"/>
  <c r="BM759" i="3"/>
  <c r="BO759" i="3" s="1"/>
  <c r="BM1247" i="3"/>
  <c r="BO1247" i="3" s="1"/>
  <c r="BM764" i="3"/>
  <c r="BO764" i="3" s="1"/>
  <c r="BM1241" i="3"/>
  <c r="BO1241" i="3" s="1"/>
  <c r="BM761" i="3"/>
  <c r="BO761" i="3" s="1"/>
  <c r="BM766" i="3"/>
  <c r="BO766" i="3" s="1"/>
  <c r="BM763" i="3"/>
  <c r="BO763" i="3" s="1"/>
  <c r="BM760" i="3"/>
  <c r="BO760" i="3" s="1"/>
  <c r="BM765" i="3"/>
  <c r="BO765" i="3" s="1"/>
  <c r="BM1723" i="3"/>
  <c r="BO1723" i="3" s="1"/>
  <c r="BM280" i="3"/>
  <c r="BO280" i="3" s="1"/>
  <c r="BM277" i="3"/>
  <c r="BO277" i="3" s="1"/>
  <c r="BM284" i="3"/>
  <c r="BO284" i="3" s="1"/>
  <c r="BM281" i="3"/>
  <c r="BO281" i="3" s="1"/>
  <c r="BM278" i="3"/>
  <c r="BO278" i="3" s="1"/>
  <c r="BM282" i="3"/>
  <c r="BO282" i="3" s="1"/>
  <c r="BM279" i="3"/>
  <c r="BO279" i="3" s="1"/>
  <c r="BM283" i="3"/>
  <c r="BO283" i="3" s="1"/>
  <c r="BM4721" i="3"/>
  <c r="BO4721" i="3" s="1"/>
  <c r="BM4726" i="3"/>
  <c r="BO4726" i="3" s="1"/>
  <c r="BM4720" i="3"/>
  <c r="BO4720" i="3" s="1"/>
  <c r="BM4725" i="3"/>
  <c r="BO4725" i="3" s="1"/>
  <c r="BM4719" i="3"/>
  <c r="BO4719" i="3" s="1"/>
  <c r="BM4724" i="3"/>
  <c r="BO4724" i="3" s="1"/>
  <c r="BM4723" i="3"/>
  <c r="BO4723" i="3" s="1"/>
  <c r="BM4722" i="3"/>
  <c r="BO4722" i="3" s="1"/>
  <c r="BM4239" i="3"/>
  <c r="BO4239" i="3" s="1"/>
  <c r="BM4244" i="3"/>
  <c r="BO4244" i="3" s="1"/>
  <c r="BM4238" i="3"/>
  <c r="BO4238" i="3" s="1"/>
  <c r="BM3758" i="3"/>
  <c r="BO3758" i="3" s="1"/>
  <c r="BM4243" i="3"/>
  <c r="BO4243" i="3" s="1"/>
  <c r="BM4237" i="3"/>
  <c r="BO4237" i="3" s="1"/>
  <c r="BM4242" i="3"/>
  <c r="BO4242" i="3" s="1"/>
  <c r="BM3762" i="3"/>
  <c r="BO3762" i="3" s="1"/>
  <c r="BM3756" i="3"/>
  <c r="BO3756" i="3" s="1"/>
  <c r="BM4240" i="3"/>
  <c r="BO4240" i="3" s="1"/>
  <c r="BM3760" i="3"/>
  <c r="BO3760" i="3" s="1"/>
  <c r="BM3276" i="3"/>
  <c r="BO3276" i="3" s="1"/>
  <c r="BM3759" i="3"/>
  <c r="BO3759" i="3" s="1"/>
  <c r="BM4241" i="3"/>
  <c r="BO4241" i="3" s="1"/>
  <c r="BM3757" i="3"/>
  <c r="BO3757" i="3" s="1"/>
  <c r="BM3275" i="3"/>
  <c r="BO3275" i="3" s="1"/>
  <c r="BM3280" i="3"/>
  <c r="BO3280" i="3" s="1"/>
  <c r="BM3755" i="3"/>
  <c r="BO3755" i="3" s="1"/>
  <c r="BM3274" i="3"/>
  <c r="BO3274" i="3" s="1"/>
  <c r="BM3279" i="3"/>
  <c r="BO3279" i="3" s="1"/>
  <c r="BM3273" i="3"/>
  <c r="BO3273" i="3" s="1"/>
  <c r="BM3278" i="3"/>
  <c r="BO3278" i="3" s="1"/>
  <c r="BM3761" i="3"/>
  <c r="BO3761" i="3" s="1"/>
  <c r="BM3277" i="3"/>
  <c r="BO3277" i="3" s="1"/>
  <c r="BM2791" i="3"/>
  <c r="BO2791" i="3" s="1"/>
  <c r="BM2311" i="3"/>
  <c r="BO2311" i="3" s="1"/>
  <c r="BM2796" i="3"/>
  <c r="BO2796" i="3" s="1"/>
  <c r="BM2795" i="3"/>
  <c r="BO2795" i="3" s="1"/>
  <c r="BM2794" i="3"/>
  <c r="BO2794" i="3" s="1"/>
  <c r="BM2793" i="3"/>
  <c r="BO2793" i="3" s="1"/>
  <c r="BM2798" i="3"/>
  <c r="BO2798" i="3" s="1"/>
  <c r="BM2797" i="3"/>
  <c r="BO2797" i="3" s="1"/>
  <c r="BM2313" i="3"/>
  <c r="BO2313" i="3" s="1"/>
  <c r="BM1831" i="3"/>
  <c r="BO1831" i="3" s="1"/>
  <c r="BM2312" i="3"/>
  <c r="BO2312" i="3" s="1"/>
  <c r="BM1830" i="3"/>
  <c r="BO1830" i="3" s="1"/>
  <c r="BM2310" i="3"/>
  <c r="BO2310" i="3" s="1"/>
  <c r="BM2316" i="3"/>
  <c r="BO2316" i="3" s="1"/>
  <c r="BM1834" i="3"/>
  <c r="BO1834" i="3" s="1"/>
  <c r="BM2315" i="3"/>
  <c r="BO2315" i="3" s="1"/>
  <c r="BM2309" i="3"/>
  <c r="BO2309" i="3" s="1"/>
  <c r="BM2792" i="3"/>
  <c r="BO2792" i="3" s="1"/>
  <c r="BM2314" i="3"/>
  <c r="BO2314" i="3" s="1"/>
  <c r="BM1827" i="3"/>
  <c r="BO1827" i="3" s="1"/>
  <c r="BM1347" i="3"/>
  <c r="BO1347" i="3" s="1"/>
  <c r="BM1352" i="3"/>
  <c r="BO1352" i="3" s="1"/>
  <c r="BM1833" i="3"/>
  <c r="BO1833" i="3" s="1"/>
  <c r="BM1346" i="3"/>
  <c r="BO1346" i="3" s="1"/>
  <c r="BM1832" i="3"/>
  <c r="BO1832" i="3" s="1"/>
  <c r="BM1351" i="3"/>
  <c r="BO1351" i="3" s="1"/>
  <c r="BM1829" i="3"/>
  <c r="BO1829" i="3" s="1"/>
  <c r="BM1345" i="3"/>
  <c r="BO1345" i="3" s="1"/>
  <c r="BM1828" i="3"/>
  <c r="BO1828" i="3" s="1"/>
  <c r="BM1350" i="3"/>
  <c r="BO1350" i="3" s="1"/>
  <c r="BM1349" i="3"/>
  <c r="BO1349" i="3" s="1"/>
  <c r="BM1348" i="3"/>
  <c r="BO1348" i="3" s="1"/>
  <c r="BM866" i="3"/>
  <c r="BO866" i="3" s="1"/>
  <c r="BM863" i="3"/>
  <c r="BO863" i="3" s="1"/>
  <c r="BM868" i="3"/>
  <c r="BO868" i="3" s="1"/>
  <c r="BM865" i="3"/>
  <c r="BO865" i="3" s="1"/>
  <c r="BM870" i="3"/>
  <c r="BO870" i="3" s="1"/>
  <c r="BM867" i="3"/>
  <c r="BO867" i="3" s="1"/>
  <c r="BM864" i="3"/>
  <c r="BO864" i="3" s="1"/>
  <c r="BM869" i="3"/>
  <c r="BO869" i="3" s="1"/>
  <c r="BM387" i="3"/>
  <c r="BO387" i="3" s="1"/>
  <c r="BM384" i="3"/>
  <c r="BO384" i="3" s="1"/>
  <c r="BM381" i="3"/>
  <c r="BO381" i="3" s="1"/>
  <c r="BM388" i="3"/>
  <c r="BO388" i="3" s="1"/>
  <c r="BM385" i="3"/>
  <c r="BO385" i="3" s="1"/>
  <c r="BM382" i="3"/>
  <c r="BO382" i="3" s="1"/>
  <c r="BM386" i="3"/>
  <c r="BO386" i="3" s="1"/>
  <c r="BM383" i="3"/>
  <c r="BO383" i="3" s="1"/>
  <c r="BH267" i="3"/>
  <c r="BH146" i="3"/>
  <c r="K13" i="3"/>
  <c r="BK20" i="3"/>
  <c r="K12" i="3"/>
  <c r="K9" i="3"/>
  <c r="B661" i="1"/>
  <c r="C401" i="1"/>
  <c r="C239" i="1"/>
  <c r="C130" i="1"/>
  <c r="C237" i="1"/>
  <c r="C349" i="1"/>
  <c r="C350" i="1"/>
  <c r="H8" i="1"/>
  <c r="B7" i="2" s="1"/>
  <c r="C372" i="1"/>
  <c r="H9" i="1"/>
  <c r="B8" i="2" s="1"/>
  <c r="C347" i="1"/>
  <c r="C139" i="1"/>
  <c r="C358" i="1"/>
  <c r="BM4492" i="3"/>
  <c r="BO4492" i="3" s="1"/>
  <c r="BM4491" i="3"/>
  <c r="BO4491" i="3" s="1"/>
  <c r="BM4490" i="3"/>
  <c r="BO4490" i="3" s="1"/>
  <c r="BM4489" i="3"/>
  <c r="BO4489" i="3" s="1"/>
  <c r="BM4494" i="3"/>
  <c r="BO4494" i="3" s="1"/>
  <c r="BM4487" i="3"/>
  <c r="BO4487" i="3" s="1"/>
  <c r="BM4010" i="3"/>
  <c r="BO4010" i="3" s="1"/>
  <c r="BM4009" i="3"/>
  <c r="BO4009" i="3" s="1"/>
  <c r="BM4008" i="3"/>
  <c r="BO4008" i="3" s="1"/>
  <c r="BM4007" i="3"/>
  <c r="BO4007" i="3" s="1"/>
  <c r="BM4012" i="3"/>
  <c r="BO4012" i="3" s="1"/>
  <c r="BM4488" i="3"/>
  <c r="BO4488" i="3" s="1"/>
  <c r="BM4006" i="3"/>
  <c r="BO4006" i="3" s="1"/>
  <c r="BM4005" i="3"/>
  <c r="BO4005" i="3" s="1"/>
  <c r="BM3527" i="3"/>
  <c r="BO3527" i="3" s="1"/>
  <c r="BM3047" i="3"/>
  <c r="BO3047" i="3" s="1"/>
  <c r="BM3526" i="3"/>
  <c r="BO3526" i="3" s="1"/>
  <c r="BM3046" i="3"/>
  <c r="BO3046" i="3" s="1"/>
  <c r="BM3525" i="3"/>
  <c r="BO3525" i="3" s="1"/>
  <c r="BM3045" i="3"/>
  <c r="BO3045" i="3" s="1"/>
  <c r="BM3530" i="3"/>
  <c r="BO3530" i="3" s="1"/>
  <c r="BM3524" i="3"/>
  <c r="BO3524" i="3" s="1"/>
  <c r="BM3529" i="3"/>
  <c r="BO3529" i="3" s="1"/>
  <c r="BM3523" i="3"/>
  <c r="BO3523" i="3" s="1"/>
  <c r="BM4493" i="3"/>
  <c r="BO4493" i="3" s="1"/>
  <c r="BM4011" i="3"/>
  <c r="BO4011" i="3" s="1"/>
  <c r="BM3042" i="3"/>
  <c r="BO3042" i="3" s="1"/>
  <c r="BM3041" i="3"/>
  <c r="BO3041" i="3" s="1"/>
  <c r="BM2561" i="3"/>
  <c r="BO2561" i="3" s="1"/>
  <c r="BM2566" i="3"/>
  <c r="BO2566" i="3" s="1"/>
  <c r="BM3528" i="3"/>
  <c r="BO3528" i="3" s="1"/>
  <c r="BM3048" i="3"/>
  <c r="BO3048" i="3" s="1"/>
  <c r="BM2560" i="3"/>
  <c r="BO2560" i="3" s="1"/>
  <c r="BM2565" i="3"/>
  <c r="BO2565" i="3" s="1"/>
  <c r="BM2564" i="3"/>
  <c r="BO2564" i="3" s="1"/>
  <c r="BM3044" i="3"/>
  <c r="BO3044" i="3" s="1"/>
  <c r="BM2563" i="3"/>
  <c r="BO2563" i="3" s="1"/>
  <c r="BM2077" i="3"/>
  <c r="BO2077" i="3" s="1"/>
  <c r="BM2082" i="3"/>
  <c r="BO2082" i="3" s="1"/>
  <c r="BM3043" i="3"/>
  <c r="BO3043" i="3" s="1"/>
  <c r="BM2081" i="3"/>
  <c r="BO2081" i="3" s="1"/>
  <c r="BM2080" i="3"/>
  <c r="BO2080" i="3" s="1"/>
  <c r="BM2079" i="3"/>
  <c r="BO2079" i="3" s="1"/>
  <c r="BM2562" i="3"/>
  <c r="BO2562" i="3" s="1"/>
  <c r="BM2084" i="3"/>
  <c r="BO2084" i="3" s="1"/>
  <c r="BM2559" i="3"/>
  <c r="BO2559" i="3" s="1"/>
  <c r="BM2083" i="3"/>
  <c r="BO2083" i="3" s="1"/>
  <c r="BM1598" i="3"/>
  <c r="BO1598" i="3" s="1"/>
  <c r="BM1114" i="3"/>
  <c r="BO1114" i="3" s="1"/>
  <c r="BM1597" i="3"/>
  <c r="BO1597" i="3" s="1"/>
  <c r="BM1119" i="3"/>
  <c r="BO1119" i="3" s="1"/>
  <c r="BM1602" i="3"/>
  <c r="BO1602" i="3" s="1"/>
  <c r="BM1116" i="3"/>
  <c r="BO1116" i="3" s="1"/>
  <c r="BM1596" i="3"/>
  <c r="BO1596" i="3" s="1"/>
  <c r="BM1601" i="3"/>
  <c r="BO1601" i="3" s="1"/>
  <c r="BM1113" i="3"/>
  <c r="BO1113" i="3" s="1"/>
  <c r="BM1595" i="3"/>
  <c r="BO1595" i="3" s="1"/>
  <c r="BM1118" i="3"/>
  <c r="BO1118" i="3" s="1"/>
  <c r="BM1600" i="3"/>
  <c r="BO1600" i="3" s="1"/>
  <c r="BM1115" i="3"/>
  <c r="BO1115" i="3" s="1"/>
  <c r="BM2078" i="3"/>
  <c r="BO2078" i="3" s="1"/>
  <c r="BM1599" i="3"/>
  <c r="BO1599" i="3" s="1"/>
  <c r="BM1120" i="3"/>
  <c r="BO1120" i="3" s="1"/>
  <c r="BM1117" i="3"/>
  <c r="BO1117" i="3" s="1"/>
  <c r="BM631" i="3"/>
  <c r="BO631" i="3" s="1"/>
  <c r="BM636" i="3"/>
  <c r="BO636" i="3" s="1"/>
  <c r="BM633" i="3"/>
  <c r="BO633" i="3" s="1"/>
  <c r="BM638" i="3"/>
  <c r="BO638" i="3" s="1"/>
  <c r="BM635" i="3"/>
  <c r="BO635" i="3" s="1"/>
  <c r="BM632" i="3"/>
  <c r="BO632" i="3" s="1"/>
  <c r="BM634" i="3"/>
  <c r="BO634" i="3" s="1"/>
  <c r="BM152" i="3"/>
  <c r="BO152" i="3" s="1"/>
  <c r="BM149" i="3"/>
  <c r="BO149" i="3" s="1"/>
  <c r="BM156" i="3"/>
  <c r="BO156" i="3" s="1"/>
  <c r="BM153" i="3"/>
  <c r="BO153" i="3" s="1"/>
  <c r="BM150" i="3"/>
  <c r="BO150" i="3" s="1"/>
  <c r="BM637" i="3"/>
  <c r="BO637" i="3" s="1"/>
  <c r="BM154" i="3"/>
  <c r="BO154" i="3" s="1"/>
  <c r="BM151" i="3"/>
  <c r="BO151" i="3" s="1"/>
  <c r="BM155" i="3"/>
  <c r="BO155" i="3" s="1"/>
  <c r="BM4636" i="3"/>
  <c r="BO4636" i="3" s="1"/>
  <c r="BM4635" i="3"/>
  <c r="BO4635" i="3" s="1"/>
  <c r="BM4634" i="3"/>
  <c r="BO4634" i="3" s="1"/>
  <c r="BM4633" i="3"/>
  <c r="BO4633" i="3" s="1"/>
  <c r="BM4638" i="3"/>
  <c r="BO4638" i="3" s="1"/>
  <c r="BM4631" i="3"/>
  <c r="BO4631" i="3" s="1"/>
  <c r="BM4154" i="3"/>
  <c r="BO4154" i="3" s="1"/>
  <c r="BM3674" i="3"/>
  <c r="BO3674" i="3" s="1"/>
  <c r="BM3668" i="3"/>
  <c r="BO3668" i="3" s="1"/>
  <c r="BM4153" i="3"/>
  <c r="BO4153" i="3" s="1"/>
  <c r="BM3673" i="3"/>
  <c r="BO3673" i="3" s="1"/>
  <c r="BM4637" i="3"/>
  <c r="BO4637" i="3" s="1"/>
  <c r="BM3667" i="3"/>
  <c r="BO3667" i="3" s="1"/>
  <c r="BM4632" i="3"/>
  <c r="BO4632" i="3" s="1"/>
  <c r="BM4152" i="3"/>
  <c r="BO4152" i="3" s="1"/>
  <c r="BM4151" i="3"/>
  <c r="BO4151" i="3" s="1"/>
  <c r="BM4156" i="3"/>
  <c r="BO4156" i="3" s="1"/>
  <c r="BM4150" i="3"/>
  <c r="BO4150" i="3" s="1"/>
  <c r="BM4149" i="3"/>
  <c r="BO4149" i="3" s="1"/>
  <c r="BM3672" i="3"/>
  <c r="BO3672" i="3" s="1"/>
  <c r="BM3191" i="3"/>
  <c r="BO3191" i="3" s="1"/>
  <c r="BM3185" i="3"/>
  <c r="BO3185" i="3" s="1"/>
  <c r="BM3671" i="3"/>
  <c r="BO3671" i="3" s="1"/>
  <c r="BM3190" i="3"/>
  <c r="BO3190" i="3" s="1"/>
  <c r="BM3670" i="3"/>
  <c r="BO3670" i="3" s="1"/>
  <c r="BM3189" i="3"/>
  <c r="BO3189" i="3" s="1"/>
  <c r="BM3669" i="3"/>
  <c r="BO3669" i="3" s="1"/>
  <c r="BM3188" i="3"/>
  <c r="BO3188" i="3" s="1"/>
  <c r="BM3187" i="3"/>
  <c r="BO3187" i="3" s="1"/>
  <c r="BM3192" i="3"/>
  <c r="BO3192" i="3" s="1"/>
  <c r="BM2705" i="3"/>
  <c r="BO2705" i="3" s="1"/>
  <c r="BM2710" i="3"/>
  <c r="BO2710" i="3" s="1"/>
  <c r="BM3186" i="3"/>
  <c r="BO3186" i="3" s="1"/>
  <c r="BM2704" i="3"/>
  <c r="BO2704" i="3" s="1"/>
  <c r="BM2709" i="3"/>
  <c r="BO2709" i="3" s="1"/>
  <c r="BM2703" i="3"/>
  <c r="BO2703" i="3" s="1"/>
  <c r="BM2708" i="3"/>
  <c r="BO2708" i="3" s="1"/>
  <c r="BM4155" i="3"/>
  <c r="BO4155" i="3" s="1"/>
  <c r="BM2707" i="3"/>
  <c r="BO2707" i="3" s="1"/>
  <c r="BM2221" i="3"/>
  <c r="BO2221" i="3" s="1"/>
  <c r="BM1741" i="3"/>
  <c r="BO1741" i="3" s="1"/>
  <c r="BM2226" i="3"/>
  <c r="BO2226" i="3" s="1"/>
  <c r="BM1740" i="3"/>
  <c r="BO1740" i="3" s="1"/>
  <c r="BM2225" i="3"/>
  <c r="BO2225" i="3" s="1"/>
  <c r="BM2224" i="3"/>
  <c r="BO2224" i="3" s="1"/>
  <c r="BM2223" i="3"/>
  <c r="BO2223" i="3" s="1"/>
  <c r="BM2228" i="3"/>
  <c r="BO2228" i="3" s="1"/>
  <c r="BM2227" i="3"/>
  <c r="BO2227" i="3" s="1"/>
  <c r="BM1262" i="3"/>
  <c r="BO1262" i="3" s="1"/>
  <c r="BM1743" i="3"/>
  <c r="BO1743" i="3" s="1"/>
  <c r="BM1261" i="3"/>
  <c r="BO1261" i="3" s="1"/>
  <c r="BM2706" i="3"/>
  <c r="BO2706" i="3" s="1"/>
  <c r="BM1742" i="3"/>
  <c r="BO1742" i="3" s="1"/>
  <c r="BM2222" i="3"/>
  <c r="BO2222" i="3" s="1"/>
  <c r="BM1260" i="3"/>
  <c r="BO1260" i="3" s="1"/>
  <c r="BM1739" i="3"/>
  <c r="BO1739" i="3" s="1"/>
  <c r="BM1259" i="3"/>
  <c r="BO1259" i="3" s="1"/>
  <c r="BM1264" i="3"/>
  <c r="BO1264" i="3" s="1"/>
  <c r="BM1746" i="3"/>
  <c r="BO1746" i="3" s="1"/>
  <c r="BM1745" i="3"/>
  <c r="BO1745" i="3" s="1"/>
  <c r="BM1258" i="3"/>
  <c r="BO1258" i="3" s="1"/>
  <c r="BM1744" i="3"/>
  <c r="BO1744" i="3" s="1"/>
  <c r="BM1257" i="3"/>
  <c r="BO1257" i="3" s="1"/>
  <c r="BM778" i="3"/>
  <c r="BO778" i="3" s="1"/>
  <c r="BM775" i="3"/>
  <c r="BO775" i="3" s="1"/>
  <c r="BM780" i="3"/>
  <c r="BO780" i="3" s="1"/>
  <c r="BM777" i="3"/>
  <c r="BO777" i="3" s="1"/>
  <c r="BM782" i="3"/>
  <c r="BO782" i="3" s="1"/>
  <c r="BM779" i="3"/>
  <c r="BO779" i="3" s="1"/>
  <c r="BM776" i="3"/>
  <c r="BO776" i="3" s="1"/>
  <c r="BM781" i="3"/>
  <c r="BO781" i="3" s="1"/>
  <c r="BM1263" i="3"/>
  <c r="BO1263" i="3" s="1"/>
  <c r="BM296" i="3"/>
  <c r="BO296" i="3" s="1"/>
  <c r="BM293" i="3"/>
  <c r="BO293" i="3" s="1"/>
  <c r="BM300" i="3"/>
  <c r="BO300" i="3" s="1"/>
  <c r="BM297" i="3"/>
  <c r="BO297" i="3" s="1"/>
  <c r="BM294" i="3"/>
  <c r="BO294" i="3" s="1"/>
  <c r="BM298" i="3"/>
  <c r="BO298" i="3" s="1"/>
  <c r="BM295" i="3"/>
  <c r="BO295" i="3" s="1"/>
  <c r="BM299" i="3"/>
  <c r="BO299" i="3" s="1"/>
  <c r="BM4577" i="3"/>
  <c r="BO4577" i="3" s="1"/>
  <c r="BM4582" i="3"/>
  <c r="BO4582" i="3" s="1"/>
  <c r="BM4576" i="3"/>
  <c r="BO4576" i="3" s="1"/>
  <c r="BM4581" i="3"/>
  <c r="BO4581" i="3" s="1"/>
  <c r="BM4575" i="3"/>
  <c r="BO4575" i="3" s="1"/>
  <c r="BM4580" i="3"/>
  <c r="BO4580" i="3" s="1"/>
  <c r="BM4579" i="3"/>
  <c r="BO4579" i="3" s="1"/>
  <c r="BM4578" i="3"/>
  <c r="BO4578" i="3" s="1"/>
  <c r="BM4100" i="3"/>
  <c r="BO4100" i="3" s="1"/>
  <c r="BM4094" i="3"/>
  <c r="BO4094" i="3" s="1"/>
  <c r="BM4099" i="3"/>
  <c r="BO4099" i="3" s="1"/>
  <c r="BM4093" i="3"/>
  <c r="BO4093" i="3" s="1"/>
  <c r="BM4098" i="3"/>
  <c r="BO4098" i="3" s="1"/>
  <c r="BM4096" i="3"/>
  <c r="BO4096" i="3" s="1"/>
  <c r="BM3616" i="3"/>
  <c r="BO3616" i="3" s="1"/>
  <c r="BM3132" i="3"/>
  <c r="BO3132" i="3" s="1"/>
  <c r="BM3615" i="3"/>
  <c r="BO3615" i="3" s="1"/>
  <c r="BM3614" i="3"/>
  <c r="BO3614" i="3" s="1"/>
  <c r="BM3131" i="3"/>
  <c r="BO3131" i="3" s="1"/>
  <c r="BM3136" i="3"/>
  <c r="BO3136" i="3" s="1"/>
  <c r="BM3613" i="3"/>
  <c r="BO3613" i="3" s="1"/>
  <c r="BM3612" i="3"/>
  <c r="BO3612" i="3" s="1"/>
  <c r="BM3618" i="3"/>
  <c r="BO3618" i="3" s="1"/>
  <c r="BM3129" i="3"/>
  <c r="BO3129" i="3" s="1"/>
  <c r="BM3611" i="3"/>
  <c r="BO3611" i="3" s="1"/>
  <c r="BM3133" i="3"/>
  <c r="BO3133" i="3" s="1"/>
  <c r="BM4097" i="3"/>
  <c r="BO4097" i="3" s="1"/>
  <c r="BM3135" i="3"/>
  <c r="BO3135" i="3" s="1"/>
  <c r="BM2647" i="3"/>
  <c r="BO2647" i="3" s="1"/>
  <c r="BM4095" i="3"/>
  <c r="BO4095" i="3" s="1"/>
  <c r="BM3134" i="3"/>
  <c r="BO3134" i="3" s="1"/>
  <c r="BM2652" i="3"/>
  <c r="BO2652" i="3" s="1"/>
  <c r="BM2651" i="3"/>
  <c r="BO2651" i="3" s="1"/>
  <c r="BM3130" i="3"/>
  <c r="BO3130" i="3" s="1"/>
  <c r="BM3617" i="3"/>
  <c r="BO3617" i="3" s="1"/>
  <c r="BM2650" i="3"/>
  <c r="BO2650" i="3" s="1"/>
  <c r="BM2649" i="3"/>
  <c r="BO2649" i="3" s="1"/>
  <c r="BM2653" i="3"/>
  <c r="BO2653" i="3" s="1"/>
  <c r="BM2167" i="3"/>
  <c r="BO2167" i="3" s="1"/>
  <c r="BM2172" i="3"/>
  <c r="BO2172" i="3" s="1"/>
  <c r="BM2654" i="3"/>
  <c r="BO2654" i="3" s="1"/>
  <c r="BM2166" i="3"/>
  <c r="BO2166" i="3" s="1"/>
  <c r="BM1686" i="3"/>
  <c r="BO1686" i="3" s="1"/>
  <c r="BM2171" i="3"/>
  <c r="BO2171" i="3" s="1"/>
  <c r="BM2165" i="3"/>
  <c r="BO2165" i="3" s="1"/>
  <c r="BM2648" i="3"/>
  <c r="BO2648" i="3" s="1"/>
  <c r="BM2170" i="3"/>
  <c r="BO2170" i="3" s="1"/>
  <c r="BM2169" i="3"/>
  <c r="BO2169" i="3" s="1"/>
  <c r="BM1203" i="3"/>
  <c r="BO1203" i="3" s="1"/>
  <c r="BM1690" i="3"/>
  <c r="BO1690" i="3" s="1"/>
  <c r="BM1684" i="3"/>
  <c r="BO1684" i="3" s="1"/>
  <c r="BM1208" i="3"/>
  <c r="BO1208" i="3" s="1"/>
  <c r="BM1202" i="3"/>
  <c r="BO1202" i="3" s="1"/>
  <c r="BM1689" i="3"/>
  <c r="BO1689" i="3" s="1"/>
  <c r="BM1683" i="3"/>
  <c r="BO1683" i="3" s="1"/>
  <c r="BM1207" i="3"/>
  <c r="BO1207" i="3" s="1"/>
  <c r="BM1201" i="3"/>
  <c r="BO1201" i="3" s="1"/>
  <c r="BM1688" i="3"/>
  <c r="BO1688" i="3" s="1"/>
  <c r="BM1206" i="3"/>
  <c r="BO1206" i="3" s="1"/>
  <c r="BM1687" i="3"/>
  <c r="BO1687" i="3" s="1"/>
  <c r="BM2168" i="3"/>
  <c r="BO2168" i="3" s="1"/>
  <c r="BM1205" i="3"/>
  <c r="BO1205" i="3" s="1"/>
  <c r="BM1204" i="3"/>
  <c r="BO1204" i="3" s="1"/>
  <c r="BM1685" i="3"/>
  <c r="BO1685" i="3" s="1"/>
  <c r="BM722" i="3"/>
  <c r="BO722" i="3" s="1"/>
  <c r="BM719" i="3"/>
  <c r="BO719" i="3" s="1"/>
  <c r="BM724" i="3"/>
  <c r="BO724" i="3" s="1"/>
  <c r="BM721" i="3"/>
  <c r="BO721" i="3" s="1"/>
  <c r="BM726" i="3"/>
  <c r="BO726" i="3" s="1"/>
  <c r="BM723" i="3"/>
  <c r="BO723" i="3" s="1"/>
  <c r="BM720" i="3"/>
  <c r="BO720" i="3" s="1"/>
  <c r="BM725" i="3"/>
  <c r="BO725" i="3" s="1"/>
  <c r="BM242" i="3"/>
  <c r="BO242" i="3" s="1"/>
  <c r="BM239" i="3"/>
  <c r="BO239" i="3" s="1"/>
  <c r="BM243" i="3"/>
  <c r="BO243" i="3" s="1"/>
  <c r="BM240" i="3"/>
  <c r="BO240" i="3" s="1"/>
  <c r="BM237" i="3"/>
  <c r="BO237" i="3" s="1"/>
  <c r="BM238" i="3"/>
  <c r="BO238" i="3" s="1"/>
  <c r="BM244" i="3"/>
  <c r="BO244" i="3" s="1"/>
  <c r="BM241" i="3"/>
  <c r="BO241" i="3" s="1"/>
  <c r="BM4625" i="3"/>
  <c r="BO4625" i="3" s="1"/>
  <c r="BM4630" i="3"/>
  <c r="BO4630" i="3" s="1"/>
  <c r="BM4624" i="3"/>
  <c r="BO4624" i="3" s="1"/>
  <c r="BM4629" i="3"/>
  <c r="BO4629" i="3" s="1"/>
  <c r="BM4623" i="3"/>
  <c r="BO4623" i="3" s="1"/>
  <c r="BM4628" i="3"/>
  <c r="BO4628" i="3" s="1"/>
  <c r="BM4627" i="3"/>
  <c r="BO4627" i="3" s="1"/>
  <c r="BM4626" i="3"/>
  <c r="BO4626" i="3" s="1"/>
  <c r="BM4148" i="3"/>
  <c r="BO4148" i="3" s="1"/>
  <c r="BM4142" i="3"/>
  <c r="BO4142" i="3" s="1"/>
  <c r="BM3662" i="3"/>
  <c r="BO3662" i="3" s="1"/>
  <c r="BM4147" i="3"/>
  <c r="BO4147" i="3" s="1"/>
  <c r="BM4141" i="3"/>
  <c r="BO4141" i="3" s="1"/>
  <c r="BM4146" i="3"/>
  <c r="BO4146" i="3" s="1"/>
  <c r="BM4144" i="3"/>
  <c r="BO4144" i="3" s="1"/>
  <c r="BM3665" i="3"/>
  <c r="BO3665" i="3" s="1"/>
  <c r="BM3180" i="3"/>
  <c r="BO3180" i="3" s="1"/>
  <c r="BM4145" i="3"/>
  <c r="BO4145" i="3" s="1"/>
  <c r="BM3664" i="3"/>
  <c r="BO3664" i="3" s="1"/>
  <c r="BM4143" i="3"/>
  <c r="BO4143" i="3" s="1"/>
  <c r="BM3179" i="3"/>
  <c r="BO3179" i="3" s="1"/>
  <c r="BM3663" i="3"/>
  <c r="BO3663" i="3" s="1"/>
  <c r="BM3184" i="3"/>
  <c r="BO3184" i="3" s="1"/>
  <c r="BM3661" i="3"/>
  <c r="BO3661" i="3" s="1"/>
  <c r="BM3178" i="3"/>
  <c r="BO3178" i="3" s="1"/>
  <c r="BM3183" i="3"/>
  <c r="BO3183" i="3" s="1"/>
  <c r="BM3660" i="3"/>
  <c r="BO3660" i="3" s="1"/>
  <c r="BM3177" i="3"/>
  <c r="BO3177" i="3" s="1"/>
  <c r="BM3182" i="3"/>
  <c r="BO3182" i="3" s="1"/>
  <c r="BM3181" i="3"/>
  <c r="BO3181" i="3" s="1"/>
  <c r="BM2695" i="3"/>
  <c r="BO2695" i="3" s="1"/>
  <c r="BM2700" i="3"/>
  <c r="BO2700" i="3" s="1"/>
  <c r="BM2699" i="3"/>
  <c r="BO2699" i="3" s="1"/>
  <c r="BM2698" i="3"/>
  <c r="BO2698" i="3" s="1"/>
  <c r="BM3666" i="3"/>
  <c r="BO3666" i="3" s="1"/>
  <c r="BM3659" i="3"/>
  <c r="BO3659" i="3" s="1"/>
  <c r="BM2697" i="3"/>
  <c r="BO2697" i="3" s="1"/>
  <c r="BM2702" i="3"/>
  <c r="BO2702" i="3" s="1"/>
  <c r="BM2701" i="3"/>
  <c r="BO2701" i="3" s="1"/>
  <c r="BM2696" i="3"/>
  <c r="BO2696" i="3" s="1"/>
  <c r="BM2215" i="3"/>
  <c r="BO2215" i="3" s="1"/>
  <c r="BM1735" i="3"/>
  <c r="BO1735" i="3" s="1"/>
  <c r="BM2220" i="3"/>
  <c r="BO2220" i="3" s="1"/>
  <c r="BM2214" i="3"/>
  <c r="BO2214" i="3" s="1"/>
  <c r="BM1734" i="3"/>
  <c r="BO1734" i="3" s="1"/>
  <c r="BM2219" i="3"/>
  <c r="BO2219" i="3" s="1"/>
  <c r="BM2213" i="3"/>
  <c r="BO2213" i="3" s="1"/>
  <c r="BM2218" i="3"/>
  <c r="BO2218" i="3" s="1"/>
  <c r="BM2217" i="3"/>
  <c r="BO2217" i="3" s="1"/>
  <c r="BM1251" i="3"/>
  <c r="BO1251" i="3" s="1"/>
  <c r="BM1736" i="3"/>
  <c r="BO1736" i="3" s="1"/>
  <c r="BM1256" i="3"/>
  <c r="BO1256" i="3" s="1"/>
  <c r="BM1250" i="3"/>
  <c r="BO1250" i="3" s="1"/>
  <c r="BM1255" i="3"/>
  <c r="BO1255" i="3" s="1"/>
  <c r="BM1733" i="3"/>
  <c r="BO1733" i="3" s="1"/>
  <c r="BM1249" i="3"/>
  <c r="BO1249" i="3" s="1"/>
  <c r="BM1254" i="3"/>
  <c r="BO1254" i="3" s="1"/>
  <c r="BM2216" i="3"/>
  <c r="BO2216" i="3" s="1"/>
  <c r="BM1732" i="3"/>
  <c r="BO1732" i="3" s="1"/>
  <c r="BM1253" i="3"/>
  <c r="BO1253" i="3" s="1"/>
  <c r="BM1738" i="3"/>
  <c r="BO1738" i="3" s="1"/>
  <c r="BM1252" i="3"/>
  <c r="BO1252" i="3" s="1"/>
  <c r="BM1737" i="3"/>
  <c r="BO1737" i="3" s="1"/>
  <c r="BM770" i="3"/>
  <c r="BO770" i="3" s="1"/>
  <c r="BM767" i="3"/>
  <c r="BO767" i="3" s="1"/>
  <c r="BM772" i="3"/>
  <c r="BO772" i="3" s="1"/>
  <c r="BM769" i="3"/>
  <c r="BO769" i="3" s="1"/>
  <c r="BM774" i="3"/>
  <c r="BO774" i="3" s="1"/>
  <c r="BM771" i="3"/>
  <c r="BO771" i="3" s="1"/>
  <c r="BM1731" i="3"/>
  <c r="BO1731" i="3" s="1"/>
  <c r="BM768" i="3"/>
  <c r="BO768" i="3" s="1"/>
  <c r="BM773" i="3"/>
  <c r="BO773" i="3" s="1"/>
  <c r="BM290" i="3"/>
  <c r="BO290" i="3" s="1"/>
  <c r="BM287" i="3"/>
  <c r="BO287" i="3" s="1"/>
  <c r="BM291" i="3"/>
  <c r="BO291" i="3" s="1"/>
  <c r="BM288" i="3"/>
  <c r="BO288" i="3" s="1"/>
  <c r="BM285" i="3"/>
  <c r="BO285" i="3" s="1"/>
  <c r="BM286" i="3"/>
  <c r="BO286" i="3" s="1"/>
  <c r="BM289" i="3"/>
  <c r="BO289" i="3" s="1"/>
  <c r="BM292" i="3"/>
  <c r="BO292" i="3" s="1"/>
  <c r="BM4556" i="3"/>
  <c r="BO4556" i="3" s="1"/>
  <c r="BM4555" i="3"/>
  <c r="BO4555" i="3" s="1"/>
  <c r="BM4554" i="3"/>
  <c r="BO4554" i="3" s="1"/>
  <c r="BM4553" i="3"/>
  <c r="BO4553" i="3" s="1"/>
  <c r="BM4558" i="3"/>
  <c r="BO4558" i="3" s="1"/>
  <c r="BM4551" i="3"/>
  <c r="BO4551" i="3" s="1"/>
  <c r="BM4074" i="3"/>
  <c r="BO4074" i="3" s="1"/>
  <c r="BM3594" i="3"/>
  <c r="BO3594" i="3" s="1"/>
  <c r="BM3588" i="3"/>
  <c r="BO3588" i="3" s="1"/>
  <c r="BM4557" i="3"/>
  <c r="BO4557" i="3" s="1"/>
  <c r="BM4073" i="3"/>
  <c r="BO4073" i="3" s="1"/>
  <c r="BM4552" i="3"/>
  <c r="BO4552" i="3" s="1"/>
  <c r="BM3587" i="3"/>
  <c r="BO3587" i="3" s="1"/>
  <c r="BM4072" i="3"/>
  <c r="BO4072" i="3" s="1"/>
  <c r="BM4071" i="3"/>
  <c r="BO4071" i="3" s="1"/>
  <c r="BM4076" i="3"/>
  <c r="BO4076" i="3" s="1"/>
  <c r="BM4070" i="3"/>
  <c r="BO4070" i="3" s="1"/>
  <c r="BM4069" i="3"/>
  <c r="BO4069" i="3" s="1"/>
  <c r="BM3111" i="3"/>
  <c r="BO3111" i="3" s="1"/>
  <c r="BM3589" i="3"/>
  <c r="BO3589" i="3" s="1"/>
  <c r="BM3105" i="3"/>
  <c r="BO3105" i="3" s="1"/>
  <c r="BM3110" i="3"/>
  <c r="BO3110" i="3" s="1"/>
  <c r="BM3109" i="3"/>
  <c r="BO3109" i="3" s="1"/>
  <c r="BM3593" i="3"/>
  <c r="BO3593" i="3" s="1"/>
  <c r="BM3592" i="3"/>
  <c r="BO3592" i="3" s="1"/>
  <c r="BM3108" i="3"/>
  <c r="BO3108" i="3" s="1"/>
  <c r="BM4075" i="3"/>
  <c r="BO4075" i="3" s="1"/>
  <c r="BM3591" i="3"/>
  <c r="BO3591" i="3" s="1"/>
  <c r="BM2625" i="3"/>
  <c r="BO2625" i="3" s="1"/>
  <c r="BM2630" i="3"/>
  <c r="BO2630" i="3" s="1"/>
  <c r="BM3107" i="3"/>
  <c r="BO3107" i="3" s="1"/>
  <c r="BM2624" i="3"/>
  <c r="BO2624" i="3" s="1"/>
  <c r="BM2629" i="3"/>
  <c r="BO2629" i="3" s="1"/>
  <c r="BM3106" i="3"/>
  <c r="BO3106" i="3" s="1"/>
  <c r="BM2623" i="3"/>
  <c r="BO2623" i="3" s="1"/>
  <c r="BM2628" i="3"/>
  <c r="BO2628" i="3" s="1"/>
  <c r="BM2627" i="3"/>
  <c r="BO2627" i="3" s="1"/>
  <c r="BM2141" i="3"/>
  <c r="BO2141" i="3" s="1"/>
  <c r="BM1661" i="3"/>
  <c r="BO1661" i="3" s="1"/>
  <c r="BM2146" i="3"/>
  <c r="BO2146" i="3" s="1"/>
  <c r="BM2145" i="3"/>
  <c r="BO2145" i="3" s="1"/>
  <c r="BM3112" i="3"/>
  <c r="BO3112" i="3" s="1"/>
  <c r="BM2626" i="3"/>
  <c r="BO2626" i="3" s="1"/>
  <c r="BM2144" i="3"/>
  <c r="BO2144" i="3" s="1"/>
  <c r="BM2143" i="3"/>
  <c r="BO2143" i="3" s="1"/>
  <c r="BM3590" i="3"/>
  <c r="BO3590" i="3" s="1"/>
  <c r="BM2148" i="3"/>
  <c r="BO2148" i="3" s="1"/>
  <c r="BM2147" i="3"/>
  <c r="BO2147" i="3" s="1"/>
  <c r="BM1182" i="3"/>
  <c r="BO1182" i="3" s="1"/>
  <c r="BM1666" i="3"/>
  <c r="BO1666" i="3" s="1"/>
  <c r="BM1660" i="3"/>
  <c r="BO1660" i="3" s="1"/>
  <c r="BM1659" i="3"/>
  <c r="BO1659" i="3" s="1"/>
  <c r="BM1181" i="3"/>
  <c r="BO1181" i="3" s="1"/>
  <c r="BM2142" i="3"/>
  <c r="BO2142" i="3" s="1"/>
  <c r="BM1665" i="3"/>
  <c r="BO1665" i="3" s="1"/>
  <c r="BM1664" i="3"/>
  <c r="BO1664" i="3" s="1"/>
  <c r="BM1180" i="3"/>
  <c r="BO1180" i="3" s="1"/>
  <c r="BM1663" i="3"/>
  <c r="BO1663" i="3" s="1"/>
  <c r="BM1179" i="3"/>
  <c r="BO1179" i="3" s="1"/>
  <c r="BM1184" i="3"/>
  <c r="BO1184" i="3" s="1"/>
  <c r="BM1662" i="3"/>
  <c r="BO1662" i="3" s="1"/>
  <c r="BM1178" i="3"/>
  <c r="BO1178" i="3" s="1"/>
  <c r="BM698" i="3"/>
  <c r="BO698" i="3" s="1"/>
  <c r="BM695" i="3"/>
  <c r="BO695" i="3" s="1"/>
  <c r="BM700" i="3"/>
  <c r="BO700" i="3" s="1"/>
  <c r="BM697" i="3"/>
  <c r="BO697" i="3" s="1"/>
  <c r="BM702" i="3"/>
  <c r="BO702" i="3" s="1"/>
  <c r="BM699" i="3"/>
  <c r="BO699" i="3" s="1"/>
  <c r="BM1183" i="3"/>
  <c r="BO1183" i="3" s="1"/>
  <c r="BM696" i="3"/>
  <c r="BO696" i="3" s="1"/>
  <c r="BM1177" i="3"/>
  <c r="BO1177" i="3" s="1"/>
  <c r="BM701" i="3"/>
  <c r="BO701" i="3" s="1"/>
  <c r="BM216" i="3"/>
  <c r="BO216" i="3" s="1"/>
  <c r="BM213" i="3"/>
  <c r="BO213" i="3" s="1"/>
  <c r="BM220" i="3"/>
  <c r="BO220" i="3" s="1"/>
  <c r="BM217" i="3"/>
  <c r="BO217" i="3" s="1"/>
  <c r="BM214" i="3"/>
  <c r="BO214" i="3" s="1"/>
  <c r="BM218" i="3"/>
  <c r="BO218" i="3" s="1"/>
  <c r="BM215" i="3"/>
  <c r="BO215" i="3" s="1"/>
  <c r="BM219" i="3"/>
  <c r="BO219" i="3" s="1"/>
  <c r="BH231" i="3"/>
  <c r="HM44" i="3"/>
  <c r="HM41" i="3"/>
  <c r="HM40" i="3"/>
  <c r="HM34" i="3"/>
  <c r="HM33" i="3"/>
  <c r="HM42" i="3"/>
  <c r="HM43" i="3"/>
  <c r="HM29" i="3"/>
  <c r="HM27" i="3"/>
  <c r="HM18" i="3"/>
  <c r="HM38" i="3"/>
  <c r="HM30" i="3"/>
  <c r="HM9" i="3"/>
  <c r="HM35" i="3"/>
  <c r="HM19" i="3"/>
  <c r="HM36" i="3"/>
  <c r="HM11" i="3"/>
  <c r="HM31" i="3"/>
  <c r="HM24" i="3"/>
  <c r="HM13" i="3"/>
  <c r="HM8" i="3"/>
  <c r="HM39" i="3"/>
  <c r="HM22" i="3"/>
  <c r="HM15" i="3"/>
  <c r="HM37" i="3"/>
  <c r="HM20" i="3"/>
  <c r="HM26" i="3"/>
  <c r="HM16" i="3"/>
  <c r="HM28" i="3"/>
  <c r="HM23" i="3"/>
  <c r="HM14" i="3"/>
  <c r="HM12" i="3"/>
  <c r="HM17" i="3"/>
  <c r="HM6" i="3"/>
  <c r="HM25" i="3"/>
  <c r="HM5" i="3"/>
  <c r="HM7" i="3"/>
  <c r="HM21" i="3"/>
  <c r="HM32" i="3"/>
  <c r="HM10" i="3"/>
  <c r="B488" i="1"/>
  <c r="B430" i="1"/>
  <c r="D430" i="1" s="1"/>
  <c r="BH302" i="3"/>
  <c r="BM4796" i="3"/>
  <c r="BO4796" i="3" s="1"/>
  <c r="BM4795" i="3"/>
  <c r="BO4795" i="3" s="1"/>
  <c r="BM4794" i="3"/>
  <c r="BO4794" i="3" s="1"/>
  <c r="BM4793" i="3"/>
  <c r="BO4793" i="3" s="1"/>
  <c r="BM4798" i="3"/>
  <c r="BO4798" i="3" s="1"/>
  <c r="BM4791" i="3"/>
  <c r="BO4791" i="3" s="1"/>
  <c r="BM4314" i="3"/>
  <c r="BO4314" i="3" s="1"/>
  <c r="BM3834" i="3"/>
  <c r="BO3834" i="3" s="1"/>
  <c r="BM3828" i="3"/>
  <c r="BO3828" i="3" s="1"/>
  <c r="BM4313" i="3"/>
  <c r="BO4313" i="3" s="1"/>
  <c r="BM3833" i="3"/>
  <c r="BO3833" i="3" s="1"/>
  <c r="BM3827" i="3"/>
  <c r="BO3827" i="3" s="1"/>
  <c r="BM4312" i="3"/>
  <c r="BO4312" i="3" s="1"/>
  <c r="BM3832" i="3"/>
  <c r="BO3832" i="3" s="1"/>
  <c r="BM4797" i="3"/>
  <c r="BO4797" i="3" s="1"/>
  <c r="BM4311" i="3"/>
  <c r="BO4311" i="3" s="1"/>
  <c r="BM3831" i="3"/>
  <c r="BO3831" i="3" s="1"/>
  <c r="BM4792" i="3"/>
  <c r="BO4792" i="3" s="1"/>
  <c r="BM4316" i="3"/>
  <c r="BO4316" i="3" s="1"/>
  <c r="BM4310" i="3"/>
  <c r="BO4310" i="3" s="1"/>
  <c r="BM4309" i="3"/>
  <c r="BO4309" i="3" s="1"/>
  <c r="BM3829" i="3"/>
  <c r="BO3829" i="3" s="1"/>
  <c r="BM3351" i="3"/>
  <c r="BO3351" i="3" s="1"/>
  <c r="BM3345" i="3"/>
  <c r="BO3345" i="3" s="1"/>
  <c r="BM3350" i="3"/>
  <c r="BO3350" i="3" s="1"/>
  <c r="BM3349" i="3"/>
  <c r="BO3349" i="3" s="1"/>
  <c r="BM4315" i="3"/>
  <c r="BO4315" i="3" s="1"/>
  <c r="BM3348" i="3"/>
  <c r="BO3348" i="3" s="1"/>
  <c r="BM3347" i="3"/>
  <c r="BO3347" i="3" s="1"/>
  <c r="BM3830" i="3"/>
  <c r="BO3830" i="3" s="1"/>
  <c r="BM2865" i="3"/>
  <c r="BO2865" i="3" s="1"/>
  <c r="BM2385" i="3"/>
  <c r="BO2385" i="3" s="1"/>
  <c r="BM2870" i="3"/>
  <c r="BO2870" i="3" s="1"/>
  <c r="BM2864" i="3"/>
  <c r="BO2864" i="3" s="1"/>
  <c r="BM2384" i="3"/>
  <c r="BO2384" i="3" s="1"/>
  <c r="BM3352" i="3"/>
  <c r="BO3352" i="3" s="1"/>
  <c r="BM2869" i="3"/>
  <c r="BO2869" i="3" s="1"/>
  <c r="BM2863" i="3"/>
  <c r="BO2863" i="3" s="1"/>
  <c r="BM3346" i="3"/>
  <c r="BO3346" i="3" s="1"/>
  <c r="BM2868" i="3"/>
  <c r="BO2868" i="3" s="1"/>
  <c r="BM2867" i="3"/>
  <c r="BO2867" i="3" s="1"/>
  <c r="BM2383" i="3"/>
  <c r="BO2383" i="3" s="1"/>
  <c r="BM1901" i="3"/>
  <c r="BO1901" i="3" s="1"/>
  <c r="BM2866" i="3"/>
  <c r="BO2866" i="3" s="1"/>
  <c r="BM1906" i="3"/>
  <c r="BO1906" i="3" s="1"/>
  <c r="BM2382" i="3"/>
  <c r="BO2382" i="3" s="1"/>
  <c r="BM1900" i="3"/>
  <c r="BO1900" i="3" s="1"/>
  <c r="BM1905" i="3"/>
  <c r="BO1905" i="3" s="1"/>
  <c r="BM2388" i="3"/>
  <c r="BO2388" i="3" s="1"/>
  <c r="BM2381" i="3"/>
  <c r="BO2381" i="3" s="1"/>
  <c r="BM1899" i="3"/>
  <c r="BO1899" i="3" s="1"/>
  <c r="BM1904" i="3"/>
  <c r="BO1904" i="3" s="1"/>
  <c r="BM2387" i="3"/>
  <c r="BO2387" i="3" s="1"/>
  <c r="BM1903" i="3"/>
  <c r="BO1903" i="3" s="1"/>
  <c r="BM2386" i="3"/>
  <c r="BO2386" i="3" s="1"/>
  <c r="BM1422" i="3"/>
  <c r="BO1422" i="3" s="1"/>
  <c r="BM1421" i="3"/>
  <c r="BO1421" i="3" s="1"/>
  <c r="BM1420" i="3"/>
  <c r="BO1420" i="3" s="1"/>
  <c r="BM1419" i="3"/>
  <c r="BO1419" i="3" s="1"/>
  <c r="BM1424" i="3"/>
  <c r="BO1424" i="3" s="1"/>
  <c r="BM1418" i="3"/>
  <c r="BO1418" i="3" s="1"/>
  <c r="BM1902" i="3"/>
  <c r="BO1902" i="3" s="1"/>
  <c r="BM1417" i="3"/>
  <c r="BO1417" i="3" s="1"/>
  <c r="BM938" i="3"/>
  <c r="BO938" i="3" s="1"/>
  <c r="BM935" i="3"/>
  <c r="BO935" i="3" s="1"/>
  <c r="BM1423" i="3"/>
  <c r="BO1423" i="3" s="1"/>
  <c r="BM940" i="3"/>
  <c r="BO940" i="3" s="1"/>
  <c r="BM937" i="3"/>
  <c r="BO937" i="3" s="1"/>
  <c r="BM942" i="3"/>
  <c r="BO942" i="3" s="1"/>
  <c r="BM939" i="3"/>
  <c r="BO939" i="3" s="1"/>
  <c r="BM936" i="3"/>
  <c r="BO936" i="3" s="1"/>
  <c r="BM941" i="3"/>
  <c r="BO941" i="3" s="1"/>
  <c r="BM460" i="3"/>
  <c r="BO460" i="3" s="1"/>
  <c r="BM458" i="3"/>
  <c r="BO458" i="3" s="1"/>
  <c r="BM455" i="3"/>
  <c r="BO455" i="3" s="1"/>
  <c r="BM459" i="3"/>
  <c r="BO459" i="3" s="1"/>
  <c r="BM456" i="3"/>
  <c r="BO456" i="3" s="1"/>
  <c r="BM453" i="3"/>
  <c r="BO453" i="3" s="1"/>
  <c r="BM457" i="3"/>
  <c r="BO457" i="3" s="1"/>
  <c r="BM454" i="3"/>
  <c r="BO454" i="3" s="1"/>
  <c r="BH241" i="3"/>
  <c r="BM4529" i="3"/>
  <c r="BO4529" i="3" s="1"/>
  <c r="BM4534" i="3"/>
  <c r="BO4534" i="3" s="1"/>
  <c r="BM4528" i="3"/>
  <c r="BO4528" i="3" s="1"/>
  <c r="BM4533" i="3"/>
  <c r="BO4533" i="3" s="1"/>
  <c r="BM4527" i="3"/>
  <c r="BO4527" i="3" s="1"/>
  <c r="BM4532" i="3"/>
  <c r="BO4532" i="3" s="1"/>
  <c r="BM4531" i="3"/>
  <c r="BO4531" i="3" s="1"/>
  <c r="BM4530" i="3"/>
  <c r="BO4530" i="3" s="1"/>
  <c r="BM4052" i="3"/>
  <c r="BO4052" i="3" s="1"/>
  <c r="BM4046" i="3"/>
  <c r="BO4046" i="3" s="1"/>
  <c r="BM4051" i="3"/>
  <c r="BO4051" i="3" s="1"/>
  <c r="BM4045" i="3"/>
  <c r="BO4045" i="3" s="1"/>
  <c r="BM4050" i="3"/>
  <c r="BO4050" i="3" s="1"/>
  <c r="BM4048" i="3"/>
  <c r="BO4048" i="3" s="1"/>
  <c r="BM3570" i="3"/>
  <c r="BO3570" i="3" s="1"/>
  <c r="BM3084" i="3"/>
  <c r="BO3084" i="3" s="1"/>
  <c r="BM3564" i="3"/>
  <c r="BO3564" i="3" s="1"/>
  <c r="BM3569" i="3"/>
  <c r="BO3569" i="3" s="1"/>
  <c r="BM3083" i="3"/>
  <c r="BO3083" i="3" s="1"/>
  <c r="BM3563" i="3"/>
  <c r="BO3563" i="3" s="1"/>
  <c r="BM3088" i="3"/>
  <c r="BO3088" i="3" s="1"/>
  <c r="BM3568" i="3"/>
  <c r="BO3568" i="3" s="1"/>
  <c r="BM4049" i="3"/>
  <c r="BO4049" i="3" s="1"/>
  <c r="BM3567" i="3"/>
  <c r="BO3567" i="3" s="1"/>
  <c r="BM4047" i="3"/>
  <c r="BO4047" i="3" s="1"/>
  <c r="BM3566" i="3"/>
  <c r="BO3566" i="3" s="1"/>
  <c r="BM2599" i="3"/>
  <c r="BO2599" i="3" s="1"/>
  <c r="BM3087" i="3"/>
  <c r="BO3087" i="3" s="1"/>
  <c r="BM2604" i="3"/>
  <c r="BO2604" i="3" s="1"/>
  <c r="BM3086" i="3"/>
  <c r="BO3086" i="3" s="1"/>
  <c r="BM2603" i="3"/>
  <c r="BO2603" i="3" s="1"/>
  <c r="BM3565" i="3"/>
  <c r="BO3565" i="3" s="1"/>
  <c r="BM3085" i="3"/>
  <c r="BO3085" i="3" s="1"/>
  <c r="BM2602" i="3"/>
  <c r="BO2602" i="3" s="1"/>
  <c r="BM3082" i="3"/>
  <c r="BO3082" i="3" s="1"/>
  <c r="BM2601" i="3"/>
  <c r="BO2601" i="3" s="1"/>
  <c r="BM3081" i="3"/>
  <c r="BO3081" i="3" s="1"/>
  <c r="BM2605" i="3"/>
  <c r="BO2605" i="3" s="1"/>
  <c r="BM2606" i="3"/>
  <c r="BO2606" i="3" s="1"/>
  <c r="BM2119" i="3"/>
  <c r="BO2119" i="3" s="1"/>
  <c r="BM2124" i="3"/>
  <c r="BO2124" i="3" s="1"/>
  <c r="BM2600" i="3"/>
  <c r="BO2600" i="3" s="1"/>
  <c r="BM2118" i="3"/>
  <c r="BO2118" i="3" s="1"/>
  <c r="BM1638" i="3"/>
  <c r="BO1638" i="3" s="1"/>
  <c r="BM2123" i="3"/>
  <c r="BO2123" i="3" s="1"/>
  <c r="BM2117" i="3"/>
  <c r="BO2117" i="3" s="1"/>
  <c r="BM2122" i="3"/>
  <c r="BO2122" i="3" s="1"/>
  <c r="BM2121" i="3"/>
  <c r="BO2121" i="3" s="1"/>
  <c r="BM1642" i="3"/>
  <c r="BO1642" i="3" s="1"/>
  <c r="BM1636" i="3"/>
  <c r="BO1636" i="3" s="1"/>
  <c r="BM1155" i="3"/>
  <c r="BO1155" i="3" s="1"/>
  <c r="BM1160" i="3"/>
  <c r="BO1160" i="3" s="1"/>
  <c r="BM1641" i="3"/>
  <c r="BO1641" i="3" s="1"/>
  <c r="BM1635" i="3"/>
  <c r="BO1635" i="3" s="1"/>
  <c r="BM1154" i="3"/>
  <c r="BO1154" i="3" s="1"/>
  <c r="BM1159" i="3"/>
  <c r="BO1159" i="3" s="1"/>
  <c r="BM1640" i="3"/>
  <c r="BO1640" i="3" s="1"/>
  <c r="BM1153" i="3"/>
  <c r="BO1153" i="3" s="1"/>
  <c r="BM1639" i="3"/>
  <c r="BO1639" i="3" s="1"/>
  <c r="BM1158" i="3"/>
  <c r="BO1158" i="3" s="1"/>
  <c r="BM1157" i="3"/>
  <c r="BO1157" i="3" s="1"/>
  <c r="BM1156" i="3"/>
  <c r="BO1156" i="3" s="1"/>
  <c r="BM674" i="3"/>
  <c r="BO674" i="3" s="1"/>
  <c r="BM671" i="3"/>
  <c r="BO671" i="3" s="1"/>
  <c r="BM676" i="3"/>
  <c r="BO676" i="3" s="1"/>
  <c r="BM673" i="3"/>
  <c r="BO673" i="3" s="1"/>
  <c r="BM2120" i="3"/>
  <c r="BO2120" i="3" s="1"/>
  <c r="BM675" i="3"/>
  <c r="BO675" i="3" s="1"/>
  <c r="BM1637" i="3"/>
  <c r="BO1637" i="3" s="1"/>
  <c r="BM677" i="3"/>
  <c r="BO677" i="3" s="1"/>
  <c r="BM672" i="3"/>
  <c r="BO672" i="3" s="1"/>
  <c r="BM678" i="3"/>
  <c r="BO678" i="3" s="1"/>
  <c r="BM194" i="3"/>
  <c r="BO194" i="3" s="1"/>
  <c r="BM191" i="3"/>
  <c r="BO191" i="3" s="1"/>
  <c r="BM195" i="3"/>
  <c r="BO195" i="3" s="1"/>
  <c r="BM192" i="3"/>
  <c r="BO192" i="3" s="1"/>
  <c r="BM189" i="3"/>
  <c r="BO189" i="3" s="1"/>
  <c r="BM190" i="3"/>
  <c r="BO190" i="3" s="1"/>
  <c r="BM196" i="3"/>
  <c r="BO196" i="3" s="1"/>
  <c r="BM193" i="3"/>
  <c r="BO193" i="3" s="1"/>
  <c r="BM4588" i="3"/>
  <c r="BO4588" i="3" s="1"/>
  <c r="BM4587" i="3"/>
  <c r="BO4587" i="3" s="1"/>
  <c r="BM4586" i="3"/>
  <c r="BO4586" i="3" s="1"/>
  <c r="BM4585" i="3"/>
  <c r="BO4585" i="3" s="1"/>
  <c r="BM4590" i="3"/>
  <c r="BO4590" i="3" s="1"/>
  <c r="BM4583" i="3"/>
  <c r="BO4583" i="3" s="1"/>
  <c r="BM4106" i="3"/>
  <c r="BO4106" i="3" s="1"/>
  <c r="BM3626" i="3"/>
  <c r="BO3626" i="3" s="1"/>
  <c r="BM3620" i="3"/>
  <c r="BO3620" i="3" s="1"/>
  <c r="BM4105" i="3"/>
  <c r="BO4105" i="3" s="1"/>
  <c r="BM3619" i="3"/>
  <c r="BO3619" i="3" s="1"/>
  <c r="BM4104" i="3"/>
  <c r="BO4104" i="3" s="1"/>
  <c r="BM4589" i="3"/>
  <c r="BO4589" i="3" s="1"/>
  <c r="BM4584" i="3"/>
  <c r="BO4584" i="3" s="1"/>
  <c r="BM4103" i="3"/>
  <c r="BO4103" i="3" s="1"/>
  <c r="BM4108" i="3"/>
  <c r="BO4108" i="3" s="1"/>
  <c r="BM4102" i="3"/>
  <c r="BO4102" i="3" s="1"/>
  <c r="BM4101" i="3"/>
  <c r="BO4101" i="3" s="1"/>
  <c r="BM3143" i="3"/>
  <c r="BO3143" i="3" s="1"/>
  <c r="BM3622" i="3"/>
  <c r="BO3622" i="3" s="1"/>
  <c r="BM3137" i="3"/>
  <c r="BO3137" i="3" s="1"/>
  <c r="BM3142" i="3"/>
  <c r="BO3142" i="3" s="1"/>
  <c r="BM3621" i="3"/>
  <c r="BO3621" i="3" s="1"/>
  <c r="BM3141" i="3"/>
  <c r="BO3141" i="3" s="1"/>
  <c r="BM4107" i="3"/>
  <c r="BO4107" i="3" s="1"/>
  <c r="BM3625" i="3"/>
  <c r="BO3625" i="3" s="1"/>
  <c r="BM3140" i="3"/>
  <c r="BO3140" i="3" s="1"/>
  <c r="BM3624" i="3"/>
  <c r="BO3624" i="3" s="1"/>
  <c r="BM3623" i="3"/>
  <c r="BO3623" i="3" s="1"/>
  <c r="BM2657" i="3"/>
  <c r="BO2657" i="3" s="1"/>
  <c r="BM2662" i="3"/>
  <c r="BO2662" i="3" s="1"/>
  <c r="BM2656" i="3"/>
  <c r="BO2656" i="3" s="1"/>
  <c r="BM2661" i="3"/>
  <c r="BO2661" i="3" s="1"/>
  <c r="BM3144" i="3"/>
  <c r="BO3144" i="3" s="1"/>
  <c r="BM2655" i="3"/>
  <c r="BO2655" i="3" s="1"/>
  <c r="BM2660" i="3"/>
  <c r="BO2660" i="3" s="1"/>
  <c r="BM3139" i="3"/>
  <c r="BO3139" i="3" s="1"/>
  <c r="BM2659" i="3"/>
  <c r="BO2659" i="3" s="1"/>
  <c r="BM3138" i="3"/>
  <c r="BO3138" i="3" s="1"/>
  <c r="BM2173" i="3"/>
  <c r="BO2173" i="3" s="1"/>
  <c r="BM1693" i="3"/>
  <c r="BO1693" i="3" s="1"/>
  <c r="BM2178" i="3"/>
  <c r="BO2178" i="3" s="1"/>
  <c r="BM2658" i="3"/>
  <c r="BO2658" i="3" s="1"/>
  <c r="BM2177" i="3"/>
  <c r="BO2177" i="3" s="1"/>
  <c r="BM2176" i="3"/>
  <c r="BO2176" i="3" s="1"/>
  <c r="BM2175" i="3"/>
  <c r="BO2175" i="3" s="1"/>
  <c r="BM2180" i="3"/>
  <c r="BO2180" i="3" s="1"/>
  <c r="BM2179" i="3"/>
  <c r="BO2179" i="3" s="1"/>
  <c r="BM1697" i="3"/>
  <c r="BO1697" i="3" s="1"/>
  <c r="BM1214" i="3"/>
  <c r="BO1214" i="3" s="1"/>
  <c r="BM1696" i="3"/>
  <c r="BO1696" i="3" s="1"/>
  <c r="BM1213" i="3"/>
  <c r="BO1213" i="3" s="1"/>
  <c r="BM1695" i="3"/>
  <c r="BO1695" i="3" s="1"/>
  <c r="BM1212" i="3"/>
  <c r="BO1212" i="3" s="1"/>
  <c r="BM2174" i="3"/>
  <c r="BO2174" i="3" s="1"/>
  <c r="BM1694" i="3"/>
  <c r="BO1694" i="3" s="1"/>
  <c r="BM1211" i="3"/>
  <c r="BO1211" i="3" s="1"/>
  <c r="BM1216" i="3"/>
  <c r="BO1216" i="3" s="1"/>
  <c r="BM1210" i="3"/>
  <c r="BO1210" i="3" s="1"/>
  <c r="BM1691" i="3"/>
  <c r="BO1691" i="3" s="1"/>
  <c r="BM730" i="3"/>
  <c r="BO730" i="3" s="1"/>
  <c r="BM1698" i="3"/>
  <c r="BO1698" i="3" s="1"/>
  <c r="BM1692" i="3"/>
  <c r="BO1692" i="3" s="1"/>
  <c r="BM1209" i="3"/>
  <c r="BO1209" i="3" s="1"/>
  <c r="BM727" i="3"/>
  <c r="BO727" i="3" s="1"/>
  <c r="BM732" i="3"/>
  <c r="BO732" i="3" s="1"/>
  <c r="BM729" i="3"/>
  <c r="BO729" i="3" s="1"/>
  <c r="BM734" i="3"/>
  <c r="BO734" i="3" s="1"/>
  <c r="BM731" i="3"/>
  <c r="BO731" i="3" s="1"/>
  <c r="BM728" i="3"/>
  <c r="BO728" i="3" s="1"/>
  <c r="BM733" i="3"/>
  <c r="BO733" i="3" s="1"/>
  <c r="BM1215" i="3"/>
  <c r="BO1215" i="3" s="1"/>
  <c r="BM248" i="3"/>
  <c r="BO248" i="3" s="1"/>
  <c r="BM245" i="3"/>
  <c r="BO245" i="3" s="1"/>
  <c r="BM252" i="3"/>
  <c r="BO252" i="3" s="1"/>
  <c r="BM249" i="3"/>
  <c r="BO249" i="3" s="1"/>
  <c r="BM246" i="3"/>
  <c r="BO246" i="3" s="1"/>
  <c r="BM250" i="3"/>
  <c r="BO250" i="3" s="1"/>
  <c r="BM247" i="3"/>
  <c r="BO247" i="3" s="1"/>
  <c r="BM251" i="3"/>
  <c r="BO251" i="3" s="1"/>
  <c r="BM4748" i="3"/>
  <c r="BO4748" i="3" s="1"/>
  <c r="BM4747" i="3"/>
  <c r="BO4747" i="3" s="1"/>
  <c r="BM4746" i="3"/>
  <c r="BO4746" i="3" s="1"/>
  <c r="BM4745" i="3"/>
  <c r="BO4745" i="3" s="1"/>
  <c r="BM4750" i="3"/>
  <c r="BO4750" i="3" s="1"/>
  <c r="BM4743" i="3"/>
  <c r="BO4743" i="3" s="1"/>
  <c r="BM4266" i="3"/>
  <c r="BO4266" i="3" s="1"/>
  <c r="BM3786" i="3"/>
  <c r="BO3786" i="3" s="1"/>
  <c r="BM3780" i="3"/>
  <c r="BO3780" i="3" s="1"/>
  <c r="BM4265" i="3"/>
  <c r="BO4265" i="3" s="1"/>
  <c r="BM3785" i="3"/>
  <c r="BO3785" i="3" s="1"/>
  <c r="BM3779" i="3"/>
  <c r="BO3779" i="3" s="1"/>
  <c r="BM4264" i="3"/>
  <c r="BO4264" i="3" s="1"/>
  <c r="BM3784" i="3"/>
  <c r="BO3784" i="3" s="1"/>
  <c r="BM4263" i="3"/>
  <c r="BO4263" i="3" s="1"/>
  <c r="BM3783" i="3"/>
  <c r="BO3783" i="3" s="1"/>
  <c r="BM4268" i="3"/>
  <c r="BO4268" i="3" s="1"/>
  <c r="BM4744" i="3"/>
  <c r="BO4744" i="3" s="1"/>
  <c r="BM4262" i="3"/>
  <c r="BO4262" i="3" s="1"/>
  <c r="BM4261" i="3"/>
  <c r="BO4261" i="3" s="1"/>
  <c r="BM3303" i="3"/>
  <c r="BO3303" i="3" s="1"/>
  <c r="BM4749" i="3"/>
  <c r="BO4749" i="3" s="1"/>
  <c r="BM3297" i="3"/>
  <c r="BO3297" i="3" s="1"/>
  <c r="BM3782" i="3"/>
  <c r="BO3782" i="3" s="1"/>
  <c r="BM3302" i="3"/>
  <c r="BO3302" i="3" s="1"/>
  <c r="BM3781" i="3"/>
  <c r="BO3781" i="3" s="1"/>
  <c r="BM3301" i="3"/>
  <c r="BO3301" i="3" s="1"/>
  <c r="BM3300" i="3"/>
  <c r="BO3300" i="3" s="1"/>
  <c r="BM4267" i="3"/>
  <c r="BO4267" i="3" s="1"/>
  <c r="BM3299" i="3"/>
  <c r="BO3299" i="3" s="1"/>
  <c r="BM2817" i="3"/>
  <c r="BO2817" i="3" s="1"/>
  <c r="BM2337" i="3"/>
  <c r="BO2337" i="3" s="1"/>
  <c r="BM2822" i="3"/>
  <c r="BO2822" i="3" s="1"/>
  <c r="BM2816" i="3"/>
  <c r="BO2816" i="3" s="1"/>
  <c r="BM2821" i="3"/>
  <c r="BO2821" i="3" s="1"/>
  <c r="BM3304" i="3"/>
  <c r="BO3304" i="3" s="1"/>
  <c r="BM2815" i="3"/>
  <c r="BO2815" i="3" s="1"/>
  <c r="BM2820" i="3"/>
  <c r="BO2820" i="3" s="1"/>
  <c r="BM3298" i="3"/>
  <c r="BO3298" i="3" s="1"/>
  <c r="BM2819" i="3"/>
  <c r="BO2819" i="3" s="1"/>
  <c r="BM2338" i="3"/>
  <c r="BO2338" i="3" s="1"/>
  <c r="BM1853" i="3"/>
  <c r="BO1853" i="3" s="1"/>
  <c r="BM1858" i="3"/>
  <c r="BO1858" i="3" s="1"/>
  <c r="BM2818" i="3"/>
  <c r="BO2818" i="3" s="1"/>
  <c r="BM1852" i="3"/>
  <c r="BO1852" i="3" s="1"/>
  <c r="BM2336" i="3"/>
  <c r="BO2336" i="3" s="1"/>
  <c r="BM1857" i="3"/>
  <c r="BO1857" i="3" s="1"/>
  <c r="BM1851" i="3"/>
  <c r="BO1851" i="3" s="1"/>
  <c r="BM2335" i="3"/>
  <c r="BO2335" i="3" s="1"/>
  <c r="BM1856" i="3"/>
  <c r="BO1856" i="3" s="1"/>
  <c r="BM2340" i="3"/>
  <c r="BO2340" i="3" s="1"/>
  <c r="BM2334" i="3"/>
  <c r="BO2334" i="3" s="1"/>
  <c r="BM1855" i="3"/>
  <c r="BO1855" i="3" s="1"/>
  <c r="BM2333" i="3"/>
  <c r="BO2333" i="3" s="1"/>
  <c r="BM1854" i="3"/>
  <c r="BO1854" i="3" s="1"/>
  <c r="BM1374" i="3"/>
  <c r="BO1374" i="3" s="1"/>
  <c r="BM1373" i="3"/>
  <c r="BO1373" i="3" s="1"/>
  <c r="BM1372" i="3"/>
  <c r="BO1372" i="3" s="1"/>
  <c r="BM1371" i="3"/>
  <c r="BO1371" i="3" s="1"/>
  <c r="BM1376" i="3"/>
  <c r="BO1376" i="3" s="1"/>
  <c r="BM1370" i="3"/>
  <c r="BO1370" i="3" s="1"/>
  <c r="BM2339" i="3"/>
  <c r="BO2339" i="3" s="1"/>
  <c r="BM1369" i="3"/>
  <c r="BO1369" i="3" s="1"/>
  <c r="BM890" i="3"/>
  <c r="BO890" i="3" s="1"/>
  <c r="BM887" i="3"/>
  <c r="BO887" i="3" s="1"/>
  <c r="BM892" i="3"/>
  <c r="BO892" i="3" s="1"/>
  <c r="BM889" i="3"/>
  <c r="BO889" i="3" s="1"/>
  <c r="BM894" i="3"/>
  <c r="BO894" i="3" s="1"/>
  <c r="BM891" i="3"/>
  <c r="BO891" i="3" s="1"/>
  <c r="BM1375" i="3"/>
  <c r="BO1375" i="3" s="1"/>
  <c r="BM888" i="3"/>
  <c r="BO888" i="3" s="1"/>
  <c r="BM893" i="3"/>
  <c r="BO893" i="3" s="1"/>
  <c r="BM410" i="3"/>
  <c r="BO410" i="3" s="1"/>
  <c r="BM407" i="3"/>
  <c r="BO407" i="3" s="1"/>
  <c r="BM411" i="3"/>
  <c r="BO411" i="3" s="1"/>
  <c r="BM408" i="3"/>
  <c r="BO408" i="3" s="1"/>
  <c r="BM405" i="3"/>
  <c r="BO405" i="3" s="1"/>
  <c r="BM409" i="3"/>
  <c r="BO409" i="3" s="1"/>
  <c r="BM406" i="3"/>
  <c r="BO406" i="3" s="1"/>
  <c r="BM412" i="3"/>
  <c r="BO412" i="3" s="1"/>
  <c r="BM4737" i="3"/>
  <c r="BO4737" i="3" s="1"/>
  <c r="BM4742" i="3"/>
  <c r="BO4742" i="3" s="1"/>
  <c r="BM4736" i="3"/>
  <c r="BO4736" i="3" s="1"/>
  <c r="BM4741" i="3"/>
  <c r="BO4741" i="3" s="1"/>
  <c r="BM4735" i="3"/>
  <c r="BO4735" i="3" s="1"/>
  <c r="BM4740" i="3"/>
  <c r="BO4740" i="3" s="1"/>
  <c r="BM4739" i="3"/>
  <c r="BO4739" i="3" s="1"/>
  <c r="BM4738" i="3"/>
  <c r="BO4738" i="3" s="1"/>
  <c r="BM4255" i="3"/>
  <c r="BO4255" i="3" s="1"/>
  <c r="BM4260" i="3"/>
  <c r="BO4260" i="3" s="1"/>
  <c r="BM4254" i="3"/>
  <c r="BO4254" i="3" s="1"/>
  <c r="BM3774" i="3"/>
  <c r="BO3774" i="3" s="1"/>
  <c r="BM4259" i="3"/>
  <c r="BO4259" i="3" s="1"/>
  <c r="BM4253" i="3"/>
  <c r="BO4253" i="3" s="1"/>
  <c r="BM4258" i="3"/>
  <c r="BO4258" i="3" s="1"/>
  <c r="BM3778" i="3"/>
  <c r="BO3778" i="3" s="1"/>
  <c r="BM3772" i="3"/>
  <c r="BO3772" i="3" s="1"/>
  <c r="BM4256" i="3"/>
  <c r="BO4256" i="3" s="1"/>
  <c r="BM3292" i="3"/>
  <c r="BO3292" i="3" s="1"/>
  <c r="BM3771" i="3"/>
  <c r="BO3771" i="3" s="1"/>
  <c r="BM3291" i="3"/>
  <c r="BO3291" i="3" s="1"/>
  <c r="BM3296" i="3"/>
  <c r="BO3296" i="3" s="1"/>
  <c r="BM3290" i="3"/>
  <c r="BO3290" i="3" s="1"/>
  <c r="BM3295" i="3"/>
  <c r="BO3295" i="3" s="1"/>
  <c r="BM3777" i="3"/>
  <c r="BO3777" i="3" s="1"/>
  <c r="BM3289" i="3"/>
  <c r="BO3289" i="3" s="1"/>
  <c r="BM3294" i="3"/>
  <c r="BO3294" i="3" s="1"/>
  <c r="BM3776" i="3"/>
  <c r="BO3776" i="3" s="1"/>
  <c r="BM4257" i="3"/>
  <c r="BO4257" i="3" s="1"/>
  <c r="BM3775" i="3"/>
  <c r="BO3775" i="3" s="1"/>
  <c r="BM3293" i="3"/>
  <c r="BO3293" i="3" s="1"/>
  <c r="BM2807" i="3"/>
  <c r="BO2807" i="3" s="1"/>
  <c r="BM2327" i="3"/>
  <c r="BO2327" i="3" s="1"/>
  <c r="BM3773" i="3"/>
  <c r="BO3773" i="3" s="1"/>
  <c r="BM2812" i="3"/>
  <c r="BO2812" i="3" s="1"/>
  <c r="BM2811" i="3"/>
  <c r="BO2811" i="3" s="1"/>
  <c r="BM2810" i="3"/>
  <c r="BO2810" i="3" s="1"/>
  <c r="BM2809" i="3"/>
  <c r="BO2809" i="3" s="1"/>
  <c r="BM2814" i="3"/>
  <c r="BO2814" i="3" s="1"/>
  <c r="BM2813" i="3"/>
  <c r="BO2813" i="3" s="1"/>
  <c r="BM2331" i="3"/>
  <c r="BO2331" i="3" s="1"/>
  <c r="BM2325" i="3"/>
  <c r="BO2325" i="3" s="1"/>
  <c r="BM1847" i="3"/>
  <c r="BO1847" i="3" s="1"/>
  <c r="BM2330" i="3"/>
  <c r="BO2330" i="3" s="1"/>
  <c r="BM1846" i="3"/>
  <c r="BO1846" i="3" s="1"/>
  <c r="BM2808" i="3"/>
  <c r="BO2808" i="3" s="1"/>
  <c r="BM2329" i="3"/>
  <c r="BO2329" i="3" s="1"/>
  <c r="BM1850" i="3"/>
  <c r="BO1850" i="3" s="1"/>
  <c r="BM2328" i="3"/>
  <c r="BO2328" i="3" s="1"/>
  <c r="BM1844" i="3"/>
  <c r="BO1844" i="3" s="1"/>
  <c r="BM2326" i="3"/>
  <c r="BO2326" i="3" s="1"/>
  <c r="BM1843" i="3"/>
  <c r="BO1843" i="3" s="1"/>
  <c r="BM2332" i="3"/>
  <c r="BO2332" i="3" s="1"/>
  <c r="BM1363" i="3"/>
  <c r="BO1363" i="3" s="1"/>
  <c r="BM1368" i="3"/>
  <c r="BO1368" i="3" s="1"/>
  <c r="BM1849" i="3"/>
  <c r="BO1849" i="3" s="1"/>
  <c r="BM1362" i="3"/>
  <c r="BO1362" i="3" s="1"/>
  <c r="BM1848" i="3"/>
  <c r="BO1848" i="3" s="1"/>
  <c r="BM1367" i="3"/>
  <c r="BO1367" i="3" s="1"/>
  <c r="BM1845" i="3"/>
  <c r="BO1845" i="3" s="1"/>
  <c r="BM1361" i="3"/>
  <c r="BO1361" i="3" s="1"/>
  <c r="BM1366" i="3"/>
  <c r="BO1366" i="3" s="1"/>
  <c r="BM1365" i="3"/>
  <c r="BO1365" i="3" s="1"/>
  <c r="BM1364" i="3"/>
  <c r="BO1364" i="3" s="1"/>
  <c r="BM882" i="3"/>
  <c r="BO882" i="3" s="1"/>
  <c r="BM879" i="3"/>
  <c r="BO879" i="3" s="1"/>
  <c r="BM884" i="3"/>
  <c r="BO884" i="3" s="1"/>
  <c r="BM881" i="3"/>
  <c r="BO881" i="3" s="1"/>
  <c r="BM886" i="3"/>
  <c r="BO886" i="3" s="1"/>
  <c r="BM883" i="3"/>
  <c r="BO883" i="3" s="1"/>
  <c r="BM880" i="3"/>
  <c r="BO880" i="3" s="1"/>
  <c r="BM885" i="3"/>
  <c r="BO885" i="3" s="1"/>
  <c r="BM403" i="3"/>
  <c r="BO403" i="3" s="1"/>
  <c r="BM400" i="3"/>
  <c r="BO400" i="3" s="1"/>
  <c r="BM397" i="3"/>
  <c r="BO397" i="3" s="1"/>
  <c r="BM404" i="3"/>
  <c r="BO404" i="3" s="1"/>
  <c r="BM401" i="3"/>
  <c r="BO401" i="3" s="1"/>
  <c r="BM398" i="3"/>
  <c r="BO398" i="3" s="1"/>
  <c r="BM402" i="3"/>
  <c r="BO402" i="3" s="1"/>
  <c r="BM399" i="3"/>
  <c r="BO399" i="3" s="1"/>
  <c r="BH10" i="3"/>
  <c r="BD215" i="3"/>
  <c r="BG215" i="3" s="1"/>
  <c r="BD212" i="3"/>
  <c r="BG212" i="3" s="1"/>
  <c r="BD177" i="3"/>
  <c r="BG177" i="3" s="1"/>
  <c r="BD174" i="3"/>
  <c r="BG174" i="3" s="1"/>
  <c r="BD60" i="3"/>
  <c r="BG60" i="3" s="1"/>
  <c r="BD98" i="3"/>
  <c r="BG98" i="3" s="1"/>
  <c r="BD63" i="3"/>
  <c r="BG63" i="3" s="1"/>
  <c r="BD139" i="3"/>
  <c r="BG139" i="3" s="1"/>
  <c r="BD136" i="3"/>
  <c r="BG136" i="3" s="1"/>
  <c r="AA25" i="3"/>
  <c r="X25" i="3"/>
  <c r="BD25" i="3"/>
  <c r="BG25" i="3" s="1"/>
  <c r="AA22" i="3"/>
  <c r="X22" i="3"/>
  <c r="BD22" i="3"/>
  <c r="BG22" i="3" s="1"/>
  <c r="BD101" i="3"/>
  <c r="BG101" i="3" s="1"/>
  <c r="BH298" i="3"/>
  <c r="BH221" i="3"/>
  <c r="BM4572" i="3"/>
  <c r="BO4572" i="3" s="1"/>
  <c r="BM4571" i="3"/>
  <c r="BO4571" i="3" s="1"/>
  <c r="BM4570" i="3"/>
  <c r="BO4570" i="3" s="1"/>
  <c r="BM4569" i="3"/>
  <c r="BO4569" i="3" s="1"/>
  <c r="BM4574" i="3"/>
  <c r="BO4574" i="3" s="1"/>
  <c r="BM4567" i="3"/>
  <c r="BO4567" i="3" s="1"/>
  <c r="BM4090" i="3"/>
  <c r="BO4090" i="3" s="1"/>
  <c r="BM3610" i="3"/>
  <c r="BO3610" i="3" s="1"/>
  <c r="BM3604" i="3"/>
  <c r="BO3604" i="3" s="1"/>
  <c r="BM4089" i="3"/>
  <c r="BO4089" i="3" s="1"/>
  <c r="BM3603" i="3"/>
  <c r="BO3603" i="3" s="1"/>
  <c r="BM4088" i="3"/>
  <c r="BO4088" i="3" s="1"/>
  <c r="BM4087" i="3"/>
  <c r="BO4087" i="3" s="1"/>
  <c r="BM4092" i="3"/>
  <c r="BO4092" i="3" s="1"/>
  <c r="BM4086" i="3"/>
  <c r="BO4086" i="3" s="1"/>
  <c r="BM4568" i="3"/>
  <c r="BO4568" i="3" s="1"/>
  <c r="BM4085" i="3"/>
  <c r="BO4085" i="3" s="1"/>
  <c r="BM3609" i="3"/>
  <c r="BO3609" i="3" s="1"/>
  <c r="BM3127" i="3"/>
  <c r="BO3127" i="3" s="1"/>
  <c r="BM4091" i="3"/>
  <c r="BO4091" i="3" s="1"/>
  <c r="BM3608" i="3"/>
  <c r="BO3608" i="3" s="1"/>
  <c r="BM3121" i="3"/>
  <c r="BO3121" i="3" s="1"/>
  <c r="BM3126" i="3"/>
  <c r="BO3126" i="3" s="1"/>
  <c r="BM3607" i="3"/>
  <c r="BO3607" i="3" s="1"/>
  <c r="BM3125" i="3"/>
  <c r="BO3125" i="3" s="1"/>
  <c r="BM3606" i="3"/>
  <c r="BO3606" i="3" s="1"/>
  <c r="BM3124" i="3"/>
  <c r="BO3124" i="3" s="1"/>
  <c r="BM4573" i="3"/>
  <c r="BO4573" i="3" s="1"/>
  <c r="BM3605" i="3"/>
  <c r="BO3605" i="3" s="1"/>
  <c r="BM3122" i="3"/>
  <c r="BO3122" i="3" s="1"/>
  <c r="BM2641" i="3"/>
  <c r="BO2641" i="3" s="1"/>
  <c r="BM2646" i="3"/>
  <c r="BO2646" i="3" s="1"/>
  <c r="BM2640" i="3"/>
  <c r="BO2640" i="3" s="1"/>
  <c r="BM2645" i="3"/>
  <c r="BO2645" i="3" s="1"/>
  <c r="BM2639" i="3"/>
  <c r="BO2639" i="3" s="1"/>
  <c r="BM3128" i="3"/>
  <c r="BO3128" i="3" s="1"/>
  <c r="BM2644" i="3"/>
  <c r="BO2644" i="3" s="1"/>
  <c r="BM2643" i="3"/>
  <c r="BO2643" i="3" s="1"/>
  <c r="BM3123" i="3"/>
  <c r="BO3123" i="3" s="1"/>
  <c r="BM2157" i="3"/>
  <c r="BO2157" i="3" s="1"/>
  <c r="BM1677" i="3"/>
  <c r="BO1677" i="3" s="1"/>
  <c r="BM2162" i="3"/>
  <c r="BO2162" i="3" s="1"/>
  <c r="BM2161" i="3"/>
  <c r="BO2161" i="3" s="1"/>
  <c r="BM2160" i="3"/>
  <c r="BO2160" i="3" s="1"/>
  <c r="BM2159" i="3"/>
  <c r="BO2159" i="3" s="1"/>
  <c r="BM2164" i="3"/>
  <c r="BO2164" i="3" s="1"/>
  <c r="BM2163" i="3"/>
  <c r="BO2163" i="3" s="1"/>
  <c r="BM1198" i="3"/>
  <c r="BO1198" i="3" s="1"/>
  <c r="BM1678" i="3"/>
  <c r="BO1678" i="3" s="1"/>
  <c r="BM1197" i="3"/>
  <c r="BO1197" i="3" s="1"/>
  <c r="BM1196" i="3"/>
  <c r="BO1196" i="3" s="1"/>
  <c r="BM1682" i="3"/>
  <c r="BO1682" i="3" s="1"/>
  <c r="BM1676" i="3"/>
  <c r="BO1676" i="3" s="1"/>
  <c r="BM2642" i="3"/>
  <c r="BO2642" i="3" s="1"/>
  <c r="BM1675" i="3"/>
  <c r="BO1675" i="3" s="1"/>
  <c r="BM1195" i="3"/>
  <c r="BO1195" i="3" s="1"/>
  <c r="BM1681" i="3"/>
  <c r="BO1681" i="3" s="1"/>
  <c r="BM1200" i="3"/>
  <c r="BO1200" i="3" s="1"/>
  <c r="BM1680" i="3"/>
  <c r="BO1680" i="3" s="1"/>
  <c r="BM1194" i="3"/>
  <c r="BO1194" i="3" s="1"/>
  <c r="BM2158" i="3"/>
  <c r="BO2158" i="3" s="1"/>
  <c r="BM1679" i="3"/>
  <c r="BO1679" i="3" s="1"/>
  <c r="BM714" i="3"/>
  <c r="BO714" i="3" s="1"/>
  <c r="BM711" i="3"/>
  <c r="BO711" i="3" s="1"/>
  <c r="BM716" i="3"/>
  <c r="BO716" i="3" s="1"/>
  <c r="BM1199" i="3"/>
  <c r="BO1199" i="3" s="1"/>
  <c r="BM713" i="3"/>
  <c r="BO713" i="3" s="1"/>
  <c r="BM1193" i="3"/>
  <c r="BO1193" i="3" s="1"/>
  <c r="BM718" i="3"/>
  <c r="BO718" i="3" s="1"/>
  <c r="BM715" i="3"/>
  <c r="BO715" i="3" s="1"/>
  <c r="BM712" i="3"/>
  <c r="BO712" i="3" s="1"/>
  <c r="BM717" i="3"/>
  <c r="BO717" i="3" s="1"/>
  <c r="BM232" i="3"/>
  <c r="BO232" i="3" s="1"/>
  <c r="BM229" i="3"/>
  <c r="BO229" i="3" s="1"/>
  <c r="BM236" i="3"/>
  <c r="BO236" i="3" s="1"/>
  <c r="BM233" i="3"/>
  <c r="BO233" i="3" s="1"/>
  <c r="BM230" i="3"/>
  <c r="BO230" i="3" s="1"/>
  <c r="BM234" i="3"/>
  <c r="BO234" i="3" s="1"/>
  <c r="BM231" i="3"/>
  <c r="BO231" i="3" s="1"/>
  <c r="BM235" i="3"/>
  <c r="BO235" i="3" s="1"/>
  <c r="BM4460" i="3"/>
  <c r="BO4460" i="3" s="1"/>
  <c r="BM4459" i="3"/>
  <c r="BO4459" i="3" s="1"/>
  <c r="BM4458" i="3"/>
  <c r="BO4458" i="3" s="1"/>
  <c r="BM4457" i="3"/>
  <c r="BO4457" i="3" s="1"/>
  <c r="BM4462" i="3"/>
  <c r="BO4462" i="3" s="1"/>
  <c r="BM4455" i="3"/>
  <c r="BO4455" i="3" s="1"/>
  <c r="BM3978" i="3"/>
  <c r="BO3978" i="3" s="1"/>
  <c r="BM3977" i="3"/>
  <c r="BO3977" i="3" s="1"/>
  <c r="BM3976" i="3"/>
  <c r="BO3976" i="3" s="1"/>
  <c r="BM4461" i="3"/>
  <c r="BO4461" i="3" s="1"/>
  <c r="BM4456" i="3"/>
  <c r="BO4456" i="3" s="1"/>
  <c r="BM3975" i="3"/>
  <c r="BO3975" i="3" s="1"/>
  <c r="BM3980" i="3"/>
  <c r="BO3980" i="3" s="1"/>
  <c r="BM3974" i="3"/>
  <c r="BO3974" i="3" s="1"/>
  <c r="BM3973" i="3"/>
  <c r="BO3973" i="3" s="1"/>
  <c r="BM3979" i="3"/>
  <c r="BO3979" i="3" s="1"/>
  <c r="BM3495" i="3"/>
  <c r="BO3495" i="3" s="1"/>
  <c r="BM3015" i="3"/>
  <c r="BO3015" i="3" s="1"/>
  <c r="BM3494" i="3"/>
  <c r="BO3494" i="3" s="1"/>
  <c r="BM3493" i="3"/>
  <c r="BO3493" i="3" s="1"/>
  <c r="BM3013" i="3"/>
  <c r="BO3013" i="3" s="1"/>
  <c r="BM3498" i="3"/>
  <c r="BO3498" i="3" s="1"/>
  <c r="BM3492" i="3"/>
  <c r="BO3492" i="3" s="1"/>
  <c r="BM3497" i="3"/>
  <c r="BO3497" i="3" s="1"/>
  <c r="BM3491" i="3"/>
  <c r="BO3491" i="3" s="1"/>
  <c r="BM3496" i="3"/>
  <c r="BO3496" i="3" s="1"/>
  <c r="BM2529" i="3"/>
  <c r="BO2529" i="3" s="1"/>
  <c r="BM3012" i="3"/>
  <c r="BO3012" i="3" s="1"/>
  <c r="BM2534" i="3"/>
  <c r="BO2534" i="3" s="1"/>
  <c r="BM2528" i="3"/>
  <c r="BO2528" i="3" s="1"/>
  <c r="BM3011" i="3"/>
  <c r="BO3011" i="3" s="1"/>
  <c r="BM2533" i="3"/>
  <c r="BO2533" i="3" s="1"/>
  <c r="BM3010" i="3"/>
  <c r="BO3010" i="3" s="1"/>
  <c r="BM2532" i="3"/>
  <c r="BO2532" i="3" s="1"/>
  <c r="BM3016" i="3"/>
  <c r="BO3016" i="3" s="1"/>
  <c r="BM3009" i="3"/>
  <c r="BO3009" i="3" s="1"/>
  <c r="BM3014" i="3"/>
  <c r="BO3014" i="3" s="1"/>
  <c r="BM2045" i="3"/>
  <c r="BO2045" i="3" s="1"/>
  <c r="BM2050" i="3"/>
  <c r="BO2050" i="3" s="1"/>
  <c r="BM2531" i="3"/>
  <c r="BO2531" i="3" s="1"/>
  <c r="BM2530" i="3"/>
  <c r="BO2530" i="3" s="1"/>
  <c r="BM2049" i="3"/>
  <c r="BO2049" i="3" s="1"/>
  <c r="BM2527" i="3"/>
  <c r="BO2527" i="3" s="1"/>
  <c r="BM2048" i="3"/>
  <c r="BO2048" i="3" s="1"/>
  <c r="BM2047" i="3"/>
  <c r="BO2047" i="3" s="1"/>
  <c r="BM2052" i="3"/>
  <c r="BO2052" i="3" s="1"/>
  <c r="BM2051" i="3"/>
  <c r="BO2051" i="3" s="1"/>
  <c r="BM1566" i="3"/>
  <c r="BO1566" i="3" s="1"/>
  <c r="BM1082" i="3"/>
  <c r="BO1082" i="3" s="1"/>
  <c r="BM1565" i="3"/>
  <c r="BO1565" i="3" s="1"/>
  <c r="BM1087" i="3"/>
  <c r="BO1087" i="3" s="1"/>
  <c r="BM1570" i="3"/>
  <c r="BO1570" i="3" s="1"/>
  <c r="BM1084" i="3"/>
  <c r="BO1084" i="3" s="1"/>
  <c r="BM1564" i="3"/>
  <c r="BO1564" i="3" s="1"/>
  <c r="BM1569" i="3"/>
  <c r="BO1569" i="3" s="1"/>
  <c r="BM1081" i="3"/>
  <c r="BO1081" i="3" s="1"/>
  <c r="BM2046" i="3"/>
  <c r="BO2046" i="3" s="1"/>
  <c r="BM1563" i="3"/>
  <c r="BO1563" i="3" s="1"/>
  <c r="BM1086" i="3"/>
  <c r="BO1086" i="3" s="1"/>
  <c r="BM1568" i="3"/>
  <c r="BO1568" i="3" s="1"/>
  <c r="BM1085" i="3"/>
  <c r="BO1085" i="3" s="1"/>
  <c r="BM1083" i="3"/>
  <c r="BO1083" i="3" s="1"/>
  <c r="BM1567" i="3"/>
  <c r="BO1567" i="3" s="1"/>
  <c r="BM599" i="3"/>
  <c r="BO599" i="3" s="1"/>
  <c r="BM604" i="3"/>
  <c r="BO604" i="3" s="1"/>
  <c r="BM601" i="3"/>
  <c r="BO601" i="3" s="1"/>
  <c r="BM606" i="3"/>
  <c r="BO606" i="3" s="1"/>
  <c r="BM603" i="3"/>
  <c r="BO603" i="3" s="1"/>
  <c r="BM600" i="3"/>
  <c r="BO600" i="3" s="1"/>
  <c r="BM602" i="3"/>
  <c r="BO602" i="3" s="1"/>
  <c r="BM605" i="3"/>
  <c r="BO605" i="3" s="1"/>
  <c r="BM1088" i="3"/>
  <c r="BO1088" i="3" s="1"/>
  <c r="BM119" i="3"/>
  <c r="BO119" i="3" s="1"/>
  <c r="BM123" i="3"/>
  <c r="BO123" i="3" s="1"/>
  <c r="BM120" i="3"/>
  <c r="BO120" i="3" s="1"/>
  <c r="BM117" i="3"/>
  <c r="BO117" i="3" s="1"/>
  <c r="BM124" i="3"/>
  <c r="BO124" i="3" s="1"/>
  <c r="BM121" i="3"/>
  <c r="BO121" i="3" s="1"/>
  <c r="BM118" i="3"/>
  <c r="BO118" i="3" s="1"/>
  <c r="BM122" i="3"/>
  <c r="BO122" i="3" s="1"/>
  <c r="BM4812" i="3"/>
  <c r="BO4812" i="3" s="1"/>
  <c r="BM4811" i="3"/>
  <c r="BO4811" i="3" s="1"/>
  <c r="BM4810" i="3"/>
  <c r="BO4810" i="3" s="1"/>
  <c r="BM4809" i="3"/>
  <c r="BO4809" i="3" s="1"/>
  <c r="BM4814" i="3"/>
  <c r="BO4814" i="3" s="1"/>
  <c r="BM4807" i="3"/>
  <c r="BO4807" i="3" s="1"/>
  <c r="BM4330" i="3"/>
  <c r="BO4330" i="3" s="1"/>
  <c r="BM3850" i="3"/>
  <c r="BO3850" i="3" s="1"/>
  <c r="BM3844" i="3"/>
  <c r="BO3844" i="3" s="1"/>
  <c r="BM4813" i="3"/>
  <c r="BO4813" i="3" s="1"/>
  <c r="BM4329" i="3"/>
  <c r="BO4329" i="3" s="1"/>
  <c r="BM3849" i="3"/>
  <c r="BO3849" i="3" s="1"/>
  <c r="BM4808" i="3"/>
  <c r="BO4808" i="3" s="1"/>
  <c r="BM3843" i="3"/>
  <c r="BO3843" i="3" s="1"/>
  <c r="BM4328" i="3"/>
  <c r="BO4328" i="3" s="1"/>
  <c r="BM3848" i="3"/>
  <c r="BO3848" i="3" s="1"/>
  <c r="BM4327" i="3"/>
  <c r="BO4327" i="3" s="1"/>
  <c r="BM3847" i="3"/>
  <c r="BO3847" i="3" s="1"/>
  <c r="BM4332" i="3"/>
  <c r="BO4332" i="3" s="1"/>
  <c r="BM4326" i="3"/>
  <c r="BO4326" i="3" s="1"/>
  <c r="BM4325" i="3"/>
  <c r="BO4325" i="3" s="1"/>
  <c r="BM3367" i="3"/>
  <c r="BO3367" i="3" s="1"/>
  <c r="BM3845" i="3"/>
  <c r="BO3845" i="3" s="1"/>
  <c r="BM3361" i="3"/>
  <c r="BO3361" i="3" s="1"/>
  <c r="BM4331" i="3"/>
  <c r="BO4331" i="3" s="1"/>
  <c r="BM3366" i="3"/>
  <c r="BO3366" i="3" s="1"/>
  <c r="BM3365" i="3"/>
  <c r="BO3365" i="3" s="1"/>
  <c r="BM3364" i="3"/>
  <c r="BO3364" i="3" s="1"/>
  <c r="BM3363" i="3"/>
  <c r="BO3363" i="3" s="1"/>
  <c r="BM3368" i="3"/>
  <c r="BO3368" i="3" s="1"/>
  <c r="BM2881" i="3"/>
  <c r="BO2881" i="3" s="1"/>
  <c r="BM2401" i="3"/>
  <c r="BO2401" i="3" s="1"/>
  <c r="BM3362" i="3"/>
  <c r="BO3362" i="3" s="1"/>
  <c r="BM2886" i="3"/>
  <c r="BO2886" i="3" s="1"/>
  <c r="BM2880" i="3"/>
  <c r="BO2880" i="3" s="1"/>
  <c r="BM2400" i="3"/>
  <c r="BO2400" i="3" s="1"/>
  <c r="BM2885" i="3"/>
  <c r="BO2885" i="3" s="1"/>
  <c r="BM3846" i="3"/>
  <c r="BO3846" i="3" s="1"/>
  <c r="BM2879" i="3"/>
  <c r="BO2879" i="3" s="1"/>
  <c r="BM2884" i="3"/>
  <c r="BO2884" i="3" s="1"/>
  <c r="BM2883" i="3"/>
  <c r="BO2883" i="3" s="1"/>
  <c r="BM1917" i="3"/>
  <c r="BO1917" i="3" s="1"/>
  <c r="BM2398" i="3"/>
  <c r="BO2398" i="3" s="1"/>
  <c r="BM1922" i="3"/>
  <c r="BO1922" i="3" s="1"/>
  <c r="BM1916" i="3"/>
  <c r="BO1916" i="3" s="1"/>
  <c r="BM2404" i="3"/>
  <c r="BO2404" i="3" s="1"/>
  <c r="BM2397" i="3"/>
  <c r="BO2397" i="3" s="1"/>
  <c r="BM1921" i="3"/>
  <c r="BO1921" i="3" s="1"/>
  <c r="BM1915" i="3"/>
  <c r="BO1915" i="3" s="1"/>
  <c r="BM2403" i="3"/>
  <c r="BO2403" i="3" s="1"/>
  <c r="BM1920" i="3"/>
  <c r="BO1920" i="3" s="1"/>
  <c r="BM2402" i="3"/>
  <c r="BO2402" i="3" s="1"/>
  <c r="BM1919" i="3"/>
  <c r="BO1919" i="3" s="1"/>
  <c r="BM2882" i="3"/>
  <c r="BO2882" i="3" s="1"/>
  <c r="BM2399" i="3"/>
  <c r="BO2399" i="3" s="1"/>
  <c r="BM1438" i="3"/>
  <c r="BO1438" i="3" s="1"/>
  <c r="BM1437" i="3"/>
  <c r="BO1437" i="3" s="1"/>
  <c r="BM1436" i="3"/>
  <c r="BO1436" i="3" s="1"/>
  <c r="BM1918" i="3"/>
  <c r="BO1918" i="3" s="1"/>
  <c r="BM1435" i="3"/>
  <c r="BO1435" i="3" s="1"/>
  <c r="BM1440" i="3"/>
  <c r="BO1440" i="3" s="1"/>
  <c r="BM1434" i="3"/>
  <c r="BO1434" i="3" s="1"/>
  <c r="BM1433" i="3"/>
  <c r="BO1433" i="3" s="1"/>
  <c r="BM1439" i="3"/>
  <c r="BO1439" i="3" s="1"/>
  <c r="BM954" i="3"/>
  <c r="BO954" i="3" s="1"/>
  <c r="BM951" i="3"/>
  <c r="BO951" i="3" s="1"/>
  <c r="BM956" i="3"/>
  <c r="BO956" i="3" s="1"/>
  <c r="BM953" i="3"/>
  <c r="BO953" i="3" s="1"/>
  <c r="BM958" i="3"/>
  <c r="BO958" i="3" s="1"/>
  <c r="BM955" i="3"/>
  <c r="BO955" i="3" s="1"/>
  <c r="BM952" i="3"/>
  <c r="BO952" i="3" s="1"/>
  <c r="BM957" i="3"/>
  <c r="BO957" i="3" s="1"/>
  <c r="BM471" i="3"/>
  <c r="BO471" i="3" s="1"/>
  <c r="BM476" i="3"/>
  <c r="BO476" i="3" s="1"/>
  <c r="BM473" i="3"/>
  <c r="BO473" i="3" s="1"/>
  <c r="BM470" i="3"/>
  <c r="BO470" i="3" s="1"/>
  <c r="BM475" i="3"/>
  <c r="BO475" i="3" s="1"/>
  <c r="BM472" i="3"/>
  <c r="BO472" i="3" s="1"/>
  <c r="BM474" i="3"/>
  <c r="BO474" i="3" s="1"/>
  <c r="BM469" i="3"/>
  <c r="BO469" i="3" s="1"/>
  <c r="BH79" i="3"/>
  <c r="BD311" i="3"/>
  <c r="BG311" i="3" s="1"/>
  <c r="BD321" i="3"/>
  <c r="BG321" i="3" s="1"/>
  <c r="BD318" i="3"/>
  <c r="BG318" i="3" s="1"/>
  <c r="BD315" i="3"/>
  <c r="BG315" i="3" s="1"/>
  <c r="BD219" i="3"/>
  <c r="BG219" i="3" s="1"/>
  <c r="BD312" i="3"/>
  <c r="BG312" i="3" s="1"/>
  <c r="BD181" i="3"/>
  <c r="BG181" i="3" s="1"/>
  <c r="BD322" i="3"/>
  <c r="BG322" i="3" s="1"/>
  <c r="BD319" i="3"/>
  <c r="BG319" i="3" s="1"/>
  <c r="BD316" i="3"/>
  <c r="BG316" i="3" s="1"/>
  <c r="BD313" i="3"/>
  <c r="BG313" i="3" s="1"/>
  <c r="BD317" i="3"/>
  <c r="BG317" i="3" s="1"/>
  <c r="BD314" i="3"/>
  <c r="BG314" i="3" s="1"/>
  <c r="BD67" i="3"/>
  <c r="BG67" i="3" s="1"/>
  <c r="BD323" i="3"/>
  <c r="BG323" i="3" s="1"/>
  <c r="BD132" i="3"/>
  <c r="BG132" i="3" s="1"/>
  <c r="BD56" i="3"/>
  <c r="BG56" i="3" s="1"/>
  <c r="BD170" i="3"/>
  <c r="BG170" i="3" s="1"/>
  <c r="BD94" i="3"/>
  <c r="BG94" i="3" s="1"/>
  <c r="BD320" i="3"/>
  <c r="BG320" i="3" s="1"/>
  <c r="BD208" i="3"/>
  <c r="BG208" i="3" s="1"/>
  <c r="X29" i="3"/>
  <c r="BD143" i="3"/>
  <c r="BG143" i="3" s="1"/>
  <c r="AA18" i="3"/>
  <c r="X18" i="3"/>
  <c r="BD105" i="3"/>
  <c r="BG105" i="3" s="1"/>
  <c r="BD18" i="3"/>
  <c r="BG18" i="3" s="1"/>
  <c r="BD29" i="3"/>
  <c r="BG29" i="3" s="1"/>
  <c r="AA29" i="3"/>
  <c r="BH58" i="3"/>
  <c r="BH40" i="3"/>
  <c r="BH96" i="3"/>
  <c r="BM4540" i="3"/>
  <c r="BO4540" i="3" s="1"/>
  <c r="BM4539" i="3"/>
  <c r="BO4539" i="3" s="1"/>
  <c r="BM4538" i="3"/>
  <c r="BO4538" i="3" s="1"/>
  <c r="BM4537" i="3"/>
  <c r="BO4537" i="3" s="1"/>
  <c r="BM4542" i="3"/>
  <c r="BO4542" i="3" s="1"/>
  <c r="BM4535" i="3"/>
  <c r="BO4535" i="3" s="1"/>
  <c r="BM4058" i="3"/>
  <c r="BO4058" i="3" s="1"/>
  <c r="BM3578" i="3"/>
  <c r="BO3578" i="3" s="1"/>
  <c r="BM4057" i="3"/>
  <c r="BO4057" i="3" s="1"/>
  <c r="BM3571" i="3"/>
  <c r="BO3571" i="3" s="1"/>
  <c r="BM4056" i="3"/>
  <c r="BO4056" i="3" s="1"/>
  <c r="BM4541" i="3"/>
  <c r="BO4541" i="3" s="1"/>
  <c r="BM4055" i="3"/>
  <c r="BO4055" i="3" s="1"/>
  <c r="BM4536" i="3"/>
  <c r="BO4536" i="3" s="1"/>
  <c r="BM4060" i="3"/>
  <c r="BO4060" i="3" s="1"/>
  <c r="BM4054" i="3"/>
  <c r="BO4054" i="3" s="1"/>
  <c r="BM4053" i="3"/>
  <c r="BO4053" i="3" s="1"/>
  <c r="BM3095" i="3"/>
  <c r="BO3095" i="3" s="1"/>
  <c r="BM3576" i="3"/>
  <c r="BO3576" i="3" s="1"/>
  <c r="BM3089" i="3"/>
  <c r="BO3089" i="3" s="1"/>
  <c r="BM4059" i="3"/>
  <c r="BO4059" i="3" s="1"/>
  <c r="BM3094" i="3"/>
  <c r="BO3094" i="3" s="1"/>
  <c r="BM3575" i="3"/>
  <c r="BO3575" i="3" s="1"/>
  <c r="BM3093" i="3"/>
  <c r="BO3093" i="3" s="1"/>
  <c r="BM3574" i="3"/>
  <c r="BO3574" i="3" s="1"/>
  <c r="BM3092" i="3"/>
  <c r="BO3092" i="3" s="1"/>
  <c r="BM3573" i="3"/>
  <c r="BO3573" i="3" s="1"/>
  <c r="BM3572" i="3"/>
  <c r="BO3572" i="3" s="1"/>
  <c r="BM2609" i="3"/>
  <c r="BO2609" i="3" s="1"/>
  <c r="BM3577" i="3"/>
  <c r="BO3577" i="3" s="1"/>
  <c r="BM2614" i="3"/>
  <c r="BO2614" i="3" s="1"/>
  <c r="BM3096" i="3"/>
  <c r="BO3096" i="3" s="1"/>
  <c r="BM2608" i="3"/>
  <c r="BO2608" i="3" s="1"/>
  <c r="BM2613" i="3"/>
  <c r="BO2613" i="3" s="1"/>
  <c r="BM2607" i="3"/>
  <c r="BO2607" i="3" s="1"/>
  <c r="BM2612" i="3"/>
  <c r="BO2612" i="3" s="1"/>
  <c r="BM3091" i="3"/>
  <c r="BO3091" i="3" s="1"/>
  <c r="BM2611" i="3"/>
  <c r="BO2611" i="3" s="1"/>
  <c r="BM2125" i="3"/>
  <c r="BO2125" i="3" s="1"/>
  <c r="BM1645" i="3"/>
  <c r="BO1645" i="3" s="1"/>
  <c r="BM2130" i="3"/>
  <c r="BO2130" i="3" s="1"/>
  <c r="BM2129" i="3"/>
  <c r="BO2129" i="3" s="1"/>
  <c r="BM2128" i="3"/>
  <c r="BO2128" i="3" s="1"/>
  <c r="BM2127" i="3"/>
  <c r="BO2127" i="3" s="1"/>
  <c r="BM3090" i="3"/>
  <c r="BO3090" i="3" s="1"/>
  <c r="BM2132" i="3"/>
  <c r="BO2132" i="3" s="1"/>
  <c r="BM2131" i="3"/>
  <c r="BO2131" i="3" s="1"/>
  <c r="BM1648" i="3"/>
  <c r="BO1648" i="3" s="1"/>
  <c r="BM1166" i="3"/>
  <c r="BO1166" i="3" s="1"/>
  <c r="BM1647" i="3"/>
  <c r="BO1647" i="3" s="1"/>
  <c r="BM1165" i="3"/>
  <c r="BO1165" i="3" s="1"/>
  <c r="BM1646" i="3"/>
  <c r="BO1646" i="3" s="1"/>
  <c r="BM1164" i="3"/>
  <c r="BO1164" i="3" s="1"/>
  <c r="BM1163" i="3"/>
  <c r="BO1163" i="3" s="1"/>
  <c r="BM2126" i="3"/>
  <c r="BO2126" i="3" s="1"/>
  <c r="BM1168" i="3"/>
  <c r="BO1168" i="3" s="1"/>
  <c r="BM2610" i="3"/>
  <c r="BO2610" i="3" s="1"/>
  <c r="BM1650" i="3"/>
  <c r="BO1650" i="3" s="1"/>
  <c r="BM1644" i="3"/>
  <c r="BO1644" i="3" s="1"/>
  <c r="BM1162" i="3"/>
  <c r="BO1162" i="3" s="1"/>
  <c r="BM1649" i="3"/>
  <c r="BO1649" i="3" s="1"/>
  <c r="BM682" i="3"/>
  <c r="BO682" i="3" s="1"/>
  <c r="BM1167" i="3"/>
  <c r="BO1167" i="3" s="1"/>
  <c r="BM679" i="3"/>
  <c r="BO679" i="3" s="1"/>
  <c r="BM1161" i="3"/>
  <c r="BO1161" i="3" s="1"/>
  <c r="BM684" i="3"/>
  <c r="BO684" i="3" s="1"/>
  <c r="BM681" i="3"/>
  <c r="BO681" i="3" s="1"/>
  <c r="BM1643" i="3"/>
  <c r="BO1643" i="3" s="1"/>
  <c r="BM683" i="3"/>
  <c r="BO683" i="3" s="1"/>
  <c r="BM685" i="3"/>
  <c r="BO685" i="3" s="1"/>
  <c r="BM680" i="3"/>
  <c r="BO680" i="3" s="1"/>
  <c r="BM686" i="3"/>
  <c r="BO686" i="3" s="1"/>
  <c r="BM200" i="3"/>
  <c r="BO200" i="3" s="1"/>
  <c r="BM197" i="3"/>
  <c r="BO197" i="3" s="1"/>
  <c r="BM204" i="3"/>
  <c r="BO204" i="3" s="1"/>
  <c r="BM201" i="3"/>
  <c r="BO201" i="3" s="1"/>
  <c r="BM198" i="3"/>
  <c r="BO198" i="3" s="1"/>
  <c r="BM202" i="3"/>
  <c r="BO202" i="3" s="1"/>
  <c r="BM199" i="3"/>
  <c r="BO199" i="3" s="1"/>
  <c r="BM203" i="3"/>
  <c r="BO203" i="3" s="1"/>
  <c r="BM4481" i="3"/>
  <c r="BO4481" i="3" s="1"/>
  <c r="BM4486" i="3"/>
  <c r="BO4486" i="3" s="1"/>
  <c r="BM4480" i="3"/>
  <c r="BO4480" i="3" s="1"/>
  <c r="BM4485" i="3"/>
  <c r="BO4485" i="3" s="1"/>
  <c r="BM4479" i="3"/>
  <c r="BO4479" i="3" s="1"/>
  <c r="BM4484" i="3"/>
  <c r="BO4484" i="3" s="1"/>
  <c r="BM4483" i="3"/>
  <c r="BO4483" i="3" s="1"/>
  <c r="BM4482" i="3"/>
  <c r="BO4482" i="3" s="1"/>
  <c r="BM4004" i="3"/>
  <c r="BO4004" i="3" s="1"/>
  <c r="BM3998" i="3"/>
  <c r="BO3998" i="3" s="1"/>
  <c r="BM4003" i="3"/>
  <c r="BO4003" i="3" s="1"/>
  <c r="BM3997" i="3"/>
  <c r="BO3997" i="3" s="1"/>
  <c r="BM4002" i="3"/>
  <c r="BO4002" i="3" s="1"/>
  <c r="BM4000" i="3"/>
  <c r="BO4000" i="3" s="1"/>
  <c r="BM3516" i="3"/>
  <c r="BO3516" i="3" s="1"/>
  <c r="BM3036" i="3"/>
  <c r="BO3036" i="3" s="1"/>
  <c r="BM3521" i="3"/>
  <c r="BO3521" i="3" s="1"/>
  <c r="BM4001" i="3"/>
  <c r="BO4001" i="3" s="1"/>
  <c r="BM3515" i="3"/>
  <c r="BO3515" i="3" s="1"/>
  <c r="BM3035" i="3"/>
  <c r="BO3035" i="3" s="1"/>
  <c r="BM3999" i="3"/>
  <c r="BO3999" i="3" s="1"/>
  <c r="BM3520" i="3"/>
  <c r="BO3520" i="3" s="1"/>
  <c r="BM3040" i="3"/>
  <c r="BO3040" i="3" s="1"/>
  <c r="BM3519" i="3"/>
  <c r="BO3519" i="3" s="1"/>
  <c r="BM3518" i="3"/>
  <c r="BO3518" i="3" s="1"/>
  <c r="BM3517" i="3"/>
  <c r="BO3517" i="3" s="1"/>
  <c r="BM2551" i="3"/>
  <c r="BO2551" i="3" s="1"/>
  <c r="BM2556" i="3"/>
  <c r="BO2556" i="3" s="1"/>
  <c r="BM3033" i="3"/>
  <c r="BO3033" i="3" s="1"/>
  <c r="BM3039" i="3"/>
  <c r="BO3039" i="3" s="1"/>
  <c r="BM2555" i="3"/>
  <c r="BO2555" i="3" s="1"/>
  <c r="BM3522" i="3"/>
  <c r="BO3522" i="3" s="1"/>
  <c r="BM3038" i="3"/>
  <c r="BO3038" i="3" s="1"/>
  <c r="BM2554" i="3"/>
  <c r="BO2554" i="3" s="1"/>
  <c r="BM3037" i="3"/>
  <c r="BO3037" i="3" s="1"/>
  <c r="BM2553" i="3"/>
  <c r="BO2553" i="3" s="1"/>
  <c r="BM2557" i="3"/>
  <c r="BO2557" i="3" s="1"/>
  <c r="BM2552" i="3"/>
  <c r="BO2552" i="3" s="1"/>
  <c r="BM2071" i="3"/>
  <c r="BO2071" i="3" s="1"/>
  <c r="BM2076" i="3"/>
  <c r="BO2076" i="3" s="1"/>
  <c r="BM2070" i="3"/>
  <c r="BO2070" i="3" s="1"/>
  <c r="BM2075" i="3"/>
  <c r="BO2075" i="3" s="1"/>
  <c r="BM3034" i="3"/>
  <c r="BO3034" i="3" s="1"/>
  <c r="BM2069" i="3"/>
  <c r="BO2069" i="3" s="1"/>
  <c r="BM2074" i="3"/>
  <c r="BO2074" i="3" s="1"/>
  <c r="BM2073" i="3"/>
  <c r="BO2073" i="3" s="1"/>
  <c r="BM1587" i="3"/>
  <c r="BO1587" i="3" s="1"/>
  <c r="BM1106" i="3"/>
  <c r="BO1106" i="3" s="1"/>
  <c r="BM1592" i="3"/>
  <c r="BO1592" i="3" s="1"/>
  <c r="BM1111" i="3"/>
  <c r="BO1111" i="3" s="1"/>
  <c r="BM1591" i="3"/>
  <c r="BO1591" i="3" s="1"/>
  <c r="BM1108" i="3"/>
  <c r="BO1108" i="3" s="1"/>
  <c r="BM1105" i="3"/>
  <c r="BO1105" i="3" s="1"/>
  <c r="BM1590" i="3"/>
  <c r="BO1590" i="3" s="1"/>
  <c r="BM1110" i="3"/>
  <c r="BO1110" i="3" s="1"/>
  <c r="BM1589" i="3"/>
  <c r="BO1589" i="3" s="1"/>
  <c r="BM1594" i="3"/>
  <c r="BO1594" i="3" s="1"/>
  <c r="BM2558" i="3"/>
  <c r="BO2558" i="3" s="1"/>
  <c r="BM1588" i="3"/>
  <c r="BO1588" i="3" s="1"/>
  <c r="BM2072" i="3"/>
  <c r="BO2072" i="3" s="1"/>
  <c r="BM1593" i="3"/>
  <c r="BO1593" i="3" s="1"/>
  <c r="BM1112" i="3"/>
  <c r="BO1112" i="3" s="1"/>
  <c r="BM1109" i="3"/>
  <c r="BO1109" i="3" s="1"/>
  <c r="BM1107" i="3"/>
  <c r="BO1107" i="3" s="1"/>
  <c r="BM623" i="3"/>
  <c r="BO623" i="3" s="1"/>
  <c r="BM628" i="3"/>
  <c r="BO628" i="3" s="1"/>
  <c r="BM625" i="3"/>
  <c r="BO625" i="3" s="1"/>
  <c r="BM630" i="3"/>
  <c r="BO630" i="3" s="1"/>
  <c r="BM627" i="3"/>
  <c r="BO627" i="3" s="1"/>
  <c r="BM624" i="3"/>
  <c r="BO624" i="3" s="1"/>
  <c r="BM626" i="3"/>
  <c r="BO626" i="3" s="1"/>
  <c r="BM147" i="3"/>
  <c r="BO147" i="3" s="1"/>
  <c r="BM629" i="3"/>
  <c r="BO629" i="3" s="1"/>
  <c r="BM144" i="3"/>
  <c r="BO144" i="3" s="1"/>
  <c r="BM146" i="3"/>
  <c r="BO146" i="3" s="1"/>
  <c r="BM142" i="3"/>
  <c r="BO142" i="3" s="1"/>
  <c r="BM148" i="3"/>
  <c r="BO148" i="3" s="1"/>
  <c r="BM145" i="3"/>
  <c r="BO145" i="3" s="1"/>
  <c r="BM143" i="3"/>
  <c r="BO143" i="3" s="1"/>
  <c r="BM141" i="3"/>
  <c r="BO141" i="3" s="1"/>
  <c r="BM4753" i="3"/>
  <c r="BO4753" i="3" s="1"/>
  <c r="BM4758" i="3"/>
  <c r="BO4758" i="3" s="1"/>
  <c r="BM4752" i="3"/>
  <c r="BO4752" i="3" s="1"/>
  <c r="BM4757" i="3"/>
  <c r="BO4757" i="3" s="1"/>
  <c r="BM4751" i="3"/>
  <c r="BO4751" i="3" s="1"/>
  <c r="BM4756" i="3"/>
  <c r="BO4756" i="3" s="1"/>
  <c r="BM4755" i="3"/>
  <c r="BO4755" i="3" s="1"/>
  <c r="BM4754" i="3"/>
  <c r="BO4754" i="3" s="1"/>
  <c r="BM4271" i="3"/>
  <c r="BO4271" i="3" s="1"/>
  <c r="BM4276" i="3"/>
  <c r="BO4276" i="3" s="1"/>
  <c r="BM4270" i="3"/>
  <c r="BO4270" i="3" s="1"/>
  <c r="BM3790" i="3"/>
  <c r="BO3790" i="3" s="1"/>
  <c r="BM4275" i="3"/>
  <c r="BO4275" i="3" s="1"/>
  <c r="BM4269" i="3"/>
  <c r="BO4269" i="3" s="1"/>
  <c r="BM3789" i="3"/>
  <c r="BO3789" i="3" s="1"/>
  <c r="BM4274" i="3"/>
  <c r="BO4274" i="3" s="1"/>
  <c r="BM3794" i="3"/>
  <c r="BO3794" i="3" s="1"/>
  <c r="BM3788" i="3"/>
  <c r="BO3788" i="3" s="1"/>
  <c r="BM4272" i="3"/>
  <c r="BO4272" i="3" s="1"/>
  <c r="BM3308" i="3"/>
  <c r="BO3308" i="3" s="1"/>
  <c r="BM3307" i="3"/>
  <c r="BO3307" i="3" s="1"/>
  <c r="BM3312" i="3"/>
  <c r="BO3312" i="3" s="1"/>
  <c r="BM3793" i="3"/>
  <c r="BO3793" i="3" s="1"/>
  <c r="BM3306" i="3"/>
  <c r="BO3306" i="3" s="1"/>
  <c r="BM4273" i="3"/>
  <c r="BO4273" i="3" s="1"/>
  <c r="BM3311" i="3"/>
  <c r="BO3311" i="3" s="1"/>
  <c r="BM3792" i="3"/>
  <c r="BO3792" i="3" s="1"/>
  <c r="BM3305" i="3"/>
  <c r="BO3305" i="3" s="1"/>
  <c r="BM3791" i="3"/>
  <c r="BO3791" i="3" s="1"/>
  <c r="BM3310" i="3"/>
  <c r="BO3310" i="3" s="1"/>
  <c r="BM3787" i="3"/>
  <c r="BO3787" i="3" s="1"/>
  <c r="BM3309" i="3"/>
  <c r="BO3309" i="3" s="1"/>
  <c r="BM2823" i="3"/>
  <c r="BO2823" i="3" s="1"/>
  <c r="BM2343" i="3"/>
  <c r="BO2343" i="3" s="1"/>
  <c r="BM2828" i="3"/>
  <c r="BO2828" i="3" s="1"/>
  <c r="BM2827" i="3"/>
  <c r="BO2827" i="3" s="1"/>
  <c r="BM2826" i="3"/>
  <c r="BO2826" i="3" s="1"/>
  <c r="BM2825" i="3"/>
  <c r="BO2825" i="3" s="1"/>
  <c r="BM2830" i="3"/>
  <c r="BO2830" i="3" s="1"/>
  <c r="BM2829" i="3"/>
  <c r="BO2829" i="3" s="1"/>
  <c r="BM2824" i="3"/>
  <c r="BO2824" i="3" s="1"/>
  <c r="BM2344" i="3"/>
  <c r="BO2344" i="3" s="1"/>
  <c r="BM1863" i="3"/>
  <c r="BO1863" i="3" s="1"/>
  <c r="BM2342" i="3"/>
  <c r="BO2342" i="3" s="1"/>
  <c r="BM2348" i="3"/>
  <c r="BO2348" i="3" s="1"/>
  <c r="BM1862" i="3"/>
  <c r="BO1862" i="3" s="1"/>
  <c r="BM2347" i="3"/>
  <c r="BO2347" i="3" s="1"/>
  <c r="BM2341" i="3"/>
  <c r="BO2341" i="3" s="1"/>
  <c r="BM1861" i="3"/>
  <c r="BO1861" i="3" s="1"/>
  <c r="BM1866" i="3"/>
  <c r="BO1866" i="3" s="1"/>
  <c r="BM2346" i="3"/>
  <c r="BO2346" i="3" s="1"/>
  <c r="BM1860" i="3"/>
  <c r="BO1860" i="3" s="1"/>
  <c r="BM1865" i="3"/>
  <c r="BO1865" i="3" s="1"/>
  <c r="BM1859" i="3"/>
  <c r="BO1859" i="3" s="1"/>
  <c r="BM1379" i="3"/>
  <c r="BO1379" i="3" s="1"/>
  <c r="BM1384" i="3"/>
  <c r="BO1384" i="3" s="1"/>
  <c r="BM1378" i="3"/>
  <c r="BO1378" i="3" s="1"/>
  <c r="BM1383" i="3"/>
  <c r="BO1383" i="3" s="1"/>
  <c r="BM1377" i="3"/>
  <c r="BO1377" i="3" s="1"/>
  <c r="BM1382" i="3"/>
  <c r="BO1382" i="3" s="1"/>
  <c r="BM1381" i="3"/>
  <c r="BO1381" i="3" s="1"/>
  <c r="BM2345" i="3"/>
  <c r="BO2345" i="3" s="1"/>
  <c r="BM1380" i="3"/>
  <c r="BO1380" i="3" s="1"/>
  <c r="BM898" i="3"/>
  <c r="BO898" i="3" s="1"/>
  <c r="BM895" i="3"/>
  <c r="BO895" i="3" s="1"/>
  <c r="BM900" i="3"/>
  <c r="BO900" i="3" s="1"/>
  <c r="BM897" i="3"/>
  <c r="BO897" i="3" s="1"/>
  <c r="BM902" i="3"/>
  <c r="BO902" i="3" s="1"/>
  <c r="BM899" i="3"/>
  <c r="BO899" i="3" s="1"/>
  <c r="BM896" i="3"/>
  <c r="BO896" i="3" s="1"/>
  <c r="BM901" i="3"/>
  <c r="BO901" i="3" s="1"/>
  <c r="BM419" i="3"/>
  <c r="BO419" i="3" s="1"/>
  <c r="BM1864" i="3"/>
  <c r="BO1864" i="3" s="1"/>
  <c r="BM416" i="3"/>
  <c r="BO416" i="3" s="1"/>
  <c r="BM413" i="3"/>
  <c r="BO413" i="3" s="1"/>
  <c r="BM420" i="3"/>
  <c r="BO420" i="3" s="1"/>
  <c r="BM417" i="3"/>
  <c r="BO417" i="3" s="1"/>
  <c r="BM414" i="3"/>
  <c r="BO414" i="3" s="1"/>
  <c r="BM418" i="3"/>
  <c r="BO418" i="3" s="1"/>
  <c r="BM415" i="3"/>
  <c r="BO415" i="3" s="1"/>
  <c r="BH290" i="3"/>
  <c r="BD207" i="3"/>
  <c r="BD220" i="3"/>
  <c r="BD169" i="3"/>
  <c r="BD182" i="3"/>
  <c r="BD106" i="3"/>
  <c r="BD131" i="3"/>
  <c r="BD30" i="3"/>
  <c r="BD144" i="3"/>
  <c r="BD93" i="3"/>
  <c r="BD68" i="3"/>
  <c r="BD55" i="3"/>
  <c r="AA30" i="3"/>
  <c r="X30" i="3"/>
  <c r="AA17" i="3"/>
  <c r="X17" i="3"/>
  <c r="BD17" i="3"/>
  <c r="BH244" i="3"/>
  <c r="BM4428" i="3"/>
  <c r="BO4428" i="3" s="1"/>
  <c r="BM4427" i="3"/>
  <c r="BO4427" i="3" s="1"/>
  <c r="BM4426" i="3"/>
  <c r="BO4426" i="3" s="1"/>
  <c r="BM4425" i="3"/>
  <c r="BO4425" i="3" s="1"/>
  <c r="BM4430" i="3"/>
  <c r="BO4430" i="3" s="1"/>
  <c r="BM4423" i="3"/>
  <c r="BO4423" i="3" s="1"/>
  <c r="BM3946" i="3"/>
  <c r="BO3946" i="3" s="1"/>
  <c r="BM4429" i="3"/>
  <c r="BO4429" i="3" s="1"/>
  <c r="BM3945" i="3"/>
  <c r="BO3945" i="3" s="1"/>
  <c r="BM4424" i="3"/>
  <c r="BO4424" i="3" s="1"/>
  <c r="BM3944" i="3"/>
  <c r="BO3944" i="3" s="1"/>
  <c r="BM3943" i="3"/>
  <c r="BO3943" i="3" s="1"/>
  <c r="BM3948" i="3"/>
  <c r="BO3948" i="3" s="1"/>
  <c r="BM3941" i="3"/>
  <c r="BO3941" i="3" s="1"/>
  <c r="BM3463" i="3"/>
  <c r="BO3463" i="3" s="1"/>
  <c r="BM2983" i="3"/>
  <c r="BO2983" i="3" s="1"/>
  <c r="BM3462" i="3"/>
  <c r="BO3462" i="3" s="1"/>
  <c r="BM3461" i="3"/>
  <c r="BO3461" i="3" s="1"/>
  <c r="BM2981" i="3"/>
  <c r="BO2981" i="3" s="1"/>
  <c r="BM3947" i="3"/>
  <c r="BO3947" i="3" s="1"/>
  <c r="BM3466" i="3"/>
  <c r="BO3466" i="3" s="1"/>
  <c r="BM3460" i="3"/>
  <c r="BO3460" i="3" s="1"/>
  <c r="BM3942" i="3"/>
  <c r="BO3942" i="3" s="1"/>
  <c r="BM3465" i="3"/>
  <c r="BO3465" i="3" s="1"/>
  <c r="BM3459" i="3"/>
  <c r="BO3459" i="3" s="1"/>
  <c r="BM2982" i="3"/>
  <c r="BO2982" i="3" s="1"/>
  <c r="BM2497" i="3"/>
  <c r="BO2497" i="3" s="1"/>
  <c r="BM2502" i="3"/>
  <c r="BO2502" i="3" s="1"/>
  <c r="BM2496" i="3"/>
  <c r="BO2496" i="3" s="1"/>
  <c r="BM2980" i="3"/>
  <c r="BO2980" i="3" s="1"/>
  <c r="BM2979" i="3"/>
  <c r="BO2979" i="3" s="1"/>
  <c r="BM3464" i="3"/>
  <c r="BO3464" i="3" s="1"/>
  <c r="BM2498" i="3"/>
  <c r="BO2498" i="3" s="1"/>
  <c r="BM2013" i="3"/>
  <c r="BO2013" i="3" s="1"/>
  <c r="BM2018" i="3"/>
  <c r="BO2018" i="3" s="1"/>
  <c r="BM2495" i="3"/>
  <c r="BO2495" i="3" s="1"/>
  <c r="BM2017" i="3"/>
  <c r="BO2017" i="3" s="1"/>
  <c r="BM2984" i="3"/>
  <c r="BO2984" i="3" s="1"/>
  <c r="BM2016" i="3"/>
  <c r="BO2016" i="3" s="1"/>
  <c r="BM2978" i="3"/>
  <c r="BO2978" i="3" s="1"/>
  <c r="BM2977" i="3"/>
  <c r="BO2977" i="3" s="1"/>
  <c r="BM2501" i="3"/>
  <c r="BO2501" i="3" s="1"/>
  <c r="BM2015" i="3"/>
  <c r="BO2015" i="3" s="1"/>
  <c r="BM2020" i="3"/>
  <c r="BO2020" i="3" s="1"/>
  <c r="BM2500" i="3"/>
  <c r="BO2500" i="3" s="1"/>
  <c r="BM2499" i="3"/>
  <c r="BO2499" i="3" s="1"/>
  <c r="BM2019" i="3"/>
  <c r="BO2019" i="3" s="1"/>
  <c r="BM1534" i="3"/>
  <c r="BO1534" i="3" s="1"/>
  <c r="BM1533" i="3"/>
  <c r="BO1533" i="3" s="1"/>
  <c r="BM2014" i="3"/>
  <c r="BO2014" i="3" s="1"/>
  <c r="BM1538" i="3"/>
  <c r="BO1538" i="3" s="1"/>
  <c r="BM1052" i="3"/>
  <c r="BO1052" i="3" s="1"/>
  <c r="BM1532" i="3"/>
  <c r="BO1532" i="3" s="1"/>
  <c r="BM1537" i="3"/>
  <c r="BO1537" i="3" s="1"/>
  <c r="BM1531" i="3"/>
  <c r="BO1531" i="3" s="1"/>
  <c r="BM1536" i="3"/>
  <c r="BO1536" i="3" s="1"/>
  <c r="BM1056" i="3"/>
  <c r="BO1056" i="3" s="1"/>
  <c r="BM1055" i="3"/>
  <c r="BO1055" i="3" s="1"/>
  <c r="BM1051" i="3"/>
  <c r="BO1051" i="3" s="1"/>
  <c r="BM1054" i="3"/>
  <c r="BO1054" i="3" s="1"/>
  <c r="BM1050" i="3"/>
  <c r="BO1050" i="3" s="1"/>
  <c r="BM1535" i="3"/>
  <c r="BO1535" i="3" s="1"/>
  <c r="BM567" i="3"/>
  <c r="BO567" i="3" s="1"/>
  <c r="BM572" i="3"/>
  <c r="BO572" i="3" s="1"/>
  <c r="BM569" i="3"/>
  <c r="BO569" i="3" s="1"/>
  <c r="BM574" i="3"/>
  <c r="BO574" i="3" s="1"/>
  <c r="BM571" i="3"/>
  <c r="BO571" i="3" s="1"/>
  <c r="BM1053" i="3"/>
  <c r="BO1053" i="3" s="1"/>
  <c r="BM568" i="3"/>
  <c r="BO568" i="3" s="1"/>
  <c r="BM1049" i="3"/>
  <c r="BO1049" i="3" s="1"/>
  <c r="BM570" i="3"/>
  <c r="BO570" i="3" s="1"/>
  <c r="BM573" i="3"/>
  <c r="BO573" i="3" s="1"/>
  <c r="BM88" i="3"/>
  <c r="BO88" i="3" s="1"/>
  <c r="BM89" i="3"/>
  <c r="BO89" i="3" s="1"/>
  <c r="BM85" i="3"/>
  <c r="BO85" i="3" s="1"/>
  <c r="BM90" i="3"/>
  <c r="BO90" i="3" s="1"/>
  <c r="BM91" i="3"/>
  <c r="BO91" i="3" s="1"/>
  <c r="BM86" i="3"/>
  <c r="BO86" i="3" s="1"/>
  <c r="BM87" i="3"/>
  <c r="BO87" i="3" s="1"/>
  <c r="BM92" i="3"/>
  <c r="BO92" i="3" s="1"/>
  <c r="BM4652" i="3"/>
  <c r="BO4652" i="3" s="1"/>
  <c r="BM4651" i="3"/>
  <c r="BO4651" i="3" s="1"/>
  <c r="BM4650" i="3"/>
  <c r="BO4650" i="3" s="1"/>
  <c r="BM4649" i="3"/>
  <c r="BO4649" i="3" s="1"/>
  <c r="BM4654" i="3"/>
  <c r="BO4654" i="3" s="1"/>
  <c r="BM4647" i="3"/>
  <c r="BO4647" i="3" s="1"/>
  <c r="BM4648" i="3"/>
  <c r="BO4648" i="3" s="1"/>
  <c r="BM4170" i="3"/>
  <c r="BO4170" i="3" s="1"/>
  <c r="BM3690" i="3"/>
  <c r="BO3690" i="3" s="1"/>
  <c r="BM3684" i="3"/>
  <c r="BO3684" i="3" s="1"/>
  <c r="BM4169" i="3"/>
  <c r="BO4169" i="3" s="1"/>
  <c r="BM3689" i="3"/>
  <c r="BO3689" i="3" s="1"/>
  <c r="BM3683" i="3"/>
  <c r="BO3683" i="3" s="1"/>
  <c r="BM4168" i="3"/>
  <c r="BO4168" i="3" s="1"/>
  <c r="BM4167" i="3"/>
  <c r="BO4167" i="3" s="1"/>
  <c r="BM4172" i="3"/>
  <c r="BO4172" i="3" s="1"/>
  <c r="BM4166" i="3"/>
  <c r="BO4166" i="3" s="1"/>
  <c r="BM4653" i="3"/>
  <c r="BO4653" i="3" s="1"/>
  <c r="BM4165" i="3"/>
  <c r="BO4165" i="3" s="1"/>
  <c r="BM3207" i="3"/>
  <c r="BO3207" i="3" s="1"/>
  <c r="BM3687" i="3"/>
  <c r="BO3687" i="3" s="1"/>
  <c r="BM3201" i="3"/>
  <c r="BO3201" i="3" s="1"/>
  <c r="BM3206" i="3"/>
  <c r="BO3206" i="3" s="1"/>
  <c r="BM4171" i="3"/>
  <c r="BO4171" i="3" s="1"/>
  <c r="BM3686" i="3"/>
  <c r="BO3686" i="3" s="1"/>
  <c r="BM3205" i="3"/>
  <c r="BO3205" i="3" s="1"/>
  <c r="BM3685" i="3"/>
  <c r="BO3685" i="3" s="1"/>
  <c r="BM3204" i="3"/>
  <c r="BO3204" i="3" s="1"/>
  <c r="BM3203" i="3"/>
  <c r="BO3203" i="3" s="1"/>
  <c r="BM2721" i="3"/>
  <c r="BO2721" i="3" s="1"/>
  <c r="BM3688" i="3"/>
  <c r="BO3688" i="3" s="1"/>
  <c r="BM2726" i="3"/>
  <c r="BO2726" i="3" s="1"/>
  <c r="BM2720" i="3"/>
  <c r="BO2720" i="3" s="1"/>
  <c r="BM2725" i="3"/>
  <c r="BO2725" i="3" s="1"/>
  <c r="BM2719" i="3"/>
  <c r="BO2719" i="3" s="1"/>
  <c r="BM2724" i="3"/>
  <c r="BO2724" i="3" s="1"/>
  <c r="BM3208" i="3"/>
  <c r="BO3208" i="3" s="1"/>
  <c r="BM2723" i="3"/>
  <c r="BO2723" i="3" s="1"/>
  <c r="BM2237" i="3"/>
  <c r="BO2237" i="3" s="1"/>
  <c r="BM1757" i="3"/>
  <c r="BO1757" i="3" s="1"/>
  <c r="BM2242" i="3"/>
  <c r="BO2242" i="3" s="1"/>
  <c r="BM1756" i="3"/>
  <c r="BO1756" i="3" s="1"/>
  <c r="BM2241" i="3"/>
  <c r="BO2241" i="3" s="1"/>
  <c r="BM1761" i="3"/>
  <c r="BO1761" i="3" s="1"/>
  <c r="BM2722" i="3"/>
  <c r="BO2722" i="3" s="1"/>
  <c r="BM2240" i="3"/>
  <c r="BO2240" i="3" s="1"/>
  <c r="BM2239" i="3"/>
  <c r="BO2239" i="3" s="1"/>
  <c r="BM2244" i="3"/>
  <c r="BO2244" i="3" s="1"/>
  <c r="BM2243" i="3"/>
  <c r="BO2243" i="3" s="1"/>
  <c r="BM2238" i="3"/>
  <c r="BO2238" i="3" s="1"/>
  <c r="BM1278" i="3"/>
  <c r="BO1278" i="3" s="1"/>
  <c r="BM1758" i="3"/>
  <c r="BO1758" i="3" s="1"/>
  <c r="BM3202" i="3"/>
  <c r="BO3202" i="3" s="1"/>
  <c r="BM1277" i="3"/>
  <c r="BO1277" i="3" s="1"/>
  <c r="BM1755" i="3"/>
  <c r="BO1755" i="3" s="1"/>
  <c r="BM1276" i="3"/>
  <c r="BO1276" i="3" s="1"/>
  <c r="BM1762" i="3"/>
  <c r="BO1762" i="3" s="1"/>
  <c r="BM1275" i="3"/>
  <c r="BO1275" i="3" s="1"/>
  <c r="BM1280" i="3"/>
  <c r="BO1280" i="3" s="1"/>
  <c r="BM1760" i="3"/>
  <c r="BO1760" i="3" s="1"/>
  <c r="BM1274" i="3"/>
  <c r="BO1274" i="3" s="1"/>
  <c r="BM1759" i="3"/>
  <c r="BO1759" i="3" s="1"/>
  <c r="BM794" i="3"/>
  <c r="BO794" i="3" s="1"/>
  <c r="BM791" i="3"/>
  <c r="BO791" i="3" s="1"/>
  <c r="BM796" i="3"/>
  <c r="BO796" i="3" s="1"/>
  <c r="BM793" i="3"/>
  <c r="BO793" i="3" s="1"/>
  <c r="BM1279" i="3"/>
  <c r="BO1279" i="3" s="1"/>
  <c r="BM798" i="3"/>
  <c r="BO798" i="3" s="1"/>
  <c r="BM1273" i="3"/>
  <c r="BO1273" i="3" s="1"/>
  <c r="BM795" i="3"/>
  <c r="BO795" i="3" s="1"/>
  <c r="BM792" i="3"/>
  <c r="BO792" i="3" s="1"/>
  <c r="BM797" i="3"/>
  <c r="BO797" i="3" s="1"/>
  <c r="BM312" i="3"/>
  <c r="BO312" i="3" s="1"/>
  <c r="BM309" i="3"/>
  <c r="BO309" i="3" s="1"/>
  <c r="BM316" i="3"/>
  <c r="BO316" i="3" s="1"/>
  <c r="BM313" i="3"/>
  <c r="BO313" i="3" s="1"/>
  <c r="BM310" i="3"/>
  <c r="BO310" i="3" s="1"/>
  <c r="BM314" i="3"/>
  <c r="BO314" i="3" s="1"/>
  <c r="BM311" i="3"/>
  <c r="BO311" i="3" s="1"/>
  <c r="BM315" i="3"/>
  <c r="BO315" i="3" s="1"/>
  <c r="BM4801" i="3"/>
  <c r="BO4801" i="3" s="1"/>
  <c r="BM4806" i="3"/>
  <c r="BO4806" i="3" s="1"/>
  <c r="BM4800" i="3"/>
  <c r="BO4800" i="3" s="1"/>
  <c r="BM4805" i="3"/>
  <c r="BO4805" i="3" s="1"/>
  <c r="BM4799" i="3"/>
  <c r="BO4799" i="3" s="1"/>
  <c r="BM4804" i="3"/>
  <c r="BO4804" i="3" s="1"/>
  <c r="BM4803" i="3"/>
  <c r="BO4803" i="3" s="1"/>
  <c r="BM4802" i="3"/>
  <c r="BO4802" i="3" s="1"/>
  <c r="BM4319" i="3"/>
  <c r="BO4319" i="3" s="1"/>
  <c r="BM4324" i="3"/>
  <c r="BO4324" i="3" s="1"/>
  <c r="BM4318" i="3"/>
  <c r="BO4318" i="3" s="1"/>
  <c r="BM3838" i="3"/>
  <c r="BO3838" i="3" s="1"/>
  <c r="BM4323" i="3"/>
  <c r="BO4323" i="3" s="1"/>
  <c r="BM4317" i="3"/>
  <c r="BO4317" i="3" s="1"/>
  <c r="BM3837" i="3"/>
  <c r="BO3837" i="3" s="1"/>
  <c r="BM4322" i="3"/>
  <c r="BO4322" i="3" s="1"/>
  <c r="BM3842" i="3"/>
  <c r="BO3842" i="3" s="1"/>
  <c r="BM3836" i="3"/>
  <c r="BO3836" i="3" s="1"/>
  <c r="BM4320" i="3"/>
  <c r="BO4320" i="3" s="1"/>
  <c r="BM3840" i="3"/>
  <c r="BO3840" i="3" s="1"/>
  <c r="BM3356" i="3"/>
  <c r="BO3356" i="3" s="1"/>
  <c r="BM3841" i="3"/>
  <c r="BO3841" i="3" s="1"/>
  <c r="BM3355" i="3"/>
  <c r="BO3355" i="3" s="1"/>
  <c r="BM3360" i="3"/>
  <c r="BO3360" i="3" s="1"/>
  <c r="BM4321" i="3"/>
  <c r="BO4321" i="3" s="1"/>
  <c r="BM3839" i="3"/>
  <c r="BO3839" i="3" s="1"/>
  <c r="BM3354" i="3"/>
  <c r="BO3354" i="3" s="1"/>
  <c r="BM3359" i="3"/>
  <c r="BO3359" i="3" s="1"/>
  <c r="BM3835" i="3"/>
  <c r="BO3835" i="3" s="1"/>
  <c r="BM3353" i="3"/>
  <c r="BO3353" i="3" s="1"/>
  <c r="BM3358" i="3"/>
  <c r="BO3358" i="3" s="1"/>
  <c r="BM3357" i="3"/>
  <c r="BO3357" i="3" s="1"/>
  <c r="BM2871" i="3"/>
  <c r="BO2871" i="3" s="1"/>
  <c r="BM2391" i="3"/>
  <c r="BO2391" i="3" s="1"/>
  <c r="BM2876" i="3"/>
  <c r="BO2876" i="3" s="1"/>
  <c r="BM2396" i="3"/>
  <c r="BO2396" i="3" s="1"/>
  <c r="BM2875" i="3"/>
  <c r="BO2875" i="3" s="1"/>
  <c r="BM2395" i="3"/>
  <c r="BO2395" i="3" s="1"/>
  <c r="BM2874" i="3"/>
  <c r="BO2874" i="3" s="1"/>
  <c r="BM2873" i="3"/>
  <c r="BO2873" i="3" s="1"/>
  <c r="BM2878" i="3"/>
  <c r="BO2878" i="3" s="1"/>
  <c r="BM2877" i="3"/>
  <c r="BO2877" i="3" s="1"/>
  <c r="BM2390" i="3"/>
  <c r="BO2390" i="3" s="1"/>
  <c r="BM2389" i="3"/>
  <c r="BO2389" i="3" s="1"/>
  <c r="BM1911" i="3"/>
  <c r="BO1911" i="3" s="1"/>
  <c r="BM1910" i="3"/>
  <c r="BO1910" i="3" s="1"/>
  <c r="BM2394" i="3"/>
  <c r="BO2394" i="3" s="1"/>
  <c r="BM1909" i="3"/>
  <c r="BO1909" i="3" s="1"/>
  <c r="BM1914" i="3"/>
  <c r="BO1914" i="3" s="1"/>
  <c r="BM2393" i="3"/>
  <c r="BO2393" i="3" s="1"/>
  <c r="BM1908" i="3"/>
  <c r="BO1908" i="3" s="1"/>
  <c r="BM1913" i="3"/>
  <c r="BO1913" i="3" s="1"/>
  <c r="BM2872" i="3"/>
  <c r="BO2872" i="3" s="1"/>
  <c r="BM2392" i="3"/>
  <c r="BO2392" i="3" s="1"/>
  <c r="BM1907" i="3"/>
  <c r="BO1907" i="3" s="1"/>
  <c r="BM1427" i="3"/>
  <c r="BO1427" i="3" s="1"/>
  <c r="BM1432" i="3"/>
  <c r="BO1432" i="3" s="1"/>
  <c r="BM1426" i="3"/>
  <c r="BO1426" i="3" s="1"/>
  <c r="BM1431" i="3"/>
  <c r="BO1431" i="3" s="1"/>
  <c r="BM1425" i="3"/>
  <c r="BO1425" i="3" s="1"/>
  <c r="BM1430" i="3"/>
  <c r="BO1430" i="3" s="1"/>
  <c r="BM1912" i="3"/>
  <c r="BO1912" i="3" s="1"/>
  <c r="BM1429" i="3"/>
  <c r="BO1429" i="3" s="1"/>
  <c r="BM1428" i="3"/>
  <c r="BO1428" i="3" s="1"/>
  <c r="BM946" i="3"/>
  <c r="BO946" i="3" s="1"/>
  <c r="BM943" i="3"/>
  <c r="BO943" i="3" s="1"/>
  <c r="BM948" i="3"/>
  <c r="BO948" i="3" s="1"/>
  <c r="BM945" i="3"/>
  <c r="BO945" i="3" s="1"/>
  <c r="BM950" i="3"/>
  <c r="BO950" i="3" s="1"/>
  <c r="BM947" i="3"/>
  <c r="BO947" i="3" s="1"/>
  <c r="BM944" i="3"/>
  <c r="BO944" i="3" s="1"/>
  <c r="BM949" i="3"/>
  <c r="BO949" i="3" s="1"/>
  <c r="BM463" i="3"/>
  <c r="BO463" i="3" s="1"/>
  <c r="BM468" i="3"/>
  <c r="BO468" i="3" s="1"/>
  <c r="BM465" i="3"/>
  <c r="BO465" i="3" s="1"/>
  <c r="BM462" i="3"/>
  <c r="BO462" i="3" s="1"/>
  <c r="BM467" i="3"/>
  <c r="BO467" i="3" s="1"/>
  <c r="BM464" i="3"/>
  <c r="BO464" i="3" s="1"/>
  <c r="BM466" i="3"/>
  <c r="BO466" i="3" s="1"/>
  <c r="BM461" i="3"/>
  <c r="BO461" i="3" s="1"/>
  <c r="BD216" i="3"/>
  <c r="BD178" i="3"/>
  <c r="BD173" i="3"/>
  <c r="BD211" i="3"/>
  <c r="BD102" i="3"/>
  <c r="BD97" i="3"/>
  <c r="BD135" i="3"/>
  <c r="BD59" i="3"/>
  <c r="BD64" i="3"/>
  <c r="BD140" i="3"/>
  <c r="BD26" i="3"/>
  <c r="AA21" i="3"/>
  <c r="X21" i="3"/>
  <c r="BD21" i="3"/>
  <c r="AA26" i="3"/>
  <c r="X26" i="3"/>
  <c r="C391" i="1"/>
  <c r="D391" i="1" s="1"/>
  <c r="C396" i="1" s="1"/>
  <c r="C397" i="1" s="1"/>
  <c r="H59" i="1" s="1"/>
  <c r="B58" i="2" s="1"/>
  <c r="C387" i="1"/>
  <c r="BD180" i="3"/>
  <c r="BD209" i="3"/>
  <c r="BD171" i="3"/>
  <c r="BD218" i="3"/>
  <c r="BD57" i="3"/>
  <c r="BD142" i="3"/>
  <c r="BD104" i="3"/>
  <c r="BD133" i="3"/>
  <c r="X28" i="3"/>
  <c r="BD66" i="3"/>
  <c r="AA19" i="3"/>
  <c r="BD95" i="3"/>
  <c r="X19" i="3"/>
  <c r="BD28" i="3"/>
  <c r="AA28" i="3"/>
  <c r="BD19" i="3"/>
  <c r="BH274" i="3"/>
  <c r="BH190" i="3"/>
  <c r="BH210" i="3"/>
  <c r="BM4545" i="3"/>
  <c r="BO4545" i="3" s="1"/>
  <c r="BM4550" i="3"/>
  <c r="BO4550" i="3" s="1"/>
  <c r="BM4544" i="3"/>
  <c r="BO4544" i="3" s="1"/>
  <c r="BM4549" i="3"/>
  <c r="BO4549" i="3" s="1"/>
  <c r="BM4543" i="3"/>
  <c r="BO4543" i="3" s="1"/>
  <c r="BM4548" i="3"/>
  <c r="BO4548" i="3" s="1"/>
  <c r="BM4547" i="3"/>
  <c r="BO4547" i="3" s="1"/>
  <c r="BM4546" i="3"/>
  <c r="BO4546" i="3" s="1"/>
  <c r="BM4068" i="3"/>
  <c r="BO4068" i="3" s="1"/>
  <c r="BM4062" i="3"/>
  <c r="BO4062" i="3" s="1"/>
  <c r="BM4067" i="3"/>
  <c r="BO4067" i="3" s="1"/>
  <c r="BM4061" i="3"/>
  <c r="BO4061" i="3" s="1"/>
  <c r="BM4066" i="3"/>
  <c r="BO4066" i="3" s="1"/>
  <c r="BM4064" i="3"/>
  <c r="BO4064" i="3" s="1"/>
  <c r="BM3583" i="3"/>
  <c r="BO3583" i="3" s="1"/>
  <c r="BM4063" i="3"/>
  <c r="BO4063" i="3" s="1"/>
  <c r="BM3100" i="3"/>
  <c r="BO3100" i="3" s="1"/>
  <c r="BM3582" i="3"/>
  <c r="BO3582" i="3" s="1"/>
  <c r="BM3581" i="3"/>
  <c r="BO3581" i="3" s="1"/>
  <c r="BM3099" i="3"/>
  <c r="BO3099" i="3" s="1"/>
  <c r="BM3104" i="3"/>
  <c r="BO3104" i="3" s="1"/>
  <c r="BM3580" i="3"/>
  <c r="BO3580" i="3" s="1"/>
  <c r="BM3586" i="3"/>
  <c r="BO3586" i="3" s="1"/>
  <c r="BM3579" i="3"/>
  <c r="BO3579" i="3" s="1"/>
  <c r="BM3585" i="3"/>
  <c r="BO3585" i="3" s="1"/>
  <c r="BM3584" i="3"/>
  <c r="BO3584" i="3" s="1"/>
  <c r="BM3098" i="3"/>
  <c r="BO3098" i="3" s="1"/>
  <c r="BM2615" i="3"/>
  <c r="BO2615" i="3" s="1"/>
  <c r="BM2620" i="3"/>
  <c r="BO2620" i="3" s="1"/>
  <c r="BM3097" i="3"/>
  <c r="BO3097" i="3" s="1"/>
  <c r="BM4065" i="3"/>
  <c r="BO4065" i="3" s="1"/>
  <c r="BM2619" i="3"/>
  <c r="BO2619" i="3" s="1"/>
  <c r="BM2618" i="3"/>
  <c r="BO2618" i="3" s="1"/>
  <c r="BM3103" i="3"/>
  <c r="BO3103" i="3" s="1"/>
  <c r="BM2617" i="3"/>
  <c r="BO2617" i="3" s="1"/>
  <c r="BM3102" i="3"/>
  <c r="BO3102" i="3" s="1"/>
  <c r="BM3101" i="3"/>
  <c r="BO3101" i="3" s="1"/>
  <c r="BM2621" i="3"/>
  <c r="BO2621" i="3" s="1"/>
  <c r="BM2135" i="3"/>
  <c r="BO2135" i="3" s="1"/>
  <c r="BM2140" i="3"/>
  <c r="BO2140" i="3" s="1"/>
  <c r="BM2134" i="3"/>
  <c r="BO2134" i="3" s="1"/>
  <c r="BM1654" i="3"/>
  <c r="BO1654" i="3" s="1"/>
  <c r="BM2139" i="3"/>
  <c r="BO2139" i="3" s="1"/>
  <c r="BM2622" i="3"/>
  <c r="BO2622" i="3" s="1"/>
  <c r="BM2133" i="3"/>
  <c r="BO2133" i="3" s="1"/>
  <c r="BM2138" i="3"/>
  <c r="BO2138" i="3" s="1"/>
  <c r="BM2616" i="3"/>
  <c r="BO2616" i="3" s="1"/>
  <c r="BM2137" i="3"/>
  <c r="BO2137" i="3" s="1"/>
  <c r="BM1171" i="3"/>
  <c r="BO1171" i="3" s="1"/>
  <c r="BM1176" i="3"/>
  <c r="BO1176" i="3" s="1"/>
  <c r="BM1653" i="3"/>
  <c r="BO1653" i="3" s="1"/>
  <c r="BM1170" i="3"/>
  <c r="BO1170" i="3" s="1"/>
  <c r="BM1175" i="3"/>
  <c r="BO1175" i="3" s="1"/>
  <c r="BM1658" i="3"/>
  <c r="BO1658" i="3" s="1"/>
  <c r="BM1652" i="3"/>
  <c r="BO1652" i="3" s="1"/>
  <c r="BM2136" i="3"/>
  <c r="BO2136" i="3" s="1"/>
  <c r="BM1169" i="3"/>
  <c r="BO1169" i="3" s="1"/>
  <c r="BM1174" i="3"/>
  <c r="BO1174" i="3" s="1"/>
  <c r="BM1657" i="3"/>
  <c r="BO1657" i="3" s="1"/>
  <c r="BM1651" i="3"/>
  <c r="BO1651" i="3" s="1"/>
  <c r="BM1173" i="3"/>
  <c r="BO1173" i="3" s="1"/>
  <c r="BM1656" i="3"/>
  <c r="BO1656" i="3" s="1"/>
  <c r="BM1655" i="3"/>
  <c r="BO1655" i="3" s="1"/>
  <c r="BM1172" i="3"/>
  <c r="BO1172" i="3" s="1"/>
  <c r="BM690" i="3"/>
  <c r="BO690" i="3" s="1"/>
  <c r="BM687" i="3"/>
  <c r="BO687" i="3" s="1"/>
  <c r="BM692" i="3"/>
  <c r="BO692" i="3" s="1"/>
  <c r="BM689" i="3"/>
  <c r="BO689" i="3" s="1"/>
  <c r="BM694" i="3"/>
  <c r="BO694" i="3" s="1"/>
  <c r="BM691" i="3"/>
  <c r="BO691" i="3" s="1"/>
  <c r="BM693" i="3"/>
  <c r="BO693" i="3" s="1"/>
  <c r="BM688" i="3"/>
  <c r="BO688" i="3" s="1"/>
  <c r="BM210" i="3"/>
  <c r="BO210" i="3" s="1"/>
  <c r="BM207" i="3"/>
  <c r="BO207" i="3" s="1"/>
  <c r="BM211" i="3"/>
  <c r="BO211" i="3" s="1"/>
  <c r="BM208" i="3"/>
  <c r="BO208" i="3" s="1"/>
  <c r="BM205" i="3"/>
  <c r="BO205" i="3" s="1"/>
  <c r="BM206" i="3"/>
  <c r="BO206" i="3" s="1"/>
  <c r="BM209" i="3"/>
  <c r="BO209" i="3" s="1"/>
  <c r="BM212" i="3"/>
  <c r="BO212" i="3" s="1"/>
  <c r="BM4449" i="3"/>
  <c r="BO4449" i="3" s="1"/>
  <c r="BM4454" i="3"/>
  <c r="BO4454" i="3" s="1"/>
  <c r="BM4448" i="3"/>
  <c r="BO4448" i="3" s="1"/>
  <c r="BM4453" i="3"/>
  <c r="BO4453" i="3" s="1"/>
  <c r="BM4447" i="3"/>
  <c r="BO4447" i="3" s="1"/>
  <c r="BM4452" i="3"/>
  <c r="BO4452" i="3" s="1"/>
  <c r="BM4451" i="3"/>
  <c r="BO4451" i="3" s="1"/>
  <c r="BM4450" i="3"/>
  <c r="BO4450" i="3" s="1"/>
  <c r="BM3972" i="3"/>
  <c r="BO3972" i="3" s="1"/>
  <c r="BM3966" i="3"/>
  <c r="BO3966" i="3" s="1"/>
  <c r="BM3971" i="3"/>
  <c r="BO3971" i="3" s="1"/>
  <c r="BM3965" i="3"/>
  <c r="BO3965" i="3" s="1"/>
  <c r="BM3970" i="3"/>
  <c r="BO3970" i="3" s="1"/>
  <c r="BM3968" i="3"/>
  <c r="BO3968" i="3" s="1"/>
  <c r="BM3484" i="3"/>
  <c r="BO3484" i="3" s="1"/>
  <c r="BM3489" i="3"/>
  <c r="BO3489" i="3" s="1"/>
  <c r="BM3483" i="3"/>
  <c r="BO3483" i="3" s="1"/>
  <c r="BM3969" i="3"/>
  <c r="BO3969" i="3" s="1"/>
  <c r="BM3488" i="3"/>
  <c r="BO3488" i="3" s="1"/>
  <c r="BM3967" i="3"/>
  <c r="BO3967" i="3" s="1"/>
  <c r="BM3487" i="3"/>
  <c r="BO3487" i="3" s="1"/>
  <c r="BM3486" i="3"/>
  <c r="BO3486" i="3" s="1"/>
  <c r="BM3485" i="3"/>
  <c r="BO3485" i="3" s="1"/>
  <c r="BM3007" i="3"/>
  <c r="BO3007" i="3" s="1"/>
  <c r="BM3001" i="3"/>
  <c r="BO3001" i="3" s="1"/>
  <c r="BM2519" i="3"/>
  <c r="BO2519" i="3" s="1"/>
  <c r="BM2524" i="3"/>
  <c r="BO2524" i="3" s="1"/>
  <c r="BM3490" i="3"/>
  <c r="BO3490" i="3" s="1"/>
  <c r="BM3006" i="3"/>
  <c r="BO3006" i="3" s="1"/>
  <c r="BM2523" i="3"/>
  <c r="BO2523" i="3" s="1"/>
  <c r="BM3005" i="3"/>
  <c r="BO3005" i="3" s="1"/>
  <c r="BM2522" i="3"/>
  <c r="BO2522" i="3" s="1"/>
  <c r="BM3004" i="3"/>
  <c r="BO3004" i="3" s="1"/>
  <c r="BM2521" i="3"/>
  <c r="BO2521" i="3" s="1"/>
  <c r="BM3003" i="3"/>
  <c r="BO3003" i="3" s="1"/>
  <c r="BM3008" i="3"/>
  <c r="BO3008" i="3" s="1"/>
  <c r="BM2525" i="3"/>
  <c r="BO2525" i="3" s="1"/>
  <c r="BM3002" i="3"/>
  <c r="BO3002" i="3" s="1"/>
  <c r="BM2520" i="3"/>
  <c r="BO2520" i="3" s="1"/>
  <c r="BM2039" i="3"/>
  <c r="BO2039" i="3" s="1"/>
  <c r="BM2044" i="3"/>
  <c r="BO2044" i="3" s="1"/>
  <c r="BM2038" i="3"/>
  <c r="BO2038" i="3" s="1"/>
  <c r="BM2043" i="3"/>
  <c r="BO2043" i="3" s="1"/>
  <c r="BM2526" i="3"/>
  <c r="BO2526" i="3" s="1"/>
  <c r="BM2037" i="3"/>
  <c r="BO2037" i="3" s="1"/>
  <c r="BM2042" i="3"/>
  <c r="BO2042" i="3" s="1"/>
  <c r="BM2041" i="3"/>
  <c r="BO2041" i="3" s="1"/>
  <c r="BM1555" i="3"/>
  <c r="BO1555" i="3" s="1"/>
  <c r="BM1074" i="3"/>
  <c r="BO1074" i="3" s="1"/>
  <c r="BM1560" i="3"/>
  <c r="BO1560" i="3" s="1"/>
  <c r="BM1079" i="3"/>
  <c r="BO1079" i="3" s="1"/>
  <c r="BM1559" i="3"/>
  <c r="BO1559" i="3" s="1"/>
  <c r="BM1076" i="3"/>
  <c r="BO1076" i="3" s="1"/>
  <c r="BM1558" i="3"/>
  <c r="BO1558" i="3" s="1"/>
  <c r="BM1078" i="3"/>
  <c r="BO1078" i="3" s="1"/>
  <c r="BM2040" i="3"/>
  <c r="BO2040" i="3" s="1"/>
  <c r="BM1557" i="3"/>
  <c r="BO1557" i="3" s="1"/>
  <c r="BM1562" i="3"/>
  <c r="BO1562" i="3" s="1"/>
  <c r="BM1556" i="3"/>
  <c r="BO1556" i="3" s="1"/>
  <c r="BM1561" i="3"/>
  <c r="BO1561" i="3" s="1"/>
  <c r="BM1077" i="3"/>
  <c r="BO1077" i="3" s="1"/>
  <c r="BM1075" i="3"/>
  <c r="BO1075" i="3" s="1"/>
  <c r="BM1080" i="3"/>
  <c r="BO1080" i="3" s="1"/>
  <c r="BM1073" i="3"/>
  <c r="BO1073" i="3" s="1"/>
  <c r="BM591" i="3"/>
  <c r="BO591" i="3" s="1"/>
  <c r="BM596" i="3"/>
  <c r="BO596" i="3" s="1"/>
  <c r="BM593" i="3"/>
  <c r="BO593" i="3" s="1"/>
  <c r="BM598" i="3"/>
  <c r="BO598" i="3" s="1"/>
  <c r="BM595" i="3"/>
  <c r="BO595" i="3" s="1"/>
  <c r="BM592" i="3"/>
  <c r="BO592" i="3" s="1"/>
  <c r="BM594" i="3"/>
  <c r="BO594" i="3" s="1"/>
  <c r="BM597" i="3"/>
  <c r="BO597" i="3" s="1"/>
  <c r="BM116" i="3"/>
  <c r="BO116" i="3" s="1"/>
  <c r="BM113" i="3"/>
  <c r="BO113" i="3" s="1"/>
  <c r="BM109" i="3"/>
  <c r="BO109" i="3" s="1"/>
  <c r="BM114" i="3"/>
  <c r="BO114" i="3" s="1"/>
  <c r="BM110" i="3"/>
  <c r="BO110" i="3" s="1"/>
  <c r="BM111" i="3"/>
  <c r="BO111" i="3" s="1"/>
  <c r="BM115" i="3"/>
  <c r="BO115" i="3" s="1"/>
  <c r="BM112" i="3"/>
  <c r="BO112" i="3" s="1"/>
  <c r="BM4668" i="3"/>
  <c r="BO4668" i="3" s="1"/>
  <c r="BM4667" i="3"/>
  <c r="BO4667" i="3" s="1"/>
  <c r="BM4666" i="3"/>
  <c r="BO4666" i="3" s="1"/>
  <c r="BM4665" i="3"/>
  <c r="BO4665" i="3" s="1"/>
  <c r="BM4670" i="3"/>
  <c r="BO4670" i="3" s="1"/>
  <c r="BM4663" i="3"/>
  <c r="BO4663" i="3" s="1"/>
  <c r="BM4186" i="3"/>
  <c r="BO4186" i="3" s="1"/>
  <c r="BM3706" i="3"/>
  <c r="BO3706" i="3" s="1"/>
  <c r="BM3700" i="3"/>
  <c r="BO3700" i="3" s="1"/>
  <c r="BM4185" i="3"/>
  <c r="BO4185" i="3" s="1"/>
  <c r="BM3705" i="3"/>
  <c r="BO3705" i="3" s="1"/>
  <c r="BM3699" i="3"/>
  <c r="BO3699" i="3" s="1"/>
  <c r="BM4184" i="3"/>
  <c r="BO4184" i="3" s="1"/>
  <c r="BM4669" i="3"/>
  <c r="BO4669" i="3" s="1"/>
  <c r="BM4183" i="3"/>
  <c r="BO4183" i="3" s="1"/>
  <c r="BM4664" i="3"/>
  <c r="BO4664" i="3" s="1"/>
  <c r="BM4188" i="3"/>
  <c r="BO4188" i="3" s="1"/>
  <c r="BM4182" i="3"/>
  <c r="BO4182" i="3" s="1"/>
  <c r="BM4181" i="3"/>
  <c r="BO4181" i="3" s="1"/>
  <c r="BM3223" i="3"/>
  <c r="BO3223" i="3" s="1"/>
  <c r="BM3703" i="3"/>
  <c r="BO3703" i="3" s="1"/>
  <c r="BM3217" i="3"/>
  <c r="BO3217" i="3" s="1"/>
  <c r="BM3222" i="3"/>
  <c r="BO3222" i="3" s="1"/>
  <c r="BM3702" i="3"/>
  <c r="BO3702" i="3" s="1"/>
  <c r="BM3221" i="3"/>
  <c r="BO3221" i="3" s="1"/>
  <c r="BM3701" i="3"/>
  <c r="BO3701" i="3" s="1"/>
  <c r="BM3220" i="3"/>
  <c r="BO3220" i="3" s="1"/>
  <c r="BM4187" i="3"/>
  <c r="BO4187" i="3" s="1"/>
  <c r="BM3219" i="3"/>
  <c r="BO3219" i="3" s="1"/>
  <c r="BM3704" i="3"/>
  <c r="BO3704" i="3" s="1"/>
  <c r="BM2737" i="3"/>
  <c r="BO2737" i="3" s="1"/>
  <c r="BM2742" i="3"/>
  <c r="BO2742" i="3" s="1"/>
  <c r="BM2736" i="3"/>
  <c r="BO2736" i="3" s="1"/>
  <c r="BM3224" i="3"/>
  <c r="BO3224" i="3" s="1"/>
  <c r="BM2741" i="3"/>
  <c r="BO2741" i="3" s="1"/>
  <c r="BM2735" i="3"/>
  <c r="BO2735" i="3" s="1"/>
  <c r="BM3218" i="3"/>
  <c r="BO3218" i="3" s="1"/>
  <c r="BM2740" i="3"/>
  <c r="BO2740" i="3" s="1"/>
  <c r="BM2739" i="3"/>
  <c r="BO2739" i="3" s="1"/>
  <c r="BM2259" i="3"/>
  <c r="BO2259" i="3" s="1"/>
  <c r="BM1773" i="3"/>
  <c r="BO1773" i="3" s="1"/>
  <c r="BM2738" i="3"/>
  <c r="BO2738" i="3" s="1"/>
  <c r="BM2253" i="3"/>
  <c r="BO2253" i="3" s="1"/>
  <c r="BM1778" i="3"/>
  <c r="BO1778" i="3" s="1"/>
  <c r="BM2258" i="3"/>
  <c r="BO2258" i="3" s="1"/>
  <c r="BM1772" i="3"/>
  <c r="BO1772" i="3" s="1"/>
  <c r="BM1777" i="3"/>
  <c r="BO1777" i="3" s="1"/>
  <c r="BM2257" i="3"/>
  <c r="BO2257" i="3" s="1"/>
  <c r="BM2256" i="3"/>
  <c r="BO2256" i="3" s="1"/>
  <c r="BM2255" i="3"/>
  <c r="BO2255" i="3" s="1"/>
  <c r="BM2254" i="3"/>
  <c r="BO2254" i="3" s="1"/>
  <c r="BM1774" i="3"/>
  <c r="BO1774" i="3" s="1"/>
  <c r="BM1294" i="3"/>
  <c r="BO1294" i="3" s="1"/>
  <c r="BM1293" i="3"/>
  <c r="BO1293" i="3" s="1"/>
  <c r="BM1771" i="3"/>
  <c r="BO1771" i="3" s="1"/>
  <c r="BM1292" i="3"/>
  <c r="BO1292" i="3" s="1"/>
  <c r="BM2260" i="3"/>
  <c r="BO2260" i="3" s="1"/>
  <c r="BM1291" i="3"/>
  <c r="BO1291" i="3" s="1"/>
  <c r="BM1776" i="3"/>
  <c r="BO1776" i="3" s="1"/>
  <c r="BM1296" i="3"/>
  <c r="BO1296" i="3" s="1"/>
  <c r="BM1290" i="3"/>
  <c r="BO1290" i="3" s="1"/>
  <c r="BM810" i="3"/>
  <c r="BO810" i="3" s="1"/>
  <c r="BM1295" i="3"/>
  <c r="BO1295" i="3" s="1"/>
  <c r="BM807" i="3"/>
  <c r="BO807" i="3" s="1"/>
  <c r="BM1289" i="3"/>
  <c r="BO1289" i="3" s="1"/>
  <c r="BM812" i="3"/>
  <c r="BO812" i="3" s="1"/>
  <c r="BM1775" i="3"/>
  <c r="BO1775" i="3" s="1"/>
  <c r="BM809" i="3"/>
  <c r="BO809" i="3" s="1"/>
  <c r="BM814" i="3"/>
  <c r="BO814" i="3" s="1"/>
  <c r="BM811" i="3"/>
  <c r="BO811" i="3" s="1"/>
  <c r="BM808" i="3"/>
  <c r="BO808" i="3" s="1"/>
  <c r="BM813" i="3"/>
  <c r="BO813" i="3" s="1"/>
  <c r="BM328" i="3"/>
  <c r="BO328" i="3" s="1"/>
  <c r="BM325" i="3"/>
  <c r="BO325" i="3" s="1"/>
  <c r="BM332" i="3"/>
  <c r="BO332" i="3" s="1"/>
  <c r="BM329" i="3"/>
  <c r="BO329" i="3" s="1"/>
  <c r="BM326" i="3"/>
  <c r="BO326" i="3" s="1"/>
  <c r="BM330" i="3"/>
  <c r="BO330" i="3" s="1"/>
  <c r="BM327" i="3"/>
  <c r="BO327" i="3" s="1"/>
  <c r="BM331" i="3"/>
  <c r="BO331" i="3" s="1"/>
  <c r="BM4524" i="3"/>
  <c r="BO4524" i="3" s="1"/>
  <c r="BM4523" i="3"/>
  <c r="BO4523" i="3" s="1"/>
  <c r="BM4522" i="3"/>
  <c r="BO4522" i="3" s="1"/>
  <c r="BM4521" i="3"/>
  <c r="BO4521" i="3" s="1"/>
  <c r="BM4526" i="3"/>
  <c r="BO4526" i="3" s="1"/>
  <c r="BM4519" i="3"/>
  <c r="BO4519" i="3" s="1"/>
  <c r="BM4520" i="3"/>
  <c r="BO4520" i="3" s="1"/>
  <c r="BM4042" i="3"/>
  <c r="BO4042" i="3" s="1"/>
  <c r="BM3562" i="3"/>
  <c r="BO3562" i="3" s="1"/>
  <c r="BM4041" i="3"/>
  <c r="BO4041" i="3" s="1"/>
  <c r="BM4040" i="3"/>
  <c r="BO4040" i="3" s="1"/>
  <c r="BM4039" i="3"/>
  <c r="BO4039" i="3" s="1"/>
  <c r="BM4044" i="3"/>
  <c r="BO4044" i="3" s="1"/>
  <c r="BM4038" i="3"/>
  <c r="BO4038" i="3" s="1"/>
  <c r="BM4525" i="3"/>
  <c r="BO4525" i="3" s="1"/>
  <c r="BM4037" i="3"/>
  <c r="BO4037" i="3" s="1"/>
  <c r="BM3559" i="3"/>
  <c r="BO3559" i="3" s="1"/>
  <c r="BM3079" i="3"/>
  <c r="BO3079" i="3" s="1"/>
  <c r="BM3073" i="3"/>
  <c r="BO3073" i="3" s="1"/>
  <c r="BM3558" i="3"/>
  <c r="BO3558" i="3" s="1"/>
  <c r="BM3078" i="3"/>
  <c r="BO3078" i="3" s="1"/>
  <c r="BM3557" i="3"/>
  <c r="BO3557" i="3" s="1"/>
  <c r="BM3077" i="3"/>
  <c r="BO3077" i="3" s="1"/>
  <c r="BM3556" i="3"/>
  <c r="BO3556" i="3" s="1"/>
  <c r="BM3561" i="3"/>
  <c r="BO3561" i="3" s="1"/>
  <c r="BM4043" i="3"/>
  <c r="BO4043" i="3" s="1"/>
  <c r="BM3555" i="3"/>
  <c r="BO3555" i="3" s="1"/>
  <c r="BM2593" i="3"/>
  <c r="BO2593" i="3" s="1"/>
  <c r="BM2598" i="3"/>
  <c r="BO2598" i="3" s="1"/>
  <c r="BM3076" i="3"/>
  <c r="BO3076" i="3" s="1"/>
  <c r="BM2592" i="3"/>
  <c r="BO2592" i="3" s="1"/>
  <c r="BM2597" i="3"/>
  <c r="BO2597" i="3" s="1"/>
  <c r="BM3075" i="3"/>
  <c r="BO3075" i="3" s="1"/>
  <c r="BM3560" i="3"/>
  <c r="BO3560" i="3" s="1"/>
  <c r="BM2591" i="3"/>
  <c r="BO2591" i="3" s="1"/>
  <c r="BM2596" i="3"/>
  <c r="BO2596" i="3" s="1"/>
  <c r="BM3074" i="3"/>
  <c r="BO3074" i="3" s="1"/>
  <c r="BM2595" i="3"/>
  <c r="BO2595" i="3" s="1"/>
  <c r="BM2109" i="3"/>
  <c r="BO2109" i="3" s="1"/>
  <c r="BM1629" i="3"/>
  <c r="BO1629" i="3" s="1"/>
  <c r="BM2114" i="3"/>
  <c r="BO2114" i="3" s="1"/>
  <c r="BM2113" i="3"/>
  <c r="BO2113" i="3" s="1"/>
  <c r="BM2112" i="3"/>
  <c r="BO2112" i="3" s="1"/>
  <c r="BM2594" i="3"/>
  <c r="BO2594" i="3" s="1"/>
  <c r="BM2111" i="3"/>
  <c r="BO2111" i="3" s="1"/>
  <c r="BM2116" i="3"/>
  <c r="BO2116" i="3" s="1"/>
  <c r="BM2115" i="3"/>
  <c r="BO2115" i="3" s="1"/>
  <c r="BM2110" i="3"/>
  <c r="BO2110" i="3" s="1"/>
  <c r="BM1150" i="3"/>
  <c r="BO1150" i="3" s="1"/>
  <c r="BM1630" i="3"/>
  <c r="BO1630" i="3" s="1"/>
  <c r="BM1149" i="3"/>
  <c r="BO1149" i="3" s="1"/>
  <c r="BM3080" i="3"/>
  <c r="BO3080" i="3" s="1"/>
  <c r="BM1634" i="3"/>
  <c r="BO1634" i="3" s="1"/>
  <c r="BM1628" i="3"/>
  <c r="BO1628" i="3" s="1"/>
  <c r="BM1148" i="3"/>
  <c r="BO1148" i="3" s="1"/>
  <c r="BM1633" i="3"/>
  <c r="BO1633" i="3" s="1"/>
  <c r="BM1627" i="3"/>
  <c r="BO1627" i="3" s="1"/>
  <c r="BM1147" i="3"/>
  <c r="BO1147" i="3" s="1"/>
  <c r="BM1152" i="3"/>
  <c r="BO1152" i="3" s="1"/>
  <c r="BM1632" i="3"/>
  <c r="BO1632" i="3" s="1"/>
  <c r="BM1146" i="3"/>
  <c r="BO1146" i="3" s="1"/>
  <c r="BM1631" i="3"/>
  <c r="BO1631" i="3" s="1"/>
  <c r="BM666" i="3"/>
  <c r="BO666" i="3" s="1"/>
  <c r="BM663" i="3"/>
  <c r="BO663" i="3" s="1"/>
  <c r="BM668" i="3"/>
  <c r="BO668" i="3" s="1"/>
  <c r="BM665" i="3"/>
  <c r="BO665" i="3" s="1"/>
  <c r="BM1151" i="3"/>
  <c r="BO1151" i="3" s="1"/>
  <c r="BM1145" i="3"/>
  <c r="BO1145" i="3" s="1"/>
  <c r="BM667" i="3"/>
  <c r="BO667" i="3" s="1"/>
  <c r="BM669" i="3"/>
  <c r="BO669" i="3" s="1"/>
  <c r="BM664" i="3"/>
  <c r="BO664" i="3" s="1"/>
  <c r="BM670" i="3"/>
  <c r="BO670" i="3" s="1"/>
  <c r="BM184" i="3"/>
  <c r="BO184" i="3" s="1"/>
  <c r="BM181" i="3"/>
  <c r="BO181" i="3" s="1"/>
  <c r="BM188" i="3"/>
  <c r="BO188" i="3" s="1"/>
  <c r="BM185" i="3"/>
  <c r="BO185" i="3" s="1"/>
  <c r="BM182" i="3"/>
  <c r="BO182" i="3" s="1"/>
  <c r="BM186" i="3"/>
  <c r="BO186" i="3" s="1"/>
  <c r="BM183" i="3"/>
  <c r="BO183" i="3" s="1"/>
  <c r="BM187" i="3"/>
  <c r="BO187" i="3" s="1"/>
  <c r="BH224" i="3"/>
  <c r="C319" i="1"/>
  <c r="C322" i="1" s="1"/>
  <c r="C323" i="1" s="1"/>
  <c r="H49" i="1" s="1"/>
  <c r="B48" i="2" s="1"/>
  <c r="C320" i="1"/>
  <c r="C324" i="1" s="1"/>
  <c r="BD213" i="3"/>
  <c r="BG213" i="3" s="1"/>
  <c r="BD175" i="3"/>
  <c r="BG175" i="3" s="1"/>
  <c r="BD214" i="3"/>
  <c r="BG214" i="3" s="1"/>
  <c r="BD138" i="3"/>
  <c r="BG138" i="3" s="1"/>
  <c r="BD61" i="3"/>
  <c r="BG61" i="3" s="1"/>
  <c r="BD62" i="3"/>
  <c r="BG62" i="3" s="1"/>
  <c r="BD99" i="3"/>
  <c r="BG99" i="3" s="1"/>
  <c r="BD176" i="3"/>
  <c r="BG176" i="3" s="1"/>
  <c r="BD100" i="3"/>
  <c r="BG100" i="3" s="1"/>
  <c r="AA23" i="3"/>
  <c r="X23" i="3"/>
  <c r="BD23" i="3"/>
  <c r="BG23" i="3" s="1"/>
  <c r="AA24" i="3"/>
  <c r="BD137" i="3"/>
  <c r="BG137" i="3" s="1"/>
  <c r="X24" i="3"/>
  <c r="BD24" i="3"/>
  <c r="BG24" i="3" s="1"/>
  <c r="C131" i="1"/>
  <c r="H11" i="1" s="1"/>
  <c r="B10" i="2" s="1"/>
  <c r="BH287" i="3"/>
  <c r="BH54" i="3"/>
  <c r="BH65" i="3"/>
  <c r="BM4374" i="3"/>
  <c r="BO4374" i="3" s="1"/>
  <c r="BM4373" i="3"/>
  <c r="BO4373" i="3" s="1"/>
  <c r="BM4372" i="3"/>
  <c r="BO4372" i="3" s="1"/>
  <c r="BM4371" i="3"/>
  <c r="BO4371" i="3" s="1"/>
  <c r="BM4370" i="3"/>
  <c r="BO4370" i="3" s="1"/>
  <c r="BM4367" i="3"/>
  <c r="BO4367" i="3" s="1"/>
  <c r="BM3892" i="3"/>
  <c r="BO3892" i="3" s="1"/>
  <c r="BM3886" i="3"/>
  <c r="BO3886" i="3" s="1"/>
  <c r="BM3891" i="3"/>
  <c r="BO3891" i="3" s="1"/>
  <c r="BM3885" i="3"/>
  <c r="BO3885" i="3" s="1"/>
  <c r="BM3890" i="3"/>
  <c r="BO3890" i="3" s="1"/>
  <c r="BM4368" i="3"/>
  <c r="BO4368" i="3" s="1"/>
  <c r="BM3888" i="3"/>
  <c r="BO3888" i="3" s="1"/>
  <c r="BM3404" i="3"/>
  <c r="BO3404" i="3" s="1"/>
  <c r="BM3409" i="3"/>
  <c r="BO3409" i="3" s="1"/>
  <c r="BM4369" i="3"/>
  <c r="BO4369" i="3" s="1"/>
  <c r="BM3403" i="3"/>
  <c r="BO3403" i="3" s="1"/>
  <c r="BM3408" i="3"/>
  <c r="BO3408" i="3" s="1"/>
  <c r="BM3889" i="3"/>
  <c r="BO3889" i="3" s="1"/>
  <c r="BM3407" i="3"/>
  <c r="BO3407" i="3" s="1"/>
  <c r="BM3887" i="3"/>
  <c r="BO3887" i="3" s="1"/>
  <c r="BM3406" i="3"/>
  <c r="BO3406" i="3" s="1"/>
  <c r="BM3405" i="3"/>
  <c r="BO3405" i="3" s="1"/>
  <c r="BM2439" i="3"/>
  <c r="BO2439" i="3" s="1"/>
  <c r="BM3410" i="3"/>
  <c r="BO3410" i="3" s="1"/>
  <c r="BM2924" i="3"/>
  <c r="BO2924" i="3" s="1"/>
  <c r="BM2444" i="3"/>
  <c r="BO2444" i="3" s="1"/>
  <c r="BM2923" i="3"/>
  <c r="BO2923" i="3" s="1"/>
  <c r="BM2443" i="3"/>
  <c r="BO2443" i="3" s="1"/>
  <c r="BM2928" i="3"/>
  <c r="BO2928" i="3" s="1"/>
  <c r="BM2922" i="3"/>
  <c r="BO2922" i="3" s="1"/>
  <c r="BM2927" i="3"/>
  <c r="BO2927" i="3" s="1"/>
  <c r="BM2921" i="3"/>
  <c r="BO2921" i="3" s="1"/>
  <c r="BM2926" i="3"/>
  <c r="BO2926" i="3" s="1"/>
  <c r="BM2925" i="3"/>
  <c r="BO2925" i="3" s="1"/>
  <c r="BM2440" i="3"/>
  <c r="BO2440" i="3" s="1"/>
  <c r="BM1959" i="3"/>
  <c r="BO1959" i="3" s="1"/>
  <c r="BM1964" i="3"/>
  <c r="BO1964" i="3" s="1"/>
  <c r="BM2446" i="3"/>
  <c r="BO2446" i="3" s="1"/>
  <c r="BM1958" i="3"/>
  <c r="BO1958" i="3" s="1"/>
  <c r="BM1963" i="3"/>
  <c r="BO1963" i="3" s="1"/>
  <c r="BM2445" i="3"/>
  <c r="BO2445" i="3" s="1"/>
  <c r="BM1957" i="3"/>
  <c r="BO1957" i="3" s="1"/>
  <c r="BM1962" i="3"/>
  <c r="BO1962" i="3" s="1"/>
  <c r="BM2442" i="3"/>
  <c r="BO2442" i="3" s="1"/>
  <c r="BM1961" i="3"/>
  <c r="BO1961" i="3" s="1"/>
  <c r="BM1475" i="3"/>
  <c r="BO1475" i="3" s="1"/>
  <c r="BM2441" i="3"/>
  <c r="BO2441" i="3" s="1"/>
  <c r="BM1480" i="3"/>
  <c r="BO1480" i="3" s="1"/>
  <c r="BM1479" i="3"/>
  <c r="BO1479" i="3" s="1"/>
  <c r="BM996" i="3"/>
  <c r="BO996" i="3" s="1"/>
  <c r="BM1478" i="3"/>
  <c r="BO1478" i="3" s="1"/>
  <c r="BM1960" i="3"/>
  <c r="BO1960" i="3" s="1"/>
  <c r="BM1477" i="3"/>
  <c r="BO1477" i="3" s="1"/>
  <c r="BM1482" i="3"/>
  <c r="BO1482" i="3" s="1"/>
  <c r="BM1476" i="3"/>
  <c r="BO1476" i="3" s="1"/>
  <c r="BM1481" i="3"/>
  <c r="BO1481" i="3" s="1"/>
  <c r="BM997" i="3"/>
  <c r="BO997" i="3" s="1"/>
  <c r="BM994" i="3"/>
  <c r="BO994" i="3" s="1"/>
  <c r="BM999" i="3"/>
  <c r="BO999" i="3" s="1"/>
  <c r="BM993" i="3"/>
  <c r="BO993" i="3" s="1"/>
  <c r="BM998" i="3"/>
  <c r="BO998" i="3" s="1"/>
  <c r="BM995" i="3"/>
  <c r="BO995" i="3" s="1"/>
  <c r="BM511" i="3"/>
  <c r="BO511" i="3" s="1"/>
  <c r="BM516" i="3"/>
  <c r="BO516" i="3" s="1"/>
  <c r="BM513" i="3"/>
  <c r="BO513" i="3" s="1"/>
  <c r="BM518" i="3"/>
  <c r="BO518" i="3" s="1"/>
  <c r="BM515" i="3"/>
  <c r="BO515" i="3" s="1"/>
  <c r="BM512" i="3"/>
  <c r="BO512" i="3" s="1"/>
  <c r="BM1000" i="3"/>
  <c r="BO1000" i="3" s="1"/>
  <c r="BM514" i="3"/>
  <c r="BO514" i="3" s="1"/>
  <c r="BM517" i="3"/>
  <c r="BO517" i="3" s="1"/>
  <c r="BM36" i="3"/>
  <c r="BO36" i="3" s="1"/>
  <c r="BM33" i="3"/>
  <c r="BO33" i="3" s="1"/>
  <c r="BM35" i="3"/>
  <c r="BO35" i="3" s="1"/>
  <c r="BM34" i="3"/>
  <c r="BO34" i="3" s="1"/>
  <c r="BM32" i="3"/>
  <c r="BO32" i="3" s="1"/>
  <c r="BM29" i="3"/>
  <c r="BO29" i="3" s="1"/>
  <c r="BM30" i="3"/>
  <c r="BO30" i="3" s="1"/>
  <c r="BM31" i="3"/>
  <c r="BO31" i="3" s="1"/>
  <c r="BM4433" i="3"/>
  <c r="BO4433" i="3" s="1"/>
  <c r="BM4438" i="3"/>
  <c r="BO4438" i="3" s="1"/>
  <c r="BM4432" i="3"/>
  <c r="BO4432" i="3" s="1"/>
  <c r="BM4437" i="3"/>
  <c r="BO4437" i="3" s="1"/>
  <c r="BM4431" i="3"/>
  <c r="BO4431" i="3" s="1"/>
  <c r="BM4436" i="3"/>
  <c r="BO4436" i="3" s="1"/>
  <c r="BM4435" i="3"/>
  <c r="BO4435" i="3" s="1"/>
  <c r="BM4434" i="3"/>
  <c r="BO4434" i="3" s="1"/>
  <c r="BM3956" i="3"/>
  <c r="BO3956" i="3" s="1"/>
  <c r="BM3950" i="3"/>
  <c r="BO3950" i="3" s="1"/>
  <c r="BM3955" i="3"/>
  <c r="BO3955" i="3" s="1"/>
  <c r="BM3949" i="3"/>
  <c r="BO3949" i="3" s="1"/>
  <c r="BM3954" i="3"/>
  <c r="BO3954" i="3" s="1"/>
  <c r="BM3952" i="3"/>
  <c r="BO3952" i="3" s="1"/>
  <c r="BM3953" i="3"/>
  <c r="BO3953" i="3" s="1"/>
  <c r="BM3468" i="3"/>
  <c r="BO3468" i="3" s="1"/>
  <c r="BM3473" i="3"/>
  <c r="BO3473" i="3" s="1"/>
  <c r="BM3951" i="3"/>
  <c r="BO3951" i="3" s="1"/>
  <c r="BM3467" i="3"/>
  <c r="BO3467" i="3" s="1"/>
  <c r="BM3472" i="3"/>
  <c r="BO3472" i="3" s="1"/>
  <c r="BM3471" i="3"/>
  <c r="BO3471" i="3" s="1"/>
  <c r="BM3470" i="3"/>
  <c r="BO3470" i="3" s="1"/>
  <c r="BM3469" i="3"/>
  <c r="BO3469" i="3" s="1"/>
  <c r="BM2989" i="3"/>
  <c r="BO2989" i="3" s="1"/>
  <c r="BM2503" i="3"/>
  <c r="BO2503" i="3" s="1"/>
  <c r="BM2508" i="3"/>
  <c r="BO2508" i="3" s="1"/>
  <c r="BM2988" i="3"/>
  <c r="BO2988" i="3" s="1"/>
  <c r="BM2507" i="3"/>
  <c r="BO2507" i="3" s="1"/>
  <c r="BM2987" i="3"/>
  <c r="BO2987" i="3" s="1"/>
  <c r="BM2986" i="3"/>
  <c r="BO2986" i="3" s="1"/>
  <c r="BM2992" i="3"/>
  <c r="BO2992" i="3" s="1"/>
  <c r="BM3474" i="3"/>
  <c r="BO3474" i="3" s="1"/>
  <c r="BM2991" i="3"/>
  <c r="BO2991" i="3" s="1"/>
  <c r="BM2985" i="3"/>
  <c r="BO2985" i="3" s="1"/>
  <c r="BM2505" i="3"/>
  <c r="BO2505" i="3" s="1"/>
  <c r="BM2509" i="3"/>
  <c r="BO2509" i="3" s="1"/>
  <c r="BM2506" i="3"/>
  <c r="BO2506" i="3" s="1"/>
  <c r="BM2023" i="3"/>
  <c r="BO2023" i="3" s="1"/>
  <c r="BM2028" i="3"/>
  <c r="BO2028" i="3" s="1"/>
  <c r="BM2990" i="3"/>
  <c r="BO2990" i="3" s="1"/>
  <c r="BM2022" i="3"/>
  <c r="BO2022" i="3" s="1"/>
  <c r="BM2027" i="3"/>
  <c r="BO2027" i="3" s="1"/>
  <c r="BM2504" i="3"/>
  <c r="BO2504" i="3" s="1"/>
  <c r="BM2021" i="3"/>
  <c r="BO2021" i="3" s="1"/>
  <c r="BM2026" i="3"/>
  <c r="BO2026" i="3" s="1"/>
  <c r="BM2025" i="3"/>
  <c r="BO2025" i="3" s="1"/>
  <c r="BM2024" i="3"/>
  <c r="BO2024" i="3" s="1"/>
  <c r="BM1539" i="3"/>
  <c r="BO1539" i="3" s="1"/>
  <c r="BM1058" i="3"/>
  <c r="BO1058" i="3" s="1"/>
  <c r="BM1544" i="3"/>
  <c r="BO1544" i="3" s="1"/>
  <c r="BM1063" i="3"/>
  <c r="BO1063" i="3" s="1"/>
  <c r="BM2510" i="3"/>
  <c r="BO2510" i="3" s="1"/>
  <c r="BM1543" i="3"/>
  <c r="BO1543" i="3" s="1"/>
  <c r="BM1060" i="3"/>
  <c r="BO1060" i="3" s="1"/>
  <c r="BM1542" i="3"/>
  <c r="BO1542" i="3" s="1"/>
  <c r="BM1541" i="3"/>
  <c r="BO1541" i="3" s="1"/>
  <c r="BM1546" i="3"/>
  <c r="BO1546" i="3" s="1"/>
  <c r="BM1540" i="3"/>
  <c r="BO1540" i="3" s="1"/>
  <c r="BM1545" i="3"/>
  <c r="BO1545" i="3" s="1"/>
  <c r="BM1059" i="3"/>
  <c r="BO1059" i="3" s="1"/>
  <c r="BM1064" i="3"/>
  <c r="BO1064" i="3" s="1"/>
  <c r="BM1062" i="3"/>
  <c r="BO1062" i="3" s="1"/>
  <c r="BM1057" i="3"/>
  <c r="BO1057" i="3" s="1"/>
  <c r="BM575" i="3"/>
  <c r="BO575" i="3" s="1"/>
  <c r="BM580" i="3"/>
  <c r="BO580" i="3" s="1"/>
  <c r="BM577" i="3"/>
  <c r="BO577" i="3" s="1"/>
  <c r="BM1061" i="3"/>
  <c r="BO1061" i="3" s="1"/>
  <c r="BM582" i="3"/>
  <c r="BO582" i="3" s="1"/>
  <c r="BM579" i="3"/>
  <c r="BO579" i="3" s="1"/>
  <c r="BM576" i="3"/>
  <c r="BO576" i="3" s="1"/>
  <c r="BM578" i="3"/>
  <c r="BO578" i="3" s="1"/>
  <c r="BM581" i="3"/>
  <c r="BO581" i="3" s="1"/>
  <c r="BM93" i="3"/>
  <c r="BO93" i="3" s="1"/>
  <c r="BM98" i="3"/>
  <c r="BO98" i="3" s="1"/>
  <c r="BM94" i="3"/>
  <c r="BO94" i="3" s="1"/>
  <c r="BM99" i="3"/>
  <c r="BO99" i="3" s="1"/>
  <c r="BM100" i="3"/>
  <c r="BO100" i="3" s="1"/>
  <c r="BM95" i="3"/>
  <c r="BO95" i="3" s="1"/>
  <c r="BM96" i="3"/>
  <c r="BO96" i="3" s="1"/>
  <c r="BM97" i="3"/>
  <c r="BO97" i="3" s="1"/>
  <c r="BM4684" i="3"/>
  <c r="BO4684" i="3" s="1"/>
  <c r="BM4683" i="3"/>
  <c r="BO4683" i="3" s="1"/>
  <c r="BM4682" i="3"/>
  <c r="BO4682" i="3" s="1"/>
  <c r="BM4681" i="3"/>
  <c r="BO4681" i="3" s="1"/>
  <c r="BM4686" i="3"/>
  <c r="BO4686" i="3" s="1"/>
  <c r="BM4679" i="3"/>
  <c r="BO4679" i="3" s="1"/>
  <c r="BM4202" i="3"/>
  <c r="BO4202" i="3" s="1"/>
  <c r="BM3722" i="3"/>
  <c r="BO3722" i="3" s="1"/>
  <c r="BM3716" i="3"/>
  <c r="BO3716" i="3" s="1"/>
  <c r="BM4685" i="3"/>
  <c r="BO4685" i="3" s="1"/>
  <c r="BM4201" i="3"/>
  <c r="BO4201" i="3" s="1"/>
  <c r="BM3721" i="3"/>
  <c r="BO3721" i="3" s="1"/>
  <c r="BM4680" i="3"/>
  <c r="BO4680" i="3" s="1"/>
  <c r="BM3715" i="3"/>
  <c r="BO3715" i="3" s="1"/>
  <c r="BM4200" i="3"/>
  <c r="BO4200" i="3" s="1"/>
  <c r="BM4199" i="3"/>
  <c r="BO4199" i="3" s="1"/>
  <c r="BM3719" i="3"/>
  <c r="BO3719" i="3" s="1"/>
  <c r="BM4204" i="3"/>
  <c r="BO4204" i="3" s="1"/>
  <c r="BM4198" i="3"/>
  <c r="BO4198" i="3" s="1"/>
  <c r="BM4197" i="3"/>
  <c r="BO4197" i="3" s="1"/>
  <c r="BM3239" i="3"/>
  <c r="BO3239" i="3" s="1"/>
  <c r="BM3233" i="3"/>
  <c r="BO3233" i="3" s="1"/>
  <c r="BM4203" i="3"/>
  <c r="BO4203" i="3" s="1"/>
  <c r="BM3718" i="3"/>
  <c r="BO3718" i="3" s="1"/>
  <c r="BM3238" i="3"/>
  <c r="BO3238" i="3" s="1"/>
  <c r="BM3717" i="3"/>
  <c r="BO3717" i="3" s="1"/>
  <c r="BM3237" i="3"/>
  <c r="BO3237" i="3" s="1"/>
  <c r="BM3236" i="3"/>
  <c r="BO3236" i="3" s="1"/>
  <c r="BM3235" i="3"/>
  <c r="BO3235" i="3" s="1"/>
  <c r="BM3720" i="3"/>
  <c r="BO3720" i="3" s="1"/>
  <c r="BM3240" i="3"/>
  <c r="BO3240" i="3" s="1"/>
  <c r="BM2753" i="3"/>
  <c r="BO2753" i="3" s="1"/>
  <c r="BM2273" i="3"/>
  <c r="BO2273" i="3" s="1"/>
  <c r="BM3234" i="3"/>
  <c r="BO3234" i="3" s="1"/>
  <c r="BM2758" i="3"/>
  <c r="BO2758" i="3" s="1"/>
  <c r="BM2752" i="3"/>
  <c r="BO2752" i="3" s="1"/>
  <c r="BM2757" i="3"/>
  <c r="BO2757" i="3" s="1"/>
  <c r="BM2751" i="3"/>
  <c r="BO2751" i="3" s="1"/>
  <c r="BM2756" i="3"/>
  <c r="BO2756" i="3" s="1"/>
  <c r="BM2755" i="3"/>
  <c r="BO2755" i="3" s="1"/>
  <c r="BM1789" i="3"/>
  <c r="BO1789" i="3" s="1"/>
  <c r="BM1794" i="3"/>
  <c r="BO1794" i="3" s="1"/>
  <c r="BM2276" i="3"/>
  <c r="BO2276" i="3" s="1"/>
  <c r="BM2270" i="3"/>
  <c r="BO2270" i="3" s="1"/>
  <c r="BM1788" i="3"/>
  <c r="BO1788" i="3" s="1"/>
  <c r="BM1793" i="3"/>
  <c r="BO1793" i="3" s="1"/>
  <c r="BM2275" i="3"/>
  <c r="BO2275" i="3" s="1"/>
  <c r="BM2269" i="3"/>
  <c r="BO2269" i="3" s="1"/>
  <c r="BM2274" i="3"/>
  <c r="BO2274" i="3" s="1"/>
  <c r="BM2754" i="3"/>
  <c r="BO2754" i="3" s="1"/>
  <c r="BM2272" i="3"/>
  <c r="BO2272" i="3" s="1"/>
  <c r="BM1310" i="3"/>
  <c r="BO1310" i="3" s="1"/>
  <c r="BM1790" i="3"/>
  <c r="BO1790" i="3" s="1"/>
  <c r="BM1309" i="3"/>
  <c r="BO1309" i="3" s="1"/>
  <c r="BM2271" i="3"/>
  <c r="BO2271" i="3" s="1"/>
  <c r="BM1787" i="3"/>
  <c r="BO1787" i="3" s="1"/>
  <c r="BM1308" i="3"/>
  <c r="BO1308" i="3" s="1"/>
  <c r="BM1307" i="3"/>
  <c r="BO1307" i="3" s="1"/>
  <c r="BM1312" i="3"/>
  <c r="BO1312" i="3" s="1"/>
  <c r="BM1792" i="3"/>
  <c r="BO1792" i="3" s="1"/>
  <c r="BM1306" i="3"/>
  <c r="BO1306" i="3" s="1"/>
  <c r="BM1791" i="3"/>
  <c r="BO1791" i="3" s="1"/>
  <c r="BM826" i="3"/>
  <c r="BO826" i="3" s="1"/>
  <c r="BM823" i="3"/>
  <c r="BO823" i="3" s="1"/>
  <c r="BM828" i="3"/>
  <c r="BO828" i="3" s="1"/>
  <c r="BM825" i="3"/>
  <c r="BO825" i="3" s="1"/>
  <c r="BM830" i="3"/>
  <c r="BO830" i="3" s="1"/>
  <c r="BM827" i="3"/>
  <c r="BO827" i="3" s="1"/>
  <c r="BM1311" i="3"/>
  <c r="BO1311" i="3" s="1"/>
  <c r="BM824" i="3"/>
  <c r="BO824" i="3" s="1"/>
  <c r="BM1305" i="3"/>
  <c r="BO1305" i="3" s="1"/>
  <c r="BM829" i="3"/>
  <c r="BO829" i="3" s="1"/>
  <c r="BM344" i="3"/>
  <c r="BO344" i="3" s="1"/>
  <c r="BM341" i="3"/>
  <c r="BO341" i="3" s="1"/>
  <c r="BM348" i="3"/>
  <c r="BO348" i="3" s="1"/>
  <c r="BM345" i="3"/>
  <c r="BO345" i="3" s="1"/>
  <c r="BM342" i="3"/>
  <c r="BO342" i="3" s="1"/>
  <c r="BM346" i="3"/>
  <c r="BO346" i="3" s="1"/>
  <c r="BM343" i="3"/>
  <c r="BO343" i="3" s="1"/>
  <c r="BM347" i="3"/>
  <c r="BO347" i="3" s="1"/>
  <c r="BM4657" i="3"/>
  <c r="BO4657" i="3" s="1"/>
  <c r="BM4662" i="3"/>
  <c r="BO4662" i="3" s="1"/>
  <c r="BM4656" i="3"/>
  <c r="BO4656" i="3" s="1"/>
  <c r="BM4661" i="3"/>
  <c r="BO4661" i="3" s="1"/>
  <c r="BM4655" i="3"/>
  <c r="BO4655" i="3" s="1"/>
  <c r="BM4660" i="3"/>
  <c r="BO4660" i="3" s="1"/>
  <c r="BM4659" i="3"/>
  <c r="BO4659" i="3" s="1"/>
  <c r="BM4658" i="3"/>
  <c r="BO4658" i="3" s="1"/>
  <c r="BM4180" i="3"/>
  <c r="BO4180" i="3" s="1"/>
  <c r="BM4174" i="3"/>
  <c r="BO4174" i="3" s="1"/>
  <c r="BM3694" i="3"/>
  <c r="BO3694" i="3" s="1"/>
  <c r="BM4179" i="3"/>
  <c r="BO4179" i="3" s="1"/>
  <c r="BM4173" i="3"/>
  <c r="BO4173" i="3" s="1"/>
  <c r="BM4178" i="3"/>
  <c r="BO4178" i="3" s="1"/>
  <c r="BM4176" i="3"/>
  <c r="BO4176" i="3" s="1"/>
  <c r="BM4177" i="3"/>
  <c r="BO4177" i="3" s="1"/>
  <c r="BM3696" i="3"/>
  <c r="BO3696" i="3" s="1"/>
  <c r="BM3212" i="3"/>
  <c r="BO3212" i="3" s="1"/>
  <c r="BM4175" i="3"/>
  <c r="BO4175" i="3" s="1"/>
  <c r="BM3695" i="3"/>
  <c r="BO3695" i="3" s="1"/>
  <c r="BM3211" i="3"/>
  <c r="BO3211" i="3" s="1"/>
  <c r="BM3693" i="3"/>
  <c r="BO3693" i="3" s="1"/>
  <c r="BM3216" i="3"/>
  <c r="BO3216" i="3" s="1"/>
  <c r="BM3210" i="3"/>
  <c r="BO3210" i="3" s="1"/>
  <c r="BM3692" i="3"/>
  <c r="BO3692" i="3" s="1"/>
  <c r="BM3215" i="3"/>
  <c r="BO3215" i="3" s="1"/>
  <c r="BM3209" i="3"/>
  <c r="BO3209" i="3" s="1"/>
  <c r="BM3698" i="3"/>
  <c r="BO3698" i="3" s="1"/>
  <c r="BM3691" i="3"/>
  <c r="BO3691" i="3" s="1"/>
  <c r="BM3214" i="3"/>
  <c r="BO3214" i="3" s="1"/>
  <c r="BM3697" i="3"/>
  <c r="BO3697" i="3" s="1"/>
  <c r="BM3213" i="3"/>
  <c r="BO3213" i="3" s="1"/>
  <c r="BM2727" i="3"/>
  <c r="BO2727" i="3" s="1"/>
  <c r="BM2732" i="3"/>
  <c r="BO2732" i="3" s="1"/>
  <c r="BM2731" i="3"/>
  <c r="BO2731" i="3" s="1"/>
  <c r="BM2730" i="3"/>
  <c r="BO2730" i="3" s="1"/>
  <c r="BM2729" i="3"/>
  <c r="BO2729" i="3" s="1"/>
  <c r="BM2734" i="3"/>
  <c r="BO2734" i="3" s="1"/>
  <c r="BM2733" i="3"/>
  <c r="BO2733" i="3" s="1"/>
  <c r="BM2247" i="3"/>
  <c r="BO2247" i="3" s="1"/>
  <c r="BM1767" i="3"/>
  <c r="BO1767" i="3" s="1"/>
  <c r="BM2252" i="3"/>
  <c r="BO2252" i="3" s="1"/>
  <c r="BM2728" i="3"/>
  <c r="BO2728" i="3" s="1"/>
  <c r="BM2246" i="3"/>
  <c r="BO2246" i="3" s="1"/>
  <c r="BM1766" i="3"/>
  <c r="BO1766" i="3" s="1"/>
  <c r="BM2251" i="3"/>
  <c r="BO2251" i="3" s="1"/>
  <c r="BM2245" i="3"/>
  <c r="BO2245" i="3" s="1"/>
  <c r="BM2250" i="3"/>
  <c r="BO2250" i="3" s="1"/>
  <c r="BM2249" i="3"/>
  <c r="BO2249" i="3" s="1"/>
  <c r="BM1765" i="3"/>
  <c r="BO1765" i="3" s="1"/>
  <c r="BM1283" i="3"/>
  <c r="BO1283" i="3" s="1"/>
  <c r="BM1288" i="3"/>
  <c r="BO1288" i="3" s="1"/>
  <c r="BM1764" i="3"/>
  <c r="BO1764" i="3" s="1"/>
  <c r="BM1282" i="3"/>
  <c r="BO1282" i="3" s="1"/>
  <c r="BM1287" i="3"/>
  <c r="BO1287" i="3" s="1"/>
  <c r="BM1770" i="3"/>
  <c r="BO1770" i="3" s="1"/>
  <c r="BM1763" i="3"/>
  <c r="BO1763" i="3" s="1"/>
  <c r="BM1281" i="3"/>
  <c r="BO1281" i="3" s="1"/>
  <c r="BM1286" i="3"/>
  <c r="BO1286" i="3" s="1"/>
  <c r="BM1769" i="3"/>
  <c r="BO1769" i="3" s="1"/>
  <c r="BM1285" i="3"/>
  <c r="BO1285" i="3" s="1"/>
  <c r="BM1284" i="3"/>
  <c r="BO1284" i="3" s="1"/>
  <c r="BM802" i="3"/>
  <c r="BO802" i="3" s="1"/>
  <c r="BM799" i="3"/>
  <c r="BO799" i="3" s="1"/>
  <c r="BM804" i="3"/>
  <c r="BO804" i="3" s="1"/>
  <c r="BM2248" i="3"/>
  <c r="BO2248" i="3" s="1"/>
  <c r="BM801" i="3"/>
  <c r="BO801" i="3" s="1"/>
  <c r="BM1768" i="3"/>
  <c r="BO1768" i="3" s="1"/>
  <c r="BM806" i="3"/>
  <c r="BO806" i="3" s="1"/>
  <c r="BM803" i="3"/>
  <c r="BO803" i="3" s="1"/>
  <c r="BM800" i="3"/>
  <c r="BO800" i="3" s="1"/>
  <c r="BM805" i="3"/>
  <c r="BO805" i="3" s="1"/>
  <c r="BM322" i="3"/>
  <c r="BO322" i="3" s="1"/>
  <c r="BM319" i="3"/>
  <c r="BO319" i="3" s="1"/>
  <c r="BM323" i="3"/>
  <c r="BO323" i="3" s="1"/>
  <c r="BM320" i="3"/>
  <c r="BO320" i="3" s="1"/>
  <c r="BM317" i="3"/>
  <c r="BO317" i="3" s="1"/>
  <c r="BM318" i="3"/>
  <c r="BO318" i="3" s="1"/>
  <c r="BM324" i="3"/>
  <c r="BO324" i="3" s="1"/>
  <c r="BM321" i="3"/>
  <c r="BO321" i="3" s="1"/>
  <c r="BH237" i="3"/>
  <c r="BH92" i="3" l="1"/>
  <c r="BH183" i="3"/>
  <c r="BH325" i="3"/>
  <c r="BH304" i="3"/>
  <c r="BH330" i="3"/>
  <c r="BH168" i="3"/>
  <c r="BH307" i="3"/>
  <c r="BH31" i="3"/>
  <c r="BH319" i="3"/>
  <c r="BH335" i="3"/>
  <c r="BH27" i="3"/>
  <c r="BH67" i="3"/>
  <c r="BH309" i="3"/>
  <c r="BH20" i="3"/>
  <c r="BH316" i="3"/>
  <c r="BH332" i="3"/>
  <c r="BH101" i="3"/>
  <c r="BH306" i="3"/>
  <c r="BH130" i="3"/>
  <c r="BH172" i="3"/>
  <c r="BH329" i="3"/>
  <c r="BH217" i="3"/>
  <c r="BH16" i="3"/>
  <c r="BH313" i="3"/>
  <c r="BH18" i="3"/>
  <c r="BH336" i="3"/>
  <c r="BH300" i="3"/>
  <c r="BH170" i="3"/>
  <c r="BH334" i="3"/>
  <c r="BH134" i="3"/>
  <c r="BH326" i="3"/>
  <c r="BH62" i="3"/>
  <c r="BH107" i="3"/>
  <c r="BH25" i="3"/>
  <c r="BH327" i="3"/>
  <c r="BH305" i="3"/>
  <c r="BH105" i="3"/>
  <c r="BH174" i="3"/>
  <c r="BG133" i="3"/>
  <c r="BH133" i="3"/>
  <c r="BG104" i="3"/>
  <c r="BH104" i="3"/>
  <c r="BG64" i="3"/>
  <c r="BH64" i="3"/>
  <c r="BH177" i="3"/>
  <c r="BG207" i="3"/>
  <c r="BH207" i="3"/>
  <c r="D626" i="1"/>
  <c r="C74" i="2" s="1"/>
  <c r="H28" i="1"/>
  <c r="B27" i="2" s="1"/>
  <c r="C626" i="1"/>
  <c r="B74" i="2" s="1"/>
  <c r="C351" i="1"/>
  <c r="H53" i="1" s="1"/>
  <c r="B52" i="2" s="1"/>
  <c r="BH312" i="3"/>
  <c r="BH314" i="3"/>
  <c r="CA89" i="3"/>
  <c r="CA90" i="3"/>
  <c r="CA91" i="3"/>
  <c r="CA86" i="3"/>
  <c r="CA92" i="3"/>
  <c r="CA87" i="3"/>
  <c r="CA88" i="3"/>
  <c r="CA93" i="3"/>
  <c r="BH181" i="3"/>
  <c r="BG57" i="3"/>
  <c r="BH57" i="3"/>
  <c r="BG135" i="3"/>
  <c r="BH135" i="3"/>
  <c r="BH320" i="3"/>
  <c r="C353" i="1"/>
  <c r="C238" i="1"/>
  <c r="C478" i="1" s="1"/>
  <c r="C479" i="1" s="1"/>
  <c r="C480" i="1" s="1"/>
  <c r="H64" i="1" s="1"/>
  <c r="B63" i="2" s="1"/>
  <c r="BH179" i="3"/>
  <c r="CA42" i="3"/>
  <c r="CA41" i="3"/>
  <c r="CA47" i="3"/>
  <c r="CA45" i="3"/>
  <c r="CA43" i="3"/>
  <c r="CA48" i="3"/>
  <c r="CA46" i="3"/>
  <c r="CA44" i="3"/>
  <c r="BH331" i="3"/>
  <c r="BH99" i="3"/>
  <c r="BH100" i="3"/>
  <c r="BG218" i="3"/>
  <c r="BH218" i="3"/>
  <c r="BG97" i="3"/>
  <c r="BH97" i="3"/>
  <c r="BH175" i="3"/>
  <c r="CA29" i="3"/>
  <c r="CA28" i="3"/>
  <c r="CA24" i="3"/>
  <c r="CA30" i="3"/>
  <c r="CA26" i="3"/>
  <c r="CA27" i="3"/>
  <c r="CA25" i="3"/>
  <c r="CA23" i="3"/>
  <c r="BH103" i="3"/>
  <c r="BG171" i="3"/>
  <c r="BH171" i="3"/>
  <c r="BG102" i="3"/>
  <c r="BH102" i="3"/>
  <c r="C240" i="1"/>
  <c r="C470" i="1"/>
  <c r="BH321" i="3"/>
  <c r="BH212" i="3"/>
  <c r="CA35" i="3"/>
  <c r="CA39" i="3"/>
  <c r="CA37" i="3"/>
  <c r="CA33" i="3"/>
  <c r="CA38" i="3"/>
  <c r="CA34" i="3"/>
  <c r="CA32" i="3"/>
  <c r="CA36" i="3"/>
  <c r="BG142" i="3"/>
  <c r="BH142" i="3"/>
  <c r="BH23" i="3"/>
  <c r="BG209" i="3"/>
  <c r="BH209" i="3"/>
  <c r="BG211" i="3"/>
  <c r="BH211" i="3"/>
  <c r="BH29" i="3"/>
  <c r="BH98" i="3"/>
  <c r="BH315" i="3"/>
  <c r="CA109" i="3"/>
  <c r="CA104" i="3"/>
  <c r="CA110" i="3"/>
  <c r="CA105" i="3"/>
  <c r="CA111" i="3"/>
  <c r="CA106" i="3"/>
  <c r="CA107" i="3"/>
  <c r="CA108" i="3"/>
  <c r="BH206" i="3"/>
  <c r="BG180" i="3"/>
  <c r="BH180" i="3"/>
  <c r="C402" i="1"/>
  <c r="BH56" i="3"/>
  <c r="CA53" i="3"/>
  <c r="CA51" i="3"/>
  <c r="CA54" i="3"/>
  <c r="CA52" i="3"/>
  <c r="CA50" i="3"/>
  <c r="CA56" i="3"/>
  <c r="CA57" i="3"/>
  <c r="CA55" i="3"/>
  <c r="BH69" i="3"/>
  <c r="BG19" i="3"/>
  <c r="BH19" i="3"/>
  <c r="BH303" i="3"/>
  <c r="BH323" i="3"/>
  <c r="BH310" i="3"/>
  <c r="BH208" i="3"/>
  <c r="BH138" i="3"/>
  <c r="BH324" i="3"/>
  <c r="CA18" i="3"/>
  <c r="CA19" i="3"/>
  <c r="CA16" i="3"/>
  <c r="CA15" i="3"/>
  <c r="CA20" i="3"/>
  <c r="CA17" i="3"/>
  <c r="CA14" i="3"/>
  <c r="CA21" i="3"/>
  <c r="BH61" i="3"/>
  <c r="CA64" i="3"/>
  <c r="CA65" i="3"/>
  <c r="CA66" i="3"/>
  <c r="CA60" i="3"/>
  <c r="CA62" i="3"/>
  <c r="CA59" i="3"/>
  <c r="CA63" i="3"/>
  <c r="CA61" i="3"/>
  <c r="BG59" i="3"/>
  <c r="BH59" i="3"/>
  <c r="BG55" i="3"/>
  <c r="BH55" i="3"/>
  <c r="H37" i="1"/>
  <c r="B36" i="2" s="1"/>
  <c r="C388" i="1"/>
  <c r="H60" i="1" s="1"/>
  <c r="B59" i="2" s="1"/>
  <c r="BG178" i="3"/>
  <c r="BH178" i="3"/>
  <c r="BG68" i="3"/>
  <c r="BH68" i="3"/>
  <c r="BG216" i="3"/>
  <c r="BH216" i="3"/>
  <c r="BG93" i="3"/>
  <c r="BH93" i="3"/>
  <c r="CA84" i="3"/>
  <c r="CA79" i="3"/>
  <c r="CA80" i="3"/>
  <c r="CA81" i="3"/>
  <c r="CA82" i="3"/>
  <c r="CA77" i="3"/>
  <c r="CA78" i="3"/>
  <c r="CA83" i="3"/>
  <c r="BH141" i="3"/>
  <c r="BH139" i="3"/>
  <c r="BG173" i="3"/>
  <c r="BH173" i="3"/>
  <c r="BG28" i="3"/>
  <c r="BH28" i="3"/>
  <c r="BG144" i="3"/>
  <c r="BH144" i="3"/>
  <c r="ER8" i="3"/>
  <c r="ER5" i="3"/>
  <c r="ER6" i="3"/>
  <c r="ER7" i="3"/>
  <c r="BG30" i="3"/>
  <c r="BH30" i="3"/>
  <c r="C630" i="1"/>
  <c r="BH213" i="3"/>
  <c r="BH214" i="3"/>
  <c r="BH145" i="3"/>
  <c r="BG95" i="3"/>
  <c r="BH95" i="3"/>
  <c r="BG21" i="3"/>
  <c r="BH21" i="3"/>
  <c r="BG131" i="3"/>
  <c r="BH131" i="3"/>
  <c r="CO5" i="3"/>
  <c r="EY13" i="3"/>
  <c r="C226" i="1"/>
  <c r="D485" i="1" s="1"/>
  <c r="EY11" i="3"/>
  <c r="EY14" i="3"/>
  <c r="EY12" i="3"/>
  <c r="C140" i="1"/>
  <c r="CN5" i="3" s="1"/>
  <c r="BH215" i="3"/>
  <c r="BH60" i="3"/>
  <c r="BH219" i="3"/>
  <c r="BH301" i="3"/>
  <c r="BH322" i="3"/>
  <c r="CR31" i="3"/>
  <c r="CR27" i="3"/>
  <c r="CR10" i="3"/>
  <c r="CR12" i="3"/>
  <c r="CR25" i="3"/>
  <c r="CR23" i="3"/>
  <c r="CR17" i="3"/>
  <c r="CR14" i="3"/>
  <c r="CR33" i="3"/>
  <c r="CR21" i="3"/>
  <c r="CR18" i="3"/>
  <c r="CR30" i="3"/>
  <c r="CR11" i="3"/>
  <c r="CR29" i="3"/>
  <c r="CR24" i="3"/>
  <c r="CR19" i="3"/>
  <c r="CR28" i="3"/>
  <c r="CR13" i="3"/>
  <c r="CR32" i="3"/>
  <c r="CR26" i="3"/>
  <c r="CR22" i="3"/>
  <c r="CR16" i="3"/>
  <c r="CR15" i="3"/>
  <c r="CR7" i="3"/>
  <c r="CR6" i="3"/>
  <c r="CR5" i="3"/>
  <c r="CR9" i="3"/>
  <c r="CR20" i="3"/>
  <c r="CR8" i="3"/>
  <c r="BG106" i="3"/>
  <c r="BH106" i="3"/>
  <c r="BH137" i="3"/>
  <c r="D625" i="1"/>
  <c r="C73" i="2" s="1"/>
  <c r="C625" i="1"/>
  <c r="B73" i="2" s="1"/>
  <c r="C348" i="1"/>
  <c r="H52" i="1" s="1"/>
  <c r="B51" i="2" s="1"/>
  <c r="H27" i="1"/>
  <c r="B26" i="2" s="1"/>
  <c r="BH63" i="3"/>
  <c r="BH94" i="3"/>
  <c r="BH176" i="3"/>
  <c r="BH317" i="3"/>
  <c r="BG140" i="3"/>
  <c r="BH140" i="3"/>
  <c r="BG17" i="3"/>
  <c r="BH17" i="3"/>
  <c r="CA74" i="3"/>
  <c r="CA69" i="3"/>
  <c r="CA75" i="3"/>
  <c r="CA70" i="3"/>
  <c r="CA71" i="3"/>
  <c r="CA72" i="3"/>
  <c r="CA68" i="3"/>
  <c r="CA73" i="3"/>
  <c r="BG182" i="3"/>
  <c r="BH182" i="3"/>
  <c r="BH22" i="3"/>
  <c r="BH318" i="3"/>
  <c r="BH136" i="3"/>
  <c r="BH299" i="3"/>
  <c r="BH328" i="3"/>
  <c r="BG220" i="3"/>
  <c r="BH220" i="3"/>
  <c r="BH143" i="3"/>
  <c r="BG66" i="3"/>
  <c r="BH66" i="3"/>
  <c r="BG26" i="3"/>
  <c r="BH26" i="3"/>
  <c r="BG169" i="3"/>
  <c r="BH169" i="3"/>
  <c r="BH24" i="3"/>
  <c r="DJ29" i="3"/>
  <c r="DJ28" i="3"/>
  <c r="DJ22" i="3"/>
  <c r="DJ26" i="3"/>
  <c r="DJ20" i="3"/>
  <c r="DJ27" i="3"/>
  <c r="DJ25" i="3"/>
  <c r="DJ23" i="3"/>
  <c r="DJ21" i="3"/>
  <c r="DJ24" i="3"/>
  <c r="DJ19" i="3"/>
  <c r="BH311" i="3"/>
  <c r="BH132" i="3"/>
  <c r="CA99" i="3"/>
  <c r="CA100" i="3"/>
  <c r="CA95" i="3"/>
  <c r="CA101" i="3"/>
  <c r="CA96" i="3"/>
  <c r="CA102" i="3"/>
  <c r="CA97" i="3"/>
  <c r="CA98" i="3"/>
  <c r="BH333" i="3"/>
  <c r="C141" i="1" l="1"/>
  <c r="CS26" i="3"/>
  <c r="CU26" i="3" s="1"/>
  <c r="CS12" i="3"/>
  <c r="CU12" i="3" s="1"/>
  <c r="CS27" i="3"/>
  <c r="CU27" i="3" s="1"/>
  <c r="CT27" i="3"/>
  <c r="CS28" i="3"/>
  <c r="CU28" i="3" s="1"/>
  <c r="CS32" i="3"/>
  <c r="CU32" i="3" s="1"/>
  <c r="CY32" i="3"/>
  <c r="CT32" i="3"/>
  <c r="CS8" i="3"/>
  <c r="CU8" i="3" s="1"/>
  <c r="CS11" i="3"/>
  <c r="CU11" i="3" s="1"/>
  <c r="CS25" i="3"/>
  <c r="CU25" i="3" s="1"/>
  <c r="CS20" i="3"/>
  <c r="CU20" i="3" s="1"/>
  <c r="CS30" i="3"/>
  <c r="CU30" i="3" s="1"/>
  <c r="CS9" i="3"/>
  <c r="CU9" i="3" s="1"/>
  <c r="CS18" i="3"/>
  <c r="CU18" i="3" s="1"/>
  <c r="CS22" i="3"/>
  <c r="CU22" i="3" s="1"/>
  <c r="CS19" i="3"/>
  <c r="CU19" i="3" s="1"/>
  <c r="CS29" i="3"/>
  <c r="CU29" i="3" s="1"/>
  <c r="CS5" i="3"/>
  <c r="CU5" i="3" s="1"/>
  <c r="CS21" i="3"/>
  <c r="CU21" i="3" s="1"/>
  <c r="CT33" i="3"/>
  <c r="CS33" i="3"/>
  <c r="CU33" i="3" s="1"/>
  <c r="D630" i="1"/>
  <c r="C78" i="2" s="1"/>
  <c r="B78" i="2"/>
  <c r="CS6" i="3"/>
  <c r="CU6" i="3" s="1"/>
  <c r="CS7" i="3"/>
  <c r="CU7" i="3" s="1"/>
  <c r="CS14" i="3"/>
  <c r="CU14" i="3" s="1"/>
  <c r="C407" i="1"/>
  <c r="CP5" i="3"/>
  <c r="B667" i="1"/>
  <c r="H18" i="1"/>
  <c r="B17" i="2" s="1"/>
  <c r="EY9" i="3"/>
  <c r="EY10" i="3"/>
  <c r="EY6" i="3"/>
  <c r="EY5" i="3"/>
  <c r="C148" i="1"/>
  <c r="CS31" i="3"/>
  <c r="CU31" i="3" s="1"/>
  <c r="CS15" i="3"/>
  <c r="CU15" i="3" s="1"/>
  <c r="CS17" i="3"/>
  <c r="CU17" i="3" s="1"/>
  <c r="CS10" i="3"/>
  <c r="CU10" i="3" s="1"/>
  <c r="CS13" i="3"/>
  <c r="CU13" i="3" s="1"/>
  <c r="CS24" i="3"/>
  <c r="CU24" i="3" s="1"/>
  <c r="CS16" i="3"/>
  <c r="CU16" i="3" s="1"/>
  <c r="CS23" i="3"/>
  <c r="CU23" i="3" s="1"/>
  <c r="CT26" i="3" l="1"/>
  <c r="CT20" i="3"/>
  <c r="CT12" i="3"/>
  <c r="CT5" i="3"/>
  <c r="CV5" i="3" s="1"/>
  <c r="CZ5" i="3" s="1"/>
  <c r="DA5" i="3" s="1"/>
  <c r="DC5" i="3" s="1"/>
  <c r="CT13" i="3"/>
  <c r="CT16" i="3"/>
  <c r="CV16" i="3" s="1"/>
  <c r="CZ16" i="3" s="1"/>
  <c r="DA16" i="3" s="1"/>
  <c r="DC16" i="3" s="1"/>
  <c r="CT24" i="3"/>
  <c r="CT30" i="3"/>
  <c r="CV30" i="3" s="1"/>
  <c r="CZ30" i="3" s="1"/>
  <c r="CV13" i="3"/>
  <c r="CZ13" i="3" s="1"/>
  <c r="CV33" i="3"/>
  <c r="CZ33" i="3" s="1"/>
  <c r="CV20" i="3"/>
  <c r="CZ20" i="3" s="1"/>
  <c r="CT29" i="3"/>
  <c r="CT28" i="3"/>
  <c r="CT19" i="3"/>
  <c r="CV27" i="3"/>
  <c r="CZ27" i="3" s="1"/>
  <c r="CT14" i="3"/>
  <c r="CT10" i="3"/>
  <c r="CT15" i="3"/>
  <c r="CT22" i="3"/>
  <c r="CT25" i="3"/>
  <c r="CT11" i="3"/>
  <c r="CV12" i="3"/>
  <c r="CZ12" i="3" s="1"/>
  <c r="DA12" i="3" s="1"/>
  <c r="DC12" i="3" s="1"/>
  <c r="CT7" i="3"/>
  <c r="CT31" i="3"/>
  <c r="CV32" i="3"/>
  <c r="CZ32" i="3" s="1"/>
  <c r="DA32" i="3" s="1"/>
  <c r="DC32" i="3" s="1"/>
  <c r="CV24" i="3"/>
  <c r="CZ24" i="3" s="1"/>
  <c r="DA24" i="3" s="1"/>
  <c r="DC24" i="3" s="1"/>
  <c r="CT18" i="3"/>
  <c r="CV26" i="3"/>
  <c r="CZ26" i="3" s="1"/>
  <c r="CT17" i="3"/>
  <c r="CT23" i="3"/>
  <c r="C151" i="1"/>
  <c r="C152" i="1" s="1"/>
  <c r="C403" i="1"/>
  <c r="CT21" i="3"/>
  <c r="CT8" i="3"/>
  <c r="CT6" i="3"/>
  <c r="CT9" i="3"/>
  <c r="CW33" i="3" l="1"/>
  <c r="CX33" i="3" s="1"/>
  <c r="CW20" i="3"/>
  <c r="CX20" i="3" s="1"/>
  <c r="CW5" i="3"/>
  <c r="CX5" i="3" s="1"/>
  <c r="C363" i="1" s="1"/>
  <c r="DE6" i="3" s="1"/>
  <c r="CW13" i="3"/>
  <c r="CX13" i="3" s="1"/>
  <c r="CW26" i="3"/>
  <c r="CX26" i="3" s="1"/>
  <c r="DA30" i="3"/>
  <c r="DC30" i="3" s="1"/>
  <c r="CV6" i="3"/>
  <c r="CV21" i="3"/>
  <c r="CV11" i="3"/>
  <c r="CV8" i="3"/>
  <c r="CV28" i="3"/>
  <c r="EY16" i="3"/>
  <c r="EY15" i="3"/>
  <c r="EY8" i="3"/>
  <c r="EY7" i="3"/>
  <c r="D184" i="1"/>
  <c r="D191" i="1"/>
  <c r="D187" i="1"/>
  <c r="D183" i="1"/>
  <c r="D179" i="1"/>
  <c r="D175" i="1"/>
  <c r="D190" i="1"/>
  <c r="D178" i="1"/>
  <c r="D182" i="1"/>
  <c r="D186" i="1"/>
  <c r="D174" i="1"/>
  <c r="D176" i="1"/>
  <c r="D180" i="1"/>
  <c r="D188" i="1"/>
  <c r="D189" i="1"/>
  <c r="D185" i="1"/>
  <c r="D181" i="1"/>
  <c r="D177" i="1"/>
  <c r="D173" i="1"/>
  <c r="E173" i="1" s="1"/>
  <c r="B174" i="1" s="1"/>
  <c r="C174" i="1" s="1"/>
  <c r="D192" i="1"/>
  <c r="DB12" i="3"/>
  <c r="DD12" i="3" s="1"/>
  <c r="CV22" i="3"/>
  <c r="DB32" i="3"/>
  <c r="DD32" i="3" s="1"/>
  <c r="CV23" i="3"/>
  <c r="CW12" i="3"/>
  <c r="CX12" i="3" s="1"/>
  <c r="CY12" i="3" s="1"/>
  <c r="CV15" i="3"/>
  <c r="CW32" i="3"/>
  <c r="CX32" i="3" s="1"/>
  <c r="DA33" i="3"/>
  <c r="CV7" i="3"/>
  <c r="CV17" i="3"/>
  <c r="CW16" i="3"/>
  <c r="CX16" i="3" s="1"/>
  <c r="CV19" i="3"/>
  <c r="CV29" i="3"/>
  <c r="DB16" i="3"/>
  <c r="DD16" i="3" s="1"/>
  <c r="CW30" i="3"/>
  <c r="CX30" i="3" s="1"/>
  <c r="CV31" i="3"/>
  <c r="CV10" i="3"/>
  <c r="CV18" i="3"/>
  <c r="CV25" i="3"/>
  <c r="CV9" i="3"/>
  <c r="DA26" i="3"/>
  <c r="DC26" i="3" s="1"/>
  <c r="DB24" i="3"/>
  <c r="DD24" i="3" s="1"/>
  <c r="CV14" i="3"/>
  <c r="DA20" i="3"/>
  <c r="DA13" i="3"/>
  <c r="CW27" i="3"/>
  <c r="CX27" i="3" s="1"/>
  <c r="CY26" i="3" s="1"/>
  <c r="DB5" i="3"/>
  <c r="DD5" i="3" s="1"/>
  <c r="CW24" i="3"/>
  <c r="CX24" i="3" s="1"/>
  <c r="DA27" i="3"/>
  <c r="DC27" i="3" s="1"/>
  <c r="DB30" i="3" l="1"/>
  <c r="DD30" i="3" s="1"/>
  <c r="E174" i="1"/>
  <c r="B175" i="1" s="1"/>
  <c r="C175" i="1" s="1"/>
  <c r="E175" i="1" s="1"/>
  <c r="B176" i="1" s="1"/>
  <c r="C176" i="1" s="1"/>
  <c r="E176" i="1" s="1"/>
  <c r="B177" i="1" s="1"/>
  <c r="C177" i="1" s="1"/>
  <c r="E177" i="1" s="1"/>
  <c r="B178" i="1" s="1"/>
  <c r="C178" i="1" s="1"/>
  <c r="E178" i="1" s="1"/>
  <c r="B179" i="1" s="1"/>
  <c r="C179" i="1" s="1"/>
  <c r="E179" i="1" s="1"/>
  <c r="B180" i="1" s="1"/>
  <c r="C180" i="1" s="1"/>
  <c r="E180" i="1" s="1"/>
  <c r="B181" i="1" s="1"/>
  <c r="C181" i="1" s="1"/>
  <c r="E181" i="1" s="1"/>
  <c r="B182" i="1" s="1"/>
  <c r="C182" i="1" s="1"/>
  <c r="E182" i="1" s="1"/>
  <c r="B183" i="1" s="1"/>
  <c r="C183" i="1" s="1"/>
  <c r="E183" i="1" s="1"/>
  <c r="B184" i="1" s="1"/>
  <c r="C184" i="1" s="1"/>
  <c r="E184" i="1" s="1"/>
  <c r="B185" i="1" s="1"/>
  <c r="C185" i="1" s="1"/>
  <c r="E185" i="1" s="1"/>
  <c r="B186" i="1" s="1"/>
  <c r="C186" i="1" s="1"/>
  <c r="E186" i="1" s="1"/>
  <c r="B187" i="1" s="1"/>
  <c r="C187" i="1" s="1"/>
  <c r="E187" i="1" s="1"/>
  <c r="B188" i="1" s="1"/>
  <c r="C188" i="1" s="1"/>
  <c r="E188" i="1" s="1"/>
  <c r="B189" i="1" s="1"/>
  <c r="C189" i="1" s="1"/>
  <c r="E189" i="1" s="1"/>
  <c r="B190" i="1" s="1"/>
  <c r="C190" i="1" s="1"/>
  <c r="E190" i="1" s="1"/>
  <c r="B191" i="1" s="1"/>
  <c r="C191" i="1" s="1"/>
  <c r="E191" i="1" s="1"/>
  <c r="B192" i="1" s="1"/>
  <c r="C192" i="1" s="1"/>
  <c r="E192" i="1" s="1"/>
  <c r="C194" i="1" s="1"/>
  <c r="CZ18" i="3"/>
  <c r="DA18" i="3" s="1"/>
  <c r="DC18" i="3" s="1"/>
  <c r="CW18" i="3"/>
  <c r="CX18" i="3" s="1"/>
  <c r="DC33" i="3"/>
  <c r="DB33" i="3"/>
  <c r="DD33" i="3" s="1"/>
  <c r="DB27" i="3"/>
  <c r="DD27" i="3" s="1"/>
  <c r="CZ10" i="3"/>
  <c r="DA10" i="3" s="1"/>
  <c r="DC10" i="3" s="1"/>
  <c r="CW10" i="3"/>
  <c r="CX10" i="3" s="1"/>
  <c r="CY10" i="3" s="1"/>
  <c r="CZ8" i="3"/>
  <c r="DA8" i="3" s="1"/>
  <c r="DC8" i="3" s="1"/>
  <c r="CW8" i="3"/>
  <c r="CX8" i="3" s="1"/>
  <c r="CZ31" i="3"/>
  <c r="CW31" i="3"/>
  <c r="CX31" i="3" s="1"/>
  <c r="CY31" i="3" s="1"/>
  <c r="CZ15" i="3"/>
  <c r="DA15" i="3" s="1"/>
  <c r="DC15" i="3" s="1"/>
  <c r="CW15" i="3"/>
  <c r="CX15" i="3" s="1"/>
  <c r="CY15" i="3" s="1"/>
  <c r="CZ17" i="3"/>
  <c r="DA17" i="3" s="1"/>
  <c r="DC17" i="3" s="1"/>
  <c r="CW17" i="3"/>
  <c r="CX17" i="3" s="1"/>
  <c r="CZ7" i="3"/>
  <c r="DA7" i="3" s="1"/>
  <c r="DC7" i="3" s="1"/>
  <c r="CW7" i="3"/>
  <c r="CX7" i="3" s="1"/>
  <c r="CZ11" i="3"/>
  <c r="DA11" i="3" s="1"/>
  <c r="CW11" i="3"/>
  <c r="CX11" i="3" s="1"/>
  <c r="CY11" i="3" s="1"/>
  <c r="CZ28" i="3"/>
  <c r="DA28" i="3" s="1"/>
  <c r="CW28" i="3"/>
  <c r="CX28" i="3" s="1"/>
  <c r="DC20" i="3"/>
  <c r="DB20" i="3"/>
  <c r="DD20" i="3" s="1"/>
  <c r="CZ23" i="3"/>
  <c r="CW23" i="3"/>
  <c r="CX23" i="3" s="1"/>
  <c r="CY23" i="3" s="1"/>
  <c r="CZ21" i="3"/>
  <c r="DA21" i="3" s="1"/>
  <c r="DC21" i="3" s="1"/>
  <c r="CW21" i="3"/>
  <c r="CX21" i="3" s="1"/>
  <c r="DC13" i="3"/>
  <c r="DB13" i="3"/>
  <c r="DD13" i="3" s="1"/>
  <c r="CZ14" i="3"/>
  <c r="DA14" i="3" s="1"/>
  <c r="DC14" i="3" s="1"/>
  <c r="CW14" i="3"/>
  <c r="CX14" i="3" s="1"/>
  <c r="CZ29" i="3"/>
  <c r="DA29" i="3" s="1"/>
  <c r="CW29" i="3"/>
  <c r="CX29" i="3" s="1"/>
  <c r="CY29" i="3" s="1"/>
  <c r="CZ9" i="3"/>
  <c r="DA9" i="3" s="1"/>
  <c r="DC9" i="3" s="1"/>
  <c r="CW9" i="3"/>
  <c r="CX9" i="3" s="1"/>
  <c r="DB26" i="3"/>
  <c r="DD26" i="3" s="1"/>
  <c r="CZ19" i="3"/>
  <c r="DA19" i="3" s="1"/>
  <c r="DC19" i="3" s="1"/>
  <c r="CW19" i="3"/>
  <c r="CX19" i="3" s="1"/>
  <c r="CY19" i="3" s="1"/>
  <c r="CZ22" i="3"/>
  <c r="DA22" i="3" s="1"/>
  <c r="DC22" i="3" s="1"/>
  <c r="CW22" i="3"/>
  <c r="CX22" i="3" s="1"/>
  <c r="CZ6" i="3"/>
  <c r="DA6" i="3" s="1"/>
  <c r="DC6" i="3" s="1"/>
  <c r="CW6" i="3"/>
  <c r="CX6" i="3" s="1"/>
  <c r="CZ25" i="3"/>
  <c r="DA25" i="3" s="1"/>
  <c r="DC25" i="3" s="1"/>
  <c r="CW25" i="3"/>
  <c r="CX25" i="3" s="1"/>
  <c r="CY25" i="3" s="1"/>
  <c r="CY17" i="3" l="1"/>
  <c r="DB18" i="3"/>
  <c r="DD18" i="3" s="1"/>
  <c r="DB14" i="3"/>
  <c r="DD14" i="3" s="1"/>
  <c r="DB21" i="3"/>
  <c r="DD21" i="3" s="1"/>
  <c r="DB8" i="3"/>
  <c r="DD8" i="3" s="1"/>
  <c r="DB15" i="3"/>
  <c r="DD15" i="3" s="1"/>
  <c r="CY8" i="3"/>
  <c r="CY7" i="3"/>
  <c r="CY30" i="3"/>
  <c r="DA31" i="3"/>
  <c r="DC31" i="3" s="1"/>
  <c r="CY22" i="3"/>
  <c r="C204" i="1"/>
  <c r="H44" i="1" s="1"/>
  <c r="B43" i="2" s="1"/>
  <c r="DB22" i="3"/>
  <c r="DD22" i="3" s="1"/>
  <c r="DB17" i="3"/>
  <c r="DD17" i="3" s="1"/>
  <c r="DC29" i="3"/>
  <c r="DB29" i="3"/>
  <c r="DD29" i="3" s="1"/>
  <c r="DC28" i="3"/>
  <c r="DB28" i="3"/>
  <c r="DD28" i="3" s="1"/>
  <c r="DC11" i="3"/>
  <c r="DB11" i="3"/>
  <c r="DD11" i="3" s="1"/>
  <c r="CY28" i="3"/>
  <c r="DB10" i="3"/>
  <c r="DD10" i="3" s="1"/>
  <c r="CY14" i="3"/>
  <c r="CY13" i="3"/>
  <c r="FA14" i="3"/>
  <c r="FB14" i="3" s="1"/>
  <c r="FC14" i="3" s="1"/>
  <c r="FD14" i="3" s="1"/>
  <c r="FE14" i="3" s="1"/>
  <c r="FF14" i="3" s="1"/>
  <c r="FG14" i="3" s="1"/>
  <c r="FH14" i="3" s="1"/>
  <c r="FI14" i="3" s="1"/>
  <c r="FJ14" i="3" s="1"/>
  <c r="FK14" i="3" s="1"/>
  <c r="FL14" i="3" s="1"/>
  <c r="FM14" i="3" s="1"/>
  <c r="FN14" i="3" s="1"/>
  <c r="FO14" i="3" s="1"/>
  <c r="FP14" i="3" s="1"/>
  <c r="FQ14" i="3" s="1"/>
  <c r="FR14" i="3" s="1"/>
  <c r="FS14" i="3" s="1"/>
  <c r="FT14" i="3" s="1"/>
  <c r="FU14" i="3" s="1"/>
  <c r="FV14" i="3" s="1"/>
  <c r="FW14" i="3" s="1"/>
  <c r="FX14" i="3" s="1"/>
  <c r="FY14" i="3" s="1"/>
  <c r="C599" i="1" s="1"/>
  <c r="E599" i="1" s="1"/>
  <c r="FA12" i="3"/>
  <c r="FB12" i="3" s="1"/>
  <c r="FC12" i="3" s="1"/>
  <c r="FD12" i="3" s="1"/>
  <c r="FE12" i="3" s="1"/>
  <c r="FF12" i="3" s="1"/>
  <c r="FG12" i="3" s="1"/>
  <c r="FH12" i="3" s="1"/>
  <c r="FI12" i="3" s="1"/>
  <c r="FJ12" i="3" s="1"/>
  <c r="FK12" i="3" s="1"/>
  <c r="FL12" i="3" s="1"/>
  <c r="FM12" i="3" s="1"/>
  <c r="FN12" i="3" s="1"/>
  <c r="FO12" i="3" s="1"/>
  <c r="FP12" i="3" s="1"/>
  <c r="FQ12" i="3" s="1"/>
  <c r="FR12" i="3" s="1"/>
  <c r="FS12" i="3" s="1"/>
  <c r="FT12" i="3" s="1"/>
  <c r="FU12" i="3" s="1"/>
  <c r="FV12" i="3" s="1"/>
  <c r="FW12" i="3" s="1"/>
  <c r="FX12" i="3" s="1"/>
  <c r="FY12" i="3" s="1"/>
  <c r="C598" i="1" s="1"/>
  <c r="E598" i="1" s="1"/>
  <c r="FA13" i="3"/>
  <c r="FB13" i="3" s="1"/>
  <c r="FC13" i="3" s="1"/>
  <c r="FD13" i="3" s="1"/>
  <c r="FE13" i="3" s="1"/>
  <c r="FF13" i="3" s="1"/>
  <c r="FG13" i="3" s="1"/>
  <c r="FH13" i="3" s="1"/>
  <c r="FI13" i="3" s="1"/>
  <c r="FJ13" i="3" s="1"/>
  <c r="FK13" i="3" s="1"/>
  <c r="FL13" i="3" s="1"/>
  <c r="FM13" i="3" s="1"/>
  <c r="FN13" i="3" s="1"/>
  <c r="FO13" i="3" s="1"/>
  <c r="FP13" i="3" s="1"/>
  <c r="FQ13" i="3" s="1"/>
  <c r="FR13" i="3" s="1"/>
  <c r="FS13" i="3" s="1"/>
  <c r="FT13" i="3" s="1"/>
  <c r="FU13" i="3" s="1"/>
  <c r="FV13" i="3" s="1"/>
  <c r="FW13" i="3" s="1"/>
  <c r="FX13" i="3" s="1"/>
  <c r="FY13" i="3" s="1"/>
  <c r="B599" i="1" s="1"/>
  <c r="D599" i="1" s="1"/>
  <c r="FA15" i="3"/>
  <c r="FB15" i="3" s="1"/>
  <c r="FC15" i="3" s="1"/>
  <c r="FD15" i="3" s="1"/>
  <c r="FE15" i="3" s="1"/>
  <c r="FF15" i="3" s="1"/>
  <c r="FG15" i="3" s="1"/>
  <c r="FH15" i="3" s="1"/>
  <c r="FI15" i="3" s="1"/>
  <c r="FJ15" i="3" s="1"/>
  <c r="FK15" i="3" s="1"/>
  <c r="FL15" i="3" s="1"/>
  <c r="FM15" i="3" s="1"/>
  <c r="FN15" i="3" s="1"/>
  <c r="FO15" i="3" s="1"/>
  <c r="FP15" i="3" s="1"/>
  <c r="FQ15" i="3" s="1"/>
  <c r="FR15" i="3" s="1"/>
  <c r="FS15" i="3" s="1"/>
  <c r="FT15" i="3" s="1"/>
  <c r="FU15" i="3" s="1"/>
  <c r="FV15" i="3" s="1"/>
  <c r="FW15" i="3" s="1"/>
  <c r="FX15" i="3" s="1"/>
  <c r="FY15" i="3" s="1"/>
  <c r="B600" i="1" s="1"/>
  <c r="D600" i="1" s="1"/>
  <c r="FA16" i="3"/>
  <c r="FB16" i="3" s="1"/>
  <c r="FC16" i="3" s="1"/>
  <c r="FD16" i="3" s="1"/>
  <c r="FE16" i="3" s="1"/>
  <c r="FF16" i="3" s="1"/>
  <c r="FG16" i="3" s="1"/>
  <c r="FH16" i="3" s="1"/>
  <c r="FI16" i="3" s="1"/>
  <c r="FJ16" i="3" s="1"/>
  <c r="FK16" i="3" s="1"/>
  <c r="FL16" i="3" s="1"/>
  <c r="FM16" i="3" s="1"/>
  <c r="FN16" i="3" s="1"/>
  <c r="FO16" i="3" s="1"/>
  <c r="FP16" i="3" s="1"/>
  <c r="FQ16" i="3" s="1"/>
  <c r="FR16" i="3" s="1"/>
  <c r="FS16" i="3" s="1"/>
  <c r="FT16" i="3" s="1"/>
  <c r="FU16" i="3" s="1"/>
  <c r="FV16" i="3" s="1"/>
  <c r="FW16" i="3" s="1"/>
  <c r="FX16" i="3" s="1"/>
  <c r="FY16" i="3" s="1"/>
  <c r="C600" i="1" s="1"/>
  <c r="E600" i="1" s="1"/>
  <c r="FA9" i="3"/>
  <c r="FB9" i="3" s="1"/>
  <c r="FC9" i="3" s="1"/>
  <c r="FD9" i="3" s="1"/>
  <c r="FE9" i="3" s="1"/>
  <c r="FF9" i="3" s="1"/>
  <c r="FG9" i="3" s="1"/>
  <c r="FH9" i="3" s="1"/>
  <c r="FI9" i="3" s="1"/>
  <c r="FJ9" i="3" s="1"/>
  <c r="FK9" i="3" s="1"/>
  <c r="FL9" i="3" s="1"/>
  <c r="FM9" i="3" s="1"/>
  <c r="FN9" i="3" s="1"/>
  <c r="FO9" i="3" s="1"/>
  <c r="FP9" i="3" s="1"/>
  <c r="FQ9" i="3" s="1"/>
  <c r="FR9" i="3" s="1"/>
  <c r="FS9" i="3" s="1"/>
  <c r="FT9" i="3" s="1"/>
  <c r="FU9" i="3" s="1"/>
  <c r="FV9" i="3" s="1"/>
  <c r="FW9" i="3" s="1"/>
  <c r="FX9" i="3" s="1"/>
  <c r="FY9" i="3" s="1"/>
  <c r="B597" i="1" s="1"/>
  <c r="D597" i="1" s="1"/>
  <c r="FA6" i="3"/>
  <c r="FB6" i="3" s="1"/>
  <c r="FC6" i="3" s="1"/>
  <c r="FD6" i="3" s="1"/>
  <c r="FE6" i="3" s="1"/>
  <c r="FF6" i="3" s="1"/>
  <c r="FG6" i="3" s="1"/>
  <c r="FH6" i="3" s="1"/>
  <c r="FI6" i="3" s="1"/>
  <c r="FJ6" i="3" s="1"/>
  <c r="FK6" i="3" s="1"/>
  <c r="FL6" i="3" s="1"/>
  <c r="FM6" i="3" s="1"/>
  <c r="FN6" i="3" s="1"/>
  <c r="FO6" i="3" s="1"/>
  <c r="FP6" i="3" s="1"/>
  <c r="FQ6" i="3" s="1"/>
  <c r="FR6" i="3" s="1"/>
  <c r="FS6" i="3" s="1"/>
  <c r="FT6" i="3" s="1"/>
  <c r="FU6" i="3" s="1"/>
  <c r="FV6" i="3" s="1"/>
  <c r="FW6" i="3" s="1"/>
  <c r="FX6" i="3" s="1"/>
  <c r="FY6" i="3" s="1"/>
  <c r="C595" i="1" s="1"/>
  <c r="E595" i="1" s="1"/>
  <c r="FA8" i="3"/>
  <c r="FB8" i="3" s="1"/>
  <c r="FC8" i="3" s="1"/>
  <c r="FD8" i="3" s="1"/>
  <c r="FE8" i="3" s="1"/>
  <c r="FF8" i="3" s="1"/>
  <c r="FG8" i="3" s="1"/>
  <c r="FH8" i="3" s="1"/>
  <c r="FI8" i="3" s="1"/>
  <c r="FJ8" i="3" s="1"/>
  <c r="FK8" i="3" s="1"/>
  <c r="FL8" i="3" s="1"/>
  <c r="FM8" i="3" s="1"/>
  <c r="FN8" i="3" s="1"/>
  <c r="FO8" i="3" s="1"/>
  <c r="FP8" i="3" s="1"/>
  <c r="FQ8" i="3" s="1"/>
  <c r="FR8" i="3" s="1"/>
  <c r="FS8" i="3" s="1"/>
  <c r="FT8" i="3" s="1"/>
  <c r="FU8" i="3" s="1"/>
  <c r="FV8" i="3" s="1"/>
  <c r="FW8" i="3" s="1"/>
  <c r="FX8" i="3" s="1"/>
  <c r="FY8" i="3" s="1"/>
  <c r="C596" i="1" s="1"/>
  <c r="E596" i="1" s="1"/>
  <c r="FA5" i="3"/>
  <c r="FB5" i="3" s="1"/>
  <c r="FC5" i="3" s="1"/>
  <c r="FD5" i="3" s="1"/>
  <c r="FE5" i="3" s="1"/>
  <c r="FF5" i="3" s="1"/>
  <c r="FG5" i="3" s="1"/>
  <c r="FH5" i="3" s="1"/>
  <c r="FI5" i="3" s="1"/>
  <c r="FJ5" i="3" s="1"/>
  <c r="FK5" i="3" s="1"/>
  <c r="FL5" i="3" s="1"/>
  <c r="FM5" i="3" s="1"/>
  <c r="FN5" i="3" s="1"/>
  <c r="FO5" i="3" s="1"/>
  <c r="FP5" i="3" s="1"/>
  <c r="FQ5" i="3" s="1"/>
  <c r="FR5" i="3" s="1"/>
  <c r="FS5" i="3" s="1"/>
  <c r="FT5" i="3" s="1"/>
  <c r="FU5" i="3" s="1"/>
  <c r="FV5" i="3" s="1"/>
  <c r="FW5" i="3" s="1"/>
  <c r="FX5" i="3" s="1"/>
  <c r="FY5" i="3" s="1"/>
  <c r="B595" i="1" s="1"/>
  <c r="D595" i="1" s="1"/>
  <c r="FA11" i="3"/>
  <c r="FB11" i="3" s="1"/>
  <c r="FC11" i="3" s="1"/>
  <c r="FD11" i="3" s="1"/>
  <c r="FE11" i="3" s="1"/>
  <c r="FF11" i="3" s="1"/>
  <c r="FG11" i="3" s="1"/>
  <c r="FH11" i="3" s="1"/>
  <c r="FI11" i="3" s="1"/>
  <c r="FJ11" i="3" s="1"/>
  <c r="FK11" i="3" s="1"/>
  <c r="FL11" i="3" s="1"/>
  <c r="FM11" i="3" s="1"/>
  <c r="FN11" i="3" s="1"/>
  <c r="FO11" i="3" s="1"/>
  <c r="FP11" i="3" s="1"/>
  <c r="FQ11" i="3" s="1"/>
  <c r="FR11" i="3" s="1"/>
  <c r="FS11" i="3" s="1"/>
  <c r="FT11" i="3" s="1"/>
  <c r="FU11" i="3" s="1"/>
  <c r="FV11" i="3" s="1"/>
  <c r="FW11" i="3" s="1"/>
  <c r="FX11" i="3" s="1"/>
  <c r="FY11" i="3" s="1"/>
  <c r="B598" i="1" s="1"/>
  <c r="D598" i="1" s="1"/>
  <c r="FA7" i="3"/>
  <c r="FB7" i="3" s="1"/>
  <c r="FC7" i="3" s="1"/>
  <c r="FD7" i="3" s="1"/>
  <c r="FE7" i="3" s="1"/>
  <c r="FF7" i="3" s="1"/>
  <c r="FG7" i="3" s="1"/>
  <c r="FH7" i="3" s="1"/>
  <c r="FI7" i="3" s="1"/>
  <c r="FJ7" i="3" s="1"/>
  <c r="FK7" i="3" s="1"/>
  <c r="FL7" i="3" s="1"/>
  <c r="FM7" i="3" s="1"/>
  <c r="FN7" i="3" s="1"/>
  <c r="FO7" i="3" s="1"/>
  <c r="FP7" i="3" s="1"/>
  <c r="FQ7" i="3" s="1"/>
  <c r="FR7" i="3" s="1"/>
  <c r="FS7" i="3" s="1"/>
  <c r="FT7" i="3" s="1"/>
  <c r="FU7" i="3" s="1"/>
  <c r="FV7" i="3" s="1"/>
  <c r="FW7" i="3" s="1"/>
  <c r="FX7" i="3" s="1"/>
  <c r="FY7" i="3" s="1"/>
  <c r="B596" i="1" s="1"/>
  <c r="D596" i="1" s="1"/>
  <c r="HF5" i="3"/>
  <c r="FA10" i="3"/>
  <c r="FB10" i="3" s="1"/>
  <c r="FC10" i="3" s="1"/>
  <c r="FD10" i="3" s="1"/>
  <c r="FE10" i="3" s="1"/>
  <c r="FF10" i="3" s="1"/>
  <c r="FG10" i="3" s="1"/>
  <c r="FH10" i="3" s="1"/>
  <c r="FI10" i="3" s="1"/>
  <c r="FJ10" i="3" s="1"/>
  <c r="FK10" i="3" s="1"/>
  <c r="FL10" i="3" s="1"/>
  <c r="FM10" i="3" s="1"/>
  <c r="FN10" i="3" s="1"/>
  <c r="FO10" i="3" s="1"/>
  <c r="FP10" i="3" s="1"/>
  <c r="FQ10" i="3" s="1"/>
  <c r="FR10" i="3" s="1"/>
  <c r="FS10" i="3" s="1"/>
  <c r="FT10" i="3" s="1"/>
  <c r="FU10" i="3" s="1"/>
  <c r="FV10" i="3" s="1"/>
  <c r="FW10" i="3" s="1"/>
  <c r="FX10" i="3" s="1"/>
  <c r="FY10" i="3" s="1"/>
  <c r="C597" i="1" s="1"/>
  <c r="E597" i="1" s="1"/>
  <c r="C196" i="1"/>
  <c r="DB7" i="3"/>
  <c r="DD7" i="3" s="1"/>
  <c r="DB25" i="3"/>
  <c r="DD25" i="3" s="1"/>
  <c r="DB6" i="3"/>
  <c r="DD6" i="3" s="1"/>
  <c r="CY24" i="3"/>
  <c r="CY18" i="3"/>
  <c r="CY21" i="3"/>
  <c r="CY20" i="3"/>
  <c r="DA23" i="3"/>
  <c r="DC23" i="3" s="1"/>
  <c r="CY16" i="3"/>
  <c r="CY9" i="3"/>
  <c r="CY6" i="3"/>
  <c r="C364" i="1"/>
  <c r="C365" i="1" s="1"/>
  <c r="CY5" i="3"/>
  <c r="DB19" i="3"/>
  <c r="DD19" i="3" s="1"/>
  <c r="CY27" i="3"/>
  <c r="DB9" i="3"/>
  <c r="DD9" i="3" s="1"/>
  <c r="DB31" i="3" l="1"/>
  <c r="DD31" i="3" s="1"/>
  <c r="C367" i="1"/>
  <c r="C366" i="1"/>
  <c r="H54" i="1" s="1"/>
  <c r="B53" i="2" s="1"/>
  <c r="B669" i="1"/>
  <c r="H29" i="1"/>
  <c r="B28" i="2" s="1"/>
  <c r="C404" i="1"/>
  <c r="GK24" i="3"/>
  <c r="GK13" i="3"/>
  <c r="GK22" i="3"/>
  <c r="GK15" i="3"/>
  <c r="GK20" i="3"/>
  <c r="GK26" i="3"/>
  <c r="GK16" i="3"/>
  <c r="GK10" i="3"/>
  <c r="GK28" i="3"/>
  <c r="GK17" i="3"/>
  <c r="GK25" i="3"/>
  <c r="GK23" i="3"/>
  <c r="GK14" i="3"/>
  <c r="GK12" i="3"/>
  <c r="GK27" i="3"/>
  <c r="GK21" i="3"/>
  <c r="GK18" i="3"/>
  <c r="GK19" i="3"/>
  <c r="C549" i="1"/>
  <c r="GK7" i="3"/>
  <c r="GK11" i="3"/>
  <c r="GK9" i="3"/>
  <c r="GK6" i="3"/>
  <c r="DV6" i="3"/>
  <c r="GK5" i="3"/>
  <c r="GK8" i="3"/>
  <c r="DT6" i="3"/>
  <c r="C538" i="1"/>
  <c r="C303" i="1"/>
  <c r="B432" i="1"/>
  <c r="B434" i="1"/>
  <c r="D434" i="1" s="1"/>
  <c r="A604" i="1"/>
  <c r="B557" i="1"/>
  <c r="D412" i="1"/>
  <c r="D413" i="1" s="1"/>
  <c r="D414" i="1" s="1"/>
  <c r="D415" i="1" s="1"/>
  <c r="D416" i="1" s="1"/>
  <c r="E416" i="1" s="1"/>
  <c r="C533" i="1"/>
  <c r="B431" i="1"/>
  <c r="C202" i="1"/>
  <c r="H4" i="1"/>
  <c r="B3" i="2" s="1"/>
  <c r="C222" i="1"/>
  <c r="B562" i="1" s="1"/>
  <c r="B658" i="1"/>
  <c r="C291" i="1"/>
  <c r="C548" i="1"/>
  <c r="C547" i="1"/>
  <c r="C370" i="1"/>
  <c r="C306" i="1"/>
  <c r="C304" i="1"/>
  <c r="C305" i="1"/>
  <c r="C197" i="1"/>
  <c r="C198" i="1" s="1"/>
  <c r="C286" i="1"/>
  <c r="C200" i="1"/>
  <c r="HP5" i="3"/>
  <c r="HN5" i="3"/>
  <c r="HG5" i="3"/>
  <c r="HO5" i="3"/>
  <c r="DB23" i="3"/>
  <c r="DD23" i="3" s="1"/>
  <c r="C550" i="1" l="1"/>
  <c r="C313" i="1"/>
  <c r="DK16" i="3"/>
  <c r="C373" i="1"/>
  <c r="C542" i="1"/>
  <c r="C545" i="1"/>
  <c r="C534" i="1"/>
  <c r="C546" i="1"/>
  <c r="H39" i="1" s="1"/>
  <c r="B38" i="2" s="1"/>
  <c r="C307" i="1"/>
  <c r="E412" i="1"/>
  <c r="C408" i="1"/>
  <c r="C406" i="1"/>
  <c r="C405" i="1"/>
  <c r="H38" i="1"/>
  <c r="B37" i="2" s="1"/>
  <c r="B660" i="1"/>
  <c r="H6" i="1"/>
  <c r="B5" i="2" s="1"/>
  <c r="C208" i="1"/>
  <c r="C232" i="1"/>
  <c r="C210" i="1"/>
  <c r="HH5" i="3"/>
  <c r="HI5" i="3" s="1"/>
  <c r="E415" i="1"/>
  <c r="H16" i="1"/>
  <c r="B15" i="2" s="1"/>
  <c r="C287" i="1"/>
  <c r="C292" i="1"/>
  <c r="C293" i="1" s="1"/>
  <c r="C290" i="1"/>
  <c r="E414" i="1"/>
  <c r="H24" i="1"/>
  <c r="B23" i="2" s="1"/>
  <c r="C203" i="1"/>
  <c r="C199" i="1"/>
  <c r="C418" i="1" s="1"/>
  <c r="E413" i="1"/>
  <c r="C553" i="1"/>
  <c r="C629" i="1"/>
  <c r="B77" i="2" s="1"/>
  <c r="D629" i="1"/>
  <c r="C77" i="2" s="1"/>
  <c r="C294" i="1"/>
  <c r="B560" i="1"/>
  <c r="B663" i="1"/>
  <c r="A612" i="1"/>
  <c r="C502" i="1"/>
  <c r="C223" i="1"/>
  <c r="C227" i="1" s="1"/>
  <c r="C422" i="1" s="1"/>
  <c r="H12" i="1"/>
  <c r="B11" i="2" s="1"/>
  <c r="C231" i="1"/>
  <c r="E488" i="1"/>
  <c r="H30" i="1"/>
  <c r="B29" i="2" s="1"/>
  <c r="C409" i="1"/>
  <c r="BK6" i="3" l="1"/>
  <c r="HJ5" i="3"/>
  <c r="HL5" i="3" s="1"/>
  <c r="HK5" i="3"/>
  <c r="B485" i="1"/>
  <c r="B427" i="1"/>
  <c r="DK15" i="3"/>
  <c r="DJ15" i="3"/>
  <c r="DK10" i="3"/>
  <c r="DK12" i="3"/>
  <c r="DJ10" i="3"/>
  <c r="DK14" i="3"/>
  <c r="DJ12" i="3"/>
  <c r="DJ14" i="3"/>
  <c r="DK11" i="3"/>
  <c r="DK13" i="3"/>
  <c r="DK9" i="3"/>
  <c r="DJ11" i="3"/>
  <c r="DJ9" i="3"/>
  <c r="DK7" i="3"/>
  <c r="DK6" i="3"/>
  <c r="DK5" i="3"/>
  <c r="DJ7" i="3"/>
  <c r="DJ6" i="3"/>
  <c r="DJ5" i="3"/>
  <c r="DK8" i="3"/>
  <c r="DJ13" i="3"/>
  <c r="DJ8" i="3"/>
  <c r="C374" i="1"/>
  <c r="C288" i="1"/>
  <c r="C297" i="1"/>
  <c r="C299" i="1" s="1"/>
  <c r="B564" i="1"/>
  <c r="C296" i="1"/>
  <c r="C298" i="1" s="1"/>
  <c r="B665" i="1"/>
  <c r="C295" i="1"/>
  <c r="C289" i="1"/>
  <c r="H17" i="1"/>
  <c r="B16" i="2" s="1"/>
  <c r="C565" i="1"/>
  <c r="D565" i="1" s="1"/>
  <c r="C558" i="1"/>
  <c r="C557" i="1"/>
  <c r="D557" i="1" s="1"/>
  <c r="C566" i="1"/>
  <c r="D566" i="1" s="1"/>
  <c r="C564" i="1"/>
  <c r="C563" i="1"/>
  <c r="D563" i="1" s="1"/>
  <c r="C556" i="1"/>
  <c r="D556" i="1" s="1"/>
  <c r="C560" i="1"/>
  <c r="D560" i="1" s="1"/>
  <c r="C562" i="1"/>
  <c r="D562" i="1" s="1"/>
  <c r="C554" i="1"/>
  <c r="C561" i="1"/>
  <c r="D561" i="1" s="1"/>
  <c r="C559" i="1"/>
  <c r="DV5" i="3"/>
  <c r="DT5" i="3"/>
  <c r="B444" i="1"/>
  <c r="DR8" i="3" s="1"/>
  <c r="B443" i="1"/>
  <c r="DR7" i="3" s="1"/>
  <c r="B210" i="1"/>
  <c r="C536" i="1"/>
  <c r="B442" i="1"/>
  <c r="DR6" i="3" s="1"/>
  <c r="B558" i="1"/>
  <c r="C537" i="1"/>
  <c r="C539" i="1" s="1"/>
  <c r="H5" i="1"/>
  <c r="B4" i="2" s="1"/>
  <c r="B441" i="1"/>
  <c r="B559" i="1"/>
  <c r="C201" i="1"/>
  <c r="C624" i="1" s="1"/>
  <c r="B72" i="2" s="1"/>
  <c r="B659" i="1"/>
  <c r="B445" i="1"/>
  <c r="C211" i="1"/>
  <c r="C212" i="1"/>
  <c r="C504" i="1"/>
  <c r="C228" i="1"/>
  <c r="C229" i="1"/>
  <c r="C309" i="1"/>
  <c r="C308" i="1"/>
  <c r="BK11" i="3"/>
  <c r="C236" i="1"/>
  <c r="C234" i="1"/>
  <c r="C235" i="1" s="1"/>
  <c r="C233" i="1"/>
  <c r="H48" i="1" s="1"/>
  <c r="B47" i="2" s="1"/>
  <c r="B414" i="1"/>
  <c r="B415" i="1"/>
  <c r="E210" i="1"/>
  <c r="C633" i="1" s="1"/>
  <c r="ID12" i="3"/>
  <c r="AD10" i="3"/>
  <c r="BE342" i="3" s="1"/>
  <c r="ID13" i="3"/>
  <c r="AD7" i="3"/>
  <c r="BE339" i="3" s="1"/>
  <c r="ID6" i="3"/>
  <c r="AD6" i="3"/>
  <c r="BE338" i="3" s="1"/>
  <c r="AD9" i="3"/>
  <c r="BE341" i="3" s="1"/>
  <c r="C621" i="1"/>
  <c r="B69" i="2" s="1"/>
  <c r="ID7" i="3"/>
  <c r="DZ7" i="3"/>
  <c r="DZ5" i="3"/>
  <c r="B561" i="1"/>
  <c r="C338" i="1"/>
  <c r="C474" i="1" s="1"/>
  <c r="C279" i="1"/>
  <c r="C325" i="1"/>
  <c r="H13" i="1"/>
  <c r="B12" i="2" s="1"/>
  <c r="B664" i="1"/>
  <c r="C230" i="1"/>
  <c r="AH6" i="3"/>
  <c r="AH7" i="3"/>
  <c r="AH5" i="3"/>
  <c r="AH8" i="3"/>
  <c r="EA5" i="3"/>
  <c r="AE10" i="3"/>
  <c r="BF342" i="3" s="1"/>
  <c r="AE7" i="3"/>
  <c r="BF339" i="3" s="1"/>
  <c r="AE6" i="3"/>
  <c r="BF338" i="3" s="1"/>
  <c r="AE9" i="3"/>
  <c r="BF341" i="3" s="1"/>
  <c r="EA7" i="3"/>
  <c r="AT1" i="3"/>
  <c r="C475" i="1" l="1"/>
  <c r="C476" i="1" s="1"/>
  <c r="H63" i="1" s="1"/>
  <c r="B62" i="2" s="1"/>
  <c r="HQ5" i="3"/>
  <c r="HR5" i="3" s="1"/>
  <c r="HF6" i="3" s="1"/>
  <c r="B489" i="1"/>
  <c r="D558" i="1"/>
  <c r="B671" i="1"/>
  <c r="H36" i="1"/>
  <c r="B35" i="2" s="1"/>
  <c r="BK9" i="3"/>
  <c r="DJ18" i="3"/>
  <c r="DN6" i="3"/>
  <c r="DL6" i="3"/>
  <c r="C375" i="1"/>
  <c r="C540" i="1"/>
  <c r="C541" i="1"/>
  <c r="BE367" i="3"/>
  <c r="BE380" i="3"/>
  <c r="BE364" i="3"/>
  <c r="BE377" i="3"/>
  <c r="BE361" i="3"/>
  <c r="BE374" i="3"/>
  <c r="BE371" i="3"/>
  <c r="BE368" i="3"/>
  <c r="BE381" i="3"/>
  <c r="BE365" i="3"/>
  <c r="BE378" i="3"/>
  <c r="BE362" i="3"/>
  <c r="BE375" i="3"/>
  <c r="BE359" i="3"/>
  <c r="BE372" i="3"/>
  <c r="BE369" i="3"/>
  <c r="BE366" i="3"/>
  <c r="BE373" i="3"/>
  <c r="BE357" i="3"/>
  <c r="BE360" i="3"/>
  <c r="BE356" i="3"/>
  <c r="BE379" i="3"/>
  <c r="BE358" i="3"/>
  <c r="BE363" i="3"/>
  <c r="BE376" i="3"/>
  <c r="BE370" i="3"/>
  <c r="EB14" i="3"/>
  <c r="AM9" i="3"/>
  <c r="EB17" i="3"/>
  <c r="EB11" i="3"/>
  <c r="EB13" i="3"/>
  <c r="EB10" i="3"/>
  <c r="AM8" i="3"/>
  <c r="AM5" i="3"/>
  <c r="EB16" i="3"/>
  <c r="EB15" i="3"/>
  <c r="EB6" i="3"/>
  <c r="EB8" i="3"/>
  <c r="EB12" i="3"/>
  <c r="AM7" i="3"/>
  <c r="EB9" i="3"/>
  <c r="EB7" i="3"/>
  <c r="EB5" i="3"/>
  <c r="AM6" i="3"/>
  <c r="AJ5" i="3"/>
  <c r="D564" i="1"/>
  <c r="DR5" i="3"/>
  <c r="DR9" i="3"/>
  <c r="BE447" i="3"/>
  <c r="BE444" i="3"/>
  <c r="BE457" i="3"/>
  <c r="BE441" i="3"/>
  <c r="BE454" i="3"/>
  <c r="BE438" i="3"/>
  <c r="BE451" i="3"/>
  <c r="BE435" i="3"/>
  <c r="BE448" i="3"/>
  <c r="BE445" i="3"/>
  <c r="BE458" i="3"/>
  <c r="BE442" i="3"/>
  <c r="BE455" i="3"/>
  <c r="BE439" i="3"/>
  <c r="BE452" i="3"/>
  <c r="BE436" i="3"/>
  <c r="BE449" i="3"/>
  <c r="BE446" i="3"/>
  <c r="BE453" i="3"/>
  <c r="BE437" i="3"/>
  <c r="BE450" i="3"/>
  <c r="BE434" i="3"/>
  <c r="BE456" i="3"/>
  <c r="BE443" i="3"/>
  <c r="BE440" i="3"/>
  <c r="BE459" i="3"/>
  <c r="EB51" i="3"/>
  <c r="EB49" i="3"/>
  <c r="EB47" i="3"/>
  <c r="EB54" i="3"/>
  <c r="EB52" i="3"/>
  <c r="EB50" i="3"/>
  <c r="EB48" i="3"/>
  <c r="EB59" i="3"/>
  <c r="EB57" i="3"/>
  <c r="EB58" i="3"/>
  <c r="EB56" i="3"/>
  <c r="EB53" i="3"/>
  <c r="AM24" i="3"/>
  <c r="AM27" i="3"/>
  <c r="AM26" i="3"/>
  <c r="EB55" i="3"/>
  <c r="AM25" i="3"/>
  <c r="AM23" i="3"/>
  <c r="AJ8" i="3"/>
  <c r="BE431" i="3"/>
  <c r="BE415" i="3"/>
  <c r="BE428" i="3"/>
  <c r="BE412" i="3"/>
  <c r="BE425" i="3"/>
  <c r="BE409" i="3"/>
  <c r="BE422" i="3"/>
  <c r="BE419" i="3"/>
  <c r="BE432" i="3"/>
  <c r="BE416" i="3"/>
  <c r="BE429" i="3"/>
  <c r="BE413" i="3"/>
  <c r="BE426" i="3"/>
  <c r="BE410" i="3"/>
  <c r="BE423" i="3"/>
  <c r="BE420" i="3"/>
  <c r="BE433" i="3"/>
  <c r="BE417" i="3"/>
  <c r="BE430" i="3"/>
  <c r="BE414" i="3"/>
  <c r="BE421" i="3"/>
  <c r="BE411" i="3"/>
  <c r="BE418" i="3"/>
  <c r="BE427" i="3"/>
  <c r="BE424" i="3"/>
  <c r="BE408" i="3"/>
  <c r="EB34" i="3"/>
  <c r="EB33" i="3"/>
  <c r="EB45" i="3"/>
  <c r="EB43" i="3"/>
  <c r="EB44" i="3"/>
  <c r="EB39" i="3"/>
  <c r="EB37" i="3"/>
  <c r="AM19" i="3"/>
  <c r="EB42" i="3"/>
  <c r="EB38" i="3"/>
  <c r="AM20" i="3"/>
  <c r="EB40" i="3"/>
  <c r="EB35" i="3"/>
  <c r="AM21" i="3"/>
  <c r="EB41" i="3"/>
  <c r="AM17" i="3"/>
  <c r="EB36" i="3"/>
  <c r="AM18" i="3"/>
  <c r="AJ7" i="3"/>
  <c r="C213" i="1"/>
  <c r="B81" i="2"/>
  <c r="D633" i="1"/>
  <c r="C81" i="2" s="1"/>
  <c r="D212" i="1"/>
  <c r="D218" i="1" s="1"/>
  <c r="H25" i="1"/>
  <c r="B24" i="2" s="1"/>
  <c r="C316" i="1"/>
  <c r="C326" i="1"/>
  <c r="C327" i="1" s="1"/>
  <c r="EE18" i="3"/>
  <c r="AQ16" i="3"/>
  <c r="EE14" i="3"/>
  <c r="AQ14" i="3"/>
  <c r="EE15" i="3"/>
  <c r="AQ10" i="3"/>
  <c r="AQ13" i="3"/>
  <c r="AQ6" i="3"/>
  <c r="AQ11" i="3"/>
  <c r="AQ7" i="3"/>
  <c r="AQ8" i="3"/>
  <c r="EE11" i="3"/>
  <c r="AQ5" i="3"/>
  <c r="AQ15" i="3"/>
  <c r="EE10" i="3"/>
  <c r="EE19" i="3"/>
  <c r="AQ9" i="3"/>
  <c r="EE6" i="3"/>
  <c r="AQ17" i="3"/>
  <c r="EE7" i="3"/>
  <c r="AQ12" i="3"/>
  <c r="BK16" i="3"/>
  <c r="H14" i="1"/>
  <c r="B13" i="2" s="1"/>
  <c r="C274" i="1"/>
  <c r="C485" i="1"/>
  <c r="HB6" i="3"/>
  <c r="HA6" i="3"/>
  <c r="C377" i="1"/>
  <c r="C378" i="1" s="1"/>
  <c r="BE399" i="3"/>
  <c r="BE383" i="3"/>
  <c r="BE396" i="3"/>
  <c r="BE393" i="3"/>
  <c r="BE406" i="3"/>
  <c r="BE390" i="3"/>
  <c r="BE403" i="3"/>
  <c r="BE387" i="3"/>
  <c r="BE400" i="3"/>
  <c r="BE384" i="3"/>
  <c r="BE397" i="3"/>
  <c r="BE394" i="3"/>
  <c r="BE407" i="3"/>
  <c r="BE391" i="3"/>
  <c r="BE404" i="3"/>
  <c r="BE388" i="3"/>
  <c r="BE401" i="3"/>
  <c r="BE385" i="3"/>
  <c r="BE398" i="3"/>
  <c r="BE382" i="3"/>
  <c r="BE405" i="3"/>
  <c r="BE389" i="3"/>
  <c r="BE395" i="3"/>
  <c r="BE402" i="3"/>
  <c r="BE386" i="3"/>
  <c r="BE392" i="3"/>
  <c r="EB27" i="3"/>
  <c r="EB26" i="3"/>
  <c r="EB30" i="3"/>
  <c r="EB31" i="3"/>
  <c r="EB25" i="3"/>
  <c r="EB23" i="3"/>
  <c r="EB21" i="3"/>
  <c r="AM12" i="3"/>
  <c r="AM14" i="3"/>
  <c r="EB24" i="3"/>
  <c r="EB19" i="3"/>
  <c r="EB29" i="3"/>
  <c r="EB28" i="3"/>
  <c r="EB20" i="3"/>
  <c r="AM11" i="3"/>
  <c r="AM13" i="3"/>
  <c r="EB22" i="3"/>
  <c r="AM15" i="3"/>
  <c r="AJ6" i="3"/>
  <c r="ED14" i="3"/>
  <c r="ED17" i="3"/>
  <c r="ED18" i="3"/>
  <c r="ED11" i="3"/>
  <c r="ED19" i="3"/>
  <c r="ED13" i="3"/>
  <c r="ED16" i="3"/>
  <c r="ED15" i="3"/>
  <c r="ED10" i="3"/>
  <c r="ED6" i="3"/>
  <c r="ED8" i="3"/>
  <c r="ED7" i="3"/>
  <c r="ED5" i="3"/>
  <c r="ED9" i="3"/>
  <c r="EE5" i="3"/>
  <c r="EE13" i="3"/>
  <c r="C280" i="1"/>
  <c r="BK8" i="3" s="1"/>
  <c r="C506" i="1"/>
  <c r="H23" i="1"/>
  <c r="B22" i="2" s="1"/>
  <c r="B487" i="1"/>
  <c r="B429" i="1"/>
  <c r="B211" i="1"/>
  <c r="E211" i="1" s="1"/>
  <c r="C300" i="1"/>
  <c r="B433" i="1"/>
  <c r="E485" i="1"/>
  <c r="ED25" i="3"/>
  <c r="ED23" i="3"/>
  <c r="ED27" i="3"/>
  <c r="ED21" i="3"/>
  <c r="ED24" i="3"/>
  <c r="ED22" i="3"/>
  <c r="ED26" i="3"/>
  <c r="C317" i="1"/>
  <c r="C310" i="1"/>
  <c r="C311" i="1" s="1"/>
  <c r="ED30" i="3"/>
  <c r="AP36" i="3"/>
  <c r="AP35" i="3"/>
  <c r="ED29" i="3"/>
  <c r="AT6" i="3"/>
  <c r="AS6" i="3"/>
  <c r="AT5" i="3"/>
  <c r="AS5" i="3"/>
  <c r="C340" i="1"/>
  <c r="C341" i="1" s="1"/>
  <c r="H50" i="1" s="1"/>
  <c r="B49" i="2" s="1"/>
  <c r="HG6" i="3"/>
  <c r="HP6" i="3"/>
  <c r="HN6" i="3"/>
  <c r="HO6" i="3"/>
  <c r="D559" i="1"/>
  <c r="D489" i="1"/>
  <c r="C489" i="1"/>
  <c r="E489" i="1" l="1"/>
  <c r="B668" i="1"/>
  <c r="H26" i="1"/>
  <c r="B25" i="2" s="1"/>
  <c r="H47" i="1"/>
  <c r="B46" i="2" s="1"/>
  <c r="D624" i="1"/>
  <c r="C72" i="2" s="1"/>
  <c r="C217" i="1"/>
  <c r="B217" i="1" s="1"/>
  <c r="BF396" i="3"/>
  <c r="BF393" i="3"/>
  <c r="BF406" i="3"/>
  <c r="BF390" i="3"/>
  <c r="BF403" i="3"/>
  <c r="BF387" i="3"/>
  <c r="BF400" i="3"/>
  <c r="BF384" i="3"/>
  <c r="BF397" i="3"/>
  <c r="BF394" i="3"/>
  <c r="BF407" i="3"/>
  <c r="BF391" i="3"/>
  <c r="BF404" i="3"/>
  <c r="BF388" i="3"/>
  <c r="BF401" i="3"/>
  <c r="BF385" i="3"/>
  <c r="BF398" i="3"/>
  <c r="BF382" i="3"/>
  <c r="BF395" i="3"/>
  <c r="BF402" i="3"/>
  <c r="BF386" i="3"/>
  <c r="BF399" i="3"/>
  <c r="BF383" i="3"/>
  <c r="BF405" i="3"/>
  <c r="BF389" i="3"/>
  <c r="BF392" i="3"/>
  <c r="EC31" i="3"/>
  <c r="EC25" i="3"/>
  <c r="EC23" i="3"/>
  <c r="EC27" i="3"/>
  <c r="EC21" i="3"/>
  <c r="AN12" i="3"/>
  <c r="AN14" i="3"/>
  <c r="EC24" i="3"/>
  <c r="EC19" i="3"/>
  <c r="EC30" i="3"/>
  <c r="EC22" i="3"/>
  <c r="AN13" i="3"/>
  <c r="EC26" i="3"/>
  <c r="AN15" i="3"/>
  <c r="AN11" i="3"/>
  <c r="EC29" i="3"/>
  <c r="EC20" i="3"/>
  <c r="EC28" i="3"/>
  <c r="BK17" i="3"/>
  <c r="AQ27" i="3"/>
  <c r="AQ30" i="3"/>
  <c r="AQ26" i="3"/>
  <c r="EE23" i="3"/>
  <c r="AQ24" i="3"/>
  <c r="AQ21" i="3"/>
  <c r="AQ20" i="3"/>
  <c r="EE26" i="3"/>
  <c r="AQ29" i="3"/>
  <c r="AQ32" i="3"/>
  <c r="AQ28" i="3"/>
  <c r="EE22" i="3"/>
  <c r="EE27" i="3"/>
  <c r="AQ25" i="3"/>
  <c r="AQ31" i="3"/>
  <c r="AQ23" i="3"/>
  <c r="AQ22" i="3"/>
  <c r="C380" i="1"/>
  <c r="C379" i="1"/>
  <c r="B670" i="1"/>
  <c r="H35" i="1"/>
  <c r="B34" i="2" s="1"/>
  <c r="BF444" i="3"/>
  <c r="BF457" i="3"/>
  <c r="BF441" i="3"/>
  <c r="BF454" i="3"/>
  <c r="BF438" i="3"/>
  <c r="BF451" i="3"/>
  <c r="BF435" i="3"/>
  <c r="BF448" i="3"/>
  <c r="BF445" i="3"/>
  <c r="BF458" i="3"/>
  <c r="BF442" i="3"/>
  <c r="BF455" i="3"/>
  <c r="BF439" i="3"/>
  <c r="BF452" i="3"/>
  <c r="BF436" i="3"/>
  <c r="BF449" i="3"/>
  <c r="BF446" i="3"/>
  <c r="BF459" i="3"/>
  <c r="BF443" i="3"/>
  <c r="BF450" i="3"/>
  <c r="BF434" i="3"/>
  <c r="BF447" i="3"/>
  <c r="BF456" i="3"/>
  <c r="BF453" i="3"/>
  <c r="BF440" i="3"/>
  <c r="EC51" i="3"/>
  <c r="EC49" i="3"/>
  <c r="EC47" i="3"/>
  <c r="EC54" i="3"/>
  <c r="EC52" i="3"/>
  <c r="EC50" i="3"/>
  <c r="EC48" i="3"/>
  <c r="EC59" i="3"/>
  <c r="EC57" i="3"/>
  <c r="BF437" i="3"/>
  <c r="EC58" i="3"/>
  <c r="EC56" i="3"/>
  <c r="EC55" i="3"/>
  <c r="EC53" i="3"/>
  <c r="AN24" i="3"/>
  <c r="AN27" i="3"/>
  <c r="AN26" i="3"/>
  <c r="AN25" i="3"/>
  <c r="AN23" i="3"/>
  <c r="C505" i="1"/>
  <c r="C452" i="1"/>
  <c r="H22" i="1"/>
  <c r="B21" i="2" s="1"/>
  <c r="C275" i="1"/>
  <c r="B428" i="1"/>
  <c r="B486" i="1"/>
  <c r="C466" i="1"/>
  <c r="B213" i="1"/>
  <c r="E213" i="1" s="1"/>
  <c r="C219" i="1" s="1"/>
  <c r="B219" i="1" s="1"/>
  <c r="BF380" i="3"/>
  <c r="BF364" i="3"/>
  <c r="BF377" i="3"/>
  <c r="BF361" i="3"/>
  <c r="BF374" i="3"/>
  <c r="BF358" i="3"/>
  <c r="BF371" i="3"/>
  <c r="BF368" i="3"/>
  <c r="BF381" i="3"/>
  <c r="BF365" i="3"/>
  <c r="BF378" i="3"/>
  <c r="BF362" i="3"/>
  <c r="BF375" i="3"/>
  <c r="BF359" i="3"/>
  <c r="BF372" i="3"/>
  <c r="BF356" i="3"/>
  <c r="BF369" i="3"/>
  <c r="BF366" i="3"/>
  <c r="BF379" i="3"/>
  <c r="BF363" i="3"/>
  <c r="BF370" i="3"/>
  <c r="BF367" i="3"/>
  <c r="BF373" i="3"/>
  <c r="BF376" i="3"/>
  <c r="BF360" i="3"/>
  <c r="BF357" i="3"/>
  <c r="EC14" i="3"/>
  <c r="AN9" i="3"/>
  <c r="EC17" i="3"/>
  <c r="EC9" i="3"/>
  <c r="EC13" i="3"/>
  <c r="EC16" i="3"/>
  <c r="EC15" i="3"/>
  <c r="AN8" i="3"/>
  <c r="AN5" i="3"/>
  <c r="EC10" i="3"/>
  <c r="EC6" i="3"/>
  <c r="EC8" i="3"/>
  <c r="EC12" i="3"/>
  <c r="AN7" i="3"/>
  <c r="EC7" i="3"/>
  <c r="EC5" i="3"/>
  <c r="AN6" i="3"/>
  <c r="EC11" i="3"/>
  <c r="DJ16" i="3"/>
  <c r="DJ17" i="3"/>
  <c r="DN7" i="3"/>
  <c r="DL7" i="3"/>
  <c r="BF428" i="3"/>
  <c r="BF412" i="3"/>
  <c r="BF425" i="3"/>
  <c r="BF409" i="3"/>
  <c r="BF422" i="3"/>
  <c r="BF419" i="3"/>
  <c r="BF432" i="3"/>
  <c r="BF416" i="3"/>
  <c r="BF429" i="3"/>
  <c r="BF413" i="3"/>
  <c r="BF426" i="3"/>
  <c r="BF410" i="3"/>
  <c r="BF423" i="3"/>
  <c r="BF420" i="3"/>
  <c r="BF433" i="3"/>
  <c r="BF417" i="3"/>
  <c r="BF430" i="3"/>
  <c r="BF414" i="3"/>
  <c r="BF427" i="3"/>
  <c r="BF411" i="3"/>
  <c r="BF418" i="3"/>
  <c r="BF431" i="3"/>
  <c r="BF421" i="3"/>
  <c r="BF424" i="3"/>
  <c r="BF415" i="3"/>
  <c r="BF408" i="3"/>
  <c r="EC45" i="3"/>
  <c r="EC43" i="3"/>
  <c r="EC44" i="3"/>
  <c r="EC42" i="3"/>
  <c r="EC41" i="3"/>
  <c r="EC40" i="3"/>
  <c r="EC37" i="3"/>
  <c r="AN19" i="3"/>
  <c r="EC38" i="3"/>
  <c r="AN20" i="3"/>
  <c r="EC35" i="3"/>
  <c r="EC34" i="3"/>
  <c r="EC36" i="3"/>
  <c r="EC33" i="3"/>
  <c r="AN21" i="3"/>
  <c r="AN17" i="3"/>
  <c r="AN18" i="3"/>
  <c r="EC39" i="3"/>
  <c r="HA11" i="3"/>
  <c r="HA7" i="3"/>
  <c r="HH6" i="3"/>
  <c r="HI6" i="3" s="1"/>
  <c r="C314" i="1"/>
  <c r="H67" i="1" s="1"/>
  <c r="B66" i="2" s="1"/>
  <c r="C312" i="1"/>
  <c r="H40" i="1"/>
  <c r="B39" i="2" s="1"/>
  <c r="HB11" i="3"/>
  <c r="HB7" i="3"/>
  <c r="B212" i="1"/>
  <c r="E212" i="1" s="1"/>
  <c r="C218" i="1" s="1"/>
  <c r="B218" i="1" s="1"/>
  <c r="EA13" i="3"/>
  <c r="AE22" i="3"/>
  <c r="BF352" i="3" s="1"/>
  <c r="AE23" i="3"/>
  <c r="BF353" i="3" s="1"/>
  <c r="C281" i="1"/>
  <c r="C282" i="1" s="1"/>
  <c r="C487" i="1" s="1"/>
  <c r="E487" i="1" s="1"/>
  <c r="C461" i="1"/>
  <c r="HJ6" i="3" l="1"/>
  <c r="HL6" i="3" s="1"/>
  <c r="HK6" i="3"/>
  <c r="B435" i="1"/>
  <c r="AD17" i="3"/>
  <c r="BE348" i="3" s="1"/>
  <c r="AD18" i="3"/>
  <c r="BE349" i="3" s="1"/>
  <c r="AD15" i="3"/>
  <c r="BE346" i="3" s="1"/>
  <c r="AD14" i="3"/>
  <c r="BE345" i="3" s="1"/>
  <c r="DZ9" i="3"/>
  <c r="DZ10" i="3"/>
  <c r="AE18" i="3"/>
  <c r="BF349" i="3" s="1"/>
  <c r="AE15" i="3"/>
  <c r="BF346" i="3" s="1"/>
  <c r="AE14" i="3"/>
  <c r="BF345" i="3" s="1"/>
  <c r="AE17" i="3"/>
  <c r="BF348" i="3" s="1"/>
  <c r="C276" i="1"/>
  <c r="C277" i="1" s="1"/>
  <c r="C486" i="1" s="1"/>
  <c r="E486" i="1" s="1"/>
  <c r="E490" i="1" s="1"/>
  <c r="C492" i="1" s="1"/>
  <c r="B490" i="1"/>
  <c r="BK7" i="3"/>
  <c r="HA24" i="3"/>
  <c r="HA8" i="3"/>
  <c r="DO6" i="3"/>
  <c r="DM6" i="3"/>
  <c r="C381" i="1"/>
  <c r="DO7" i="3"/>
  <c r="DM7" i="3"/>
  <c r="HB24" i="3"/>
  <c r="HB8" i="3"/>
  <c r="HQ6" i="3" l="1"/>
  <c r="HR6" i="3" s="1"/>
  <c r="HF7" i="3" s="1"/>
  <c r="HB9" i="3"/>
  <c r="HB10" i="3" s="1"/>
  <c r="HB12" i="3" s="1"/>
  <c r="HB13" i="3" s="1"/>
  <c r="HA9" i="3"/>
  <c r="C493" i="1"/>
  <c r="H33" i="1"/>
  <c r="B32" i="2" s="1"/>
  <c r="C623" i="1"/>
  <c r="B71" i="2" s="1"/>
  <c r="C494" i="1"/>
  <c r="H57" i="1" s="1"/>
  <c r="B56" i="2" s="1"/>
  <c r="D623" i="1"/>
  <c r="HA10" i="3"/>
  <c r="HA12" i="3" s="1"/>
  <c r="HA13" i="3" s="1"/>
  <c r="H34" i="1"/>
  <c r="B33" i="2" s="1"/>
  <c r="C439" i="1"/>
  <c r="C382" i="1"/>
  <c r="H31" i="1"/>
  <c r="B30" i="2" s="1"/>
  <c r="HP7" i="3"/>
  <c r="HN7" i="3"/>
  <c r="HG7" i="3"/>
  <c r="HO7" i="3"/>
  <c r="HA15" i="3" l="1"/>
  <c r="HA20" i="3" s="1"/>
  <c r="HA26" i="3" s="1"/>
  <c r="HA18" i="3"/>
  <c r="HA23" i="3" s="1"/>
  <c r="HA29" i="3" s="1"/>
  <c r="HA16" i="3"/>
  <c r="HA21" i="3" s="1"/>
  <c r="HA27" i="3" s="1"/>
  <c r="HA17" i="3"/>
  <c r="HA22" i="3" s="1"/>
  <c r="HA28" i="3" s="1"/>
  <c r="HA14" i="3"/>
  <c r="HA19" i="3" s="1"/>
  <c r="HA25" i="3" s="1"/>
  <c r="HB15" i="3"/>
  <c r="HB20" i="3" s="1"/>
  <c r="HB26" i="3" s="1"/>
  <c r="HB17" i="3"/>
  <c r="HB22" i="3" s="1"/>
  <c r="HB28" i="3" s="1"/>
  <c r="HB16" i="3"/>
  <c r="HB21" i="3" s="1"/>
  <c r="HB27" i="3" s="1"/>
  <c r="HB18" i="3"/>
  <c r="HB23" i="3" s="1"/>
  <c r="HB29" i="3" s="1"/>
  <c r="HB14" i="3"/>
  <c r="HB19" i="3" s="1"/>
  <c r="HB25" i="3" s="1"/>
  <c r="HH7" i="3"/>
  <c r="HI7" i="3" s="1"/>
  <c r="C71" i="2"/>
  <c r="C636" i="1"/>
  <c r="H41" i="1" s="1"/>
  <c r="B40" i="2" s="1"/>
  <c r="HJ7" i="3" l="1"/>
  <c r="HL7" i="3" s="1"/>
  <c r="HK7" i="3"/>
  <c r="HC25" i="3"/>
  <c r="HC27" i="3"/>
  <c r="HC29" i="3"/>
  <c r="HC28" i="3"/>
  <c r="HC26" i="3"/>
  <c r="HQ7" i="3" l="1"/>
  <c r="HR7" i="3" s="1"/>
  <c r="HF8" i="3" s="1"/>
  <c r="HP8" i="3" s="1"/>
  <c r="C462" i="1"/>
  <c r="C330" i="1" s="1"/>
  <c r="C331" i="1" s="1"/>
  <c r="HO8" i="3" l="1"/>
  <c r="HG8" i="3"/>
  <c r="HN8" i="3"/>
  <c r="C429" i="1"/>
  <c r="D429" i="1" s="1"/>
  <c r="C428" i="1"/>
  <c r="D428" i="1" s="1"/>
  <c r="C336" i="1"/>
  <c r="C421" i="1"/>
  <c r="C334" i="1"/>
  <c r="C332" i="1"/>
  <c r="ER9" i="3"/>
  <c r="ER11" i="3"/>
  <c r="ER10" i="3"/>
  <c r="ER12" i="3"/>
  <c r="HH8" i="3"/>
  <c r="HI8" i="3" s="1"/>
  <c r="HJ8" i="3" l="1"/>
  <c r="HL8" i="3" s="1"/>
  <c r="HK8" i="3"/>
  <c r="AC21" i="3"/>
  <c r="BD351" i="3" s="1"/>
  <c r="AC22" i="3"/>
  <c r="BD352" i="3" s="1"/>
  <c r="AC24" i="3"/>
  <c r="BD354" i="3" s="1"/>
  <c r="AC23" i="3"/>
  <c r="BD353" i="3" s="1"/>
  <c r="AC25" i="3"/>
  <c r="BD355" i="3" s="1"/>
  <c r="IC14" i="3"/>
  <c r="IC12" i="3"/>
  <c r="AC10" i="3"/>
  <c r="BD342" i="3" s="1"/>
  <c r="AC9" i="3"/>
  <c r="BD341" i="3" s="1"/>
  <c r="IC13" i="3"/>
  <c r="IC15" i="3"/>
  <c r="AC7" i="3"/>
  <c r="BD339" i="3" s="1"/>
  <c r="IC6" i="3"/>
  <c r="AC11" i="3"/>
  <c r="BD343" i="3" s="1"/>
  <c r="AC6" i="3"/>
  <c r="BD338" i="3" s="1"/>
  <c r="IC9" i="3"/>
  <c r="IC5" i="3"/>
  <c r="IC8" i="3"/>
  <c r="AC8" i="3"/>
  <c r="BD340" i="3" s="1"/>
  <c r="AC5" i="3"/>
  <c r="BD337" i="3" s="1"/>
  <c r="IC7" i="3"/>
  <c r="IC11" i="3"/>
  <c r="AI7" i="3"/>
  <c r="AI5" i="3"/>
  <c r="AI6" i="3"/>
  <c r="AI8" i="3"/>
  <c r="C451" i="1"/>
  <c r="C453" i="1" s="1"/>
  <c r="C425" i="1"/>
  <c r="C427" i="1"/>
  <c r="D427" i="1" s="1"/>
  <c r="AC17" i="3"/>
  <c r="BD348" i="3" s="1"/>
  <c r="AC18" i="3"/>
  <c r="BD349" i="3" s="1"/>
  <c r="AC15" i="3"/>
  <c r="BD346" i="3" s="1"/>
  <c r="AC19" i="3"/>
  <c r="BD350" i="3" s="1"/>
  <c r="AC14" i="3"/>
  <c r="BD345" i="3" s="1"/>
  <c r="AC13" i="3"/>
  <c r="BD344" i="3" s="1"/>
  <c r="AC16" i="3"/>
  <c r="BD347" i="3" s="1"/>
  <c r="C463" i="1"/>
  <c r="H66" i="1" s="1"/>
  <c r="B65" i="2" s="1"/>
  <c r="HQ8" i="3" l="1"/>
  <c r="HR8" i="3" s="1"/>
  <c r="HF9" i="3" s="1"/>
  <c r="DU5" i="3"/>
  <c r="DS5" i="3"/>
  <c r="DU6" i="3"/>
  <c r="DS6" i="3"/>
  <c r="BG339" i="3"/>
  <c r="BH339" i="3"/>
  <c r="BG342" i="3"/>
  <c r="BH342" i="3"/>
  <c r="BD402" i="3"/>
  <c r="BD386" i="3"/>
  <c r="BD399" i="3"/>
  <c r="BD383" i="3"/>
  <c r="BD396" i="3"/>
  <c r="BD393" i="3"/>
  <c r="BD406" i="3"/>
  <c r="BD390" i="3"/>
  <c r="BD403" i="3"/>
  <c r="BD387" i="3"/>
  <c r="BD400" i="3"/>
  <c r="BD384" i="3"/>
  <c r="BD397" i="3"/>
  <c r="BD394" i="3"/>
  <c r="BD407" i="3"/>
  <c r="BD391" i="3"/>
  <c r="BD404" i="3"/>
  <c r="BD388" i="3"/>
  <c r="BD401" i="3"/>
  <c r="BD385" i="3"/>
  <c r="BD392" i="3"/>
  <c r="BD398" i="3"/>
  <c r="BD382" i="3"/>
  <c r="BD405" i="3"/>
  <c r="BD389" i="3"/>
  <c r="BD395" i="3"/>
  <c r="AL15" i="3"/>
  <c r="AL12" i="3"/>
  <c r="AL14" i="3"/>
  <c r="AL13" i="3"/>
  <c r="AL11" i="3"/>
  <c r="BG343" i="3"/>
  <c r="BH343" i="3"/>
  <c r="BG341" i="3"/>
  <c r="BH341" i="3"/>
  <c r="BG355" i="3"/>
  <c r="BH355" i="3"/>
  <c r="BD370" i="3"/>
  <c r="BD367" i="3"/>
  <c r="BD380" i="3"/>
  <c r="BD364" i="3"/>
  <c r="BD377" i="3"/>
  <c r="BD361" i="3"/>
  <c r="BD374" i="3"/>
  <c r="BD371" i="3"/>
  <c r="BD368" i="3"/>
  <c r="BD381" i="3"/>
  <c r="BD365" i="3"/>
  <c r="BD378" i="3"/>
  <c r="BD362" i="3"/>
  <c r="BD375" i="3"/>
  <c r="BD372" i="3"/>
  <c r="BD369" i="3"/>
  <c r="BD376" i="3"/>
  <c r="BD360" i="3"/>
  <c r="BD357" i="3"/>
  <c r="BD359" i="3"/>
  <c r="BD366" i="3"/>
  <c r="BD373" i="3"/>
  <c r="BD356" i="3"/>
  <c r="BD379" i="3"/>
  <c r="BD358" i="3"/>
  <c r="BD363" i="3"/>
  <c r="AL8" i="3"/>
  <c r="AL5" i="3"/>
  <c r="AL9" i="3"/>
  <c r="AL7" i="3"/>
  <c r="AL6" i="3"/>
  <c r="C423" i="1"/>
  <c r="C433" i="1" s="1"/>
  <c r="D433" i="1" s="1"/>
  <c r="C437" i="1" s="1"/>
  <c r="C438" i="1" s="1"/>
  <c r="BG353" i="3"/>
  <c r="BH353" i="3"/>
  <c r="BG340" i="3"/>
  <c r="BH340" i="3"/>
  <c r="BG354" i="3"/>
  <c r="BH354" i="3"/>
  <c r="BG345" i="3"/>
  <c r="BH345" i="3"/>
  <c r="BG352" i="3"/>
  <c r="BH352" i="3"/>
  <c r="BD450" i="3"/>
  <c r="BD434" i="3"/>
  <c r="BD447" i="3"/>
  <c r="BD444" i="3"/>
  <c r="BD457" i="3"/>
  <c r="BD441" i="3"/>
  <c r="BD454" i="3"/>
  <c r="BD438" i="3"/>
  <c r="BD451" i="3"/>
  <c r="BD435" i="3"/>
  <c r="BD448" i="3"/>
  <c r="BD445" i="3"/>
  <c r="BD458" i="3"/>
  <c r="BD442" i="3"/>
  <c r="BD455" i="3"/>
  <c r="BD439" i="3"/>
  <c r="BD452" i="3"/>
  <c r="BD436" i="3"/>
  <c r="BD449" i="3"/>
  <c r="BD456" i="3"/>
  <c r="BD440" i="3"/>
  <c r="BD453" i="3"/>
  <c r="BD437" i="3"/>
  <c r="BD446" i="3"/>
  <c r="BD443" i="3"/>
  <c r="BD459" i="3"/>
  <c r="AL24" i="3"/>
  <c r="AL27" i="3"/>
  <c r="AL26" i="3"/>
  <c r="AL23" i="3"/>
  <c r="AL25" i="3"/>
  <c r="BD418" i="3"/>
  <c r="BD431" i="3"/>
  <c r="BD415" i="3"/>
  <c r="BD428" i="3"/>
  <c r="BD412" i="3"/>
  <c r="BD425" i="3"/>
  <c r="BD409" i="3"/>
  <c r="BD422" i="3"/>
  <c r="BD419" i="3"/>
  <c r="BD432" i="3"/>
  <c r="BD416" i="3"/>
  <c r="BD429" i="3"/>
  <c r="BD413" i="3"/>
  <c r="BD426" i="3"/>
  <c r="BD410" i="3"/>
  <c r="BD423" i="3"/>
  <c r="BD420" i="3"/>
  <c r="BD433" i="3"/>
  <c r="BD417" i="3"/>
  <c r="BD424" i="3"/>
  <c r="BD408" i="3"/>
  <c r="BD421" i="3"/>
  <c r="BD414" i="3"/>
  <c r="BD430" i="3"/>
  <c r="BD411" i="3"/>
  <c r="BD427" i="3"/>
  <c r="AL18" i="3"/>
  <c r="AL19" i="3"/>
  <c r="AL20" i="3"/>
  <c r="AL21" i="3"/>
  <c r="AL17" i="3"/>
  <c r="BG347" i="3"/>
  <c r="BH347" i="3"/>
  <c r="BG344" i="3"/>
  <c r="BH344" i="3"/>
  <c r="BG350" i="3"/>
  <c r="BH350" i="3"/>
  <c r="BG351" i="3"/>
  <c r="BH351" i="3"/>
  <c r="BG346" i="3"/>
  <c r="BH346" i="3"/>
  <c r="HG9" i="3"/>
  <c r="HP9" i="3"/>
  <c r="HN9" i="3"/>
  <c r="HO9" i="3"/>
  <c r="BG348" i="3"/>
  <c r="BH348" i="3"/>
  <c r="BG337" i="3"/>
  <c r="BH337" i="3"/>
  <c r="BG349" i="3"/>
  <c r="BH349" i="3"/>
  <c r="BG338" i="3"/>
  <c r="BH338" i="3"/>
  <c r="C343" i="1" l="1"/>
  <c r="C342" i="1"/>
  <c r="BG369" i="3"/>
  <c r="BH369" i="3"/>
  <c r="BG392" i="3"/>
  <c r="BH392" i="3"/>
  <c r="BG396" i="3"/>
  <c r="BH396" i="3"/>
  <c r="BG440" i="3"/>
  <c r="BH440" i="3"/>
  <c r="BG375" i="3"/>
  <c r="BH375" i="3"/>
  <c r="BG401" i="3"/>
  <c r="BH401" i="3"/>
  <c r="BG399" i="3"/>
  <c r="BH399" i="3"/>
  <c r="BG425" i="3"/>
  <c r="BH425" i="3"/>
  <c r="BG450" i="3"/>
  <c r="BH450" i="3"/>
  <c r="BG362" i="3"/>
  <c r="BH362" i="3"/>
  <c r="BG388" i="3"/>
  <c r="BH388" i="3"/>
  <c r="BG386" i="3"/>
  <c r="BH386" i="3"/>
  <c r="BG398" i="3"/>
  <c r="BH398" i="3"/>
  <c r="BG372" i="3"/>
  <c r="BH372" i="3"/>
  <c r="BG404" i="3"/>
  <c r="BH404" i="3"/>
  <c r="BG402" i="3"/>
  <c r="BH402" i="3"/>
  <c r="BG376" i="3"/>
  <c r="BH376" i="3"/>
  <c r="BG383" i="3"/>
  <c r="BH383" i="3"/>
  <c r="BG452" i="3"/>
  <c r="BH452" i="3"/>
  <c r="BG455" i="3"/>
  <c r="BH455" i="3"/>
  <c r="BG365" i="3"/>
  <c r="BH365" i="3"/>
  <c r="BG391" i="3"/>
  <c r="BH391" i="3"/>
  <c r="BG436" i="3"/>
  <c r="BH436" i="3"/>
  <c r="BG363" i="3"/>
  <c r="BH363" i="3"/>
  <c r="BG381" i="3"/>
  <c r="BH381" i="3"/>
  <c r="BG407" i="3"/>
  <c r="BH407" i="3"/>
  <c r="BG412" i="3"/>
  <c r="BH412" i="3"/>
  <c r="BG424" i="3"/>
  <c r="BH424" i="3"/>
  <c r="BG434" i="3"/>
  <c r="BH434" i="3"/>
  <c r="BG420" i="3"/>
  <c r="BH420" i="3"/>
  <c r="BG426" i="3"/>
  <c r="BH426" i="3"/>
  <c r="BG358" i="3"/>
  <c r="BH358" i="3"/>
  <c r="BG368" i="3"/>
  <c r="BH368" i="3"/>
  <c r="BG394" i="3"/>
  <c r="BH394" i="3"/>
  <c r="BG379" i="3"/>
  <c r="BH379" i="3"/>
  <c r="BG371" i="3"/>
  <c r="BH371" i="3"/>
  <c r="BG397" i="3"/>
  <c r="BH397" i="3"/>
  <c r="BG370" i="3"/>
  <c r="BH370" i="3"/>
  <c r="BG448" i="3"/>
  <c r="BH448" i="3"/>
  <c r="BG356" i="3"/>
  <c r="BH356" i="3"/>
  <c r="BG374" i="3"/>
  <c r="BH374" i="3"/>
  <c r="BG384" i="3"/>
  <c r="BH384" i="3"/>
  <c r="BG421" i="3"/>
  <c r="BH421" i="3"/>
  <c r="BG408" i="3"/>
  <c r="BH408" i="3"/>
  <c r="BG449" i="3"/>
  <c r="BH449" i="3"/>
  <c r="BG415" i="3"/>
  <c r="BH415" i="3"/>
  <c r="BG378" i="3"/>
  <c r="BH378" i="3"/>
  <c r="BG458" i="3"/>
  <c r="BH458" i="3"/>
  <c r="BG416" i="3"/>
  <c r="BH416" i="3"/>
  <c r="BG459" i="3"/>
  <c r="BH459" i="3"/>
  <c r="BG435" i="3"/>
  <c r="BH435" i="3"/>
  <c r="BG373" i="3"/>
  <c r="BH373" i="3"/>
  <c r="BG361" i="3"/>
  <c r="BH361" i="3"/>
  <c r="BG400" i="3"/>
  <c r="BH400" i="3"/>
  <c r="BG457" i="3"/>
  <c r="BH457" i="3"/>
  <c r="BG444" i="3"/>
  <c r="BH444" i="3"/>
  <c r="BG428" i="3"/>
  <c r="BH428" i="3"/>
  <c r="BG417" i="3"/>
  <c r="BH417" i="3"/>
  <c r="BG431" i="3"/>
  <c r="BH431" i="3"/>
  <c r="BG439" i="3"/>
  <c r="BH439" i="3"/>
  <c r="BG413" i="3"/>
  <c r="BH413" i="3"/>
  <c r="HH9" i="3"/>
  <c r="HI9" i="3" s="1"/>
  <c r="HJ9" i="3" s="1"/>
  <c r="HL9" i="3" s="1"/>
  <c r="BG427" i="3"/>
  <c r="BH427" i="3"/>
  <c r="BG432" i="3"/>
  <c r="BH432" i="3"/>
  <c r="BG443" i="3"/>
  <c r="BH443" i="3"/>
  <c r="BG451" i="3"/>
  <c r="BH451" i="3"/>
  <c r="BG366" i="3"/>
  <c r="BH366" i="3"/>
  <c r="BG377" i="3"/>
  <c r="BH377" i="3"/>
  <c r="BG395" i="3"/>
  <c r="BH395" i="3"/>
  <c r="BG387" i="3"/>
  <c r="BH387" i="3"/>
  <c r="BG456" i="3"/>
  <c r="BH456" i="3"/>
  <c r="BG433" i="3"/>
  <c r="BH433" i="3"/>
  <c r="BG423" i="3"/>
  <c r="BH423" i="3"/>
  <c r="BG442" i="3"/>
  <c r="BH442" i="3"/>
  <c r="BG429" i="3"/>
  <c r="BH429" i="3"/>
  <c r="BG411" i="3"/>
  <c r="BH411" i="3"/>
  <c r="BG419" i="3"/>
  <c r="BH419" i="3"/>
  <c r="BG446" i="3"/>
  <c r="BH446" i="3"/>
  <c r="BG438" i="3"/>
  <c r="BH438" i="3"/>
  <c r="BG359" i="3"/>
  <c r="BH359" i="3"/>
  <c r="BG364" i="3"/>
  <c r="BH364" i="3"/>
  <c r="BG389" i="3"/>
  <c r="BH389" i="3"/>
  <c r="BG403" i="3"/>
  <c r="BH403" i="3"/>
  <c r="BG393" i="3"/>
  <c r="BH393" i="3"/>
  <c r="BG447" i="3"/>
  <c r="BH447" i="3"/>
  <c r="BG410" i="3"/>
  <c r="BH410" i="3"/>
  <c r="BG445" i="3"/>
  <c r="BH445" i="3"/>
  <c r="BG430" i="3"/>
  <c r="BH430" i="3"/>
  <c r="BG422" i="3"/>
  <c r="BH422" i="3"/>
  <c r="BG437" i="3"/>
  <c r="BH437" i="3"/>
  <c r="BG454" i="3"/>
  <c r="BH454" i="3"/>
  <c r="BG357" i="3"/>
  <c r="BH357" i="3"/>
  <c r="BG380" i="3"/>
  <c r="BH380" i="3"/>
  <c r="BG405" i="3"/>
  <c r="BH405" i="3"/>
  <c r="BG390" i="3"/>
  <c r="BH390" i="3"/>
  <c r="BG385" i="3"/>
  <c r="BH385" i="3"/>
  <c r="BG418" i="3"/>
  <c r="BH418" i="3"/>
  <c r="BG414" i="3"/>
  <c r="BH414" i="3"/>
  <c r="BG409" i="3"/>
  <c r="BH409" i="3"/>
  <c r="BG453" i="3"/>
  <c r="BH453" i="3"/>
  <c r="BG441" i="3"/>
  <c r="BH441" i="3"/>
  <c r="BG360" i="3"/>
  <c r="BH360" i="3"/>
  <c r="BG367" i="3"/>
  <c r="BH367" i="3"/>
  <c r="BG382" i="3"/>
  <c r="BH382" i="3"/>
  <c r="BG406" i="3"/>
  <c r="BH406" i="3"/>
  <c r="HK9" i="3" l="1"/>
  <c r="HQ9" i="3" s="1"/>
  <c r="HR9" i="3" s="1"/>
  <c r="HF10" i="3" s="1"/>
  <c r="AP12" i="3"/>
  <c r="AP14" i="3"/>
  <c r="AP17" i="3"/>
  <c r="AP16" i="3"/>
  <c r="AP13" i="3"/>
  <c r="AP11" i="3"/>
  <c r="AP8" i="3"/>
  <c r="AP5" i="3"/>
  <c r="AP9" i="3"/>
  <c r="AP7" i="3"/>
  <c r="AP18" i="3"/>
  <c r="AP10" i="3"/>
  <c r="AP6" i="3"/>
  <c r="AP15" i="3"/>
  <c r="C432" i="1"/>
  <c r="D432" i="1" s="1"/>
  <c r="AP30" i="3"/>
  <c r="AP33" i="3"/>
  <c r="AP31" i="3"/>
  <c r="AP24" i="3"/>
  <c r="AP22" i="3"/>
  <c r="AP27" i="3"/>
  <c r="AP26" i="3"/>
  <c r="AP20" i="3"/>
  <c r="AP32" i="3"/>
  <c r="AP25" i="3"/>
  <c r="AP23" i="3"/>
  <c r="AP21" i="3"/>
  <c r="AP28" i="3"/>
  <c r="AP29" i="3"/>
  <c r="C431" i="1"/>
  <c r="D431" i="1" s="1"/>
  <c r="D435" i="1" l="1"/>
  <c r="C435" i="1" s="1"/>
  <c r="C441" i="1" s="1"/>
  <c r="D441" i="1" s="1"/>
  <c r="HG10" i="3"/>
  <c r="HP10" i="3"/>
  <c r="HN10" i="3"/>
  <c r="HO10" i="3"/>
  <c r="C442" i="1" l="1"/>
  <c r="D442" i="1" s="1"/>
  <c r="DQ6" i="3" s="1"/>
  <c r="C444" i="1"/>
  <c r="D444" i="1" s="1"/>
  <c r="DQ8" i="3" s="1"/>
  <c r="C443" i="1"/>
  <c r="D443" i="1" s="1"/>
  <c r="DQ7" i="3" s="1"/>
  <c r="C445" i="1"/>
  <c r="D445" i="1" s="1"/>
  <c r="HH10" i="3"/>
  <c r="HI10" i="3" s="1"/>
  <c r="DQ9" i="3"/>
  <c r="DQ5" i="3"/>
  <c r="C448" i="1" l="1"/>
  <c r="C447" i="1"/>
  <c r="C454" i="1"/>
  <c r="H32" i="1" s="1"/>
  <c r="B31" i="2" s="1"/>
  <c r="HJ10" i="3"/>
  <c r="HL10" i="3" s="1"/>
  <c r="HK10" i="3"/>
  <c r="C455" i="1"/>
  <c r="C456" i="1" s="1"/>
  <c r="H55" i="1" s="1"/>
  <c r="B54" i="2" s="1"/>
  <c r="C457" i="1"/>
  <c r="C459" i="1"/>
  <c r="C468" i="1"/>
  <c r="C469" i="1" s="1"/>
  <c r="H61" i="1" s="1"/>
  <c r="B60" i="2" s="1"/>
  <c r="C458" i="1"/>
  <c r="C471" i="1"/>
  <c r="C472" i="1" s="1"/>
  <c r="C473" i="1" s="1"/>
  <c r="H62" i="1" s="1"/>
  <c r="B61" i="2" s="1"/>
  <c r="HQ10" i="3" l="1"/>
  <c r="HR10" i="3" s="1"/>
  <c r="HF11" i="3" s="1"/>
  <c r="HP11" i="3" s="1"/>
  <c r="C460" i="1"/>
  <c r="H56" i="1" s="1"/>
  <c r="B55" i="2" s="1"/>
  <c r="HO11" i="3" l="1"/>
  <c r="HG11" i="3"/>
  <c r="HH11" i="3" s="1"/>
  <c r="HI11" i="3" s="1"/>
  <c r="HN11" i="3"/>
  <c r="HJ11" i="3" l="1"/>
  <c r="HL11" i="3" s="1"/>
  <c r="HK11" i="3"/>
  <c r="HQ11" i="3" l="1"/>
  <c r="HR11" i="3" s="1"/>
  <c r="HF12" i="3" s="1"/>
  <c r="HG12" i="3" s="1"/>
  <c r="HO12" i="3" l="1"/>
  <c r="HN12" i="3"/>
  <c r="HP12" i="3"/>
  <c r="HH12" i="3"/>
  <c r="HI12" i="3" s="1"/>
  <c r="HJ12" i="3" l="1"/>
  <c r="HL12" i="3" s="1"/>
  <c r="HK12" i="3"/>
  <c r="HQ12" i="3" l="1"/>
  <c r="HR12" i="3" s="1"/>
  <c r="HF13" i="3" s="1"/>
  <c r="HP13" i="3" s="1"/>
  <c r="HO13" i="3" l="1"/>
  <c r="HG13" i="3"/>
  <c r="HH13" i="3" s="1"/>
  <c r="HI13" i="3" s="1"/>
  <c r="HN13" i="3"/>
  <c r="HJ13" i="3" l="1"/>
  <c r="HL13" i="3" s="1"/>
  <c r="HK13" i="3"/>
  <c r="HQ13" i="3" l="1"/>
  <c r="HR13" i="3" s="1"/>
  <c r="HF14" i="3" s="1"/>
  <c r="HG14" i="3" s="1"/>
  <c r="HO14" i="3" l="1"/>
  <c r="HN14" i="3"/>
  <c r="HP14" i="3"/>
  <c r="HH14" i="3"/>
  <c r="HI14" i="3" s="1"/>
  <c r="HJ14" i="3" l="1"/>
  <c r="HL14" i="3" s="1"/>
  <c r="HK14" i="3"/>
  <c r="HQ14" i="3" l="1"/>
  <c r="HR14" i="3" s="1"/>
  <c r="HF15" i="3" s="1"/>
  <c r="HP15" i="3" l="1"/>
  <c r="HN15" i="3"/>
  <c r="HG15" i="3"/>
  <c r="HO15" i="3"/>
  <c r="HH15" i="3" l="1"/>
  <c r="HI15" i="3" s="1"/>
  <c r="HJ15" i="3" l="1"/>
  <c r="HL15" i="3" s="1"/>
  <c r="HK15" i="3"/>
  <c r="HQ15" i="3" l="1"/>
  <c r="HR15" i="3" s="1"/>
  <c r="HF16" i="3" s="1"/>
  <c r="HG16" i="3" s="1"/>
  <c r="HO16" i="3" l="1"/>
  <c r="HN16" i="3"/>
  <c r="HP16" i="3"/>
  <c r="HH16" i="3"/>
  <c r="HI16" i="3" s="1"/>
  <c r="HJ16" i="3" l="1"/>
  <c r="HL16" i="3" s="1"/>
  <c r="HK16" i="3"/>
  <c r="HQ16" i="3" l="1"/>
  <c r="HR16" i="3" s="1"/>
  <c r="HF17" i="3" s="1"/>
  <c r="HG17" i="3" s="1"/>
  <c r="HP17" i="3" l="1"/>
  <c r="HO17" i="3"/>
  <c r="HN17" i="3"/>
  <c r="HH17" i="3"/>
  <c r="HI17" i="3" s="1"/>
  <c r="HJ17" i="3" l="1"/>
  <c r="HL17" i="3" s="1"/>
  <c r="HK17" i="3"/>
  <c r="HQ17" i="3" l="1"/>
  <c r="HR17" i="3" s="1"/>
  <c r="HF18" i="3" s="1"/>
  <c r="HG18" i="3" s="1"/>
  <c r="HO18" i="3" l="1"/>
  <c r="HN18" i="3"/>
  <c r="HP18" i="3"/>
  <c r="HH18" i="3"/>
  <c r="HI18" i="3" s="1"/>
  <c r="HJ18" i="3" l="1"/>
  <c r="HL18" i="3" s="1"/>
  <c r="HK18" i="3"/>
  <c r="HQ18" i="3" l="1"/>
  <c r="HR18" i="3" s="1"/>
  <c r="HF19" i="3" s="1"/>
  <c r="HP19" i="3" s="1"/>
  <c r="HO19" i="3" l="1"/>
  <c r="HG19" i="3"/>
  <c r="HH19" i="3" s="1"/>
  <c r="HI19" i="3" s="1"/>
  <c r="HN19" i="3"/>
  <c r="HJ19" i="3" l="1"/>
  <c r="HL19" i="3" s="1"/>
  <c r="HK19" i="3"/>
  <c r="HQ19" i="3" l="1"/>
  <c r="HR19" i="3" s="1"/>
  <c r="HF20" i="3" s="1"/>
  <c r="HG20" i="3" s="1"/>
  <c r="HO20" i="3" l="1"/>
  <c r="HN20" i="3"/>
  <c r="HP20" i="3"/>
  <c r="HH20" i="3"/>
  <c r="HI20" i="3" s="1"/>
  <c r="HJ20" i="3" l="1"/>
  <c r="HL20" i="3" s="1"/>
  <c r="HK20" i="3"/>
  <c r="HQ20" i="3" l="1"/>
  <c r="HR20" i="3" s="1"/>
  <c r="HF21" i="3" s="1"/>
  <c r="HG21" i="3" s="1"/>
  <c r="HO21" i="3" l="1"/>
  <c r="HN21" i="3"/>
  <c r="HP21" i="3"/>
  <c r="HH21" i="3"/>
  <c r="HI21" i="3" s="1"/>
  <c r="HJ21" i="3" l="1"/>
  <c r="HL21" i="3" s="1"/>
  <c r="HK21" i="3"/>
  <c r="HQ21" i="3" l="1"/>
  <c r="HR21" i="3" s="1"/>
  <c r="HF22" i="3" s="1"/>
  <c r="HP22" i="3" s="1"/>
  <c r="HO22" i="3" l="1"/>
  <c r="HG22" i="3"/>
  <c r="HH22" i="3" s="1"/>
  <c r="HI22" i="3" s="1"/>
  <c r="HN22" i="3"/>
  <c r="HJ22" i="3" l="1"/>
  <c r="HL22" i="3" s="1"/>
  <c r="HK22" i="3"/>
  <c r="HQ22" i="3" l="1"/>
  <c r="HR22" i="3" s="1"/>
  <c r="HF23" i="3" s="1"/>
  <c r="HG23" i="3" s="1"/>
  <c r="HO23" i="3" l="1"/>
  <c r="HN23" i="3"/>
  <c r="HP23" i="3"/>
  <c r="HH23" i="3"/>
  <c r="HI23" i="3" s="1"/>
  <c r="HJ23" i="3" l="1"/>
  <c r="HL23" i="3" s="1"/>
  <c r="HK23" i="3"/>
  <c r="HQ23" i="3" l="1"/>
  <c r="HR23" i="3" s="1"/>
  <c r="HF24" i="3" s="1"/>
  <c r="HP24" i="3" s="1"/>
  <c r="HO24" i="3" l="1"/>
  <c r="HG24" i="3"/>
  <c r="HH24" i="3" s="1"/>
  <c r="HI24" i="3" s="1"/>
  <c r="HN24" i="3"/>
  <c r="HJ24" i="3" l="1"/>
  <c r="HL24" i="3" s="1"/>
  <c r="HK24" i="3"/>
  <c r="HQ24" i="3" l="1"/>
  <c r="HR24" i="3" s="1"/>
  <c r="HF25" i="3" s="1"/>
  <c r="HG25" i="3" s="1"/>
  <c r="HO25" i="3" l="1"/>
  <c r="HN25" i="3"/>
  <c r="HP25" i="3"/>
  <c r="HH25" i="3"/>
  <c r="HI25" i="3" s="1"/>
  <c r="HJ25" i="3" l="1"/>
  <c r="HL25" i="3" s="1"/>
  <c r="HK25" i="3"/>
  <c r="HQ25" i="3" l="1"/>
  <c r="HR25" i="3" s="1"/>
  <c r="HF26" i="3" s="1"/>
  <c r="HG26" i="3" s="1"/>
  <c r="HO26" i="3" l="1"/>
  <c r="HN26" i="3"/>
  <c r="HP26" i="3"/>
  <c r="HH26" i="3"/>
  <c r="HI26" i="3" s="1"/>
  <c r="HJ26" i="3" l="1"/>
  <c r="HL26" i="3" s="1"/>
  <c r="HK26" i="3"/>
  <c r="HQ26" i="3" l="1"/>
  <c r="HR26" i="3" s="1"/>
  <c r="HF27" i="3" s="1"/>
  <c r="HG27" i="3" s="1"/>
  <c r="HO27" i="3" l="1"/>
  <c r="HN27" i="3"/>
  <c r="HP27" i="3"/>
  <c r="HH27" i="3"/>
  <c r="HI27" i="3" s="1"/>
  <c r="HJ27" i="3" l="1"/>
  <c r="HL27" i="3" s="1"/>
  <c r="HK27" i="3"/>
  <c r="HQ27" i="3" l="1"/>
  <c r="HR27" i="3" s="1"/>
  <c r="HF28" i="3" s="1"/>
  <c r="HN28" i="3" s="1"/>
  <c r="HO28" i="3" l="1"/>
  <c r="HP28" i="3"/>
  <c r="HG28" i="3"/>
  <c r="HH28" i="3" s="1"/>
  <c r="HI28" i="3" s="1"/>
  <c r="HJ28" i="3" l="1"/>
  <c r="HL28" i="3" s="1"/>
  <c r="HK28" i="3"/>
  <c r="HQ28" i="3" l="1"/>
  <c r="HR28" i="3" s="1"/>
  <c r="HF29" i="3" s="1"/>
  <c r="HG29" i="3" s="1"/>
  <c r="HO29" i="3" l="1"/>
  <c r="HP29" i="3"/>
  <c r="HN29" i="3"/>
  <c r="HH29" i="3"/>
  <c r="HI29" i="3" s="1"/>
  <c r="HJ29" i="3" l="1"/>
  <c r="HL29" i="3" s="1"/>
  <c r="HK29" i="3"/>
  <c r="HQ29" i="3" l="1"/>
  <c r="HR29" i="3" s="1"/>
  <c r="HF30" i="3" s="1"/>
  <c r="HN30" i="3" s="1"/>
  <c r="HO30" i="3" l="1"/>
  <c r="HP30" i="3"/>
  <c r="HG30" i="3"/>
  <c r="HH30" i="3" s="1"/>
  <c r="HI30" i="3" s="1"/>
  <c r="HJ30" i="3" l="1"/>
  <c r="HL30" i="3" s="1"/>
  <c r="HK30" i="3"/>
  <c r="HQ30" i="3" l="1"/>
  <c r="HR30" i="3" s="1"/>
  <c r="HF31" i="3" s="1"/>
  <c r="HP31" i="3" s="1"/>
  <c r="HO31" i="3" l="1"/>
  <c r="HG31" i="3"/>
  <c r="HH31" i="3" s="1"/>
  <c r="HI31" i="3" s="1"/>
  <c r="HN31" i="3"/>
  <c r="HJ31" i="3" l="1"/>
  <c r="HL31" i="3" s="1"/>
  <c r="HK31" i="3"/>
  <c r="HQ31" i="3" l="1"/>
  <c r="HR31" i="3" s="1"/>
  <c r="HF32" i="3" s="1"/>
  <c r="HG32" i="3" s="1"/>
  <c r="HO32" i="3" l="1"/>
  <c r="HN32" i="3"/>
  <c r="HP32" i="3"/>
  <c r="HH32" i="3"/>
  <c r="HI32" i="3" s="1"/>
  <c r="HJ32" i="3" l="1"/>
  <c r="HL32" i="3" s="1"/>
  <c r="HK32" i="3"/>
  <c r="HQ32" i="3" l="1"/>
  <c r="HR32" i="3" s="1"/>
  <c r="HF33" i="3" s="1"/>
  <c r="HN33" i="3" s="1"/>
  <c r="HO33" i="3" l="1"/>
  <c r="HG33" i="3"/>
  <c r="HH33" i="3" s="1"/>
  <c r="HI33" i="3" s="1"/>
  <c r="HP33" i="3"/>
  <c r="HJ33" i="3" l="1"/>
  <c r="HL33" i="3" s="1"/>
  <c r="HK33" i="3"/>
  <c r="HQ33" i="3" l="1"/>
  <c r="HR33" i="3" s="1"/>
  <c r="HF34" i="3" s="1"/>
  <c r="HN34" i="3" s="1"/>
  <c r="HO34" i="3" l="1"/>
  <c r="HG34" i="3"/>
  <c r="HH34" i="3" s="1"/>
  <c r="HI34" i="3" s="1"/>
  <c r="HP34" i="3"/>
  <c r="HJ34" i="3" l="1"/>
  <c r="HL34" i="3" s="1"/>
  <c r="HK34" i="3"/>
  <c r="HQ34" i="3" l="1"/>
  <c r="HR34" i="3" s="1"/>
  <c r="HF35" i="3" s="1"/>
  <c r="HG35" i="3" l="1"/>
  <c r="HN35" i="3"/>
  <c r="HP35" i="3"/>
  <c r="HO35" i="3"/>
  <c r="HH35" i="3" l="1"/>
  <c r="HI35" i="3" s="1"/>
  <c r="HJ35" i="3" l="1"/>
  <c r="HL35" i="3" s="1"/>
  <c r="HK35" i="3"/>
  <c r="HQ35" i="3" l="1"/>
  <c r="HR35" i="3" s="1"/>
  <c r="HF36" i="3" s="1"/>
  <c r="HG36" i="3" s="1"/>
  <c r="HO36" i="3" l="1"/>
  <c r="HN36" i="3"/>
  <c r="HP36" i="3"/>
  <c r="HH36" i="3"/>
  <c r="HI36" i="3" s="1"/>
  <c r="HJ36" i="3" l="1"/>
  <c r="HL36" i="3" s="1"/>
  <c r="HK36" i="3"/>
  <c r="HQ36" i="3" l="1"/>
  <c r="HR36" i="3" s="1"/>
  <c r="HF37" i="3" s="1"/>
  <c r="HG37" i="3" s="1"/>
  <c r="HO37" i="3" l="1"/>
  <c r="HN37" i="3"/>
  <c r="HP37" i="3"/>
  <c r="HH37" i="3"/>
  <c r="HI37" i="3" s="1"/>
  <c r="HJ37" i="3" l="1"/>
  <c r="HL37" i="3" s="1"/>
  <c r="HK37" i="3"/>
  <c r="HQ37" i="3" l="1"/>
  <c r="HR37" i="3" s="1"/>
  <c r="HF38" i="3" s="1"/>
  <c r="HG38" i="3" s="1"/>
  <c r="HO38" i="3" l="1"/>
  <c r="HN38" i="3"/>
  <c r="HP38" i="3"/>
  <c r="HH38" i="3"/>
  <c r="HI38" i="3" s="1"/>
  <c r="HJ38" i="3" l="1"/>
  <c r="HL38" i="3" s="1"/>
  <c r="HK38" i="3"/>
  <c r="HQ38" i="3" l="1"/>
  <c r="HR38" i="3" s="1"/>
  <c r="HF39" i="3" s="1"/>
  <c r="HG39" i="3" s="1"/>
  <c r="HO39" i="3" l="1"/>
  <c r="HN39" i="3"/>
  <c r="HP39" i="3"/>
  <c r="HH39" i="3"/>
  <c r="HI39" i="3" s="1"/>
  <c r="HJ39" i="3" l="1"/>
  <c r="HL39" i="3" s="1"/>
  <c r="HK39" i="3"/>
  <c r="HQ39" i="3" l="1"/>
  <c r="HR39" i="3" s="1"/>
  <c r="HF40" i="3" s="1"/>
  <c r="HG40" i="3" s="1"/>
  <c r="HO40" i="3" l="1"/>
  <c r="HN40" i="3"/>
  <c r="HP40" i="3"/>
  <c r="HH40" i="3"/>
  <c r="HI40" i="3" s="1"/>
  <c r="HJ40" i="3" l="1"/>
  <c r="HL40" i="3" s="1"/>
  <c r="HK40" i="3"/>
  <c r="HQ40" i="3" l="1"/>
  <c r="HR40" i="3" s="1"/>
  <c r="HF41" i="3" s="1"/>
  <c r="HG41" i="3" s="1"/>
  <c r="HO41" i="3" l="1"/>
  <c r="HN41" i="3"/>
  <c r="HP41" i="3"/>
  <c r="HH41" i="3"/>
  <c r="HI41" i="3" s="1"/>
  <c r="HJ41" i="3" l="1"/>
  <c r="HL41" i="3" s="1"/>
  <c r="HK41" i="3"/>
  <c r="HQ41" i="3" l="1"/>
  <c r="HR41" i="3" s="1"/>
  <c r="HF42" i="3" s="1"/>
  <c r="HP42" i="3" s="1"/>
  <c r="HO42" i="3" l="1"/>
  <c r="HG42" i="3"/>
  <c r="HH42" i="3" s="1"/>
  <c r="HI42" i="3" s="1"/>
  <c r="HN42" i="3"/>
  <c r="HJ42" i="3" l="1"/>
  <c r="HL42" i="3" s="1"/>
  <c r="HK42" i="3"/>
  <c r="HQ42" i="3" l="1"/>
  <c r="HR42" i="3" s="1"/>
  <c r="HF43" i="3" s="1"/>
  <c r="HP43" i="3" s="1"/>
  <c r="HO43" i="3" l="1"/>
  <c r="HG43" i="3"/>
  <c r="HH43" i="3" s="1"/>
  <c r="HI43" i="3" s="1"/>
  <c r="HN43" i="3"/>
  <c r="HJ43" i="3" l="1"/>
  <c r="HL43" i="3" s="1"/>
  <c r="HK43" i="3"/>
  <c r="HQ43" i="3" l="1"/>
  <c r="HR43" i="3" s="1"/>
  <c r="HF44" i="3" s="1"/>
  <c r="HG44" i="3" s="1"/>
  <c r="HO44" i="3" l="1"/>
  <c r="HN44" i="3"/>
  <c r="HP44" i="3"/>
  <c r="HH44" i="3"/>
  <c r="HI44" i="3" s="1"/>
  <c r="HJ44" i="3" l="1"/>
  <c r="HL44" i="3" s="1"/>
  <c r="HK44" i="3"/>
  <c r="HQ44" i="3" l="1"/>
  <c r="HR44" i="3" s="1"/>
  <c r="C195" i="1" s="1"/>
</calcChain>
</file>

<file path=xl/sharedStrings.xml><?xml version="1.0" encoding="utf-8"?>
<sst xmlns="http://schemas.openxmlformats.org/spreadsheetml/2006/main" count="2188" uniqueCount="1570">
  <si>
    <t>AIRCRAFT PRELIMINARY SIZING  -  change the yellow cells; every value and drawing recalculates</t>
  </si>
  <si>
    <t>All variables are in columns A-E, colour coded by discipline (key below the results panel). Key results are in G-I. Drawings are to the right (column K onward).</t>
  </si>
  <si>
    <t>1. REQUIRED PARAMETERS</t>
  </si>
  <si>
    <t>Name</t>
  </si>
  <si>
    <t>Value</t>
  </si>
  <si>
    <t>Unit</t>
  </si>
  <si>
    <t>Method / note</t>
  </si>
  <si>
    <t>KEY RESULTS</t>
  </si>
  <si>
    <t>Aspect ratio</t>
  </si>
  <si>
    <t>AR_</t>
  </si>
  <si>
    <t>-</t>
  </si>
  <si>
    <t>AR   [used by: wing sizing, constraints]</t>
  </si>
  <si>
    <t>Max take-off mass (MTOM)</t>
  </si>
  <si>
    <t>Oswald efficiency factor</t>
  </si>
  <si>
    <t>e_os</t>
  </si>
  <si>
    <t>e   [used by: constraints, weight]</t>
  </si>
  <si>
    <t>Operating empty mass</t>
  </si>
  <si>
    <t>Zero-lift drag coefficient (clean)</t>
  </si>
  <si>
    <t>CD_0</t>
  </si>
  <si>
    <t>CDo   [used by: constraints, weight]</t>
  </si>
  <si>
    <t>Mission fuel (design mission)</t>
  </si>
  <si>
    <t>Maximum payload</t>
  </si>
  <si>
    <t>PyldMax</t>
  </si>
  <si>
    <t>kg</t>
  </si>
  <si>
    <t>PyldMax - sets MZFW and the max-payload range point   [used by: weight, payload-range]</t>
  </si>
  <si>
    <t>Design payload</t>
  </si>
  <si>
    <t>Take-off distance available</t>
  </si>
  <si>
    <t>TODA</t>
  </si>
  <si>
    <t>m</t>
  </si>
  <si>
    <t>TODA - balanced take-off field length   [used by: take-off constraint]</t>
  </si>
  <si>
    <t>Design wing loading W/S</t>
  </si>
  <si>
    <t>Landing distance available</t>
  </si>
  <si>
    <t>LDA</t>
  </si>
  <si>
    <t>LDA - landing field length   [used by: landing constraint]</t>
  </si>
  <si>
    <t>Design wing loading m/S</t>
  </si>
  <si>
    <t>CLmax, take-off configuration</t>
  </si>
  <si>
    <t>CLmaxTO</t>
  </si>
  <si>
    <t>'Takeoff' - ASSUMED to mean CLmax in take-off configuration   [used by: take-off and climb constraints]</t>
  </si>
  <si>
    <t>Design thrust-to-weight T/W (SL static)</t>
  </si>
  <si>
    <t>CLmax, landing configuration</t>
  </si>
  <si>
    <t>CLmaxL</t>
  </si>
  <si>
    <t>'Landing' - ASSUMED to mean CLmax in landing configuration   [used by: landing and climb constraints]</t>
  </si>
  <si>
    <t>Critical constraint</t>
  </si>
  <si>
    <t>Cruise thrust lapse  T_cruise / T_SL,static</t>
  </si>
  <si>
    <t>alpha_cr</t>
  </si>
  <si>
    <t>acr - ASSUMED to be the thrust lapse ratio used in the cruise constraint   [used by: cruise constraint, engine sizing]</t>
  </si>
  <si>
    <t>Wing area S</t>
  </si>
  <si>
    <t>Cruise Mach number</t>
  </si>
  <si>
    <t>MCR</t>
  </si>
  <si>
    <t>MCR   [used by: cruise constraint, wing sweep, weight]</t>
  </si>
  <si>
    <t>Wing span b</t>
  </si>
  <si>
    <t>Thrust-specific fuel consumption in cruise</t>
  </si>
  <si>
    <t>TSFC_in</t>
  </si>
  <si>
    <t>1/h</t>
  </si>
  <si>
    <t>TSFCcr - pick the unit in column D (1/h = lb/lbf/h = kg/kgf/h)   [used by: weight (fuel), payload-range]</t>
  </si>
  <si>
    <t>Mean aerodynamic chord</t>
  </si>
  <si>
    <t>Typical passenger count</t>
  </si>
  <si>
    <t>PaxTyp</t>
  </si>
  <si>
    <t>pax</t>
  </si>
  <si>
    <t>PaxTyp   [used by: fuselage and cabin, weight]</t>
  </si>
  <si>
    <t>Quarter-chord sweep</t>
  </si>
  <si>
    <t>deg</t>
  </si>
  <si>
    <t>Design range with typical payload</t>
  </si>
  <si>
    <t>RangeTyp</t>
  </si>
  <si>
    <t>km</t>
  </si>
  <si>
    <t>RangeTyp - pick km or nm in column D   [used by: weight (fuel)]</t>
  </si>
  <si>
    <t>Total SL static thrust</t>
  </si>
  <si>
    <t>Typical passenger payload (total)</t>
  </si>
  <si>
    <t>PayPax</t>
  </si>
  <si>
    <t>Payload_typPax - TOTAL payload of the typical passenger load, in kg (not per passenger)   [used by: weight (payload)]</t>
  </si>
  <si>
    <t>Thrust per engine</t>
  </si>
  <si>
    <t>Cruise L/D</t>
  </si>
  <si>
    <t>2. SECONDARY ASSUMPTIONS (defaults - edit if your brief specifies them)</t>
  </si>
  <si>
    <t>Fuselage length</t>
  </si>
  <si>
    <t>Cruise altitude</t>
  </si>
  <si>
    <t>h_cr</t>
  </si>
  <si>
    <t>35 000 ft. ISA atmosphere</t>
  </si>
  <si>
    <t>Fuselage outer diameter</t>
  </si>
  <si>
    <t>Airport altitude</t>
  </si>
  <si>
    <t>h_apt</t>
  </si>
  <si>
    <t>ISA; must be below 11 000 m</t>
  </si>
  <si>
    <t>Seats abreast x rows</t>
  </si>
  <si>
    <t>Units shown in the key results panel</t>
  </si>
  <si>
    <t>unit_sys</t>
  </si>
  <si>
    <t>SI</t>
  </si>
  <si>
    <t>SI or Imperial (lb, ft, nm, lbf)</t>
  </si>
  <si>
    <t>Horizontal tail area</t>
  </si>
  <si>
    <t>Empty weight method</t>
  </si>
  <si>
    <t>ew_mode</t>
  </si>
  <si>
    <t>Fraction</t>
  </si>
  <si>
    <t>Fraction = guessed We/W0 (section 4). Build-up = component weights (section 12) fed back into the take-off mass</t>
  </si>
  <si>
    <t>Vertical tail area</t>
  </si>
  <si>
    <t>Automatic wing placement</t>
  </si>
  <si>
    <t>wing_auto</t>
  </si>
  <si>
    <t>Yes</t>
  </si>
  <si>
    <t>Yes = the wing is positioned to give the target static margin. No = use the manual position below</t>
  </si>
  <si>
    <t>Main gear: struts x wheels per strut</t>
  </si>
  <si>
    <t>Target static margin at the most aft CG</t>
  </si>
  <si>
    <t>SM_target</t>
  </si>
  <si>
    <t>MAC</t>
  </si>
  <si>
    <t>Used by the automatic wing placement</t>
  </si>
  <si>
    <t>Main tyre diameter x width</t>
  </si>
  <si>
    <t>Business-class share of passengers</t>
  </si>
  <si>
    <t>bus_frac</t>
  </si>
  <si>
    <t>0 = single class. Business seats are fewer abreast, at the pitch below</t>
  </si>
  <si>
    <t>Range with maximum payload</t>
  </si>
  <si>
    <t>Business seat pitch</t>
  </si>
  <si>
    <t>bus_pitch</t>
  </si>
  <si>
    <t>38 in</t>
  </si>
  <si>
    <t>Take-off field length achieved</t>
  </si>
  <si>
    <t>Number of engines</t>
  </si>
  <si>
    <t>N_eng</t>
  </si>
  <si>
    <t>2, 3 or 4 - drives the one-engine-inoperative climb constraints</t>
  </si>
  <si>
    <t>Landing field length achieved</t>
  </si>
  <si>
    <t>Max landing mass / max take-off mass</t>
  </si>
  <si>
    <t>ML_ratio</t>
  </si>
  <si>
    <t>Typical 0.75 (long range) to 0.95 (short range)</t>
  </si>
  <si>
    <t>Service ceiling</t>
  </si>
  <si>
    <t>Residual climb rate at top of climb</t>
  </si>
  <si>
    <t>ROC_cr</t>
  </si>
  <si>
    <t>m/s</t>
  </si>
  <si>
    <t>300 ft/min; set 0 for a pure level-cruise constraint</t>
  </si>
  <si>
    <t>Time to climb to cruise altitude</t>
  </si>
  <si>
    <t>min</t>
  </si>
  <si>
    <t>Landing field coefficient k_L</t>
  </si>
  <si>
    <t>k_L</t>
  </si>
  <si>
    <t>kg/m3</t>
  </si>
  <si>
    <t>Loftin/Scholz: m_ML/S = k_L * sigma * CLmaxL * LDA  (V_app = 1.70*sqrt(LDA))</t>
  </si>
  <si>
    <t>Design limit load factor</t>
  </si>
  <si>
    <t>Take-off field coefficient k_TO</t>
  </si>
  <si>
    <t>k_TO</t>
  </si>
  <si>
    <t>m3/kg</t>
  </si>
  <si>
    <t>Loftin/Scholz: (T/W)/(m/S) = k_TO / (TODA * sigma * CLmaxTO)</t>
  </si>
  <si>
    <t>Static margin at MTOM</t>
  </si>
  <si>
    <t>Landing gear drag increment (landing climb)</t>
  </si>
  <si>
    <t>dCD0_gear</t>
  </si>
  <si>
    <t>FAR 25 missed approach is flown gear-down</t>
  </si>
  <si>
    <t>CDo from drag build-up</t>
  </si>
  <si>
    <t>Fuel fraction: engine start &amp; taxi</t>
  </si>
  <si>
    <t>ff_taxi</t>
  </si>
  <si>
    <t>Historical regression constant</t>
  </si>
  <si>
    <t>Empty mass from component build-up</t>
  </si>
  <si>
    <t>Fuel fraction: take-off</t>
  </si>
  <si>
    <t>ff_TO</t>
  </si>
  <si>
    <t>Cost per seat-kilometre</t>
  </si>
  <si>
    <t>US cents</t>
  </si>
  <si>
    <t>Fuel fraction: climb</t>
  </si>
  <si>
    <t>ff_climb</t>
  </si>
  <si>
    <t>Closest real aircraft</t>
  </si>
  <si>
    <t>Fuel fraction: descent</t>
  </si>
  <si>
    <t>ff_desc</t>
  </si>
  <si>
    <t>Balanced field length (Raymer)</t>
  </si>
  <si>
    <t>Fuel fraction: reserves / hold</t>
  </si>
  <si>
    <t>ff_res</t>
  </si>
  <si>
    <t>Best initial cruise altitude</t>
  </si>
  <si>
    <t>Reserve and trapped fuel factor</t>
  </si>
  <si>
    <t>k_res</t>
  </si>
  <si>
    <t>Raymer: Wf/W0 = 1.06 * (1 - Mff)</t>
  </si>
  <si>
    <t>CO2 per seat-kilometre</t>
  </si>
  <si>
    <t>g</t>
  </si>
  <si>
    <t>Aircraft type for the empty weight guess</t>
  </si>
  <si>
    <t>ac_type</t>
  </si>
  <si>
    <t>Auto</t>
  </si>
  <si>
    <t>Auto = chosen from PaxTyp and MCR. Or pick a type from the list (table in section 4)</t>
  </si>
  <si>
    <t>Main tyre pressure</t>
  </si>
  <si>
    <t>MPa</t>
  </si>
  <si>
    <t>Custom empty weight coefficient A</t>
  </si>
  <si>
    <t>A_cust</t>
  </si>
  <si>
    <t>Only used when the aircraft type is Custom (W0 in kg)</t>
  </si>
  <si>
    <t>Requirements met</t>
  </si>
  <si>
    <t>Custom empty weight exponent C</t>
  </si>
  <si>
    <t>C_cust</t>
  </si>
  <si>
    <t>Only used when the aircraft type is Custom</t>
  </si>
  <si>
    <t>Flight crew</t>
  </si>
  <si>
    <t>N_flight</t>
  </si>
  <si>
    <t>CHECKS</t>
  </si>
  <si>
    <t>Passengers per cabin crew member</t>
  </si>
  <si>
    <t>pax_per_cc</t>
  </si>
  <si>
    <t>Regulatory minimum is 1 per 50 seats</t>
  </si>
  <si>
    <t>Weight iteration</t>
  </si>
  <si>
    <t>Mass per crew member incl. baggage</t>
  </si>
  <si>
    <t>m_crew</t>
  </si>
  <si>
    <t>Max payload &gt;= design payload</t>
  </si>
  <si>
    <t>Wing taper ratio</t>
  </si>
  <si>
    <t>taper</t>
  </si>
  <si>
    <t>Payload per passenger plausible</t>
  </si>
  <si>
    <t>Wing dihedral</t>
  </si>
  <si>
    <t>dihedral</t>
  </si>
  <si>
    <t>Low-wing transport</t>
  </si>
  <si>
    <t>Wing aerodynamic centre / fuselage length (manual)</t>
  </si>
  <si>
    <t>xw_in</t>
  </si>
  <si>
    <t>Used only when automatic wing placement is set to No</t>
  </si>
  <si>
    <t>Wing fuel volume</t>
  </si>
  <si>
    <t>Korn technology factor</t>
  </si>
  <si>
    <t>kappa</t>
  </si>
  <si>
    <t>0.95 supercritical, 0.87 conventional aerofoil</t>
  </si>
  <si>
    <t>Gear tip-back angle &gt;= 15 deg</t>
  </si>
  <si>
    <t>Fuel density</t>
  </si>
  <si>
    <t>rho_fuel</t>
  </si>
  <si>
    <t>Jet A-1</t>
  </si>
  <si>
    <t>Engine ground clearance</t>
  </si>
  <si>
    <t>Seat width incl. armrest share</t>
  </si>
  <si>
    <t>seat_w</t>
  </si>
  <si>
    <t>Economy</t>
  </si>
  <si>
    <t>Thrust lapse / TSFC unit plausibility</t>
  </si>
  <si>
    <t>Aisle width</t>
  </si>
  <si>
    <t>aisle_w</t>
  </si>
  <si>
    <t>Take-off distance</t>
  </si>
  <si>
    <t>Seat pitch</t>
  </si>
  <si>
    <t>seat_pitch</t>
  </si>
  <si>
    <t>32 in economy</t>
  </si>
  <si>
    <t>Landing distance</t>
  </si>
  <si>
    <t>Door / galley zone length (each end)</t>
  </si>
  <si>
    <t>door_len</t>
  </si>
  <si>
    <t>Entry door, galley and crew seats at the front and rear of the cabin</t>
  </si>
  <si>
    <t>Lavatory size (square)</t>
  </si>
  <si>
    <t>lav_len</t>
  </si>
  <si>
    <t>Static stability</t>
  </si>
  <si>
    <t>Passengers per lavatory</t>
  </si>
  <si>
    <t>pax_per_lav</t>
  </si>
  <si>
    <t>Typical 40-60</t>
  </si>
  <si>
    <t>Gear position vs calculated CG</t>
  </si>
  <si>
    <t>Nose / cockpit length</t>
  </si>
  <si>
    <t>nose_len</t>
  </si>
  <si>
    <t>Scholz: fuselage length = cabin + 1.6 d + 4 m</t>
  </si>
  <si>
    <t>CDo input vs build-up</t>
  </si>
  <si>
    <t>Horizontal tail volume coefficient</t>
  </si>
  <si>
    <t>c_HT</t>
  </si>
  <si>
    <t>Raymer Table 6.4 jet transport</t>
  </si>
  <si>
    <t>Cargo hold volume</t>
  </si>
  <si>
    <t>Vertical tail volume coefficient</t>
  </si>
  <si>
    <t>c_VT</t>
  </si>
  <si>
    <t>Climb gradients (engine out)</t>
  </si>
  <si>
    <t>Tail arm / fuselage length</t>
  </si>
  <si>
    <t>arm_frac</t>
  </si>
  <si>
    <t>Raymer: 0.50-0.55 wing-mounted engines, 0.45-0.50 aft engines</t>
  </si>
  <si>
    <t>Balanced field length cross-check</t>
  </si>
  <si>
    <t>Horizontal tail aspect ratio</t>
  </si>
  <si>
    <t>AR_HT</t>
  </si>
  <si>
    <t>Trim on approach</t>
  </si>
  <si>
    <t>Vertical tail aspect ratio</t>
  </si>
  <si>
    <t>AR_VT</t>
  </si>
  <si>
    <t>Take-off rotation</t>
  </si>
  <si>
    <t>Horizontal tail taper ratio</t>
  </si>
  <si>
    <t>taper_HT</t>
  </si>
  <si>
    <t>Engine-failure control</t>
  </si>
  <si>
    <t>Vertical tail taper ratio</t>
  </si>
  <si>
    <t>taper_VT</t>
  </si>
  <si>
    <t>Crosswind control</t>
  </si>
  <si>
    <t>Engine bypass ratio</t>
  </si>
  <si>
    <t>BPR</t>
  </si>
  <si>
    <t>Used only for engine mass and size</t>
  </si>
  <si>
    <t>Seats drawn</t>
  </si>
  <si>
    <t>Inboard engine spanwise position / semi-span</t>
  </si>
  <si>
    <t>eta_in</t>
  </si>
  <si>
    <t>Wing-mounted engines</t>
  </si>
  <si>
    <t>Tailplane position</t>
  </si>
  <si>
    <t>Outboard engine spanwise position / semi-span</t>
  </si>
  <si>
    <t>eta_out</t>
  </si>
  <si>
    <t>Used with 4 engines. With 3 engines the third is on the tail centreline</t>
  </si>
  <si>
    <t>Tyre pressure and pavement loading</t>
  </si>
  <si>
    <t>Static load share on main gear</t>
  </si>
  <si>
    <t>main_frac</t>
  </si>
  <si>
    <t>Raymer: 0.85-0.92 (nose gear 8-15 %)</t>
  </si>
  <si>
    <t>Tyre load growth margin</t>
  </si>
  <si>
    <t>tyre_margin</t>
  </si>
  <si>
    <t>FAR 25 adds 7 %</t>
  </si>
  <si>
    <t>COLOUR KEY</t>
  </si>
  <si>
    <t>Nose tyre size / main tyre size</t>
  </si>
  <si>
    <t>nose_scale</t>
  </si>
  <si>
    <t>Raymer: 60-100 %</t>
  </si>
  <si>
    <t>Requirements (your parameters)</t>
  </si>
  <si>
    <t>data rows</t>
  </si>
  <si>
    <t>Wheelbase / fuselage length</t>
  </si>
  <si>
    <t>wb_frac</t>
  </si>
  <si>
    <t>Typical 0.33-0.42</t>
  </si>
  <si>
    <t>Assumptions</t>
  </si>
  <si>
    <t>CG height above ground / fuselage diameter</t>
  </si>
  <si>
    <t>hcg_fac</t>
  </si>
  <si>
    <t>Low-wing transport with underwing engines</t>
  </si>
  <si>
    <t>Constraint analysis: W/S and T/W</t>
  </si>
  <si>
    <t>Vertical touchdown speed</t>
  </si>
  <si>
    <t>V_vert</t>
  </si>
  <si>
    <t>FAR 25: 10 ft/s</t>
  </si>
  <si>
    <t>Weight estimation and payload-range</t>
  </si>
  <si>
    <t>Gear load factor</t>
  </si>
  <si>
    <t>N_gear</t>
  </si>
  <si>
    <t>Raymer: transports 2.7-3</t>
  </si>
  <si>
    <t>Wing sizing</t>
  </si>
  <si>
    <t>3D view: rotation about vertical axis</t>
  </si>
  <si>
    <t>view_az</t>
  </si>
  <si>
    <t>Change to rotate the 3D drawing (0 = side view)</t>
  </si>
  <si>
    <t>Fuselage and cabin</t>
  </si>
  <si>
    <t>3D view: elevation</t>
  </si>
  <si>
    <t>view_el</t>
  </si>
  <si>
    <t>Change to tilt the 3D drawing (90 = top view)</t>
  </si>
  <si>
    <t>Tail sizing</t>
  </si>
  <si>
    <t>Gravitational acceleration</t>
  </si>
  <si>
    <t>grav</t>
  </si>
  <si>
    <t>m/s2</t>
  </si>
  <si>
    <t>Engine requirements</t>
  </si>
  <si>
    <t>Sea-level air density</t>
  </si>
  <si>
    <t>rho_SL</t>
  </si>
  <si>
    <t>ISA</t>
  </si>
  <si>
    <t>Landing gear</t>
  </si>
  <si>
    <t>Layout geometry and drawings</t>
  </si>
  <si>
    <t>3. CONSTRAINT ANALYSIS - atmosphere and cruise condition</t>
  </si>
  <si>
    <t>Performance</t>
  </si>
  <si>
    <t>Cruise temperature</t>
  </si>
  <si>
    <t>T_cr</t>
  </si>
  <si>
    <t>K</t>
  </si>
  <si>
    <t>Weight breakdown, balance and stability</t>
  </si>
  <si>
    <t>Cruise density</t>
  </si>
  <si>
    <t>rho_cr</t>
  </si>
  <si>
    <t>Aerodynamics and controls</t>
  </si>
  <si>
    <t>Cruise speed of sound</t>
  </si>
  <si>
    <t>a_cr</t>
  </si>
  <si>
    <t>Operating cost</t>
  </si>
  <si>
    <t>Cruise true airspeed</t>
  </si>
  <si>
    <t>V_cr</t>
  </si>
  <si>
    <t>Comparison with real aircraft</t>
  </si>
  <si>
    <t>Cruise dynamic pressure</t>
  </si>
  <si>
    <t>q_cr</t>
  </si>
  <si>
    <t>Pa</t>
  </si>
  <si>
    <t>Airport density ratio sigma</t>
  </si>
  <si>
    <t>sigma</t>
  </si>
  <si>
    <t>Yellow cell = a value you enter</t>
  </si>
  <si>
    <t>Induced drag factor K</t>
  </si>
  <si>
    <t>K_ind</t>
  </si>
  <si>
    <t>CD = CD0 + K*CL^2</t>
  </si>
  <si>
    <t>Blue text = an editable input or constant</t>
  </si>
  <si>
    <t>Weight fraction at start of cruise</t>
  </si>
  <si>
    <t>beta_cr</t>
  </si>
  <si>
    <t>W_cruise / W_take-off</t>
  </si>
  <si>
    <t>Black text = calculated</t>
  </si>
  <si>
    <t>Cruise curve coefficient a</t>
  </si>
  <si>
    <t>cr_a</t>
  </si>
  <si>
    <t>N/m2</t>
  </si>
  <si>
    <t>Cruise T/W = a/(W/S) + b*(W/S) + c  (zero-lift drag term)</t>
  </si>
  <si>
    <t>Cruise curve coefficient b</t>
  </si>
  <si>
    <t>cr_b</t>
  </si>
  <si>
    <t>m2/N</t>
  </si>
  <si>
    <t>Induced drag term</t>
  </si>
  <si>
    <t>Cruise curve coefficient c</t>
  </si>
  <si>
    <t>cr_c</t>
  </si>
  <si>
    <t>Residual climb term</t>
  </si>
  <si>
    <t xml:space="preserve">   Landing field length (vertical line - maximum wing loading)</t>
  </si>
  <si>
    <t>Max landing wing loading m_ML/S</t>
  </si>
  <si>
    <t>mS_L</t>
  </si>
  <si>
    <t>kg/m2</t>
  </si>
  <si>
    <t>Loftin: approach speed limited by LDA</t>
  </si>
  <si>
    <t>Max take-off wing loading W/S</t>
  </si>
  <si>
    <t>WS_max</t>
  </si>
  <si>
    <t>Referred to take-off weight</t>
  </si>
  <si>
    <t xml:space="preserve">   Take-off field length (T/W = slope x W/S)</t>
  </si>
  <si>
    <t>Slope (T/W) per (N/m2)</t>
  </si>
  <si>
    <t>TO_slope</t>
  </si>
  <si>
    <t>T/W &gt;= k_TO*(m/S)/(TODA*sigma*CLmaxTO)</t>
  </si>
  <si>
    <t xml:space="preserve">   Second-segment climb, one engine inoperative (horizontal line)</t>
  </si>
  <si>
    <t>Required climb gradient</t>
  </si>
  <si>
    <t>grad_2</t>
  </si>
  <si>
    <t>FAR/CS 25.121: 2.4 / 2.7 / 3.0 % for 2 / 3 / 4 engines</t>
  </si>
  <si>
    <t>Lift coefficient at V2 = 1.2 Vs</t>
  </si>
  <si>
    <t>CL_2</t>
  </si>
  <si>
    <t>Flap drag increment</t>
  </si>
  <si>
    <t>dCD0_f2</t>
  </si>
  <si>
    <t>Scholz</t>
  </si>
  <si>
    <t>L/D, take-off configuration, gear up</t>
  </si>
  <si>
    <t>LD_2</t>
  </si>
  <si>
    <t>Required T/W</t>
  </si>
  <si>
    <t>TW_2</t>
  </si>
  <si>
    <t>T/W &gt;= N/(N-1) * (1/(L/D) + gradient)</t>
  </si>
  <si>
    <t xml:space="preserve">   Missed approach, one engine inoperative (horizontal line)</t>
  </si>
  <si>
    <t>grad_MA</t>
  </si>
  <si>
    <t>FAR/CS 25.121: 2.1 / 2.4 / 2.7 %</t>
  </si>
  <si>
    <t>Lift coefficient at 1.3 Vs</t>
  </si>
  <si>
    <t>CL_MA</t>
  </si>
  <si>
    <t>dCD0_fMA</t>
  </si>
  <si>
    <t>L/D, landing configuration, gear down</t>
  </si>
  <si>
    <t>LD_MA</t>
  </si>
  <si>
    <t>TW_MA</t>
  </si>
  <si>
    <t>At max landing weight, referred to take-off weight</t>
  </si>
  <si>
    <t xml:space="preserve">   Optimised design point (lowest T/W meeting every constraint; ties go to the highest W/S = smallest wing)</t>
  </si>
  <si>
    <t>Climb floor</t>
  </si>
  <si>
    <t>TW_floor</t>
  </si>
  <si>
    <t>Higher of the two one-engine-inoperative climb requirements</t>
  </si>
  <si>
    <t>Take-off / cruise crossing: quadratic term</t>
  </si>
  <si>
    <t>to_A</t>
  </si>
  <si>
    <t>(b - slope)*w^2 + c*w + a = 0</t>
  </si>
  <si>
    <t>Take-off / cruise crossing: discriminant</t>
  </si>
  <si>
    <t>to_disc</t>
  </si>
  <si>
    <t>Negative = the lines never cross</t>
  </si>
  <si>
    <t>Climb floor / cruise crossing: discriminant</t>
  </si>
  <si>
    <t>fl_disc</t>
  </si>
  <si>
    <t>b*w^2 + (c - floor)*w + a = 0</t>
  </si>
  <si>
    <t>Candidate design point</t>
  </si>
  <si>
    <t>W/S (N/m2)</t>
  </si>
  <si>
    <t>T/W needed</t>
  </si>
  <si>
    <t>The required T/W is the highest of all constraint lines, so its minimum can only lie at one of these points</t>
  </si>
  <si>
    <t>Landing limit</t>
  </si>
  <si>
    <t>Highest wing loading the landing distance allows</t>
  </si>
  <si>
    <t>Bottom of the cruise curve</t>
  </si>
  <si>
    <t>W/S for minimum cruise thrust</t>
  </si>
  <si>
    <t>Take-off line meets cruise curve (1)</t>
  </si>
  <si>
    <t>Crossing point, limited to the landing limit</t>
  </si>
  <si>
    <t>Take-off line meets cruise curve (2)</t>
  </si>
  <si>
    <t>Second root</t>
  </si>
  <si>
    <t>Take-off line meets climb floor</t>
  </si>
  <si>
    <t>Right-hand end of the flat climb-limited region</t>
  </si>
  <si>
    <t>Cruise curve meets climb floor (1)</t>
  </si>
  <si>
    <t>Cruise curve meets climb floor (2)</t>
  </si>
  <si>
    <t>Design thrust-to-weight ratio</t>
  </si>
  <si>
    <t>TW_des</t>
  </si>
  <si>
    <t>OPTIMISED: lowest T/W of the candidates. Used by every calculation below</t>
  </si>
  <si>
    <t>Design wing loading</t>
  </si>
  <si>
    <t>WS_des</t>
  </si>
  <si>
    <t>OPTIMISED: highest W/S that achieves that T/W. Used by every calculation below</t>
  </si>
  <si>
    <t>Constraints that fix the design point</t>
  </si>
  <si>
    <t>crit_con</t>
  </si>
  <si>
    <t>4. WEIGHT ESTIMATION - Raymer fuel-fraction method with Breguet cruise</t>
  </si>
  <si>
    <t>W_pl</t>
  </si>
  <si>
    <t>Payload_typPax (maximum payload if none is given)</t>
  </si>
  <si>
    <t>Payload per passenger</t>
  </si>
  <si>
    <t>kg/pax</t>
  </si>
  <si>
    <t>Typical 90-110 kg with baggage</t>
  </si>
  <si>
    <t>Design range</t>
  </si>
  <si>
    <t>Range_km</t>
  </si>
  <si>
    <t>RangeTyp converted to km</t>
  </si>
  <si>
    <t>Crew mass</t>
  </si>
  <si>
    <t>W_crew</t>
  </si>
  <si>
    <t>Flight crew + cabin crew</t>
  </si>
  <si>
    <t>TSFC in consistent units</t>
  </si>
  <si>
    <t>TSFC_s</t>
  </si>
  <si>
    <t>1/s</t>
  </si>
  <si>
    <t>Fuel weight flow per unit thrust</t>
  </si>
  <si>
    <t>Cruise lift coefficient</t>
  </si>
  <si>
    <t>CL_cr</t>
  </si>
  <si>
    <t>At the design wing loading, start of cruise</t>
  </si>
  <si>
    <t>Cruise drag coefficient</t>
  </si>
  <si>
    <t>CD_cr</t>
  </si>
  <si>
    <t>LD_cr</t>
  </si>
  <si>
    <t>Maximum L/D</t>
  </si>
  <si>
    <t>LD_max</t>
  </si>
  <si>
    <t>For reference</t>
  </si>
  <si>
    <t xml:space="preserve">   Mission fuel fractions (historical constants; cruise from the Breguet range equation)</t>
  </si>
  <si>
    <t>Engine start &amp; taxi</t>
  </si>
  <si>
    <t>Take-off</t>
  </si>
  <si>
    <t>Climb</t>
  </si>
  <si>
    <t>Cruise</t>
  </si>
  <si>
    <t>ff_cruise</t>
  </si>
  <si>
    <t>Breguet: exp(-R*c/(V*L/D)) for RangeTyp</t>
  </si>
  <si>
    <t>Descent</t>
  </si>
  <si>
    <t>Reserves / hold</t>
  </si>
  <si>
    <t>Mission fuel fraction Mff</t>
  </si>
  <si>
    <t>M_ff</t>
  </si>
  <si>
    <t>Product of all segments</t>
  </si>
  <si>
    <t>Fuel mass fraction Wf/W0</t>
  </si>
  <si>
    <t>fuel_frac</t>
  </si>
  <si>
    <t>Includes trapped / unusable fuel allowance</t>
  </si>
  <si>
    <t>Guessed empty weight fraction  We/W0 = A x W0^C  (W0 in kg)</t>
  </si>
  <si>
    <t>A</t>
  </si>
  <si>
    <t>C</t>
  </si>
  <si>
    <t>Typical use</t>
  </si>
  <si>
    <t>Jet transport</t>
  </si>
  <si>
    <t>Airliners and business jets</t>
  </si>
  <si>
    <t>Twin turboprop</t>
  </si>
  <si>
    <t>Regional and commuter turboprops</t>
  </si>
  <si>
    <t>GA single engine</t>
  </si>
  <si>
    <t>Personal / light aircraft</t>
  </si>
  <si>
    <t>GA twin engine</t>
  </si>
  <si>
    <t>Light twins</t>
  </si>
  <si>
    <t>Homebuilt metal/wood</t>
  </si>
  <si>
    <t>Homebuilt composite</t>
  </si>
  <si>
    <t>Agricultural</t>
  </si>
  <si>
    <t>Flying boat</t>
  </si>
  <si>
    <t>Jet trainer</t>
  </si>
  <si>
    <t>Jet fighter</t>
  </si>
  <si>
    <t>Military cargo/bomber</t>
  </si>
  <si>
    <t>Cargo transports</t>
  </si>
  <si>
    <t>Sailplane</t>
  </si>
  <si>
    <t>Unpowered</t>
  </si>
  <si>
    <t>Powered sailplane</t>
  </si>
  <si>
    <t>Custom</t>
  </si>
  <si>
    <t>Your own A and C from section 2</t>
  </si>
  <si>
    <t>Aircraft type used</t>
  </si>
  <si>
    <t>type_used</t>
  </si>
  <si>
    <t>Auto rule: no passengers = cargo; Mach 0.6+ = jet transport; otherwise by seat count (5 / 9 / 80)</t>
  </si>
  <si>
    <t>Empty weight coefficient A</t>
  </si>
  <si>
    <t>A_emp</t>
  </si>
  <si>
    <t>Looked up from the table above</t>
  </si>
  <si>
    <t>Empty weight exponent C</t>
  </si>
  <si>
    <t>C_emp</t>
  </si>
  <si>
    <t>Iteration: guess W0, calculate We/W0 and Wf/W0, solve for a new W0, repeat</t>
  </si>
  <si>
    <t>W0 guess (kg)</t>
  </si>
  <si>
    <t>We/W0</t>
  </si>
  <si>
    <t>Wf/W0</t>
  </si>
  <si>
    <t>W0 new (kg)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</si>
  <si>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</si>
  <si>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</si>
  <si>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</si>
  <si>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</si>
  <si>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</si>
  <si>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</si>
  <si>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</si>
  <si>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</si>
  <si>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</si>
  <si>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</si>
  <si>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Step 11</t>
  </si>
  <si>
    <t>Step 12</t>
  </si>
  <si>
    <t>Step 13</t>
  </si>
  <si>
    <t>Step 14</t>
  </si>
  <si>
    <t>Step 15</t>
  </si>
  <si>
    <t>Step 16</t>
  </si>
  <si>
    <t>Step 17</t>
  </si>
  <si>
    <t>Step 18</t>
  </si>
  <si>
    <t>Step 19</t>
  </si>
  <si>
    <t>Step 20</t>
  </si>
  <si>
    <t>Take-off mass from the fraction iteration</t>
  </si>
  <si>
    <t>MTOW_frac</t>
  </si>
  <si>
    <t>Last step of the iteration above</t>
  </si>
  <si>
    <t>Take-off mass from the component build-up</t>
  </si>
  <si>
    <t>MTOW_bu</t>
  </si>
  <si>
    <t>Same iteration with the empty mass rebuilt from components at every step (table on Plot_Data)</t>
  </si>
  <si>
    <t>MTOW</t>
  </si>
  <si>
    <t>Chosen by the empty weight method in section 2</t>
  </si>
  <si>
    <t>Empty mass fraction We/W0</t>
  </si>
  <si>
    <t>emp_frac</t>
  </si>
  <si>
    <t>Raymer statistical fit</t>
  </si>
  <si>
    <t>Empty mass</t>
  </si>
  <si>
    <t>W_empty</t>
  </si>
  <si>
    <t>OEW</t>
  </si>
  <si>
    <t>Fuel mass (design mission)</t>
  </si>
  <si>
    <t>W_fuel</t>
  </si>
  <si>
    <t>Max zero-fuel mass</t>
  </si>
  <si>
    <t>MZFW</t>
  </si>
  <si>
    <t>Max landing mass</t>
  </si>
  <si>
    <t>MLW</t>
  </si>
  <si>
    <t>Weight fraction validation</t>
  </si>
  <si>
    <t>Should be 1</t>
  </si>
  <si>
    <t>Iteration status</t>
  </si>
  <si>
    <t>chk_weight</t>
  </si>
  <si>
    <t xml:space="preserve">   Payload-range (Breguet, same reserves as the design mission)</t>
  </si>
  <si>
    <t>Fixed-segment fuel fraction</t>
  </si>
  <si>
    <t>ff_fixed</t>
  </si>
  <si>
    <t>Every segment except the cruise</t>
  </si>
  <si>
    <t>Fuel capacity Wf,max</t>
  </si>
  <si>
    <t>Wf_max</t>
  </si>
  <si>
    <t>Tanks sized for the design mission, so point B is the typical-payload mission. Type a number here if your brief gives a fuel capacity</t>
  </si>
  <si>
    <t>Loading case</t>
  </si>
  <si>
    <t>Take-off mass (kg)</t>
  </si>
  <si>
    <t>Fuel (kg)</t>
  </si>
  <si>
    <t>Payload (kg)</t>
  </si>
  <si>
    <t>Breguet range (km)</t>
  </si>
  <si>
    <t>Design mission (typical payload, RangeTyp)</t>
  </si>
  <si>
    <t>A: maximum payload</t>
  </si>
  <si>
    <t>B: maximum fuel</t>
  </si>
  <si>
    <t>C: ferry (no payload)</t>
  </si>
  <si>
    <t>Payload-range diagram points</t>
  </si>
  <si>
    <t>Range (nm)</t>
  </si>
  <si>
    <t>Range (km)</t>
  </si>
  <si>
    <t>Maximum payload, zero range</t>
  </si>
  <si>
    <t>A: maximum payload at MTOM</t>
  </si>
  <si>
    <t>B: maximum fuel at MTOM</t>
  </si>
  <si>
    <t>C: ferry range</t>
  </si>
  <si>
    <t>5. WING SIZING</t>
  </si>
  <si>
    <t>Wing reference area S</t>
  </si>
  <si>
    <t>S_ref</t>
  </si>
  <si>
    <t>m2</t>
  </si>
  <si>
    <t>S = W0 / (W/S)</t>
  </si>
  <si>
    <t>Span b</t>
  </si>
  <si>
    <t>b_w</t>
  </si>
  <si>
    <t>sweep25</t>
  </si>
  <si>
    <t>Historical trend: M * cos(sweep) = 0.70</t>
  </si>
  <si>
    <t>Leading-edge sweep</t>
  </si>
  <si>
    <t>sweepLE</t>
  </si>
  <si>
    <t>Thickness-to-chord ratio t/c</t>
  </si>
  <si>
    <t>tc</t>
  </si>
  <si>
    <t>Korn equation with Mdd = MCR + 0.02, limited to 8-18 %</t>
  </si>
  <si>
    <t>Root chord (at centreline)</t>
  </si>
  <si>
    <t>c_root</t>
  </si>
  <si>
    <t>Tip chord</t>
  </si>
  <si>
    <t>c_tip</t>
  </si>
  <si>
    <t>Spanwise position of MAC</t>
  </si>
  <si>
    <t>y_MAC</t>
  </si>
  <si>
    <t>Wing fuel tank volume available</t>
  </si>
  <si>
    <t>V_tank</t>
  </si>
  <si>
    <t>m3</t>
  </si>
  <si>
    <t>Torenbeek</t>
  </si>
  <si>
    <t>Fuel volume required</t>
  </si>
  <si>
    <t>V_fuel</t>
  </si>
  <si>
    <t>Fuel volume check</t>
  </si>
  <si>
    <t>chk_fuel</t>
  </si>
  <si>
    <t>Centre tank volume</t>
  </si>
  <si>
    <t>V_ctr</t>
  </si>
  <si>
    <t>Wing box inside the fuselage: 50 % chord x 70 % of the thickness</t>
  </si>
  <si>
    <t>Wing tank volume (each side)</t>
  </si>
  <si>
    <t>Between the front spar (15 % chord) and rear spar (65 % chord), out to 85 % span</t>
  </si>
  <si>
    <t>Fuel capacity of all tanks</t>
  </si>
  <si>
    <t>Stall speed, landing configuration, MLW</t>
  </si>
  <si>
    <t>Vs_L</t>
  </si>
  <si>
    <t>Approach speed (1.3 Vs)</t>
  </si>
  <si>
    <t>V_app</t>
  </si>
  <si>
    <t>Stall speed, take-off configuration, MTOW</t>
  </si>
  <si>
    <t>Vs_TO</t>
  </si>
  <si>
    <t>Take-off safety speed V2 (1.2 Vs)</t>
  </si>
  <si>
    <t>V_2</t>
  </si>
  <si>
    <t>6. FUSELAGE / BODY DESIGN</t>
  </si>
  <si>
    <t>Seats abreast</t>
  </si>
  <si>
    <t>n_SA</t>
  </si>
  <si>
    <t>Scholz: 0.45 * sqrt(pax)</t>
  </si>
  <si>
    <t>Number of aisles</t>
  </si>
  <si>
    <t>n_aisle</t>
  </si>
  <si>
    <t>CS 25.817: more than 6 abreast needs two aisles</t>
  </si>
  <si>
    <t>Seats left of first aisle</t>
  </si>
  <si>
    <t>aisle1</t>
  </si>
  <si>
    <t>Seat block arrangement, e.g. 3-3, 2-4-2, 3-4-3</t>
  </si>
  <si>
    <t>Seats left of second aisle</t>
  </si>
  <si>
    <t>aisle2</t>
  </si>
  <si>
    <t>99 = no second aisle</t>
  </si>
  <si>
    <t>Business passengers</t>
  </si>
  <si>
    <t>pax_b</t>
  </si>
  <si>
    <t>Economy passengers</t>
  </si>
  <si>
    <t>pax_e</t>
  </si>
  <si>
    <t>Economy seat rows</t>
  </si>
  <si>
    <t>n_rows</t>
  </si>
  <si>
    <t>Business seats abreast</t>
  </si>
  <si>
    <t>n_SA_b</t>
  </si>
  <si>
    <t>About two thirds of the economy count</t>
  </si>
  <si>
    <t>Business seats left of first aisle</t>
  </si>
  <si>
    <t>aisle1_b</t>
  </si>
  <si>
    <t>Business seats left of second aisle</t>
  </si>
  <si>
    <t>aisle2_b</t>
  </si>
  <si>
    <t>Business seat width</t>
  </si>
  <si>
    <t>seat_w_b</t>
  </si>
  <si>
    <t>Same cabin width shared by fewer seats</t>
  </si>
  <si>
    <t>Business seat rows</t>
  </si>
  <si>
    <t>n_rows_b</t>
  </si>
  <si>
    <t>Cabin width</t>
  </si>
  <si>
    <t>w_cabin</t>
  </si>
  <si>
    <t>Seats + aisles + 25 mm wall clearance each side</t>
  </si>
  <si>
    <t>d_fus</t>
  </si>
  <si>
    <t>Scholz: wall thickness allowance</t>
  </si>
  <si>
    <t>Lavatories</t>
  </si>
  <si>
    <t>n_lav</t>
  </si>
  <si>
    <t>One per pax_per_lav passengers</t>
  </si>
  <si>
    <t>Lavatories at the front</t>
  </si>
  <si>
    <t>n_lav_front</t>
  </si>
  <si>
    <t>About one third forward, the rest aft</t>
  </si>
  <si>
    <t>Lavatories side by side</t>
  </si>
  <si>
    <t>lav_slots</t>
  </si>
  <si>
    <t>Against each side wall, plus the centre on twin-aisle cabins</t>
  </si>
  <si>
    <t>Lavatory width</t>
  </si>
  <si>
    <t>lav_w</t>
  </si>
  <si>
    <t>Leaves the aisles clear</t>
  </si>
  <si>
    <t>Front service zone length</t>
  </si>
  <si>
    <t>L_front</t>
  </si>
  <si>
    <t>Front lavatories + door / galley zone</t>
  </si>
  <si>
    <t>First seat row starts at</t>
  </si>
  <si>
    <t>x_seat0</t>
  </si>
  <si>
    <t>From the nose</t>
  </si>
  <si>
    <t>Economy cabin starts at</t>
  </si>
  <si>
    <t>x_eco0</t>
  </si>
  <si>
    <t>After the business rows</t>
  </si>
  <si>
    <t>Last seat row ends at</t>
  </si>
  <si>
    <t>x_seat_end</t>
  </si>
  <si>
    <t>Rear service zone length</t>
  </si>
  <si>
    <t>L_rear</t>
  </si>
  <si>
    <t>Door / galley zone + rear lavatories</t>
  </si>
  <si>
    <t>Cabin length</t>
  </si>
  <si>
    <t>L_cabin</t>
  </si>
  <si>
    <t>Service zones + seat rows</t>
  </si>
  <si>
    <t>Tail cone length</t>
  </si>
  <si>
    <t>tail_len</t>
  </si>
  <si>
    <t>L_fus</t>
  </si>
  <si>
    <t>Scholz: cabin + cockpit + tail cone</t>
  </si>
  <si>
    <t>Fineness ratio l/d</t>
  </si>
  <si>
    <t>fineness</t>
  </si>
  <si>
    <t>Typical 8-12</t>
  </si>
  <si>
    <t>Fuselage wetted area</t>
  </si>
  <si>
    <t>S_wet_fus</t>
  </si>
  <si>
    <t>7. TAIL SIZING (volume coefficient method)</t>
  </si>
  <si>
    <t>Tail moment arm</t>
  </si>
  <si>
    <t>L_tail</t>
  </si>
  <si>
    <t>Wing to tail aerodynamic centre distance</t>
  </si>
  <si>
    <t>S_HT</t>
  </si>
  <si>
    <t>S_HT = c_HT * MAC * S / L</t>
  </si>
  <si>
    <t>Horizontal tail span</t>
  </si>
  <si>
    <t>b_HT</t>
  </si>
  <si>
    <t>Horizontal tail root chord</t>
  </si>
  <si>
    <t>cr_HT</t>
  </si>
  <si>
    <t>Horizontal tail MAC</t>
  </si>
  <si>
    <t>MAC_HT</t>
  </si>
  <si>
    <t>Horizontal tail leading-edge sweep</t>
  </si>
  <si>
    <t>sweepLE_HT</t>
  </si>
  <si>
    <t>About 5 deg more than the wing</t>
  </si>
  <si>
    <t>S_VT</t>
  </si>
  <si>
    <t>S_VT = c_VT * b * S / L</t>
  </si>
  <si>
    <t>Vertical tail height</t>
  </si>
  <si>
    <t>b_VT</t>
  </si>
  <si>
    <t>Vertical tail root chord</t>
  </si>
  <si>
    <t>cr_VT</t>
  </si>
  <si>
    <t>Vertical tail MAC</t>
  </si>
  <si>
    <t>MAC_VT</t>
  </si>
  <si>
    <t>Vertical tail leading-edge sweep</t>
  </si>
  <si>
    <t>sweepLE_VT</t>
  </si>
  <si>
    <t>Typical 35-45 deg</t>
  </si>
  <si>
    <t>8. ENGINE REQUIREMENTS</t>
  </si>
  <si>
    <t>Total sea-level static thrust required</t>
  </si>
  <si>
    <t>T_SL</t>
  </si>
  <si>
    <t>N</t>
  </si>
  <si>
    <t>T = (T/W) x W0</t>
  </si>
  <si>
    <t>T_eng</t>
  </si>
  <si>
    <t>kN</t>
  </si>
  <si>
    <t>lbf</t>
  </si>
  <si>
    <t>Take-off thrust with one engine inoperative</t>
  </si>
  <si>
    <t>Cruise thrust required (= drag)</t>
  </si>
  <si>
    <t>T_cr_req</t>
  </si>
  <si>
    <t>Start of cruise</t>
  </si>
  <si>
    <t>Cruise thrust available</t>
  </si>
  <si>
    <t>T_cr_av</t>
  </si>
  <si>
    <t>Thrust lapse x SL static thrust</t>
  </si>
  <si>
    <t>Cruise thrust margin</t>
  </si>
  <si>
    <t>Covers the residual climb rate</t>
  </si>
  <si>
    <t>Cruise fuel flow (all engines)</t>
  </si>
  <si>
    <t>kg/h</t>
  </si>
  <si>
    <t>Dry mass per engine</t>
  </si>
  <si>
    <t>m_eng</t>
  </si>
  <si>
    <t>Raymer eq. 10.4 (T in kN)</t>
  </si>
  <si>
    <t>Engine length</t>
  </si>
  <si>
    <t>L_eng</t>
  </si>
  <si>
    <t>Raymer eq. 10.5</t>
  </si>
  <si>
    <t>Fan diameter</t>
  </si>
  <si>
    <t>D_fan</t>
  </si>
  <si>
    <t>Raymer eq. 10.6</t>
  </si>
  <si>
    <t>Nacelle length</t>
  </si>
  <si>
    <t>L_nac</t>
  </si>
  <si>
    <t>Inlet and nozzle allowance</t>
  </si>
  <si>
    <t>Nacelle diameter</t>
  </si>
  <si>
    <t>D_nac</t>
  </si>
  <si>
    <t>Installed engine mass / MTOM</t>
  </si>
  <si>
    <t>Installed = 1.3 x dry</t>
  </si>
  <si>
    <t>9. LANDING GEAR (tricycle)</t>
  </si>
  <si>
    <t>Main gear struts</t>
  </si>
  <si>
    <t>n_struts</t>
  </si>
  <si>
    <t>Wheels per main strut</t>
  </si>
  <si>
    <t>n_wps</t>
  </si>
  <si>
    <t>Twin up to ~90 t, four-wheel bogie above</t>
  </si>
  <si>
    <t>Static load on main gear</t>
  </si>
  <si>
    <t>Static load on nose gear</t>
  </si>
  <si>
    <t>Design load per main wheel</t>
  </si>
  <si>
    <t>W_wheel</t>
  </si>
  <si>
    <t>Including growth margin</t>
  </si>
  <si>
    <t>Main tyre diameter</t>
  </si>
  <si>
    <t>D_tyre</t>
  </si>
  <si>
    <t>Raymer Table 11.1 transport: D = 1.63 * W^0.315 (in, lb)</t>
  </si>
  <si>
    <t>Main tyre width</t>
  </si>
  <si>
    <t>w_tyre</t>
  </si>
  <si>
    <t>Raymer Table 11.1 transport: w = 0.1043 * W^0.480 (in, lb)</t>
  </si>
  <si>
    <t>Tyre contact area</t>
  </si>
  <si>
    <t>A_tyre</t>
  </si>
  <si>
    <t>Raymer eq. 11.7 with 8 % tyre deflection</t>
  </si>
  <si>
    <t>p_tyre</t>
  </si>
  <si>
    <t>Static wheel load / contact area</t>
  </si>
  <si>
    <t>psi</t>
  </si>
  <si>
    <t>Pavement loading number (rough ACN)</t>
  </si>
  <si>
    <t>ACN</t>
  </si>
  <si>
    <t>About 2.4 x static wheel load in tonnes (rigid pavement, medium subgrade). Rough guide only</t>
  </si>
  <si>
    <t>Tyre and pavement check</t>
  </si>
  <si>
    <t>chk_ACN</t>
  </si>
  <si>
    <t>Nose wheels</t>
  </si>
  <si>
    <t>Nose tyre diameter</t>
  </si>
  <si>
    <t>D_nose</t>
  </si>
  <si>
    <t>Nose tyre width</t>
  </si>
  <si>
    <t>Wheelbase</t>
  </si>
  <si>
    <t>wheelbase</t>
  </si>
  <si>
    <t>Main gear aft of CG</t>
  </si>
  <si>
    <t>l_main</t>
  </si>
  <si>
    <t>From the static load split</t>
  </si>
  <si>
    <t>Nose gear ahead of CG</t>
  </si>
  <si>
    <t>l_nose</t>
  </si>
  <si>
    <t>CG height above ground</t>
  </si>
  <si>
    <t>h_cg</t>
  </si>
  <si>
    <t>Tip-back angle</t>
  </si>
  <si>
    <t>tipback</t>
  </si>
  <si>
    <t>Must be at least 15 deg</t>
  </si>
  <si>
    <t>Tip-back check</t>
  </si>
  <si>
    <t>chk_tipback</t>
  </si>
  <si>
    <t>Minimum wheel track for 63 deg overturn</t>
  </si>
  <si>
    <t>track_min</t>
  </si>
  <si>
    <t>Raymer overturn angle limit</t>
  </si>
  <si>
    <t>Suggested wheel track</t>
  </si>
  <si>
    <t>track</t>
  </si>
  <si>
    <t>Typical transports ~0.2 x span</t>
  </si>
  <si>
    <t>Shock absorber stroke</t>
  </si>
  <si>
    <t>stroke</t>
  </si>
  <si>
    <t>Raymer eq. 11.12: oleo eff. 0.8, tyre eff. 0.47, +25 mm margin</t>
  </si>
  <si>
    <t>Oleo length (approx.)</t>
  </si>
  <si>
    <t>Raymer: about 2.5 x stroke</t>
  </si>
  <si>
    <t>10. LAYOUT GEOMETRY (drives the drawings; x from the nose, z from the fuselage centreline)</t>
  </si>
  <si>
    <t>Wing position used (fraction of fuselage length)</t>
  </si>
  <si>
    <t>xw_frac</t>
  </si>
  <si>
    <t>Automatic value comes from section 12</t>
  </si>
  <si>
    <t>Wing aerodynamic centre station</t>
  </si>
  <si>
    <t>x_ac_w</t>
  </si>
  <si>
    <t>CG assumed here</t>
  </si>
  <si>
    <t>Wing leading edge at centreline</t>
  </si>
  <si>
    <t>x_wLE0</t>
  </si>
  <si>
    <t>So that the quarter-chord of the MAC sits at the wing station</t>
  </si>
  <si>
    <t>Wing root height</t>
  </si>
  <si>
    <t>z_w0</t>
  </si>
  <si>
    <t>Low wing</t>
  </si>
  <si>
    <t>Horizontal tail leading edge at centreline</t>
  </si>
  <si>
    <t>x_hLE0</t>
  </si>
  <si>
    <t>Tail aerodynamic centre one tail arm behind the wing's</t>
  </si>
  <si>
    <t>Horizontal tail height</t>
  </si>
  <si>
    <t>z_HT</t>
  </si>
  <si>
    <t>Fuselage-mounted</t>
  </si>
  <si>
    <t>Vertical tail leading edge at root</t>
  </si>
  <si>
    <t>x_vLE0</t>
  </si>
  <si>
    <t>Vertical tail root height</t>
  </si>
  <si>
    <t>z_VT0</t>
  </si>
  <si>
    <t>Inboard engine spanwise position</t>
  </si>
  <si>
    <t>y_eng_in</t>
  </si>
  <si>
    <t>From the centreline</t>
  </si>
  <si>
    <t>Outboard engine spanwise position</t>
  </si>
  <si>
    <t>y_eng_out</t>
  </si>
  <si>
    <t>0 = not fitted</t>
  </si>
  <si>
    <t>Inboard engine ground clearance</t>
  </si>
  <si>
    <t>clear_eng</t>
  </si>
  <si>
    <t>Nacelle hung 0.1 D below the wing</t>
  </si>
  <si>
    <t>Engine clearance check</t>
  </si>
  <si>
    <t>chk_clear</t>
  </si>
  <si>
    <t>Main gear station</t>
  </si>
  <si>
    <t>x_main</t>
  </si>
  <si>
    <t>Behind the most aft CG (section 12)</t>
  </si>
  <si>
    <t>Nose gear station</t>
  </si>
  <si>
    <t>x_nose</t>
  </si>
  <si>
    <t>Ahead of the most aft CG (section 12)</t>
  </si>
  <si>
    <t>Cockpit rear bulkhead station</t>
  </si>
  <si>
    <t>Flight deck occupies the nose section ahead of the cabin</t>
  </si>
  <si>
    <t>11. PERFORMANCE - field lengths (checks the sized aircraft against TODA and LDA)</t>
  </si>
  <si>
    <t>TOFL</t>
  </si>
  <si>
    <t>Loftin relation evaluated at the design point</t>
  </si>
  <si>
    <t>Take-off check</t>
  </si>
  <si>
    <t>chk_TO</t>
  </si>
  <si>
    <t>Take-off ground roll (all engines)</t>
  </si>
  <si>
    <t>Anderson: 1.21 (W/S) / (g rho CLmax (T/W - resistance)), thrust at 0.7 V_LO taken as 90 %</t>
  </si>
  <si>
    <t>LFL</t>
  </si>
  <si>
    <t>Loftin relation at maximum landing mass</t>
  </si>
  <si>
    <t>Landing check</t>
  </si>
  <si>
    <t>chk_LD</t>
  </si>
  <si>
    <t>Braking deceleration / g</t>
  </si>
  <si>
    <t>brake_g</t>
  </si>
  <si>
    <t>Assumed mean deceleration with wheel brakes and spoilers</t>
  </si>
  <si>
    <t>Landing ground roll</t>
  </si>
  <si>
    <t>Touchdown at 1.15 Vs, constant deceleration</t>
  </si>
  <si>
    <t xml:space="preserve">   Climb, ceilings and flight envelope (at start-of-cruise weight)</t>
  </si>
  <si>
    <t>Clean maximum lift coefficient</t>
  </si>
  <si>
    <t>CLmax_c</t>
  </si>
  <si>
    <t>Assumed, flaps up</t>
  </si>
  <si>
    <t>Maximum operating Mach number</t>
  </si>
  <si>
    <t>M_MO</t>
  </si>
  <si>
    <t>Wing loading at this weight</t>
  </si>
  <si>
    <t>WS_p</t>
  </si>
  <si>
    <t>Sea-level T/W at this weight</t>
  </si>
  <si>
    <t>TW_p</t>
  </si>
  <si>
    <t>Thrust lapse exponent n</t>
  </si>
  <si>
    <t>lapse_n</t>
  </si>
  <si>
    <t>T/T_SL = (rho/rho_SL)^n, fitted so it gives alpha_cr at the cruise altitude</t>
  </si>
  <si>
    <t>Density at the absolute ceiling</t>
  </si>
  <si>
    <t>rho_abs</t>
  </si>
  <si>
    <t>Where thrust available = minimum drag</t>
  </si>
  <si>
    <t>Absolute ceiling</t>
  </si>
  <si>
    <t>h_abs</t>
  </si>
  <si>
    <t>ISA altitude for that density</t>
  </si>
  <si>
    <t>Maximum rate of climb at sea level</t>
  </si>
  <si>
    <t>ROC_SL</t>
  </si>
  <si>
    <t>V*(T/W - D/W) at the best-climb speed (Anderson), limited to M_MO</t>
  </si>
  <si>
    <t>Rows of the climb table with at least 0.5 m/s</t>
  </si>
  <si>
    <t>n_roc</t>
  </si>
  <si>
    <t>Service ceiling (0.5 m/s = 100 ft/min)</t>
  </si>
  <si>
    <t>h_serv</t>
  </si>
  <si>
    <t>Interpolated from the climb table on Plot_Data</t>
  </si>
  <si>
    <t>Ceiling check</t>
  </si>
  <si>
    <t>chk_ceil</t>
  </si>
  <si>
    <t>t_climb</t>
  </si>
  <si>
    <t>Integrated from the climb table</t>
  </si>
  <si>
    <t xml:space="preserve">   V-n diagram (CS-25, sea level, MTOM, equivalent airspeed)</t>
  </si>
  <si>
    <t>Positive limit manoeuvre load factor</t>
  </si>
  <si>
    <t>n_pos</t>
  </si>
  <si>
    <t>CS 25.337</t>
  </si>
  <si>
    <t>Negative limit manoeuvre load factor</t>
  </si>
  <si>
    <t>n_neg</t>
  </si>
  <si>
    <t>Stall speed, clean</t>
  </si>
  <si>
    <t>V_S1</t>
  </si>
  <si>
    <t>Manoeuvre speed VA</t>
  </si>
  <si>
    <t>V_A</t>
  </si>
  <si>
    <t>Design cruise speed VC</t>
  </si>
  <si>
    <t>V_C</t>
  </si>
  <si>
    <t>Cruise speed as equivalent airspeed</t>
  </si>
  <si>
    <t>Design dive speed VD</t>
  </si>
  <si>
    <t>V_D</t>
  </si>
  <si>
    <t>Wing lift-curve slope</t>
  </si>
  <si>
    <t>CLa_w</t>
  </si>
  <si>
    <t>1/rad</t>
  </si>
  <si>
    <t>Helmbold with sweep</t>
  </si>
  <si>
    <t>Gust mass ratio</t>
  </si>
  <si>
    <t>mu_g</t>
  </si>
  <si>
    <t>Gust alleviation factor</t>
  </si>
  <si>
    <t>K_g</t>
  </si>
  <si>
    <t>Gust load factor at VC</t>
  </si>
  <si>
    <t>n_gC</t>
  </si>
  <si>
    <t>50 ft/s gust</t>
  </si>
  <si>
    <t>Gust load factor at VD</t>
  </si>
  <si>
    <t>n_gD</t>
  </si>
  <si>
    <t>25 ft/s gust</t>
  </si>
  <si>
    <t>n_lim</t>
  </si>
  <si>
    <t>Larger of manoeuvre and gust</t>
  </si>
  <si>
    <t>Ultimate load factor</t>
  </si>
  <si>
    <t>Safety factor 1.5</t>
  </si>
  <si>
    <t xml:space="preserve">   Engine-out climb and balanced field length</t>
  </si>
  <si>
    <t>Mean thrust-to-weight during the take-off run</t>
  </si>
  <si>
    <t>TW_av</t>
  </si>
  <si>
    <t>Raymer: jet thrust averaged over the ground roll</t>
  </si>
  <si>
    <t>Second-segment gradient achieved</t>
  </si>
  <si>
    <t>gam_2</t>
  </si>
  <si>
    <t>One engine out, take-off flaps, gear up</t>
  </si>
  <si>
    <t>Balanced field length</t>
  </si>
  <si>
    <t>BFL</t>
  </si>
  <si>
    <t>Raymer eq. 17.110 in SI units, 35 ft obstacle</t>
  </si>
  <si>
    <t>chk_BFL</t>
  </si>
  <si>
    <t>A second, independent method</t>
  </si>
  <si>
    <t>Climb requirement (CS 25.119 / 25.121)</t>
  </si>
  <si>
    <t>Required gradient</t>
  </si>
  <si>
    <t>Achieved gradient</t>
  </si>
  <si>
    <t>Margin</t>
  </si>
  <si>
    <t>Configuration</t>
  </si>
  <si>
    <t>First segment, one engine out</t>
  </si>
  <si>
    <t>Take-off flaps, gear down, lift-off speed</t>
  </si>
  <si>
    <t>Second segment, one engine out</t>
  </si>
  <si>
    <t>Take-off flaps, gear up, V2</t>
  </si>
  <si>
    <t>Final take-off, one engine out</t>
  </si>
  <si>
    <t>Clean, 1.25 Vs</t>
  </si>
  <si>
    <t>Approach climb, one engine out</t>
  </si>
  <si>
    <t>Landing flaps, landing mass</t>
  </si>
  <si>
    <t>Landing climb, all engines</t>
  </si>
  <si>
    <t>Landing flaps, gear down, landing mass</t>
  </si>
  <si>
    <t>Smallest climb margin</t>
  </si>
  <si>
    <t>climb_min</t>
  </si>
  <si>
    <t>Climb gradient check</t>
  </si>
  <si>
    <t>chk_climb</t>
  </si>
  <si>
    <t xml:space="preserve">   Best cruise altitude and mission profile</t>
  </si>
  <si>
    <t>Lift coefficient for best L/D</t>
  </si>
  <si>
    <t>CL_opt</t>
  </si>
  <si>
    <t>Pressure for best L/D at the start of cruise</t>
  </si>
  <si>
    <t>p_opt1</t>
  </si>
  <si>
    <t>q = 0.7 p M2</t>
  </si>
  <si>
    <t>Best-range altitude at the start of cruise</t>
  </si>
  <si>
    <t>h_opt1</t>
  </si>
  <si>
    <t>ISA altitude where cruise at MCR gives maximum L/D</t>
  </si>
  <si>
    <t>Best-range altitude at the end of cruise</t>
  </si>
  <si>
    <t>h_opt2</t>
  </si>
  <si>
    <t>Lighter aircraft, so higher</t>
  </si>
  <si>
    <t>h_best</t>
  </si>
  <si>
    <t>Limited by the service ceiling</t>
  </si>
  <si>
    <t>Best initial cruise flight level</t>
  </si>
  <si>
    <t>FL</t>
  </si>
  <si>
    <t>Rounded down to a whole thousand feet</t>
  </si>
  <si>
    <t>Step climbs of 2,000 ft during the cruise</t>
  </si>
  <si>
    <t>To stay near the best-range altitude as fuel burns off</t>
  </si>
  <si>
    <t>L/D at your cruise altitude / maximum L/D</t>
  </si>
  <si>
    <t>Cruise altitude advice</t>
  </si>
  <si>
    <t>chk_alt</t>
  </si>
  <si>
    <t>Change h_cr in section 2 if you want to use it</t>
  </si>
  <si>
    <t>Climb distance</t>
  </si>
  <si>
    <t>d_climb</t>
  </si>
  <si>
    <t>Mean climb speed taken as 75 % of cruise speed</t>
  </si>
  <si>
    <t>Descent distance</t>
  </si>
  <si>
    <t>d_desc</t>
  </si>
  <si>
    <t>3 degree descent path</t>
  </si>
  <si>
    <t>Mission point</t>
  </si>
  <si>
    <t>Distance (km)</t>
  </si>
  <si>
    <t>Altitude (m)</t>
  </si>
  <si>
    <t>Aircraft mass (kg)</t>
  </si>
  <si>
    <t>Fuel burnt so far (kg)</t>
  </si>
  <si>
    <t>Brake release</t>
  </si>
  <si>
    <t>After take-off</t>
  </si>
  <si>
    <t>Top of climb</t>
  </si>
  <si>
    <t>Top of descent</t>
  </si>
  <si>
    <t>Landing</t>
  </si>
  <si>
    <t>Fuel remaining at landing</t>
  </si>
  <si>
    <t>Reserves and trapped fuel</t>
  </si>
  <si>
    <t>12. WEIGHT BREAKDOWN, CENTRE OF GRAVITY AND STATIC STABILITY</t>
  </si>
  <si>
    <t>Leading edge of the MAC</t>
  </si>
  <si>
    <t>x_LEMAC</t>
  </si>
  <si>
    <t>Exposed wing area</t>
  </si>
  <si>
    <t>S_exp</t>
  </si>
  <si>
    <t>Wing area outside the fuselage</t>
  </si>
  <si>
    <t>Engine group CG station</t>
  </si>
  <si>
    <t>x_eng_cg</t>
  </si>
  <si>
    <t>Mean of the nacelle positions</t>
  </si>
  <si>
    <t>Payload CG station</t>
  </si>
  <si>
    <t>x_pay</t>
  </si>
  <si>
    <t>Middle of the seating area</t>
  </si>
  <si>
    <t>Fuel CG station</t>
  </si>
  <si>
    <t>x_fuelcg</t>
  </si>
  <si>
    <t>Wing tanks</t>
  </si>
  <si>
    <t>Component (Raymer approximate group weights)</t>
  </si>
  <si>
    <t>Mass (kg)</t>
  </si>
  <si>
    <t>CG station x (m)</t>
  </si>
  <si>
    <t>Moment (kg m)</t>
  </si>
  <si>
    <t>Method</t>
  </si>
  <si>
    <t>Wing</t>
  </si>
  <si>
    <t>49 kg per m2 of exposed area, CG at 40 % MAC</t>
  </si>
  <si>
    <t>Horizontal tail</t>
  </si>
  <si>
    <t>27 kg per m2, CG at 40 % of its MAC</t>
  </si>
  <si>
    <t>Vertical tail</t>
  </si>
  <si>
    <t>Fuselage</t>
  </si>
  <si>
    <t>24 kg per m2 of wetted area, CG at 45 % length</t>
  </si>
  <si>
    <t>Nose landing gear</t>
  </si>
  <si>
    <t>Gear = 4.3 % of MTOM, 15 % on the nose</t>
  </si>
  <si>
    <t>Main landing gear</t>
  </si>
  <si>
    <t>85 % of the gear mass</t>
  </si>
  <si>
    <t>Engines, installed</t>
  </si>
  <si>
    <t>1.3 x dry engine mass</t>
  </si>
  <si>
    <t>Systems, furnishings, equipment</t>
  </si>
  <si>
    <t>17 % of MTOM, CG at 45 % length</t>
  </si>
  <si>
    <t>Empty mass from the build-up</t>
  </si>
  <si>
    <t>Sum of the components</t>
  </si>
  <si>
    <t>Empty CG without the landing gear</t>
  </si>
  <si>
    <t>x_e_ng</t>
  </si>
  <si>
    <t>Used only to place the gear, which avoids a circular calculation</t>
  </si>
  <si>
    <t>Most aft CG used to place the landing gear</t>
  </si>
  <si>
    <t>x_cg_gear</t>
  </si>
  <si>
    <t>Main gear sits l_main behind this point, nose gear l_nose ahead of it</t>
  </si>
  <si>
    <t>Build-up vs the empty weight fraction</t>
  </si>
  <si>
    <t>Independent cross-check of the guessed We/W0: within about 10 % is good agreement</t>
  </si>
  <si>
    <t>CG (% MAC)</t>
  </si>
  <si>
    <t>Operating empty</t>
  </si>
  <si>
    <t>Empty + design payload (zero fuel)</t>
  </si>
  <si>
    <t>Maximum take-off (payload + fuel)</t>
  </si>
  <si>
    <t>Empty + fuel (ferry)</t>
  </si>
  <si>
    <t>Empty + maximum payload</t>
  </si>
  <si>
    <t>Most forward CG</t>
  </si>
  <si>
    <t>cg_fwd</t>
  </si>
  <si>
    <t>Most aft CG</t>
  </si>
  <si>
    <t>cg_aft</t>
  </si>
  <si>
    <t>Tail lift-curve slope</t>
  </si>
  <si>
    <t>CLa_h</t>
  </si>
  <si>
    <t>Downwash gradient</t>
  </si>
  <si>
    <t>deda</t>
  </si>
  <si>
    <t>d(epsilon)/d(alpha)</t>
  </si>
  <si>
    <t>Fuselage shift of the aerodynamic centre</t>
  </si>
  <si>
    <t>dx_fus</t>
  </si>
  <si>
    <t>Torenbeek: the fuselage nose is destabilising</t>
  </si>
  <si>
    <t>Tail contribution factor</t>
  </si>
  <si>
    <t>tail_k</t>
  </si>
  <si>
    <t>Tail efficiency 0.9</t>
  </si>
  <si>
    <t>Neutral point</t>
  </si>
  <si>
    <t>x_np</t>
  </si>
  <si>
    <t>Stick-fixed</t>
  </si>
  <si>
    <t>Static margin at maximum take-off mass</t>
  </si>
  <si>
    <t>SM_MTOM</t>
  </si>
  <si>
    <t>Static margin at the most aft CG</t>
  </si>
  <si>
    <t>SM_min</t>
  </si>
  <si>
    <t>At least 5 % wanted</t>
  </si>
  <si>
    <t>Stability check</t>
  </si>
  <si>
    <t>chk_SM</t>
  </si>
  <si>
    <t>Nose gear load share at the aft CG</t>
  </si>
  <si>
    <t>Should stay above about 5 %</t>
  </si>
  <si>
    <t>Nose gear load share at the forward CG</t>
  </si>
  <si>
    <t>ng_fwd</t>
  </si>
  <si>
    <t>Should stay below about 20 %</t>
  </si>
  <si>
    <t>Tip-back angle at the aft CG</t>
  </si>
  <si>
    <t>tip_aft</t>
  </si>
  <si>
    <t>At least 15 deg</t>
  </si>
  <si>
    <t>Landing gear position check</t>
  </si>
  <si>
    <t>chk_gear</t>
  </si>
  <si>
    <t>Mass that moves with the wing / MTOM</t>
  </si>
  <si>
    <t>f_wg</t>
  </si>
  <si>
    <t>Wing, main gear, engines, fuel</t>
  </si>
  <si>
    <t>Wing position for the target static margin</t>
  </si>
  <si>
    <t>xw_auto</t>
  </si>
  <si>
    <t>Solved on Plot_Data from the balance at two trial wing positions (the balance is linear in wing position), so no circular calculation is needed</t>
  </si>
  <si>
    <t>Tailplane fits on the fuselage</t>
  </si>
  <si>
    <t>chk_tailfit</t>
  </si>
  <si>
    <t xml:space="preserve">   Trim, take-off rotation and directional control (approximate checks of the tail sizes)</t>
  </si>
  <si>
    <t>Horizontal tail volume coefficient achieved</t>
  </si>
  <si>
    <t>Vbar_H</t>
  </si>
  <si>
    <t>Wing pitching moment, landing flaps</t>
  </si>
  <si>
    <t>Cm0_L</t>
  </si>
  <si>
    <t>Assumed: clean -0.05 plus -0.2 per unit of flap lift</t>
  </si>
  <si>
    <t>Tail lift coefficient to trim on approach</t>
  </si>
  <si>
    <t>CLh_trim</t>
  </si>
  <si>
    <t>Forward CG, 1.3 Vs, landing flaps. Negative = download</t>
  </si>
  <si>
    <t>Trim check</t>
  </si>
  <si>
    <t>chk_trim</t>
  </si>
  <si>
    <t>Tail limit taken as 0.8</t>
  </si>
  <si>
    <t>Rotation speed</t>
  </si>
  <si>
    <t>V_R</t>
  </si>
  <si>
    <t>Tail download needed to rotate</t>
  </si>
  <si>
    <t>L_rot</t>
  </si>
  <si>
    <t>Moments about the main wheels at the forward CG; wing at 60 % of its lift-off lift</t>
  </si>
  <si>
    <t>Tail lift coefficient to rotate</t>
  </si>
  <si>
    <t>CLh_rot</t>
  </si>
  <si>
    <t>Rotation check</t>
  </si>
  <si>
    <t>chk_rot</t>
  </si>
  <si>
    <t>Tail limit with elevator taken as 1.0</t>
  </si>
  <si>
    <t>Yawing moment with the critical engine failed</t>
  </si>
  <si>
    <t>N_eo</t>
  </si>
  <si>
    <t>N m</t>
  </si>
  <si>
    <t>90 % of static thrust plus 25 % for the dead engine's drag</t>
  </si>
  <si>
    <t>Fin lift coefficient to hold it</t>
  </si>
  <si>
    <t>CLv_eo</t>
  </si>
  <si>
    <t>At minimum control speed 1.13 Vs</t>
  </si>
  <si>
    <t>Engine-failure control check</t>
  </si>
  <si>
    <t>chk_fin</t>
  </si>
  <si>
    <t>Fin limit with rudder taken as 1.1</t>
  </si>
  <si>
    <t>Design crosswind</t>
  </si>
  <si>
    <t>V_xw</t>
  </si>
  <si>
    <t>25 kt</t>
  </si>
  <si>
    <t>Sideslip in the crosswind on approach</t>
  </si>
  <si>
    <t>beta_xw</t>
  </si>
  <si>
    <t>Rudder deflection to hold it</t>
  </si>
  <si>
    <t>dr_xw</t>
  </si>
  <si>
    <t>Rudder effectiveness 0.55, fuselage carries 30 %</t>
  </si>
  <si>
    <t>Crosswind check</t>
  </si>
  <si>
    <t>chk_xw</t>
  </si>
  <si>
    <t>13. AERODYNAMICS - drag build-up, high-lift system and control surfaces</t>
  </si>
  <si>
    <t>Air viscosity at cruise altitude</t>
  </si>
  <si>
    <t>mu_cr</t>
  </si>
  <si>
    <t>Pa s</t>
  </si>
  <si>
    <t>Sutherland</t>
  </si>
  <si>
    <t>Component (Raymer component build-up)</t>
  </si>
  <si>
    <t>Wetted area (m2)</t>
  </si>
  <si>
    <t>Skin friction Cf</t>
  </si>
  <si>
    <t>Form x interference</t>
  </si>
  <si>
    <t>CD0 contribution</t>
  </si>
  <si>
    <t>Nacelles</t>
  </si>
  <si>
    <t>Total (turbulent flat plate x form factor)</t>
  </si>
  <si>
    <t>CD0 from the build-up</t>
  </si>
  <si>
    <t>CD0_est</t>
  </si>
  <si>
    <t>Plus 6 % for leaks, gaps and excrescences</t>
  </si>
  <si>
    <t>Build-up vs your CDo input</t>
  </si>
  <si>
    <t>CDo check</t>
  </si>
  <si>
    <t>chk_CD0</t>
  </si>
  <si>
    <t xml:space="preserve">   High-lift system and control surfaces</t>
  </si>
  <si>
    <t>Flapped wing area / wing area</t>
  </si>
  <si>
    <t>flap_ratio</t>
  </si>
  <si>
    <t>Typical 0.55-0.65</t>
  </si>
  <si>
    <t>Lift increment needed for landing</t>
  </si>
  <si>
    <t>dCL_L</t>
  </si>
  <si>
    <t>CLmax landing - CLmax clean</t>
  </si>
  <si>
    <t>Lift increment needed for take-off</t>
  </si>
  <si>
    <t>dCL_TO</t>
  </si>
  <si>
    <t>Section lift increment needed</t>
  </si>
  <si>
    <t>dCl_req</t>
  </si>
  <si>
    <t>Raymer: dCLmax = 0.9 dCl (S_flapped/S) cos(sweep)</t>
  </si>
  <si>
    <t>Flap system needed</t>
  </si>
  <si>
    <t>flap_type</t>
  </si>
  <si>
    <t>Raymer Table 12.2 section values</t>
  </si>
  <si>
    <t>Flapped wing area</t>
  </si>
  <si>
    <t>Flap chord about 30 % of the wing chord</t>
  </si>
  <si>
    <t>Take-off flap setting / landing setting</t>
  </si>
  <si>
    <t>Share of the landing lift increment used at take-off</t>
  </si>
  <si>
    <t>Aileron area (each)</t>
  </si>
  <si>
    <t>72-95 % semi-span, 25 % chord</t>
  </si>
  <si>
    <t>Elevator area (total)</t>
  </si>
  <si>
    <t>30 % chord over 90 % of the span</t>
  </si>
  <si>
    <t>Rudder area</t>
  </si>
  <si>
    <t>32 % chord over 90 % of the height</t>
  </si>
  <si>
    <t>14. CABIN DETAILS - exits, galleys, cross-section and cargo hold</t>
  </si>
  <si>
    <t>Main door pairs</t>
  </si>
  <si>
    <t>n_door</t>
  </si>
  <si>
    <t>pairs</t>
  </si>
  <si>
    <t>Simplified from CS 25.807 exit capacities</t>
  </si>
  <si>
    <t>Overwing exit pairs</t>
  </si>
  <si>
    <t>n_overwing</t>
  </si>
  <si>
    <t>Type III, narrow-body sizes only</t>
  </si>
  <si>
    <t>Front door station</t>
  </si>
  <si>
    <t>x_door_f</t>
  </si>
  <si>
    <t>Rear door station</t>
  </si>
  <si>
    <t>x_door_r</t>
  </si>
  <si>
    <t>Galley units drawn</t>
  </si>
  <si>
    <t>Front right and rear left, in the door zones</t>
  </si>
  <si>
    <t>Galley width</t>
  </si>
  <si>
    <t>gal_w</t>
  </si>
  <si>
    <t>Meal trolleys needed</t>
  </si>
  <si>
    <t>About one per 30 passengers</t>
  </si>
  <si>
    <t>Cabin floor height below the widest point</t>
  </si>
  <si>
    <t>z_floor</t>
  </si>
  <si>
    <t>Widest point at armrest height</t>
  </si>
  <si>
    <t>Cabin floor width</t>
  </si>
  <si>
    <t>Aisle headroom</t>
  </si>
  <si>
    <t>Hold ceiling below centreline</t>
  </si>
  <si>
    <t>d_hold</t>
  </si>
  <si>
    <t>0.2 m floor structure</t>
  </si>
  <si>
    <t>Hold cross-section area</t>
  </si>
  <si>
    <t>A_hold</t>
  </si>
  <si>
    <t>Circular segment under the floor</t>
  </si>
  <si>
    <t>Usable hold volume</t>
  </si>
  <si>
    <t>V_hold</t>
  </si>
  <si>
    <t>80 % usable, over 72 % of the cabin length</t>
  </si>
  <si>
    <t>Baggage and cargo volume needed</t>
  </si>
  <si>
    <t>V_bag</t>
  </si>
  <si>
    <t>Maximum payload less 80 kg per person, at 160 kg/m3</t>
  </si>
  <si>
    <t>Cargo hold check</t>
  </si>
  <si>
    <t>chk_hold</t>
  </si>
  <si>
    <t>15. OPERATING COST (rough, order of magnitude only) for the design mission</t>
  </si>
  <si>
    <t>Fuel price</t>
  </si>
  <si>
    <t>c_fuel</t>
  </si>
  <si>
    <t>$/kg</t>
  </si>
  <si>
    <t>Assumption</t>
  </si>
  <si>
    <t>Flight crew cost per pilot</t>
  </si>
  <si>
    <t>c_pilot</t>
  </si>
  <si>
    <t>$/h</t>
  </si>
  <si>
    <t>Cabin crew cost per person</t>
  </si>
  <si>
    <t>c_cabin</t>
  </si>
  <si>
    <t>Aircraft price per kg of operating empty mass</t>
  </si>
  <si>
    <t>c_price</t>
  </si>
  <si>
    <t>Annual capital cost / price</t>
  </si>
  <si>
    <t>c_cap</t>
  </si>
  <si>
    <t>Depreciation, interest, insurance</t>
  </si>
  <si>
    <t>Utilisation</t>
  </si>
  <si>
    <t>util</t>
  </si>
  <si>
    <t>h/year</t>
  </si>
  <si>
    <t>Block time</t>
  </si>
  <si>
    <t>t_block</t>
  </si>
  <si>
    <t>h</t>
  </si>
  <si>
    <t>Cruise time + 0.5 h</t>
  </si>
  <si>
    <t>Trip fuel burnt</t>
  </si>
  <si>
    <t>W_trip</t>
  </si>
  <si>
    <t>Design mission without reserves</t>
  </si>
  <si>
    <t>Fuel cost</t>
  </si>
  <si>
    <t>k_fuel</t>
  </si>
  <si>
    <t>$</t>
  </si>
  <si>
    <t>Crew cost</t>
  </si>
  <si>
    <t>k_crew</t>
  </si>
  <si>
    <t>Maintenance cost</t>
  </si>
  <si>
    <t>k_maint</t>
  </si>
  <si>
    <t>$300 + $0.02 per kg OEW, per hour</t>
  </si>
  <si>
    <t>Ownership cost</t>
  </si>
  <si>
    <t>k_own</t>
  </si>
  <si>
    <t>Landing and navigation fees</t>
  </si>
  <si>
    <t>k_fees</t>
  </si>
  <si>
    <t>$15 per tonne of MTOM</t>
  </si>
  <si>
    <t>Total cost per flight</t>
  </si>
  <si>
    <t>k_total</t>
  </si>
  <si>
    <t>Cost per block hour</t>
  </si>
  <si>
    <t>cost_skm</t>
  </si>
  <si>
    <t>Fuel per seat per 100 km</t>
  </si>
  <si>
    <t>litres</t>
  </si>
  <si>
    <t xml:space="preserve">   Emissions and noise limits</t>
  </si>
  <si>
    <t>CO2 per flight</t>
  </si>
  <si>
    <t>3.16 kg of CO2 per kg of jet fuel</t>
  </si>
  <si>
    <t>co2_skm</t>
  </si>
  <si>
    <t>Noise limit, lateral (ICAO Chapter 3)</t>
  </si>
  <si>
    <t>nz_lat</t>
  </si>
  <si>
    <t>EPNdB</t>
  </si>
  <si>
    <t>Certification limit for this take-off mass, not a prediction of the aircraft's noise</t>
  </si>
  <si>
    <t>Noise limit, flyover (ICAO Chapter 3)</t>
  </si>
  <si>
    <t>nz_fly</t>
  </si>
  <si>
    <t>Depends on the number of engines</t>
  </si>
  <si>
    <t>Noise limit, approach (ICAO Chapter 3)</t>
  </si>
  <si>
    <t>nz_app</t>
  </si>
  <si>
    <t>Cumulative limit for a new design (Chapter 14)</t>
  </si>
  <si>
    <t>17 EPNdB below the Chapter 3 total</t>
  </si>
  <si>
    <t>16. COMPARISON WITH REAL AIRCRAFT (approximate published figures; variants differ)</t>
  </si>
  <si>
    <t>Row of the closest aircraft</t>
  </si>
  <si>
    <t>cmp_i</t>
  </si>
  <si>
    <t>Closest by passengers and take-off mass together</t>
  </si>
  <si>
    <t>cmp_name</t>
  </si>
  <si>
    <t>Quantity</t>
  </si>
  <si>
    <t>This design</t>
  </si>
  <si>
    <t>Closest aircraft</t>
  </si>
  <si>
    <t>Difference</t>
  </si>
  <si>
    <t>Passengers</t>
  </si>
  <si>
    <t>Maximum take-off mass (kg)</t>
  </si>
  <si>
    <t>Operating empty mass (kg)</t>
  </si>
  <si>
    <t>OEW / MTOM</t>
  </si>
  <si>
    <t>Wing area (m2)</t>
  </si>
  <si>
    <t>Wing span (m)</t>
  </si>
  <si>
    <t>Wing loading (kg/m2)</t>
  </si>
  <si>
    <t>Fuselage length (m)</t>
  </si>
  <si>
    <t>Thrust per engine (kN)</t>
  </si>
  <si>
    <t>Thrust-to-weight ratio</t>
  </si>
  <si>
    <t>Real figure is the full-payload brochure range, yours is the typical-payload design range</t>
  </si>
  <si>
    <t>Reference aircraft</t>
  </si>
  <si>
    <t>MTOM (kg)</t>
  </si>
  <si>
    <t>Parameter changed</t>
  </si>
  <si>
    <t>MTOM at -10 % (kg)</t>
  </si>
  <si>
    <t>MTOM at +10 % (kg)</t>
  </si>
  <si>
    <t>Change at -10 %</t>
  </si>
  <si>
    <t>Change at +10 %</t>
  </si>
  <si>
    <t>Cruise TSFC</t>
  </si>
  <si>
    <t>Zero-lift drag CDo</t>
  </si>
  <si>
    <t xml:space="preserve">   Trade study (Excel data tables). First column = cruise Mach, top row = aspect ratio, corner = the live value</t>
  </si>
  <si>
    <t>Take-off mass (kg) for each cruise Mach and aspect ratio</t>
  </si>
  <si>
    <t>Wing area (m2) for each cruise Mach and aspect ratio</t>
  </si>
  <si>
    <t>18. REQUIREMENTS COMPLIANCE - each of your parameters against what the design achieves</t>
  </si>
  <si>
    <t>Requirement</t>
  </si>
  <si>
    <t>Required</t>
  </si>
  <si>
    <t>Achieved</t>
  </si>
  <si>
    <t>Status</t>
  </si>
  <si>
    <t>How it is checked</t>
  </si>
  <si>
    <t>Span squared over wing area</t>
  </si>
  <si>
    <t>Input to the drag polar</t>
  </si>
  <si>
    <t>Zero-lift drag coefficient</t>
  </si>
  <si>
    <t>Component drag build-up (section 13)</t>
  </si>
  <si>
    <t>Maximum payload (kg)</t>
  </si>
  <si>
    <t>Carried at MTOM with reduced fuel</t>
  </si>
  <si>
    <t>Take-off distance available (m)</t>
  </si>
  <si>
    <t>Landing distance available (m)</t>
  </si>
  <si>
    <t>CLmax, take-off</t>
  </si>
  <si>
    <t>Flap system needed: see section 13</t>
  </si>
  <si>
    <t>CLmax, landing</t>
  </si>
  <si>
    <t>Cruise thrust lapse</t>
  </si>
  <si>
    <t>Lapse needed (cruise drag / installed thrust) must not exceed the lapse available</t>
  </si>
  <si>
    <t>Maximum level-flight Mach at the cruise altitude</t>
  </si>
  <si>
    <t>Sets the mission fuel</t>
  </si>
  <si>
    <t>Typical passengers</t>
  </si>
  <si>
    <t>Seats provided in the cabin layout</t>
  </si>
  <si>
    <t>Breguet range of the design mission, in your range unit</t>
  </si>
  <si>
    <t>Typical passenger payload (kg)</t>
  </si>
  <si>
    <t>Carried on the design mission</t>
  </si>
  <si>
    <t>n_met</t>
  </si>
  <si>
    <t>of 14</t>
  </si>
  <si>
    <t>19. SCENARIOS - store two more sets of parameters and compare the results side by side</t>
  </si>
  <si>
    <t>Scenario used by the whole sheet</t>
  </si>
  <si>
    <t>scn</t>
  </si>
  <si>
    <t>1 = live (the yellow cells). 2 or 3 loads scenario A or B into every calculation and drawing</t>
  </si>
  <si>
    <t>Parameter</t>
  </si>
  <si>
    <t>Live (yellow cells)</t>
  </si>
  <si>
    <t>Scenario A</t>
  </si>
  <si>
    <t>Scenario B</t>
  </si>
  <si>
    <t>Value used by the model</t>
  </si>
  <si>
    <t>Result (the scenario columns are filled in by an Excel data table)</t>
  </si>
  <si>
    <t>Live</t>
  </si>
  <si>
    <t>Scenario number</t>
  </si>
  <si>
    <t>Design mission fuel (kg)</t>
  </si>
  <si>
    <t>Wing loading (N/m2)</t>
  </si>
  <si>
    <t>Range with maximum payload (km)</t>
  </si>
  <si>
    <t>Service ceiling (m)</t>
  </si>
  <si>
    <t>Cost per seat-km (US cents)</t>
  </si>
  <si>
    <t>AIRCRAFT DESIGN SUMMARY</t>
  </si>
  <si>
    <t>REQUIREMENT</t>
  </si>
  <si>
    <t>Required / Achieved</t>
  </si>
  <si>
    <t>CHART DATA - calculated automatically from the Design sheet. Nothing to edit here.</t>
  </si>
  <si>
    <t>Drawing box size (m)</t>
  </si>
  <si>
    <t>W/S / landing limit</t>
  </si>
  <si>
    <t>m/S (kg/m2)</t>
  </si>
  <si>
    <t>2nd segment OEI</t>
  </si>
  <si>
    <t>Missed approach OEI</t>
  </si>
  <si>
    <t>Landing W/S</t>
  </si>
  <si>
    <t>T/W</t>
  </si>
  <si>
    <t>Station</t>
  </si>
  <si>
    <t>x (m)</t>
  </si>
  <si>
    <t>radius (m)</t>
  </si>
  <si>
    <t>z centre (m)</t>
  </si>
  <si>
    <t>x centred</t>
  </si>
  <si>
    <t>side view z</t>
  </si>
  <si>
    <t>top view y</t>
  </si>
  <si>
    <t>x from nose</t>
  </si>
  <si>
    <t>y</t>
  </si>
  <si>
    <t>z</t>
  </si>
  <si>
    <t>span fraction</t>
  </si>
  <si>
    <t>x front</t>
  </si>
  <si>
    <t>z centre</t>
  </si>
  <si>
    <t>box x</t>
  </si>
  <si>
    <t>box y</t>
  </si>
  <si>
    <t>seat column</t>
  </si>
  <si>
    <t>column used</t>
  </si>
  <si>
    <t>lane edge y</t>
  </si>
  <si>
    <t>row used</t>
  </si>
  <si>
    <t>row start x</t>
  </si>
  <si>
    <t>cabin x</t>
  </si>
  <si>
    <t>cabin y</t>
  </si>
  <si>
    <t>X</t>
  </si>
  <si>
    <t>Y</t>
  </si>
  <si>
    <t>Z</t>
  </si>
  <si>
    <t>screen u</t>
  </si>
  <si>
    <t>screen v</t>
  </si>
  <si>
    <t>Legend text</t>
  </si>
  <si>
    <t>seat line x</t>
  </si>
  <si>
    <t>seat line y</t>
  </si>
  <si>
    <t>seat line x centred</t>
  </si>
  <si>
    <t>pilot seat x</t>
  </si>
  <si>
    <t>pilot seat y</t>
  </si>
  <si>
    <t>lavatory</t>
  </si>
  <si>
    <t>used</t>
  </si>
  <si>
    <t>front?</t>
  </si>
  <si>
    <t>index in zone</t>
  </si>
  <si>
    <t>x start</t>
  </si>
  <si>
    <t>y low</t>
  </si>
  <si>
    <t>outline x</t>
  </si>
  <si>
    <t>outline y</t>
  </si>
  <si>
    <t>CL clean</t>
  </si>
  <si>
    <t>CD clean</t>
  </si>
  <si>
    <t>L/D clean</t>
  </si>
  <si>
    <t>CL take-off</t>
  </si>
  <si>
    <t>CD take-off</t>
  </si>
  <si>
    <t>L/D take-off</t>
  </si>
  <si>
    <t>CL landing</t>
  </si>
  <si>
    <t>CD landing</t>
  </si>
  <si>
    <t>L/D landing</t>
  </si>
  <si>
    <t>cruise CD</t>
  </si>
  <si>
    <t>cruise CL</t>
  </si>
  <si>
    <t>cruise L/D</t>
  </si>
  <si>
    <t>altitude m</t>
  </si>
  <si>
    <t>T (K)</t>
  </si>
  <si>
    <t>density</t>
  </si>
  <si>
    <t>speed of sound</t>
  </si>
  <si>
    <t>T/W available</t>
  </si>
  <si>
    <t>best-climb speed</t>
  </si>
  <si>
    <t>rate of climb m/s</t>
  </si>
  <si>
    <t>climb time s</t>
  </si>
  <si>
    <t>discriminant</t>
  </si>
  <si>
    <t>min speed</t>
  </si>
  <si>
    <t>max speed</t>
  </si>
  <si>
    <t>min Mach</t>
  </si>
  <si>
    <t>max Mach</t>
  </si>
  <si>
    <t>cruise alt line x</t>
  </si>
  <si>
    <t>cruise alt line y</t>
  </si>
  <si>
    <t>cruise Mach</t>
  </si>
  <si>
    <t>cruise altitude</t>
  </si>
  <si>
    <t>V (m/s EAS)</t>
  </si>
  <si>
    <t>n manoeuvre</t>
  </si>
  <si>
    <t>V gust +</t>
  </si>
  <si>
    <t>n gust +</t>
  </si>
  <si>
    <t>V gust -</t>
  </si>
  <si>
    <t>n gust -</t>
  </si>
  <si>
    <t>CG % MAC</t>
  </si>
  <si>
    <t>mass kg</t>
  </si>
  <si>
    <t>neutral point</t>
  </si>
  <si>
    <t>mass</t>
  </si>
  <si>
    <t>aft limit</t>
  </si>
  <si>
    <t>fuselage y</t>
  </si>
  <si>
    <t>fuselage z</t>
  </si>
  <si>
    <t>surface y</t>
  </si>
  <si>
    <t>surface z</t>
  </si>
  <si>
    <t>engine y</t>
  </si>
  <si>
    <t>engine z</t>
  </si>
  <si>
    <t>gear y</t>
  </si>
  <si>
    <t>gear z</t>
  </si>
  <si>
    <t>skin y</t>
  </si>
  <si>
    <t>skin z</t>
  </si>
  <si>
    <t>lining y</t>
  </si>
  <si>
    <t>lining z</t>
  </si>
  <si>
    <t>floor y</t>
  </si>
  <si>
    <t>floor z</t>
  </si>
  <si>
    <t>seat y</t>
  </si>
  <si>
    <t>seat z</t>
  </si>
  <si>
    <t>box</t>
  </si>
  <si>
    <t>exit x</t>
  </si>
  <si>
    <t>exit y</t>
  </si>
  <si>
    <t>galley x</t>
  </si>
  <si>
    <t>galley y</t>
  </si>
  <si>
    <t>case</t>
  </si>
  <si>
    <t>payload kg</t>
  </si>
  <si>
    <t>fuel fraction</t>
  </si>
  <si>
    <t>aircraft</t>
  </si>
  <si>
    <t>passengers</t>
  </si>
  <si>
    <t>MTOM kg</t>
  </si>
  <si>
    <t>OEW kg</t>
  </si>
  <si>
    <t>wing area m2</t>
  </si>
  <si>
    <t>span m</t>
  </si>
  <si>
    <t>length m</t>
  </si>
  <si>
    <t>thrust per engine kN</t>
  </si>
  <si>
    <t>engines</t>
  </si>
  <si>
    <t>range km</t>
  </si>
  <si>
    <t>distance score</t>
  </si>
  <si>
    <t>wing placement solver</t>
  </si>
  <si>
    <t>trial 1</t>
  </si>
  <si>
    <t>trial 2</t>
  </si>
  <si>
    <t>wing position needed</t>
  </si>
  <si>
    <t>W0 guess</t>
  </si>
  <si>
    <t>wing area</t>
  </si>
  <si>
    <t>span</t>
  </si>
  <si>
    <t>root chord</t>
  </si>
  <si>
    <t>wing</t>
  </si>
  <si>
    <t>tails</t>
  </si>
  <si>
    <t>fuselage</t>
  </si>
  <si>
    <t>gear</t>
  </si>
  <si>
    <t>systems</t>
  </si>
  <si>
    <t>empty mass</t>
  </si>
  <si>
    <t>W0 new</t>
  </si>
  <si>
    <t>tank x centred</t>
  </si>
  <si>
    <t>tank y</t>
  </si>
  <si>
    <t>nose 0.00</t>
  </si>
  <si>
    <t>Range x 0.9</t>
  </si>
  <si>
    <t>Cessna Citation CJ3</t>
  </si>
  <si>
    <t>wing position / length</t>
  </si>
  <si>
    <t>nose 0.02</t>
  </si>
  <si>
    <t>Range x 1.1</t>
  </si>
  <si>
    <t>Embraer ERJ 145</t>
  </si>
  <si>
    <t>leading edge of MAC</t>
  </si>
  <si>
    <t>nose 0.07</t>
  </si>
  <si>
    <t>Payload x 0.9</t>
  </si>
  <si>
    <t>Bombardier CRJ900</t>
  </si>
  <si>
    <t>wing LE at centreline</t>
  </si>
  <si>
    <t>Design W/S</t>
  </si>
  <si>
    <t>Design T/W</t>
  </si>
  <si>
    <t>nose 0.15</t>
  </si>
  <si>
    <t>Payload x 1.1</t>
  </si>
  <si>
    <t>Embraer E190</t>
  </si>
  <si>
    <t>engine CG</t>
  </si>
  <si>
    <t>nose 0.30</t>
  </si>
  <si>
    <t>TSFC x 0.9</t>
  </si>
  <si>
    <t>Airbus A320-200</t>
  </si>
  <si>
    <t>moment without gear</t>
  </si>
  <si>
    <t>nose 0.45</t>
  </si>
  <si>
    <t>TSFC x 1.1</t>
  </si>
  <si>
    <t>Boeing 737-800</t>
  </si>
  <si>
    <t>empty CG without gear</t>
  </si>
  <si>
    <t>Crosshair W/S</t>
  </si>
  <si>
    <t>nose 0.60</t>
  </si>
  <si>
    <t>CDo x 0.9</t>
  </si>
  <si>
    <t>Airbus A321-200</t>
  </si>
  <si>
    <t>fuel CG</t>
  </si>
  <si>
    <t>nose 0.80</t>
  </si>
  <si>
    <t>CDo x 1.1</t>
  </si>
  <si>
    <t>Boeing 757-200</t>
  </si>
  <si>
    <t>aft CG for the gear</t>
  </si>
  <si>
    <t>nose 1.00</t>
  </si>
  <si>
    <t>AR x 0.9</t>
  </si>
  <si>
    <t>Boeing 767-300ER</t>
  </si>
  <si>
    <t>empty CG</t>
  </si>
  <si>
    <t>mid 0.33</t>
  </si>
  <si>
    <t>AR x 1.1</t>
  </si>
  <si>
    <t>Airbus A330-300</t>
  </si>
  <si>
    <t>CG station case 1</t>
  </si>
  <si>
    <t>mid 0.67</t>
  </si>
  <si>
    <t>A x 0.9</t>
  </si>
  <si>
    <t>Boeing 787-9</t>
  </si>
  <si>
    <t>CG station case 2</t>
  </si>
  <si>
    <t>tail 0.00</t>
  </si>
  <si>
    <t>A x 1.1</t>
  </si>
  <si>
    <t>Airbus A350-900</t>
  </si>
  <si>
    <t>CG station case 3</t>
  </si>
  <si>
    <t>tail 0.15</t>
  </si>
  <si>
    <t>Boeing 777-300ER</t>
  </si>
  <si>
    <t>CG station case 4</t>
  </si>
  <si>
    <t>tail 0.30</t>
  </si>
  <si>
    <t>Boeing 747-400</t>
  </si>
  <si>
    <t>CG station case 5</t>
  </si>
  <si>
    <t>tail 0.45</t>
  </si>
  <si>
    <t>Airbus A380-800</t>
  </si>
  <si>
    <t>CG % MAC case 1</t>
  </si>
  <si>
    <t>tail 0.60</t>
  </si>
  <si>
    <t>Cessna 172S (piston)</t>
  </si>
  <si>
    <t>CG % MAC case 2</t>
  </si>
  <si>
    <t>tail 0.75</t>
  </si>
  <si>
    <t>Pilatus PC-12 (turboprop)</t>
  </si>
  <si>
    <t>CG % MAC case 3</t>
  </si>
  <si>
    <t>tail 0.90</t>
  </si>
  <si>
    <t>Beechcraft 1900D (turboprop)</t>
  </si>
  <si>
    <t>CG % MAC case 4</t>
  </si>
  <si>
    <t>tail 1.00</t>
  </si>
  <si>
    <t>ATR 72-600 (turboprop)</t>
  </si>
  <si>
    <t>CG % MAC case 5</t>
  </si>
  <si>
    <t>Dash 8 Q400 (turboprop)</t>
  </si>
  <si>
    <t>Learjet 45 (business jet)</t>
  </si>
  <si>
    <t>static margin case 1</t>
  </si>
  <si>
    <t>Gulfstream G650 (business jet)</t>
  </si>
  <si>
    <t>static margin case 2</t>
  </si>
  <si>
    <t>Boeing 777F (freighter)</t>
  </si>
  <si>
    <t>static margin case 3</t>
  </si>
  <si>
    <t>Boeing 747-8F (freighter)</t>
  </si>
  <si>
    <t>static margin case 4</t>
  </si>
  <si>
    <t>static margin case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</si>
</sst>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000"/>
    <numFmt numFmtId="165" formatCode="0.000"/>
    <numFmt numFmtId="166" formatCode="0.0"/>
    <numFmt numFmtId="167" formatCode="0.00000"/>
    <numFmt numFmtId="168" formatCode="0.000E+00"/>
    <numFmt numFmtId="169" formatCode="0.000000"/>
    <numFmt numFmtId="170" formatCode="#,##0.0"/>
    <numFmt numFmtId="171" formatCode="0.0%"/>
  </numFmts>
  <fonts count="13" x14ac:knownFonts="1">
    <font>
      <sz val="11"/>
      <color theme="1"/>
      <name val="Calibri"/>
      <family val="2"/>
      <scheme val="minor"/>
    </font>
    <font>
      <b/>
      <sz val="14"/>
      <name val="Arial"/>
    </font>
    <font>
      <i/>
      <sz val="11"/>
      <name val="Arial"/>
    </font>
    <font>
      <b/>
      <sz val="11"/>
      <color rgb="FFFFFFFF"/>
      <name val="Arial"/>
    </font>
    <font>
      <sz val="11"/>
      <color rgb="FF000000"/>
      <name val="Arial"/>
    </font>
    <font>
      <sz val="11"/>
      <color rgb="FF0000FF"/>
      <name val="Arial"/>
    </font>
    <font>
      <i/>
      <sz val="11"/>
      <color rgb="FF000000"/>
      <name val="Arial"/>
    </font>
    <font>
      <sz val="11"/>
      <name val="Arial"/>
    </font>
    <font>
      <b/>
      <sz val="11"/>
      <name val="Arial"/>
    </font>
    <font>
      <b/>
      <sz val="16"/>
      <name val="Arial"/>
    </font>
    <font>
      <sz val="9"/>
      <name val="Arial"/>
    </font>
    <font>
      <b/>
      <sz val="9"/>
      <name val="Arial"/>
    </font>
    <font>
      <b/>
      <sz val="9"/>
      <color rgb="FFFFFFFF"/>
      <name val="Arial"/>
    </font>
  </fonts>
  <fills count="34">
    <fill>
      <patternFill patternType="none"/>
    </fill>
    <fill>
      <patternFill patternType="gray125"/>
    </fill>
    <fill>
      <patternFill patternType="solid">
        <fgColor rgb="FF7F6000"/>
      </patternFill>
    </fill>
    <fill>
      <patternFill patternType="solid">
        <fgColor rgb="FFFCE4D6"/>
      </patternFill>
    </fill>
    <fill>
      <patternFill patternType="solid">
        <fgColor rgb="FFFFFF00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F8D0D0"/>
      </patternFill>
    </fill>
    <fill>
      <patternFill patternType="solid">
        <fgColor rgb="FFE4DFEC"/>
      </patternFill>
    </fill>
    <fill>
      <patternFill patternType="solid">
        <fgColor rgb="FF595959"/>
      </patternFill>
    </fill>
    <fill>
      <patternFill patternType="solid">
        <fgColor rgb="FFEDEDED"/>
      </patternFill>
    </fill>
    <fill>
      <patternFill patternType="solid">
        <fgColor rgb="FF1F4E79"/>
      </patternFill>
    </fill>
    <fill>
      <patternFill patternType="solid">
        <fgColor rgb="FF375623"/>
      </patternFill>
    </fill>
    <fill>
      <patternFill patternType="solid">
        <fgColor rgb="FFC55A11"/>
      </patternFill>
    </fill>
    <fill>
      <patternFill patternType="solid">
        <fgColor rgb="FF7030A0"/>
      </patternFill>
    </fill>
    <fill>
      <patternFill patternType="solid">
        <fgColor rgb="FFA5225F"/>
      </patternFill>
    </fill>
    <fill>
      <patternFill patternType="solid">
        <fgColor rgb="FFF9DCE9"/>
      </patternFill>
    </fill>
    <fill>
      <patternFill patternType="solid">
        <fgColor rgb="FFC00000"/>
      </patternFill>
    </fill>
    <fill>
      <patternFill patternType="solid">
        <fgColor rgb="FF7B4B2A"/>
      </patternFill>
    </fill>
    <fill>
      <patternFill patternType="solid">
        <fgColor rgb="FFEAD9C8"/>
      </patternFill>
    </fill>
    <fill>
      <patternFill patternType="solid">
        <fgColor rgb="FF44546A"/>
      </patternFill>
    </fill>
    <fill>
      <patternFill patternType="solid">
        <fgColor rgb="FFD6DCE4"/>
      </patternFill>
    </fill>
    <fill>
      <patternFill patternType="solid">
        <fgColor rgb="FF0B6E6E"/>
      </patternFill>
    </fill>
    <fill>
      <patternFill patternType="solid">
        <fgColor rgb="FFD0ECEC"/>
      </patternFill>
    </fill>
    <fill>
      <patternFill patternType="solid">
        <fgColor rgb="FF666600"/>
      </patternFill>
    </fill>
    <fill>
      <patternFill patternType="solid">
        <fgColor rgb="FFEDEDC8"/>
      </patternFill>
    </fill>
    <fill>
      <patternFill patternType="solid">
        <fgColor rgb="FF3F3F8F"/>
      </patternFill>
    </fill>
    <fill>
      <patternFill patternType="solid">
        <fgColor rgb="FFDCDCF2"/>
      </patternFill>
    </fill>
    <fill>
      <patternFill patternType="solid">
        <fgColor rgb="FF1E7B4D"/>
      </patternFill>
    </fill>
    <fill>
      <patternFill patternType="solid">
        <fgColor rgb="FFD5F0E1"/>
      </patternFill>
    </fill>
    <fill>
      <patternFill patternType="solid">
        <fgColor rgb="FF8C4A00"/>
      </patternFill>
    </fill>
    <fill>
      <patternFill patternType="solid">
        <fgColor rgb="FFF6E0C2"/>
      </patternFill>
    </fill>
    <fill>
      <patternFill patternType="solid">
        <fgColor rgb="FFFFF2CC"/>
      </patternFill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3" fillId="33" borderId="0" xfId="0" applyFont="1" applyFill="1"/>
    <xf numFmtId="0" fontId="4" fillId="3" borderId="0" xfId="0" applyFont="1" applyFill="1"/>
    <xf numFmtId="2" fontId="5" fillId="4" borderId="0" xfId="0" applyNumberFormat="1" applyFont="1" applyFill="1" applyAlignment="1">
      <alignment horizontal="right"/>
    </xf>
    <xf numFmtId="0" fontId="6" fillId="3" borderId="0" xfId="0" applyFont="1" applyFill="1"/>
    <xf numFmtId="0" fontId="7" fillId="6" borderId="0" xfId="0" applyFont="1" applyFill="1"/>
    <xf numFmtId="3" fontId="8" fillId="6" borderId="0" xfId="0" applyNumberFormat="1" applyFont="1" applyFill="1" applyAlignment="1">
      <alignment horizontal="right"/>
    </xf>
    <xf numFmtId="0" fontId="4" fillId="5" borderId="0" xfId="0" applyFont="1" applyFill="1"/>
    <xf numFmtId="0" fontId="6" fillId="5" borderId="0" xfId="0" applyFont="1" applyFill="1"/>
    <xf numFmtId="164" fontId="5" fillId="4" borderId="0" xfId="0" applyNumberFormat="1" applyFont="1" applyFill="1" applyAlignment="1">
      <alignment horizontal="right"/>
    </xf>
    <xf numFmtId="0" fontId="4" fillId="6" borderId="0" xfId="0" applyFont="1" applyFill="1"/>
    <xf numFmtId="3" fontId="5" fillId="4" borderId="0" xfId="0" applyNumberFormat="1" applyFont="1" applyFill="1" applyAlignment="1">
      <alignment horizontal="right"/>
    </xf>
    <xf numFmtId="0" fontId="6" fillId="6" borderId="0" xfId="0" applyFont="1" applyFill="1"/>
    <xf numFmtId="0" fontId="7" fillId="5" borderId="0" xfId="0" applyFont="1" applyFill="1"/>
    <xf numFmtId="3" fontId="8" fillId="5" borderId="0" xfId="0" applyNumberFormat="1" applyFont="1" applyFill="1" applyAlignment="1">
      <alignment horizontal="right"/>
    </xf>
    <xf numFmtId="166" fontId="8" fillId="5" borderId="0" xfId="0" applyNumberFormat="1" applyFont="1" applyFill="1" applyAlignment="1">
      <alignment horizontal="right"/>
    </xf>
    <xf numFmtId="165" fontId="8" fillId="5" borderId="0" xfId="0" applyNumberFormat="1" applyFont="1" applyFill="1" applyAlignment="1">
      <alignment horizontal="right"/>
    </xf>
    <xf numFmtId="49" fontId="8" fillId="5" borderId="0" xfId="0" applyNumberFormat="1" applyFont="1" applyFill="1" applyAlignment="1">
      <alignment horizontal="right"/>
    </xf>
    <xf numFmtId="0" fontId="4" fillId="7" borderId="0" xfId="0" applyFont="1" applyFill="1"/>
    <xf numFmtId="0" fontId="6" fillId="7" borderId="0" xfId="0" applyFont="1" applyFill="1"/>
    <xf numFmtId="0" fontId="7" fillId="3" borderId="0" xfId="0" applyFont="1" applyFill="1"/>
    <xf numFmtId="166" fontId="8" fillId="3" borderId="0" xfId="0" applyNumberFormat="1" applyFont="1" applyFill="1" applyAlignment="1">
      <alignment horizontal="right"/>
    </xf>
    <xf numFmtId="2" fontId="8" fillId="3" borderId="0" xfId="0" applyNumberFormat="1" applyFont="1" applyFill="1" applyAlignment="1">
      <alignment horizontal="right"/>
    </xf>
    <xf numFmtId="0" fontId="5" fillId="4" borderId="0" xfId="0" applyFont="1" applyFill="1"/>
    <xf numFmtId="0" fontId="4" fillId="8" borderId="0" xfId="0" applyFont="1" applyFill="1"/>
    <xf numFmtId="0" fontId="6" fillId="8" borderId="0" xfId="0" applyFont="1" applyFill="1"/>
    <xf numFmtId="0" fontId="7" fillId="7" borderId="0" xfId="0" applyFont="1" applyFill="1"/>
    <xf numFmtId="166" fontId="8" fillId="7" borderId="0" xfId="0" applyNumberFormat="1" applyFont="1" applyFill="1" applyAlignment="1">
      <alignment horizontal="right"/>
    </xf>
    <xf numFmtId="0" fontId="3" fillId="9" borderId="0" xfId="0" applyFont="1" applyFill="1"/>
    <xf numFmtId="0" fontId="7" fillId="8" borderId="0" xfId="0" applyFont="1" applyFill="1"/>
    <xf numFmtId="2" fontId="8" fillId="8" borderId="0" xfId="0" applyNumberFormat="1" applyFont="1" applyFill="1" applyAlignment="1">
      <alignment horizontal="right"/>
    </xf>
    <xf numFmtId="0" fontId="4" fillId="10" borderId="0" xfId="0" applyFont="1" applyFill="1"/>
    <xf numFmtId="3" fontId="5" fillId="10" borderId="0" xfId="0" applyNumberFormat="1" applyFont="1" applyFill="1" applyAlignment="1">
      <alignment horizontal="right"/>
    </xf>
    <xf numFmtId="0" fontId="6" fillId="10" borderId="0" xfId="0" applyFont="1" applyFill="1"/>
    <xf numFmtId="49" fontId="8" fillId="8" borderId="0" xfId="0" applyNumberFormat="1" applyFont="1" applyFill="1" applyAlignment="1">
      <alignment horizontal="right"/>
    </xf>
    <xf numFmtId="49" fontId="5" fillId="10" borderId="0" xfId="0" applyNumberFormat="1" applyFont="1" applyFill="1" applyAlignment="1">
      <alignment horizontal="right"/>
    </xf>
    <xf numFmtId="0" fontId="7" fillId="16" borderId="0" xfId="0" applyFont="1" applyFill="1"/>
    <xf numFmtId="166" fontId="8" fillId="16" borderId="0" xfId="0" applyNumberFormat="1" applyFont="1" applyFill="1" applyAlignment="1">
      <alignment horizontal="right"/>
    </xf>
    <xf numFmtId="0" fontId="7" fillId="19" borderId="0" xfId="0" applyFont="1" applyFill="1"/>
    <xf numFmtId="49" fontId="8" fillId="19" borderId="0" xfId="0" applyNumberFormat="1" applyFont="1" applyFill="1" applyAlignment="1">
      <alignment horizontal="right"/>
    </xf>
    <xf numFmtId="9" fontId="5" fillId="10" borderId="0" xfId="0" applyNumberFormat="1" applyFont="1" applyFill="1" applyAlignment="1">
      <alignment horizontal="right"/>
    </xf>
    <xf numFmtId="2" fontId="5" fillId="10" borderId="0" xfId="0" applyNumberFormat="1" applyFont="1" applyFill="1" applyAlignment="1">
      <alignment horizontal="right"/>
    </xf>
    <xf numFmtId="0" fontId="7" fillId="0" borderId="0" xfId="0" applyFont="1"/>
    <xf numFmtId="3" fontId="8" fillId="0" borderId="0" xfId="0" applyNumberFormat="1" applyFont="1" applyAlignment="1">
      <alignment horizontal="right"/>
    </xf>
    <xf numFmtId="1" fontId="5" fillId="10" borderId="0" xfId="0" applyNumberFormat="1" applyFont="1" applyFill="1" applyAlignment="1">
      <alignment horizontal="right"/>
    </xf>
    <xf numFmtId="166" fontId="8" fillId="0" borderId="0" xfId="0" applyNumberFormat="1" applyFont="1" applyAlignment="1">
      <alignment horizontal="right"/>
    </xf>
    <xf numFmtId="165" fontId="5" fillId="10" borderId="0" xfId="0" applyNumberFormat="1" applyFont="1" applyFill="1" applyAlignment="1">
      <alignment horizontal="right"/>
    </xf>
    <xf numFmtId="2" fontId="8" fillId="0" borderId="0" xfId="0" applyNumberFormat="1" applyFont="1" applyAlignment="1">
      <alignment horizontal="right"/>
    </xf>
    <xf numFmtId="171" fontId="8" fillId="0" borderId="0" xfId="0" applyNumberFormat="1" applyFont="1" applyAlignment="1">
      <alignment horizontal="right"/>
    </xf>
    <xf numFmtId="164" fontId="5" fillId="10" borderId="0" xfId="0" applyNumberFormat="1" applyFont="1" applyFill="1" applyAlignment="1">
      <alignment horizontal="right"/>
    </xf>
    <xf numFmtId="164" fontId="8" fillId="0" borderId="0" xfId="0" applyNumberFormat="1" applyFont="1" applyAlignment="1">
      <alignment horizontal="right"/>
    </xf>
    <xf numFmtId="49" fontId="8" fillId="0" borderId="0" xfId="0" applyNumberFormat="1" applyFont="1" applyAlignment="1">
      <alignment horizontal="right"/>
    </xf>
    <xf numFmtId="2" fontId="8" fillId="19" borderId="0" xfId="0" applyNumberFormat="1" applyFont="1" applyFill="1" applyAlignment="1">
      <alignment horizontal="right"/>
    </xf>
    <xf numFmtId="0" fontId="8" fillId="0" borderId="0" xfId="0" applyFont="1"/>
    <xf numFmtId="49" fontId="8" fillId="6" borderId="0" xfId="0" applyNumberFormat="1" applyFont="1" applyFill="1" applyAlignment="1">
      <alignment horizontal="right"/>
    </xf>
    <xf numFmtId="166" fontId="5" fillId="10" borderId="0" xfId="0" applyNumberFormat="1" applyFont="1" applyFill="1" applyAlignment="1">
      <alignment horizontal="right"/>
    </xf>
    <xf numFmtId="49" fontId="8" fillId="7" borderId="0" xfId="0" applyNumberFormat="1" applyFont="1" applyFill="1" applyAlignment="1">
      <alignment horizontal="right"/>
    </xf>
    <xf numFmtId="49" fontId="8" fillId="16" borderId="0" xfId="0" applyNumberFormat="1" applyFont="1" applyFill="1" applyAlignment="1">
      <alignment horizontal="right"/>
    </xf>
    <xf numFmtId="0" fontId="0" fillId="33" borderId="0" xfId="0" applyFill="1"/>
    <xf numFmtId="0" fontId="7" fillId="32" borderId="0" xfId="0" applyFont="1" applyFill="1"/>
    <xf numFmtId="0" fontId="0" fillId="32" borderId="0" xfId="0" applyFill="1"/>
    <xf numFmtId="0" fontId="7" fillId="10" borderId="0" xfId="0" applyFont="1" applyFill="1"/>
    <xf numFmtId="0" fontId="0" fillId="10" borderId="0" xfId="0" applyFill="1"/>
    <xf numFmtId="0" fontId="3" fillId="11" borderId="0" xfId="0" applyFont="1" applyFill="1"/>
    <xf numFmtId="0" fontId="0" fillId="5" borderId="0" xfId="0" applyFill="1"/>
    <xf numFmtId="0" fontId="3" fillId="12" borderId="0" xfId="0" applyFont="1" applyFill="1"/>
    <xf numFmtId="0" fontId="0" fillId="6" borderId="0" xfId="0" applyFill="1"/>
    <xf numFmtId="0" fontId="3" fillId="13" borderId="0" xfId="0" applyFont="1" applyFill="1"/>
    <xf numFmtId="0" fontId="0" fillId="3" borderId="0" xfId="0" applyFill="1"/>
    <xf numFmtId="0" fontId="3" fillId="14" borderId="0" xfId="0" applyFont="1" applyFill="1"/>
    <xf numFmtId="0" fontId="0" fillId="8" borderId="0" xfId="0" applyFill="1"/>
    <xf numFmtId="0" fontId="3" fillId="15" borderId="0" xfId="0" applyFont="1" applyFill="1"/>
    <xf numFmtId="0" fontId="0" fillId="16" borderId="0" xfId="0" applyFill="1"/>
    <xf numFmtId="167" fontId="5" fillId="10" borderId="0" xfId="0" applyNumberFormat="1" applyFont="1" applyFill="1" applyAlignment="1">
      <alignment horizontal="right"/>
    </xf>
    <xf numFmtId="0" fontId="3" fillId="17" borderId="0" xfId="0" applyFont="1" applyFill="1"/>
    <xf numFmtId="0" fontId="0" fillId="7" borderId="0" xfId="0" applyFill="1"/>
    <xf numFmtId="0" fontId="3" fillId="18" borderId="0" xfId="0" applyFont="1" applyFill="1"/>
    <xf numFmtId="0" fontId="0" fillId="19" borderId="0" xfId="0" applyFill="1"/>
    <xf numFmtId="0" fontId="3" fillId="20" borderId="0" xfId="0" applyFont="1" applyFill="1"/>
    <xf numFmtId="0" fontId="7" fillId="21" borderId="0" xfId="0" applyFont="1" applyFill="1"/>
    <xf numFmtId="0" fontId="0" fillId="21" borderId="0" xfId="0" applyFill="1"/>
    <xf numFmtId="0" fontId="3" fillId="22" borderId="0" xfId="0" applyFont="1" applyFill="1"/>
    <xf numFmtId="0" fontId="7" fillId="23" borderId="0" xfId="0" applyFont="1" applyFill="1"/>
    <xf numFmtId="0" fontId="0" fillId="23" borderId="0" xfId="0" applyFill="1"/>
    <xf numFmtId="165" fontId="4" fillId="5" borderId="0" xfId="0" applyNumberFormat="1" applyFont="1" applyFill="1" applyAlignment="1">
      <alignment horizontal="right"/>
    </xf>
    <xf numFmtId="0" fontId="3" fillId="24" borderId="0" xfId="0" applyFont="1" applyFill="1"/>
    <xf numFmtId="0" fontId="7" fillId="25" borderId="0" xfId="0" applyFont="1" applyFill="1"/>
    <xf numFmtId="0" fontId="0" fillId="25" borderId="0" xfId="0" applyFill="1"/>
    <xf numFmtId="164" fontId="4" fillId="5" borderId="0" xfId="0" applyNumberFormat="1" applyFont="1" applyFill="1" applyAlignment="1">
      <alignment horizontal="right"/>
    </xf>
    <xf numFmtId="0" fontId="3" fillId="26" borderId="0" xfId="0" applyFont="1" applyFill="1"/>
    <xf numFmtId="0" fontId="7" fillId="27" borderId="0" xfId="0" applyFont="1" applyFill="1"/>
    <xf numFmtId="0" fontId="0" fillId="27" borderId="0" xfId="0" applyFill="1"/>
    <xf numFmtId="166" fontId="4" fillId="5" borderId="0" xfId="0" applyNumberFormat="1" applyFont="1" applyFill="1" applyAlignment="1">
      <alignment horizontal="right"/>
    </xf>
    <xf numFmtId="0" fontId="3" fillId="28" borderId="0" xfId="0" applyFont="1" applyFill="1"/>
    <xf numFmtId="0" fontId="7" fillId="29" borderId="0" xfId="0" applyFont="1" applyFill="1"/>
    <xf numFmtId="0" fontId="0" fillId="29" borderId="0" xfId="0" applyFill="1"/>
    <xf numFmtId="0" fontId="3" fillId="30" borderId="0" xfId="0" applyFont="1" applyFill="1"/>
    <xf numFmtId="0" fontId="7" fillId="31" borderId="0" xfId="0" applyFont="1" applyFill="1"/>
    <xf numFmtId="0" fontId="0" fillId="31" borderId="0" xfId="0" applyFill="1"/>
    <xf numFmtId="3" fontId="4" fillId="5" borderId="0" xfId="0" applyNumberFormat="1" applyFont="1" applyFill="1" applyAlignment="1">
      <alignment horizontal="right"/>
    </xf>
    <xf numFmtId="0" fontId="4" fillId="4" borderId="0" xfId="0" applyFont="1" applyFill="1"/>
    <xf numFmtId="0" fontId="5" fillId="0" borderId="0" xfId="0" applyFont="1"/>
    <xf numFmtId="0" fontId="4" fillId="0" borderId="0" xfId="0" applyFont="1"/>
    <xf numFmtId="168" fontId="4" fillId="5" borderId="0" xfId="0" applyNumberFormat="1" applyFont="1" applyFill="1" applyAlignment="1">
      <alignment horizontal="right"/>
    </xf>
    <xf numFmtId="2" fontId="4" fillId="5" borderId="0" xfId="0" applyNumberFormat="1" applyFont="1" applyFill="1" applyAlignment="1">
      <alignment horizontal="right"/>
    </xf>
    <xf numFmtId="3" fontId="7" fillId="5" borderId="0" xfId="0" applyNumberFormat="1" applyFont="1" applyFill="1" applyAlignment="1">
      <alignment horizontal="right"/>
    </xf>
    <xf numFmtId="164" fontId="7" fillId="5" borderId="0" xfId="0" applyNumberFormat="1" applyFont="1" applyFill="1" applyAlignment="1">
      <alignment horizontal="right"/>
    </xf>
    <xf numFmtId="0" fontId="2" fillId="5" borderId="0" xfId="0" applyFont="1" applyFill="1"/>
    <xf numFmtId="49" fontId="4" fillId="5" borderId="0" xfId="0" applyNumberFormat="1" applyFont="1" applyFill="1" applyAlignment="1">
      <alignment horizontal="right"/>
    </xf>
    <xf numFmtId="3" fontId="4" fillId="6" borderId="0" xfId="0" applyNumberFormat="1" applyFont="1" applyFill="1" applyAlignment="1">
      <alignment horizontal="right"/>
    </xf>
    <xf numFmtId="166" fontId="4" fillId="6" borderId="0" xfId="0" applyNumberFormat="1" applyFont="1" applyFill="1" applyAlignment="1">
      <alignment horizontal="right"/>
    </xf>
    <xf numFmtId="168" fontId="4" fillId="6" borderId="0" xfId="0" applyNumberFormat="1" applyFont="1" applyFill="1" applyAlignment="1">
      <alignment horizontal="right"/>
    </xf>
    <xf numFmtId="165" fontId="4" fillId="6" borderId="0" xfId="0" applyNumberFormat="1" applyFont="1" applyFill="1" applyAlignment="1">
      <alignment horizontal="right"/>
    </xf>
    <xf numFmtId="164" fontId="4" fillId="6" borderId="0" xfId="0" applyNumberFormat="1" applyFont="1" applyFill="1" applyAlignment="1">
      <alignment horizontal="right"/>
    </xf>
    <xf numFmtId="2" fontId="4" fillId="6" borderId="0" xfId="0" applyNumberFormat="1" applyFont="1" applyFill="1" applyAlignment="1">
      <alignment horizontal="right"/>
    </xf>
    <xf numFmtId="2" fontId="5" fillId="6" borderId="0" xfId="0" applyNumberFormat="1" applyFont="1" applyFill="1" applyAlignment="1">
      <alignment horizontal="right"/>
    </xf>
    <xf numFmtId="0" fontId="2" fillId="6" borderId="0" xfId="0" applyFont="1" applyFill="1"/>
    <xf numFmtId="2" fontId="7" fillId="6" borderId="0" xfId="0" applyNumberFormat="1" applyFont="1" applyFill="1" applyAlignment="1">
      <alignment horizontal="right"/>
    </xf>
    <xf numFmtId="49" fontId="4" fillId="6" borderId="0" xfId="0" applyNumberFormat="1" applyFont="1" applyFill="1" applyAlignment="1">
      <alignment horizontal="right"/>
    </xf>
    <xf numFmtId="3" fontId="7" fillId="6" borderId="0" xfId="0" applyNumberFormat="1" applyFont="1" applyFill="1" applyAlignment="1">
      <alignment horizontal="right"/>
    </xf>
    <xf numFmtId="169" fontId="7" fillId="6" borderId="0" xfId="0" applyNumberFormat="1" applyFont="1" applyFill="1" applyAlignment="1">
      <alignment horizontal="right"/>
    </xf>
    <xf numFmtId="170" fontId="7" fillId="6" borderId="0" xfId="0" applyNumberFormat="1" applyFont="1" applyFill="1" applyAlignment="1">
      <alignment horizontal="left"/>
    </xf>
    <xf numFmtId="169" fontId="4" fillId="6" borderId="0" xfId="0" applyNumberFormat="1" applyFont="1" applyFill="1" applyAlignment="1">
      <alignment horizontal="right"/>
    </xf>
    <xf numFmtId="3" fontId="7" fillId="6" borderId="0" xfId="0" applyNumberFormat="1" applyFont="1" applyFill="1" applyAlignment="1">
      <alignment horizontal="left"/>
    </xf>
    <xf numFmtId="166" fontId="4" fillId="3" borderId="0" xfId="0" applyNumberFormat="1" applyFont="1" applyFill="1" applyAlignment="1">
      <alignment horizontal="right"/>
    </xf>
    <xf numFmtId="2" fontId="4" fillId="3" borderId="0" xfId="0" applyNumberFormat="1" applyFont="1" applyFill="1" applyAlignment="1">
      <alignment horizontal="right"/>
    </xf>
    <xf numFmtId="165" fontId="4" fillId="3" borderId="0" xfId="0" applyNumberFormat="1" applyFont="1" applyFill="1" applyAlignment="1">
      <alignment horizontal="right"/>
    </xf>
    <xf numFmtId="49" fontId="4" fillId="3" borderId="0" xfId="0" applyNumberFormat="1" applyFont="1" applyFill="1" applyAlignment="1">
      <alignment horizontal="right"/>
    </xf>
    <xf numFmtId="3" fontId="4" fillId="3" borderId="0" xfId="0" applyNumberFormat="1" applyFont="1" applyFill="1" applyAlignment="1">
      <alignment horizontal="right"/>
    </xf>
    <xf numFmtId="1" fontId="4" fillId="8" borderId="0" xfId="0" applyNumberFormat="1" applyFont="1" applyFill="1" applyAlignment="1">
      <alignment horizontal="right"/>
    </xf>
    <xf numFmtId="2" fontId="4" fillId="8" borderId="0" xfId="0" applyNumberFormat="1" applyFont="1" applyFill="1" applyAlignment="1">
      <alignment horizontal="right"/>
    </xf>
    <xf numFmtId="166" fontId="4" fillId="8" borderId="0" xfId="0" applyNumberFormat="1" applyFont="1" applyFill="1" applyAlignment="1">
      <alignment horizontal="right"/>
    </xf>
    <xf numFmtId="0" fontId="4" fillId="16" borderId="0" xfId="0" applyFont="1" applyFill="1"/>
    <xf numFmtId="2" fontId="4" fillId="16" borderId="0" xfId="0" applyNumberFormat="1" applyFont="1" applyFill="1" applyAlignment="1">
      <alignment horizontal="right"/>
    </xf>
    <xf numFmtId="0" fontId="6" fillId="16" borderId="0" xfId="0" applyFont="1" applyFill="1"/>
    <xf numFmtId="166" fontId="4" fillId="16" borderId="0" xfId="0" applyNumberFormat="1" applyFont="1" applyFill="1" applyAlignment="1">
      <alignment horizontal="right"/>
    </xf>
    <xf numFmtId="3" fontId="4" fillId="7" borderId="0" xfId="0" applyNumberFormat="1" applyFont="1" applyFill="1" applyAlignment="1">
      <alignment horizontal="right"/>
    </xf>
    <xf numFmtId="166" fontId="4" fillId="7" borderId="0" xfId="0" applyNumberFormat="1" applyFont="1" applyFill="1" applyAlignment="1">
      <alignment horizontal="right"/>
    </xf>
    <xf numFmtId="171" fontId="4" fillId="7" borderId="0" xfId="0" applyNumberFormat="1" applyFont="1" applyFill="1" applyAlignment="1">
      <alignment horizontal="right"/>
    </xf>
    <xf numFmtId="2" fontId="4" fillId="7" borderId="0" xfId="0" applyNumberFormat="1" applyFont="1" applyFill="1" applyAlignment="1">
      <alignment horizontal="right"/>
    </xf>
    <xf numFmtId="0" fontId="4" fillId="19" borderId="0" xfId="0" applyFont="1" applyFill="1"/>
    <xf numFmtId="1" fontId="4" fillId="19" borderId="0" xfId="0" applyNumberFormat="1" applyFont="1" applyFill="1" applyAlignment="1">
      <alignment horizontal="right"/>
    </xf>
    <xf numFmtId="0" fontId="6" fillId="19" borderId="0" xfId="0" applyFont="1" applyFill="1"/>
    <xf numFmtId="166" fontId="4" fillId="19" borderId="0" xfId="0" applyNumberFormat="1" applyFont="1" applyFill="1" applyAlignment="1">
      <alignment horizontal="right"/>
    </xf>
    <xf numFmtId="3" fontId="4" fillId="19" borderId="0" xfId="0" applyNumberFormat="1" applyFont="1" applyFill="1" applyAlignment="1">
      <alignment horizontal="right"/>
    </xf>
    <xf numFmtId="2" fontId="4" fillId="19" borderId="0" xfId="0" applyNumberFormat="1" applyFont="1" applyFill="1" applyAlignment="1">
      <alignment horizontal="right"/>
    </xf>
    <xf numFmtId="165" fontId="4" fillId="19" borderId="0" xfId="0" applyNumberFormat="1" applyFont="1" applyFill="1" applyAlignment="1">
      <alignment horizontal="right"/>
    </xf>
    <xf numFmtId="49" fontId="4" fillId="19" borderId="0" xfId="0" applyNumberFormat="1" applyFont="1" applyFill="1" applyAlignment="1">
      <alignment horizontal="right"/>
    </xf>
    <xf numFmtId="1" fontId="5" fillId="19" borderId="0" xfId="0" applyNumberFormat="1" applyFont="1" applyFill="1" applyAlignment="1">
      <alignment horizontal="right"/>
    </xf>
    <xf numFmtId="0" fontId="4" fillId="21" borderId="0" xfId="0" applyFont="1" applyFill="1"/>
    <xf numFmtId="165" fontId="4" fillId="21" borderId="0" xfId="0" applyNumberFormat="1" applyFont="1" applyFill="1" applyAlignment="1">
      <alignment horizontal="right"/>
    </xf>
    <xf numFmtId="0" fontId="6" fillId="21" borderId="0" xfId="0" applyFont="1" applyFill="1"/>
    <xf numFmtId="2" fontId="4" fillId="21" borderId="0" xfId="0" applyNumberFormat="1" applyFont="1" applyFill="1" applyAlignment="1">
      <alignment horizontal="right"/>
    </xf>
    <xf numFmtId="49" fontId="4" fillId="21" borderId="0" xfId="0" applyNumberFormat="1" applyFont="1" applyFill="1" applyAlignment="1">
      <alignment horizontal="right"/>
    </xf>
    <xf numFmtId="0" fontId="4" fillId="23" borderId="0" xfId="0" applyFont="1" applyFill="1"/>
    <xf numFmtId="3" fontId="4" fillId="23" borderId="0" xfId="0" applyNumberFormat="1" applyFont="1" applyFill="1" applyAlignment="1">
      <alignment horizontal="right"/>
    </xf>
    <xf numFmtId="0" fontId="6" fillId="23" borderId="0" xfId="0" applyFont="1" applyFill="1"/>
    <xf numFmtId="49" fontId="4" fillId="23" borderId="0" xfId="0" applyNumberFormat="1" applyFont="1" applyFill="1" applyAlignment="1">
      <alignment horizontal="right"/>
    </xf>
    <xf numFmtId="2" fontId="5" fillId="23" borderId="0" xfId="0" applyNumberFormat="1" applyFont="1" applyFill="1" applyAlignment="1">
      <alignment horizontal="right"/>
    </xf>
    <xf numFmtId="2" fontId="4" fillId="23" borderId="0" xfId="0" applyNumberFormat="1" applyFont="1" applyFill="1" applyAlignment="1">
      <alignment horizontal="right"/>
    </xf>
    <xf numFmtId="165" fontId="4" fillId="23" borderId="0" xfId="0" applyNumberFormat="1" applyFont="1" applyFill="1" applyAlignment="1">
      <alignment horizontal="right"/>
    </xf>
    <xf numFmtId="164" fontId="4" fillId="23" borderId="0" xfId="0" applyNumberFormat="1" applyFont="1" applyFill="1" applyAlignment="1">
      <alignment horizontal="right"/>
    </xf>
    <xf numFmtId="166" fontId="4" fillId="23" borderId="0" xfId="0" applyNumberFormat="1" applyFont="1" applyFill="1" applyAlignment="1">
      <alignment horizontal="right"/>
    </xf>
    <xf numFmtId="1" fontId="4" fillId="23" borderId="0" xfId="0" applyNumberFormat="1" applyFont="1" applyFill="1" applyAlignment="1">
      <alignment horizontal="right"/>
    </xf>
    <xf numFmtId="171" fontId="4" fillId="23" borderId="0" xfId="0" applyNumberFormat="1" applyFont="1" applyFill="1" applyAlignment="1">
      <alignment horizontal="right"/>
    </xf>
    <xf numFmtId="171" fontId="7" fillId="23" borderId="0" xfId="0" applyNumberFormat="1" applyFont="1" applyFill="1" applyAlignment="1">
      <alignment horizontal="right"/>
    </xf>
    <xf numFmtId="0" fontId="2" fillId="23" borderId="0" xfId="0" applyFont="1" applyFill="1"/>
    <xf numFmtId="3" fontId="7" fillId="23" borderId="0" xfId="0" applyNumberFormat="1" applyFont="1" applyFill="1" applyAlignment="1">
      <alignment horizontal="right"/>
    </xf>
    <xf numFmtId="3" fontId="7" fillId="23" borderId="0" xfId="0" applyNumberFormat="1" applyFont="1" applyFill="1" applyAlignment="1">
      <alignment horizontal="left"/>
    </xf>
    <xf numFmtId="0" fontId="4" fillId="25" borderId="0" xfId="0" applyFont="1" applyFill="1"/>
    <xf numFmtId="2" fontId="4" fillId="25" borderId="0" xfId="0" applyNumberFormat="1" applyFont="1" applyFill="1" applyAlignment="1">
      <alignment horizontal="right"/>
    </xf>
    <xf numFmtId="0" fontId="6" fillId="25" borderId="0" xfId="0" applyFont="1" applyFill="1"/>
    <xf numFmtId="166" fontId="4" fillId="25" borderId="0" xfId="0" applyNumberFormat="1" applyFont="1" applyFill="1" applyAlignment="1">
      <alignment horizontal="right"/>
    </xf>
    <xf numFmtId="3" fontId="7" fillId="25" borderId="0" xfId="0" applyNumberFormat="1" applyFont="1" applyFill="1" applyAlignment="1">
      <alignment horizontal="right"/>
    </xf>
    <xf numFmtId="2" fontId="7" fillId="25" borderId="0" xfId="0" applyNumberFormat="1" applyFont="1" applyFill="1" applyAlignment="1">
      <alignment horizontal="right"/>
    </xf>
    <xf numFmtId="0" fontId="2" fillId="25" borderId="0" xfId="0" applyFont="1" applyFill="1"/>
    <xf numFmtId="0" fontId="8" fillId="25" borderId="0" xfId="0" applyFont="1" applyFill="1"/>
    <xf numFmtId="3" fontId="8" fillId="25" borderId="0" xfId="0" applyNumberFormat="1" applyFont="1" applyFill="1" applyAlignment="1">
      <alignment horizontal="right"/>
    </xf>
    <xf numFmtId="2" fontId="8" fillId="25" borderId="0" xfId="0" applyNumberFormat="1" applyFont="1" applyFill="1" applyAlignment="1">
      <alignment horizontal="right"/>
    </xf>
    <xf numFmtId="171" fontId="4" fillId="25" borderId="0" xfId="0" applyNumberFormat="1" applyFont="1" applyFill="1" applyAlignment="1">
      <alignment horizontal="right"/>
    </xf>
    <xf numFmtId="171" fontId="7" fillId="25" borderId="0" xfId="0" applyNumberFormat="1" applyFont="1" applyFill="1" applyAlignment="1">
      <alignment horizontal="right"/>
    </xf>
    <xf numFmtId="165" fontId="4" fillId="25" borderId="0" xfId="0" applyNumberFormat="1" applyFont="1" applyFill="1" applyAlignment="1">
      <alignment horizontal="right"/>
    </xf>
    <xf numFmtId="49" fontId="4" fillId="25" borderId="0" xfId="0" applyNumberFormat="1" applyFont="1" applyFill="1" applyAlignment="1">
      <alignment horizontal="right"/>
    </xf>
    <xf numFmtId="3" fontId="4" fillId="25" borderId="0" xfId="0" applyNumberFormat="1" applyFont="1" applyFill="1" applyAlignment="1">
      <alignment horizontal="right"/>
    </xf>
    <xf numFmtId="166" fontId="5" fillId="25" borderId="0" xfId="0" applyNumberFormat="1" applyFont="1" applyFill="1" applyAlignment="1">
      <alignment horizontal="right"/>
    </xf>
    <xf numFmtId="0" fontId="4" fillId="27" borderId="0" xfId="0" applyFont="1" applyFill="1"/>
    <xf numFmtId="168" fontId="4" fillId="27" borderId="0" xfId="0" applyNumberFormat="1" applyFont="1" applyFill="1" applyAlignment="1">
      <alignment horizontal="right"/>
    </xf>
    <xf numFmtId="0" fontId="6" fillId="27" borderId="0" xfId="0" applyFont="1" applyFill="1"/>
    <xf numFmtId="166" fontId="7" fillId="27" borderId="0" xfId="0" applyNumberFormat="1" applyFont="1" applyFill="1" applyAlignment="1">
      <alignment horizontal="right"/>
    </xf>
    <xf numFmtId="167" fontId="7" fillId="27" borderId="0" xfId="0" applyNumberFormat="1" applyFont="1" applyFill="1" applyAlignment="1">
      <alignment horizontal="right"/>
    </xf>
    <xf numFmtId="165" fontId="7" fillId="27" borderId="0" xfId="0" applyNumberFormat="1" applyFont="1" applyFill="1" applyAlignment="1">
      <alignment horizontal="right"/>
    </xf>
    <xf numFmtId="167" fontId="7" fillId="27" borderId="0" xfId="0" applyNumberFormat="1" applyFont="1" applyFill="1" applyAlignment="1">
      <alignment horizontal="left"/>
    </xf>
    <xf numFmtId="164" fontId="4" fillId="27" borderId="0" xfId="0" applyNumberFormat="1" applyFont="1" applyFill="1" applyAlignment="1">
      <alignment horizontal="right"/>
    </xf>
    <xf numFmtId="171" fontId="4" fillId="27" borderId="0" xfId="0" applyNumberFormat="1" applyFont="1" applyFill="1" applyAlignment="1">
      <alignment horizontal="right"/>
    </xf>
    <xf numFmtId="49" fontId="4" fillId="27" borderId="0" xfId="0" applyNumberFormat="1" applyFont="1" applyFill="1" applyAlignment="1">
      <alignment horizontal="right"/>
    </xf>
    <xf numFmtId="2" fontId="5" fillId="27" borderId="0" xfId="0" applyNumberFormat="1" applyFont="1" applyFill="1" applyAlignment="1">
      <alignment horizontal="right"/>
    </xf>
    <xf numFmtId="2" fontId="4" fillId="27" borderId="0" xfId="0" applyNumberFormat="1" applyFont="1" applyFill="1" applyAlignment="1">
      <alignment horizontal="right"/>
    </xf>
    <xf numFmtId="166" fontId="4" fillId="27" borderId="0" xfId="0" applyNumberFormat="1" applyFont="1" applyFill="1" applyAlignment="1">
      <alignment horizontal="right"/>
    </xf>
    <xf numFmtId="9" fontId="4" fillId="27" borderId="0" xfId="0" applyNumberFormat="1" applyFont="1" applyFill="1" applyAlignment="1">
      <alignment horizontal="right"/>
    </xf>
    <xf numFmtId="1" fontId="5" fillId="8" borderId="0" xfId="0" applyNumberFormat="1" applyFont="1" applyFill="1" applyAlignment="1">
      <alignment horizontal="right"/>
    </xf>
    <xf numFmtId="49" fontId="4" fillId="8" borderId="0" xfId="0" applyNumberFormat="1" applyFont="1" applyFill="1" applyAlignment="1">
      <alignment horizontal="right"/>
    </xf>
    <xf numFmtId="0" fontId="4" fillId="29" borderId="0" xfId="0" applyFont="1" applyFill="1"/>
    <xf numFmtId="2" fontId="5" fillId="29" borderId="0" xfId="0" applyNumberFormat="1" applyFont="1" applyFill="1" applyAlignment="1">
      <alignment horizontal="right"/>
    </xf>
    <xf numFmtId="0" fontId="6" fillId="29" borderId="0" xfId="0" applyFont="1" applyFill="1"/>
    <xf numFmtId="3" fontId="5" fillId="29" borderId="0" xfId="0" applyNumberFormat="1" applyFont="1" applyFill="1" applyAlignment="1">
      <alignment horizontal="right"/>
    </xf>
    <xf numFmtId="2" fontId="4" fillId="29" borderId="0" xfId="0" applyNumberFormat="1" applyFont="1" applyFill="1" applyAlignment="1">
      <alignment horizontal="right"/>
    </xf>
    <xf numFmtId="3" fontId="4" fillId="29" borderId="0" xfId="0" applyNumberFormat="1" applyFont="1" applyFill="1" applyAlignment="1">
      <alignment horizontal="right"/>
    </xf>
    <xf numFmtId="166" fontId="4" fillId="29" borderId="0" xfId="0" applyNumberFormat="1" applyFont="1" applyFill="1" applyAlignment="1">
      <alignment horizontal="right"/>
    </xf>
    <xf numFmtId="0" fontId="4" fillId="31" borderId="0" xfId="0" applyFont="1" applyFill="1"/>
    <xf numFmtId="1" fontId="4" fillId="31" borderId="0" xfId="0" applyNumberFormat="1" applyFont="1" applyFill="1" applyAlignment="1">
      <alignment horizontal="right"/>
    </xf>
    <xf numFmtId="0" fontId="6" fillId="31" borderId="0" xfId="0" applyFont="1" applyFill="1"/>
    <xf numFmtId="49" fontId="4" fillId="31" borderId="0" xfId="0" applyNumberFormat="1" applyFont="1" applyFill="1" applyAlignment="1">
      <alignment horizontal="right"/>
    </xf>
    <xf numFmtId="3" fontId="7" fillId="31" borderId="0" xfId="0" applyNumberFormat="1" applyFont="1" applyFill="1" applyAlignment="1">
      <alignment horizontal="right"/>
    </xf>
    <xf numFmtId="9" fontId="7" fillId="31" borderId="0" xfId="0" applyNumberFormat="1" applyFont="1" applyFill="1" applyAlignment="1">
      <alignment horizontal="right"/>
    </xf>
    <xf numFmtId="165" fontId="7" fillId="31" borderId="0" xfId="0" applyNumberFormat="1" applyFont="1" applyFill="1" applyAlignment="1">
      <alignment horizontal="right"/>
    </xf>
    <xf numFmtId="166" fontId="7" fillId="31" borderId="0" xfId="0" applyNumberFormat="1" applyFont="1" applyFill="1" applyAlignment="1">
      <alignment horizontal="right"/>
    </xf>
    <xf numFmtId="0" fontId="2" fillId="31" borderId="0" xfId="0" applyFont="1" applyFill="1"/>
    <xf numFmtId="3" fontId="7" fillId="31" borderId="0" xfId="0" applyNumberFormat="1" applyFont="1" applyFill="1" applyAlignment="1">
      <alignment horizontal="left"/>
    </xf>
    <xf numFmtId="171" fontId="7" fillId="6" borderId="0" xfId="0" applyNumberFormat="1" applyFont="1" applyFill="1" applyAlignment="1">
      <alignment horizontal="right"/>
    </xf>
    <xf numFmtId="171" fontId="7" fillId="6" borderId="0" xfId="0" applyNumberFormat="1" applyFont="1" applyFill="1" applyAlignment="1">
      <alignment horizontal="left"/>
    </xf>
    <xf numFmtId="3" fontId="8" fillId="6" borderId="0" xfId="0" applyNumberFormat="1" applyFont="1" applyFill="1" applyAlignment="1">
      <alignment horizontal="left"/>
    </xf>
    <xf numFmtId="166" fontId="8" fillId="6" borderId="0" xfId="0" applyNumberFormat="1" applyFont="1" applyFill="1" applyAlignment="1">
      <alignment horizontal="right"/>
    </xf>
    <xf numFmtId="166" fontId="8" fillId="6" borderId="0" xfId="0" applyNumberFormat="1" applyFont="1" applyFill="1" applyAlignment="1">
      <alignment horizontal="left"/>
    </xf>
    <xf numFmtId="2" fontId="8" fillId="6" borderId="0" xfId="0" applyNumberFormat="1" applyFont="1" applyFill="1" applyAlignment="1">
      <alignment horizontal="left"/>
    </xf>
    <xf numFmtId="166" fontId="7" fillId="6" borderId="0" xfId="0" applyNumberFormat="1" applyFont="1" applyFill="1" applyAlignment="1">
      <alignment horizontal="right"/>
    </xf>
    <xf numFmtId="166" fontId="7" fillId="6" borderId="0" xfId="0" applyNumberFormat="1" applyFont="1" applyFill="1" applyAlignment="1">
      <alignment horizontal="left"/>
    </xf>
    <xf numFmtId="2" fontId="7" fillId="32" borderId="0" xfId="0" applyNumberFormat="1" applyFont="1" applyFill="1" applyAlignment="1">
      <alignment horizontal="right"/>
    </xf>
    <xf numFmtId="49" fontId="7" fillId="32" borderId="0" xfId="0" applyNumberFormat="1" applyFont="1" applyFill="1" applyAlignment="1">
      <alignment horizontal="right"/>
    </xf>
    <xf numFmtId="0" fontId="2" fillId="32" borderId="0" xfId="0" applyFont="1" applyFill="1"/>
    <xf numFmtId="164" fontId="7" fillId="32" borderId="0" xfId="0" applyNumberFormat="1" applyFont="1" applyFill="1" applyAlignment="1">
      <alignment horizontal="right"/>
    </xf>
    <xf numFmtId="3" fontId="7" fillId="32" borderId="0" xfId="0" applyNumberFormat="1" applyFont="1" applyFill="1" applyAlignment="1">
      <alignment horizontal="right"/>
    </xf>
    <xf numFmtId="165" fontId="7" fillId="32" borderId="0" xfId="0" applyNumberFormat="1" applyFont="1" applyFill="1" applyAlignment="1">
      <alignment horizontal="right"/>
    </xf>
    <xf numFmtId="0" fontId="4" fillId="32" borderId="0" xfId="0" applyFont="1" applyFill="1"/>
    <xf numFmtId="1" fontId="4" fillId="32" borderId="0" xfId="0" applyNumberFormat="1" applyFont="1" applyFill="1" applyAlignment="1">
      <alignment horizontal="right"/>
    </xf>
    <xf numFmtId="0" fontId="6" fillId="32" borderId="0" xfId="0" applyFont="1" applyFill="1"/>
    <xf numFmtId="2" fontId="7" fillId="10" borderId="0" xfId="0" applyNumberFormat="1" applyFont="1" applyFill="1" applyAlignment="1">
      <alignment horizontal="right"/>
    </xf>
    <xf numFmtId="2" fontId="7" fillId="10" borderId="0" xfId="0" applyNumberFormat="1" applyFont="1" applyFill="1" applyAlignment="1">
      <alignment horizontal="left"/>
    </xf>
    <xf numFmtId="164" fontId="7" fillId="10" borderId="0" xfId="0" applyNumberFormat="1" applyFont="1" applyFill="1" applyAlignment="1">
      <alignment horizontal="right"/>
    </xf>
    <xf numFmtId="164" fontId="7" fillId="10" borderId="0" xfId="0" applyNumberFormat="1" applyFont="1" applyFill="1" applyAlignment="1">
      <alignment horizontal="left"/>
    </xf>
    <xf numFmtId="3" fontId="7" fillId="10" borderId="0" xfId="0" applyNumberFormat="1" applyFont="1" applyFill="1" applyAlignment="1">
      <alignment horizontal="right"/>
    </xf>
    <xf numFmtId="3" fontId="7" fillId="10" borderId="0" xfId="0" applyNumberFormat="1" applyFont="1" applyFill="1" applyAlignment="1">
      <alignment horizontal="left"/>
    </xf>
    <xf numFmtId="1" fontId="7" fillId="10" borderId="0" xfId="0" applyNumberFormat="1" applyFont="1" applyFill="1" applyAlignment="1">
      <alignment horizontal="right"/>
    </xf>
    <xf numFmtId="165" fontId="7" fillId="10" borderId="0" xfId="0" applyNumberFormat="1" applyFont="1" applyFill="1" applyAlignment="1">
      <alignment horizontal="right"/>
    </xf>
    <xf numFmtId="166" fontId="7" fillId="10" borderId="0" xfId="0" applyNumberFormat="1" applyFont="1" applyFill="1" applyAlignment="1">
      <alignment horizontal="right"/>
    </xf>
    <xf numFmtId="49" fontId="7" fillId="10" borderId="0" xfId="0" applyNumberFormat="1" applyFont="1" applyFill="1" applyAlignment="1">
      <alignment horizontal="right"/>
    </xf>
    <xf numFmtId="0" fontId="9" fillId="0" borderId="0" xfId="0" applyFont="1"/>
    <xf numFmtId="0" fontId="10" fillId="6" borderId="0" xfId="0" applyFont="1" applyFill="1" applyAlignment="1">
      <alignment horizontal="left"/>
    </xf>
    <xf numFmtId="3" fontId="11" fillId="6" borderId="0" xfId="0" applyNumberFormat="1" applyFont="1" applyFill="1" applyAlignment="1">
      <alignment horizontal="left"/>
    </xf>
    <xf numFmtId="0" fontId="10" fillId="5" borderId="0" xfId="0" applyFont="1" applyFill="1" applyAlignment="1">
      <alignment horizontal="left"/>
    </xf>
    <xf numFmtId="3" fontId="11" fillId="5" borderId="0" xfId="0" applyNumberFormat="1" applyFont="1" applyFill="1" applyAlignment="1">
      <alignment horizontal="left"/>
    </xf>
    <xf numFmtId="166" fontId="11" fillId="5" borderId="0" xfId="0" applyNumberFormat="1" applyFont="1" applyFill="1" applyAlignment="1">
      <alignment horizontal="left"/>
    </xf>
    <xf numFmtId="165" fontId="11" fillId="5" borderId="0" xfId="0" applyNumberFormat="1" applyFont="1" applyFill="1" applyAlignment="1">
      <alignment horizontal="left"/>
    </xf>
    <xf numFmtId="49" fontId="11" fillId="5" borderId="0" xfId="0" applyNumberFormat="1" applyFont="1" applyFill="1" applyAlignment="1">
      <alignment horizontal="left"/>
    </xf>
    <xf numFmtId="0" fontId="10" fillId="3" borderId="0" xfId="0" applyFont="1" applyFill="1" applyAlignment="1">
      <alignment horizontal="left"/>
    </xf>
    <xf numFmtId="166" fontId="11" fillId="3" borderId="0" xfId="0" applyNumberFormat="1" applyFont="1" applyFill="1" applyAlignment="1">
      <alignment horizontal="left"/>
    </xf>
    <xf numFmtId="2" fontId="11" fillId="3" borderId="0" xfId="0" applyNumberFormat="1" applyFont="1" applyFill="1" applyAlignment="1">
      <alignment horizontal="left"/>
    </xf>
    <xf numFmtId="0" fontId="10" fillId="7" borderId="0" xfId="0" applyFont="1" applyFill="1" applyAlignment="1">
      <alignment horizontal="left"/>
    </xf>
    <xf numFmtId="166" fontId="11" fillId="7" borderId="0" xfId="0" applyNumberFormat="1" applyFont="1" applyFill="1" applyAlignment="1">
      <alignment horizontal="left"/>
    </xf>
    <xf numFmtId="0" fontId="10" fillId="8" borderId="0" xfId="0" applyFont="1" applyFill="1" applyAlignment="1">
      <alignment horizontal="left"/>
    </xf>
    <xf numFmtId="2" fontId="11" fillId="8" borderId="0" xfId="0" applyNumberFormat="1" applyFont="1" applyFill="1" applyAlignment="1">
      <alignment horizontal="left"/>
    </xf>
    <xf numFmtId="49" fontId="11" fillId="8" borderId="0" xfId="0" applyNumberFormat="1" applyFont="1" applyFill="1" applyAlignment="1">
      <alignment horizontal="left"/>
    </xf>
    <xf numFmtId="0" fontId="10" fillId="16" borderId="0" xfId="0" applyFont="1" applyFill="1" applyAlignment="1">
      <alignment horizontal="left"/>
    </xf>
    <xf numFmtId="166" fontId="11" fillId="16" borderId="0" xfId="0" applyNumberFormat="1" applyFont="1" applyFill="1" applyAlignment="1">
      <alignment horizontal="left"/>
    </xf>
    <xf numFmtId="0" fontId="10" fillId="19" borderId="0" xfId="0" applyFont="1" applyFill="1" applyAlignment="1">
      <alignment horizontal="left"/>
    </xf>
    <xf numFmtId="49" fontId="11" fillId="19" borderId="0" xfId="0" applyNumberFormat="1" applyFont="1" applyFill="1" applyAlignment="1">
      <alignment horizontal="left"/>
    </xf>
    <xf numFmtId="0" fontId="10" fillId="0" borderId="0" xfId="0" applyFont="1" applyAlignment="1">
      <alignment horizontal="left"/>
    </xf>
    <xf numFmtId="3" fontId="11" fillId="0" borderId="0" xfId="0" applyNumberFormat="1" applyFont="1" applyAlignment="1">
      <alignment horizontal="left"/>
    </xf>
    <xf numFmtId="166" fontId="11" fillId="0" borderId="0" xfId="0" applyNumberFormat="1" applyFont="1" applyAlignment="1">
      <alignment horizontal="left"/>
    </xf>
    <xf numFmtId="2" fontId="11" fillId="0" borderId="0" xfId="0" applyNumberFormat="1" applyFont="1" applyAlignment="1">
      <alignment horizontal="left"/>
    </xf>
    <xf numFmtId="171" fontId="11" fillId="0" borderId="0" xfId="0" applyNumberFormat="1" applyFont="1" applyAlignment="1">
      <alignment horizontal="left"/>
    </xf>
    <xf numFmtId="164" fontId="11" fillId="0" borderId="0" xfId="0" applyNumberFormat="1" applyFont="1" applyAlignment="1">
      <alignment horizontal="left"/>
    </xf>
    <xf numFmtId="49" fontId="11" fillId="0" borderId="0" xfId="0" applyNumberFormat="1" applyFont="1" applyAlignment="1">
      <alignment horizontal="left"/>
    </xf>
    <xf numFmtId="2" fontId="11" fillId="19" borderId="0" xfId="0" applyNumberFormat="1" applyFont="1" applyFill="1" applyAlignment="1">
      <alignment horizontal="left"/>
    </xf>
    <xf numFmtId="49" fontId="11" fillId="6" borderId="0" xfId="0" applyNumberFormat="1" applyFont="1" applyFill="1" applyAlignment="1">
      <alignment horizontal="left"/>
    </xf>
    <xf numFmtId="49" fontId="11" fillId="7" borderId="0" xfId="0" applyNumberFormat="1" applyFont="1" applyFill="1" applyAlignment="1">
      <alignment horizontal="left"/>
    </xf>
    <xf numFmtId="49" fontId="11" fillId="16" borderId="0" xfId="0" applyNumberFormat="1" applyFont="1" applyFill="1" applyAlignment="1">
      <alignment horizontal="left"/>
    </xf>
    <xf numFmtId="0" fontId="12" fillId="33" borderId="0" xfId="0" applyFont="1" applyFill="1"/>
    <xf numFmtId="49" fontId="8" fillId="0" borderId="0" xfId="0" applyNumberFormat="1" applyFont="1"/>
    <xf numFmtId="165" fontId="7" fillId="0" borderId="0" xfId="0" applyNumberFormat="1" applyFont="1"/>
    <xf numFmtId="49" fontId="3" fillId="11" borderId="0" xfId="0" applyNumberFormat="1" applyFont="1" applyFill="1"/>
    <xf numFmtId="165" fontId="3" fillId="11" borderId="0" xfId="0" applyNumberFormat="1" applyFont="1" applyFill="1"/>
    <xf numFmtId="49" fontId="3" fillId="14" borderId="0" xfId="0" applyNumberFormat="1" applyFont="1" applyFill="1"/>
    <xf numFmtId="49" fontId="3" fillId="13" borderId="0" xfId="0" applyNumberFormat="1" applyFont="1" applyFill="1"/>
    <xf numFmtId="49" fontId="3" fillId="17" borderId="0" xfId="0" applyNumberFormat="1" applyFont="1" applyFill="1"/>
    <xf numFmtId="49" fontId="3" fillId="18" borderId="0" xfId="0" applyNumberFormat="1" applyFont="1" applyFill="1"/>
    <xf numFmtId="49" fontId="3" fillId="20" borderId="0" xfId="0" applyNumberFormat="1" applyFont="1" applyFill="1"/>
    <xf numFmtId="2" fontId="7" fillId="0" borderId="0" xfId="0" applyNumberFormat="1" applyFont="1"/>
    <xf numFmtId="3" fontId="7" fillId="0" borderId="0" xfId="0" applyNumberFormat="1" applyFont="1"/>
    <xf numFmtId="166" fontId="7" fillId="0" borderId="0" xfId="0" applyNumberFormat="1" applyFont="1"/>
    <xf numFmtId="49" fontId="7" fillId="0" borderId="0" xfId="0" applyNumberFormat="1" applyFont="1"/>
    <xf numFmtId="1" fontId="7" fillId="0" borderId="0" xfId="0" applyNumberFormat="1" applyFont="1"/>
    <xf numFmtId="164" fontId="7" fillId="0" borderId="0" xfId="0" applyNumberFormat="1" applyFont="1"/>
    <xf numFmtId="169" fontId="7" fillId="0" borderId="0" xfId="0" applyNumberFormat="1" applyFont="1"/>
    <xf numFmtId="171" fontId="7" fillId="0" borderId="0" xfId="0" applyNumberFormat="1" applyFont="1"/>
    <xf numFmtId="170" fontId="7" fillId="0" borderId="0" xfId="0" applyNumberFormat="1" applyFont="1"/>
    <xf numFmtId="165" fontId="8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Constraint diagram with optimised design point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Take-off field length</c:v>
          </c:tx>
          <c:spPr>
            <a:ln w="22000">
              <a:solidFill>
                <a:srgbClr val="C00000"/>
              </a:solidFill>
              <a:prstDash val="solid"/>
            </a:ln>
          </c:spPr>
          <c:marker>
            <c:symbol val="none"/>
          </c:marker>
          <c:xVal>
            <c:numRef>
              <c:f>Plot_Data!$B$5:$B$55</c:f>
              <c:numCache>
                <c:formatCode>#,##0</c:formatCode>
                <c:ptCount val="51"/>
                <c:pt idx="0">
                  <c:v>1113.2578303411763</c:v>
                </c:pt>
                <c:pt idx="1">
                  <c:v>1224.5836133752939</c:v>
                </c:pt>
                <c:pt idx="2">
                  <c:v>1335.9093964094116</c:v>
                </c:pt>
                <c:pt idx="3">
                  <c:v>1447.2351794435292</c:v>
                </c:pt>
                <c:pt idx="4">
                  <c:v>1558.5609624776471</c:v>
                </c:pt>
                <c:pt idx="5">
                  <c:v>1669.8867455117645</c:v>
                </c:pt>
                <c:pt idx="6">
                  <c:v>1781.2125285458822</c:v>
                </c:pt>
                <c:pt idx="7">
                  <c:v>1892.5383115799998</c:v>
                </c:pt>
                <c:pt idx="8">
                  <c:v>2003.8640946141172</c:v>
                </c:pt>
                <c:pt idx="9">
                  <c:v>2115.1898776482349</c:v>
                </c:pt>
                <c:pt idx="10">
                  <c:v>2226.5156606823525</c:v>
                </c:pt>
                <c:pt idx="11">
                  <c:v>2337.8414437164702</c:v>
                </c:pt>
                <c:pt idx="12">
                  <c:v>2449.1672267505878</c:v>
                </c:pt>
                <c:pt idx="13">
                  <c:v>2560.4930097847055</c:v>
                </c:pt>
                <c:pt idx="14">
                  <c:v>2671.8187928188231</c:v>
                </c:pt>
                <c:pt idx="15">
                  <c:v>2783.1445758529408</c:v>
                </c:pt>
                <c:pt idx="16">
                  <c:v>2894.4703588870584</c:v>
                </c:pt>
                <c:pt idx="17">
                  <c:v>3005.7961419211761</c:v>
                </c:pt>
                <c:pt idx="18">
                  <c:v>3117.1219249552942</c:v>
                </c:pt>
                <c:pt idx="19">
                  <c:v>3228.4477079894109</c:v>
                </c:pt>
                <c:pt idx="20">
                  <c:v>3339.773491023529</c:v>
                </c:pt>
                <c:pt idx="21">
                  <c:v>3451.0992740576467</c:v>
                </c:pt>
                <c:pt idx="22">
                  <c:v>3562.4250570917643</c:v>
                </c:pt>
                <c:pt idx="23">
                  <c:v>3673.750840125882</c:v>
                </c:pt>
                <c:pt idx="24">
                  <c:v>3785.0766231599996</c:v>
                </c:pt>
                <c:pt idx="25">
                  <c:v>3896.4024061941168</c:v>
                </c:pt>
                <c:pt idx="26">
                  <c:v>4007.7281892282344</c:v>
                </c:pt>
                <c:pt idx="27">
                  <c:v>4119.0539722623525</c:v>
                </c:pt>
                <c:pt idx="28">
                  <c:v>4230.3797552964697</c:v>
                </c:pt>
                <c:pt idx="29">
                  <c:v>4341.7055383305878</c:v>
                </c:pt>
                <c:pt idx="30">
                  <c:v>4453.031321364705</c:v>
                </c:pt>
                <c:pt idx="31">
                  <c:v>4564.3571043988222</c:v>
                </c:pt>
                <c:pt idx="32">
                  <c:v>4675.6828874329403</c:v>
                </c:pt>
                <c:pt idx="33">
                  <c:v>4787.0086704670584</c:v>
                </c:pt>
                <c:pt idx="34">
                  <c:v>4898.3344535011756</c:v>
                </c:pt>
                <c:pt idx="35">
                  <c:v>5009.6602365352937</c:v>
                </c:pt>
                <c:pt idx="36">
                  <c:v>5120.9860195694109</c:v>
                </c:pt>
                <c:pt idx="37">
                  <c:v>5232.3118026035281</c:v>
                </c:pt>
                <c:pt idx="38">
                  <c:v>5343.6375856376462</c:v>
                </c:pt>
                <c:pt idx="39">
                  <c:v>5454.9633686717634</c:v>
                </c:pt>
                <c:pt idx="40">
                  <c:v>5566.2891517058815</c:v>
                </c:pt>
                <c:pt idx="41">
                  <c:v>5677.6149347399996</c:v>
                </c:pt>
                <c:pt idx="42">
                  <c:v>5788.9407177741168</c:v>
                </c:pt>
                <c:pt idx="43">
                  <c:v>5900.2665008082349</c:v>
                </c:pt>
                <c:pt idx="44">
                  <c:v>6011.5922838423521</c:v>
                </c:pt>
                <c:pt idx="45">
                  <c:v>6122.9180668764702</c:v>
                </c:pt>
                <c:pt idx="46">
                  <c:v>6234.2438499105883</c:v>
                </c:pt>
                <c:pt idx="47">
                  <c:v>6345.5696329447046</c:v>
                </c:pt>
                <c:pt idx="48">
                  <c:v>6456.8954159788218</c:v>
                </c:pt>
                <c:pt idx="49">
                  <c:v>6568.2211990129399</c:v>
                </c:pt>
                <c:pt idx="50">
                  <c:v>6679.546982047058</c:v>
                </c:pt>
              </c:numCache>
            </c:numRef>
          </c:xVal>
          <c:yVal>
            <c:numRef>
              <c:f>Plot_Data!$D$5:$D$55</c:f>
              <c:numCache>
                <c:formatCode>0.000</c:formatCode>
                <c:ptCount val="51"/>
                <c:pt idx="0">
                  <c:v>5.7497500381970955E-2</c:v>
                </c:pt>
                <c:pt idx="1">
                  <c:v>6.3247250420168058E-2</c:v>
                </c:pt>
                <c:pt idx="2">
                  <c:v>6.8997000458365154E-2</c:v>
                </c:pt>
                <c:pt idx="3">
                  <c:v>7.474675049656225E-2</c:v>
                </c:pt>
                <c:pt idx="4">
                  <c:v>8.049650053475936E-2</c:v>
                </c:pt>
                <c:pt idx="5">
                  <c:v>8.6246250572956443E-2</c:v>
                </c:pt>
                <c:pt idx="6">
                  <c:v>9.1996000611153539E-2</c:v>
                </c:pt>
                <c:pt idx="7">
                  <c:v>9.7745750649350635E-2</c:v>
                </c:pt>
                <c:pt idx="8">
                  <c:v>0.10349550068754772</c:v>
                </c:pt>
                <c:pt idx="9">
                  <c:v>0.10924525072574481</c:v>
                </c:pt>
                <c:pt idx="10">
                  <c:v>0.11499500076394191</c:v>
                </c:pt>
                <c:pt idx="11">
                  <c:v>0.12074475080213901</c:v>
                </c:pt>
                <c:pt idx="12">
                  <c:v>0.12649450084033612</c:v>
                </c:pt>
                <c:pt idx="13">
                  <c:v>0.1322442508785332</c:v>
                </c:pt>
                <c:pt idx="14">
                  <c:v>0.13799400091673031</c:v>
                </c:pt>
                <c:pt idx="15">
                  <c:v>0.14374375095492739</c:v>
                </c:pt>
                <c:pt idx="16">
                  <c:v>0.1494935009931245</c:v>
                </c:pt>
                <c:pt idx="17">
                  <c:v>0.15524325103132158</c:v>
                </c:pt>
                <c:pt idx="18">
                  <c:v>0.16099300106951872</c:v>
                </c:pt>
                <c:pt idx="19">
                  <c:v>0.16674275110771578</c:v>
                </c:pt>
                <c:pt idx="20">
                  <c:v>0.17249250114591289</c:v>
                </c:pt>
                <c:pt idx="21">
                  <c:v>0.17824225118410997</c:v>
                </c:pt>
                <c:pt idx="22">
                  <c:v>0.18399200122230708</c:v>
                </c:pt>
                <c:pt idx="23">
                  <c:v>0.18974175126050416</c:v>
                </c:pt>
                <c:pt idx="24">
                  <c:v>0.19549150129870127</c:v>
                </c:pt>
                <c:pt idx="25">
                  <c:v>0.20124125133689835</c:v>
                </c:pt>
                <c:pt idx="26">
                  <c:v>0.20699100137509543</c:v>
                </c:pt>
                <c:pt idx="27">
                  <c:v>0.21274075141329257</c:v>
                </c:pt>
                <c:pt idx="28">
                  <c:v>0.21849050145148963</c:v>
                </c:pt>
                <c:pt idx="29">
                  <c:v>0.22424025148968676</c:v>
                </c:pt>
                <c:pt idx="30">
                  <c:v>0.22999000152788382</c:v>
                </c:pt>
                <c:pt idx="31">
                  <c:v>0.2357397515660809</c:v>
                </c:pt>
                <c:pt idx="32">
                  <c:v>0.24148950160427801</c:v>
                </c:pt>
                <c:pt idx="33">
                  <c:v>0.24723925164247515</c:v>
                </c:pt>
                <c:pt idx="34">
                  <c:v>0.25298900168067223</c:v>
                </c:pt>
                <c:pt idx="35">
                  <c:v>0.25873875171886934</c:v>
                </c:pt>
                <c:pt idx="36">
                  <c:v>0.2644885017570664</c:v>
                </c:pt>
                <c:pt idx="37">
                  <c:v>0.27023825179526351</c:v>
                </c:pt>
                <c:pt idx="38">
                  <c:v>0.27598800183346062</c:v>
                </c:pt>
                <c:pt idx="39">
                  <c:v>0.28173775187165767</c:v>
                </c:pt>
                <c:pt idx="40">
                  <c:v>0.28748750190985478</c:v>
                </c:pt>
                <c:pt idx="41">
                  <c:v>0.29323725194805189</c:v>
                </c:pt>
                <c:pt idx="42">
                  <c:v>0.298987001986249</c:v>
                </c:pt>
                <c:pt idx="43">
                  <c:v>0.30473675202444611</c:v>
                </c:pt>
                <c:pt idx="44">
                  <c:v>0.31048650206264317</c:v>
                </c:pt>
                <c:pt idx="45">
                  <c:v>0.31623625210084033</c:v>
                </c:pt>
                <c:pt idx="46">
                  <c:v>0.32198600213903744</c:v>
                </c:pt>
                <c:pt idx="47">
                  <c:v>0.32773575217723444</c:v>
                </c:pt>
                <c:pt idx="48">
                  <c:v>0.33348550221543155</c:v>
                </c:pt>
                <c:pt idx="49">
                  <c:v>0.33923525225362866</c:v>
                </c:pt>
                <c:pt idx="50">
                  <c:v>0.34498500229182577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E4-46D1-B50A-020F53622D0C}"/>
            </c:ext>
          </c:extLst>
        </c:ser>
        <c:ser>
          <c:idx val="1"/>
          <c:order val="1"/>
          <c:tx>
            <c:v>2nd-segment climb (OEI)</c:v>
          </c:tx>
          <c:spPr>
            <a:ln w="22000">
              <a:solidFill>
                <a:srgbClr val="ED7D31"/>
              </a:solidFill>
              <a:prstDash val="solid"/>
            </a:ln>
          </c:spPr>
          <c:marker>
            <c:symbol val="none"/>
          </c:marker>
          <c:xVal>
            <c:numRef>
              <c:f>Plot_Data!$B$5:$B$55</c:f>
              <c:numCache>
                <c:formatCode>#,##0</c:formatCode>
                <c:ptCount val="51"/>
                <c:pt idx="0">
                  <c:v>1113.2578303411763</c:v>
                </c:pt>
                <c:pt idx="1">
                  <c:v>1224.5836133752939</c:v>
                </c:pt>
                <c:pt idx="2">
                  <c:v>1335.9093964094116</c:v>
                </c:pt>
                <c:pt idx="3">
                  <c:v>1447.2351794435292</c:v>
                </c:pt>
                <c:pt idx="4">
                  <c:v>1558.5609624776471</c:v>
                </c:pt>
                <c:pt idx="5">
                  <c:v>1669.8867455117645</c:v>
                </c:pt>
                <c:pt idx="6">
                  <c:v>1781.2125285458822</c:v>
                </c:pt>
                <c:pt idx="7">
                  <c:v>1892.5383115799998</c:v>
                </c:pt>
                <c:pt idx="8">
                  <c:v>2003.8640946141172</c:v>
                </c:pt>
                <c:pt idx="9">
                  <c:v>2115.1898776482349</c:v>
                </c:pt>
                <c:pt idx="10">
                  <c:v>2226.5156606823525</c:v>
                </c:pt>
                <c:pt idx="11">
                  <c:v>2337.8414437164702</c:v>
                </c:pt>
                <c:pt idx="12">
                  <c:v>2449.1672267505878</c:v>
                </c:pt>
                <c:pt idx="13">
                  <c:v>2560.4930097847055</c:v>
                </c:pt>
                <c:pt idx="14">
                  <c:v>2671.8187928188231</c:v>
                </c:pt>
                <c:pt idx="15">
                  <c:v>2783.1445758529408</c:v>
                </c:pt>
                <c:pt idx="16">
                  <c:v>2894.4703588870584</c:v>
                </c:pt>
                <c:pt idx="17">
                  <c:v>3005.7961419211761</c:v>
                </c:pt>
                <c:pt idx="18">
                  <c:v>3117.1219249552942</c:v>
                </c:pt>
                <c:pt idx="19">
                  <c:v>3228.4477079894109</c:v>
                </c:pt>
                <c:pt idx="20">
                  <c:v>3339.773491023529</c:v>
                </c:pt>
                <c:pt idx="21">
                  <c:v>3451.0992740576467</c:v>
                </c:pt>
                <c:pt idx="22">
                  <c:v>3562.4250570917643</c:v>
                </c:pt>
                <c:pt idx="23">
                  <c:v>3673.750840125882</c:v>
                </c:pt>
                <c:pt idx="24">
                  <c:v>3785.0766231599996</c:v>
                </c:pt>
                <c:pt idx="25">
                  <c:v>3896.4024061941168</c:v>
                </c:pt>
                <c:pt idx="26">
                  <c:v>4007.7281892282344</c:v>
                </c:pt>
                <c:pt idx="27">
                  <c:v>4119.0539722623525</c:v>
                </c:pt>
                <c:pt idx="28">
                  <c:v>4230.3797552964697</c:v>
                </c:pt>
                <c:pt idx="29">
                  <c:v>4341.7055383305878</c:v>
                </c:pt>
                <c:pt idx="30">
                  <c:v>4453.031321364705</c:v>
                </c:pt>
                <c:pt idx="31">
                  <c:v>4564.3571043988222</c:v>
                </c:pt>
                <c:pt idx="32">
                  <c:v>4675.6828874329403</c:v>
                </c:pt>
                <c:pt idx="33">
                  <c:v>4787.0086704670584</c:v>
                </c:pt>
                <c:pt idx="34">
                  <c:v>4898.3344535011756</c:v>
                </c:pt>
                <c:pt idx="35">
                  <c:v>5009.6602365352937</c:v>
                </c:pt>
                <c:pt idx="36">
                  <c:v>5120.9860195694109</c:v>
                </c:pt>
                <c:pt idx="37">
                  <c:v>5232.3118026035281</c:v>
                </c:pt>
                <c:pt idx="38">
                  <c:v>5343.6375856376462</c:v>
                </c:pt>
                <c:pt idx="39">
                  <c:v>5454.9633686717634</c:v>
                </c:pt>
                <c:pt idx="40">
                  <c:v>5566.2891517058815</c:v>
                </c:pt>
                <c:pt idx="41">
                  <c:v>5677.6149347399996</c:v>
                </c:pt>
                <c:pt idx="42">
                  <c:v>5788.9407177741168</c:v>
                </c:pt>
                <c:pt idx="43">
                  <c:v>5900.2665008082349</c:v>
                </c:pt>
                <c:pt idx="44">
                  <c:v>6011.5922838423521</c:v>
                </c:pt>
                <c:pt idx="45">
                  <c:v>6122.9180668764702</c:v>
                </c:pt>
                <c:pt idx="46">
                  <c:v>6234.2438499105883</c:v>
                </c:pt>
                <c:pt idx="47">
                  <c:v>6345.5696329447046</c:v>
                </c:pt>
                <c:pt idx="48">
                  <c:v>6456.8954159788218</c:v>
                </c:pt>
                <c:pt idx="49">
                  <c:v>6568.2211990129399</c:v>
                </c:pt>
                <c:pt idx="50">
                  <c:v>6679.546982047058</c:v>
                </c:pt>
              </c:numCache>
            </c:numRef>
          </c:xVal>
          <c:yVal>
            <c:numRef>
              <c:f>Plot_Data!$E$5:$E$55</c:f>
              <c:numCache>
                <c:formatCode>0.000</c:formatCode>
                <c:ptCount val="51"/>
                <c:pt idx="0">
                  <c:v>0.2194155421601327</c:v>
                </c:pt>
                <c:pt idx="1">
                  <c:v>0.2194155421601327</c:v>
                </c:pt>
                <c:pt idx="2">
                  <c:v>0.2194155421601327</c:v>
                </c:pt>
                <c:pt idx="3">
                  <c:v>0.2194155421601327</c:v>
                </c:pt>
                <c:pt idx="4">
                  <c:v>0.2194155421601327</c:v>
                </c:pt>
                <c:pt idx="5">
                  <c:v>0.2194155421601327</c:v>
                </c:pt>
                <c:pt idx="6">
                  <c:v>0.2194155421601327</c:v>
                </c:pt>
                <c:pt idx="7">
                  <c:v>0.2194155421601327</c:v>
                </c:pt>
                <c:pt idx="8">
                  <c:v>0.2194155421601327</c:v>
                </c:pt>
                <c:pt idx="9">
                  <c:v>0.2194155421601327</c:v>
                </c:pt>
                <c:pt idx="10">
                  <c:v>0.2194155421601327</c:v>
                </c:pt>
                <c:pt idx="11">
                  <c:v>0.2194155421601327</c:v>
                </c:pt>
                <c:pt idx="12">
                  <c:v>0.2194155421601327</c:v>
                </c:pt>
                <c:pt idx="13">
                  <c:v>0.2194155421601327</c:v>
                </c:pt>
                <c:pt idx="14">
                  <c:v>0.2194155421601327</c:v>
                </c:pt>
                <c:pt idx="15">
                  <c:v>0.2194155421601327</c:v>
                </c:pt>
                <c:pt idx="16">
                  <c:v>0.2194155421601327</c:v>
                </c:pt>
                <c:pt idx="17">
                  <c:v>0.2194155421601327</c:v>
                </c:pt>
                <c:pt idx="18">
                  <c:v>0.2194155421601327</c:v>
                </c:pt>
                <c:pt idx="19">
                  <c:v>0.2194155421601327</c:v>
                </c:pt>
                <c:pt idx="20">
                  <c:v>0.2194155421601327</c:v>
                </c:pt>
                <c:pt idx="21">
                  <c:v>0.2194155421601327</c:v>
                </c:pt>
                <c:pt idx="22">
                  <c:v>0.2194155421601327</c:v>
                </c:pt>
                <c:pt idx="23">
                  <c:v>0.2194155421601327</c:v>
                </c:pt>
                <c:pt idx="24">
                  <c:v>0.2194155421601327</c:v>
                </c:pt>
                <c:pt idx="25">
                  <c:v>0.2194155421601327</c:v>
                </c:pt>
                <c:pt idx="26">
                  <c:v>0.2194155421601327</c:v>
                </c:pt>
                <c:pt idx="27">
                  <c:v>0.2194155421601327</c:v>
                </c:pt>
                <c:pt idx="28">
                  <c:v>0.2194155421601327</c:v>
                </c:pt>
                <c:pt idx="29">
                  <c:v>0.2194155421601327</c:v>
                </c:pt>
                <c:pt idx="30">
                  <c:v>0.2194155421601327</c:v>
                </c:pt>
                <c:pt idx="31">
                  <c:v>0.2194155421601327</c:v>
                </c:pt>
                <c:pt idx="32">
                  <c:v>0.2194155421601327</c:v>
                </c:pt>
                <c:pt idx="33">
                  <c:v>0.2194155421601327</c:v>
                </c:pt>
                <c:pt idx="34">
                  <c:v>0.2194155421601327</c:v>
                </c:pt>
                <c:pt idx="35">
                  <c:v>0.2194155421601327</c:v>
                </c:pt>
                <c:pt idx="36">
                  <c:v>0.2194155421601327</c:v>
                </c:pt>
                <c:pt idx="37">
                  <c:v>0.2194155421601327</c:v>
                </c:pt>
                <c:pt idx="38">
                  <c:v>0.2194155421601327</c:v>
                </c:pt>
                <c:pt idx="39">
                  <c:v>0.2194155421601327</c:v>
                </c:pt>
                <c:pt idx="40">
                  <c:v>0.2194155421601327</c:v>
                </c:pt>
                <c:pt idx="41">
                  <c:v>0.2194155421601327</c:v>
                </c:pt>
                <c:pt idx="42">
                  <c:v>0.2194155421601327</c:v>
                </c:pt>
                <c:pt idx="43">
                  <c:v>0.2194155421601327</c:v>
                </c:pt>
                <c:pt idx="44">
                  <c:v>0.2194155421601327</c:v>
                </c:pt>
                <c:pt idx="45">
                  <c:v>0.2194155421601327</c:v>
                </c:pt>
                <c:pt idx="46">
                  <c:v>0.2194155421601327</c:v>
                </c:pt>
                <c:pt idx="47">
                  <c:v>0.2194155421601327</c:v>
                </c:pt>
                <c:pt idx="48">
                  <c:v>0.2194155421601327</c:v>
                </c:pt>
                <c:pt idx="49">
                  <c:v>0.2194155421601327</c:v>
                </c:pt>
                <c:pt idx="50">
                  <c:v>0.2194155421601327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1E4-46D1-B50A-020F53622D0C}"/>
            </c:ext>
          </c:extLst>
        </c:ser>
        <c:ser>
          <c:idx val="2"/>
          <c:order val="2"/>
          <c:tx>
            <c:v>Missed approach (OEI)</c:v>
          </c:tx>
          <c:spPr>
            <a:ln w="22000">
              <a:solidFill>
                <a:srgbClr val="7030A0"/>
              </a:solidFill>
              <a:prstDash val="solid"/>
            </a:ln>
          </c:spPr>
          <c:marker>
            <c:symbol val="none"/>
          </c:marker>
          <c:xVal>
            <c:numRef>
              <c:f>Plot_Data!$B$5:$B$55</c:f>
              <c:numCache>
                <c:formatCode>#,##0</c:formatCode>
                <c:ptCount val="51"/>
                <c:pt idx="0">
                  <c:v>1113.2578303411763</c:v>
                </c:pt>
                <c:pt idx="1">
                  <c:v>1224.5836133752939</c:v>
                </c:pt>
                <c:pt idx="2">
                  <c:v>1335.9093964094116</c:v>
                </c:pt>
                <c:pt idx="3">
                  <c:v>1447.2351794435292</c:v>
                </c:pt>
                <c:pt idx="4">
                  <c:v>1558.5609624776471</c:v>
                </c:pt>
                <c:pt idx="5">
                  <c:v>1669.8867455117645</c:v>
                </c:pt>
                <c:pt idx="6">
                  <c:v>1781.2125285458822</c:v>
                </c:pt>
                <c:pt idx="7">
                  <c:v>1892.5383115799998</c:v>
                </c:pt>
                <c:pt idx="8">
                  <c:v>2003.8640946141172</c:v>
                </c:pt>
                <c:pt idx="9">
                  <c:v>2115.1898776482349</c:v>
                </c:pt>
                <c:pt idx="10">
                  <c:v>2226.5156606823525</c:v>
                </c:pt>
                <c:pt idx="11">
                  <c:v>2337.8414437164702</c:v>
                </c:pt>
                <c:pt idx="12">
                  <c:v>2449.1672267505878</c:v>
                </c:pt>
                <c:pt idx="13">
                  <c:v>2560.4930097847055</c:v>
                </c:pt>
                <c:pt idx="14">
                  <c:v>2671.8187928188231</c:v>
                </c:pt>
                <c:pt idx="15">
                  <c:v>2783.1445758529408</c:v>
                </c:pt>
                <c:pt idx="16">
                  <c:v>2894.4703588870584</c:v>
                </c:pt>
                <c:pt idx="17">
                  <c:v>3005.7961419211761</c:v>
                </c:pt>
                <c:pt idx="18">
                  <c:v>3117.1219249552942</c:v>
                </c:pt>
                <c:pt idx="19">
                  <c:v>3228.4477079894109</c:v>
                </c:pt>
                <c:pt idx="20">
                  <c:v>3339.773491023529</c:v>
                </c:pt>
                <c:pt idx="21">
                  <c:v>3451.0992740576467</c:v>
                </c:pt>
                <c:pt idx="22">
                  <c:v>3562.4250570917643</c:v>
                </c:pt>
                <c:pt idx="23">
                  <c:v>3673.750840125882</c:v>
                </c:pt>
                <c:pt idx="24">
                  <c:v>3785.0766231599996</c:v>
                </c:pt>
                <c:pt idx="25">
                  <c:v>3896.4024061941168</c:v>
                </c:pt>
                <c:pt idx="26">
                  <c:v>4007.7281892282344</c:v>
                </c:pt>
                <c:pt idx="27">
                  <c:v>4119.0539722623525</c:v>
                </c:pt>
                <c:pt idx="28">
                  <c:v>4230.3797552964697</c:v>
                </c:pt>
                <c:pt idx="29">
                  <c:v>4341.7055383305878</c:v>
                </c:pt>
                <c:pt idx="30">
                  <c:v>4453.031321364705</c:v>
                </c:pt>
                <c:pt idx="31">
                  <c:v>4564.3571043988222</c:v>
                </c:pt>
                <c:pt idx="32">
                  <c:v>4675.6828874329403</c:v>
                </c:pt>
                <c:pt idx="33">
                  <c:v>4787.0086704670584</c:v>
                </c:pt>
                <c:pt idx="34">
                  <c:v>4898.3344535011756</c:v>
                </c:pt>
                <c:pt idx="35">
                  <c:v>5009.6602365352937</c:v>
                </c:pt>
                <c:pt idx="36">
                  <c:v>5120.9860195694109</c:v>
                </c:pt>
                <c:pt idx="37">
                  <c:v>5232.3118026035281</c:v>
                </c:pt>
                <c:pt idx="38">
                  <c:v>5343.6375856376462</c:v>
                </c:pt>
                <c:pt idx="39">
                  <c:v>5454.9633686717634</c:v>
                </c:pt>
                <c:pt idx="40">
                  <c:v>5566.2891517058815</c:v>
                </c:pt>
                <c:pt idx="41">
                  <c:v>5677.6149347399996</c:v>
                </c:pt>
                <c:pt idx="42">
                  <c:v>5788.9407177741168</c:v>
                </c:pt>
                <c:pt idx="43">
                  <c:v>5900.2665008082349</c:v>
                </c:pt>
                <c:pt idx="44">
                  <c:v>6011.5922838423521</c:v>
                </c:pt>
                <c:pt idx="45">
                  <c:v>6122.9180668764702</c:v>
                </c:pt>
                <c:pt idx="46">
                  <c:v>6234.2438499105883</c:v>
                </c:pt>
                <c:pt idx="47">
                  <c:v>6345.5696329447046</c:v>
                </c:pt>
                <c:pt idx="48">
                  <c:v>6456.8954159788218</c:v>
                </c:pt>
                <c:pt idx="49">
                  <c:v>6568.2211990129399</c:v>
                </c:pt>
                <c:pt idx="50">
                  <c:v>6679.546982047058</c:v>
                </c:pt>
              </c:numCache>
            </c:numRef>
          </c:xVal>
          <c:yVal>
            <c:numRef>
              <c:f>Plot_Data!$F$5:$F$55</c:f>
              <c:numCache>
                <c:formatCode>0.000</c:formatCode>
                <c:ptCount val="51"/>
                <c:pt idx="0">
                  <c:v>0.21104328049055099</c:v>
                </c:pt>
                <c:pt idx="1">
                  <c:v>0.21104328049055099</c:v>
                </c:pt>
                <c:pt idx="2">
                  <c:v>0.21104328049055099</c:v>
                </c:pt>
                <c:pt idx="3">
                  <c:v>0.21104328049055099</c:v>
                </c:pt>
                <c:pt idx="4">
                  <c:v>0.21104328049055099</c:v>
                </c:pt>
                <c:pt idx="5">
                  <c:v>0.21104328049055099</c:v>
                </c:pt>
                <c:pt idx="6">
                  <c:v>0.21104328049055099</c:v>
                </c:pt>
                <c:pt idx="7">
                  <c:v>0.21104328049055099</c:v>
                </c:pt>
                <c:pt idx="8">
                  <c:v>0.21104328049055099</c:v>
                </c:pt>
                <c:pt idx="9">
                  <c:v>0.21104328049055099</c:v>
                </c:pt>
                <c:pt idx="10">
                  <c:v>0.21104328049055099</c:v>
                </c:pt>
                <c:pt idx="11">
                  <c:v>0.21104328049055099</c:v>
                </c:pt>
                <c:pt idx="12">
                  <c:v>0.21104328049055099</c:v>
                </c:pt>
                <c:pt idx="13">
                  <c:v>0.21104328049055099</c:v>
                </c:pt>
                <c:pt idx="14">
                  <c:v>0.21104328049055099</c:v>
                </c:pt>
                <c:pt idx="15">
                  <c:v>0.21104328049055099</c:v>
                </c:pt>
                <c:pt idx="16">
                  <c:v>0.21104328049055099</c:v>
                </c:pt>
                <c:pt idx="17">
                  <c:v>0.21104328049055099</c:v>
                </c:pt>
                <c:pt idx="18">
                  <c:v>0.21104328049055099</c:v>
                </c:pt>
                <c:pt idx="19">
                  <c:v>0.21104328049055099</c:v>
                </c:pt>
                <c:pt idx="20">
                  <c:v>0.21104328049055099</c:v>
                </c:pt>
                <c:pt idx="21">
                  <c:v>0.21104328049055099</c:v>
                </c:pt>
                <c:pt idx="22">
                  <c:v>0.21104328049055099</c:v>
                </c:pt>
                <c:pt idx="23">
                  <c:v>0.21104328049055099</c:v>
                </c:pt>
                <c:pt idx="24">
                  <c:v>0.21104328049055099</c:v>
                </c:pt>
                <c:pt idx="25">
                  <c:v>0.21104328049055099</c:v>
                </c:pt>
                <c:pt idx="26">
                  <c:v>0.21104328049055099</c:v>
                </c:pt>
                <c:pt idx="27">
                  <c:v>0.21104328049055099</c:v>
                </c:pt>
                <c:pt idx="28">
                  <c:v>0.21104328049055099</c:v>
                </c:pt>
                <c:pt idx="29">
                  <c:v>0.21104328049055099</c:v>
                </c:pt>
                <c:pt idx="30">
                  <c:v>0.21104328049055099</c:v>
                </c:pt>
                <c:pt idx="31">
                  <c:v>0.21104328049055099</c:v>
                </c:pt>
                <c:pt idx="32">
                  <c:v>0.21104328049055099</c:v>
                </c:pt>
                <c:pt idx="33">
                  <c:v>0.21104328049055099</c:v>
                </c:pt>
                <c:pt idx="34">
                  <c:v>0.21104328049055099</c:v>
                </c:pt>
                <c:pt idx="35">
                  <c:v>0.21104328049055099</c:v>
                </c:pt>
                <c:pt idx="36">
                  <c:v>0.21104328049055099</c:v>
                </c:pt>
                <c:pt idx="37">
                  <c:v>0.21104328049055099</c:v>
                </c:pt>
                <c:pt idx="38">
                  <c:v>0.21104328049055099</c:v>
                </c:pt>
                <c:pt idx="39">
                  <c:v>0.21104328049055099</c:v>
                </c:pt>
                <c:pt idx="40">
                  <c:v>0.21104328049055099</c:v>
                </c:pt>
                <c:pt idx="41">
                  <c:v>0.21104328049055099</c:v>
                </c:pt>
                <c:pt idx="42">
                  <c:v>0.21104328049055099</c:v>
                </c:pt>
                <c:pt idx="43">
                  <c:v>0.21104328049055099</c:v>
                </c:pt>
                <c:pt idx="44">
                  <c:v>0.21104328049055099</c:v>
                </c:pt>
                <c:pt idx="45">
                  <c:v>0.21104328049055099</c:v>
                </c:pt>
                <c:pt idx="46">
                  <c:v>0.21104328049055099</c:v>
                </c:pt>
                <c:pt idx="47">
                  <c:v>0.21104328049055099</c:v>
                </c:pt>
                <c:pt idx="48">
                  <c:v>0.21104328049055099</c:v>
                </c:pt>
                <c:pt idx="49">
                  <c:v>0.21104328049055099</c:v>
                </c:pt>
                <c:pt idx="50">
                  <c:v>0.21104328049055099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1E4-46D1-B50A-020F53622D0C}"/>
            </c:ext>
          </c:extLst>
        </c:ser>
        <c:ser>
          <c:idx val="3"/>
          <c:order val="3"/>
          <c:tx>
            <c:v>Cruise</c:v>
          </c:tx>
          <c:spPr>
            <a:ln w="22000">
              <a:solidFill>
                <a:srgbClr val="0070C0"/>
              </a:solidFill>
              <a:prstDash val="solid"/>
            </a:ln>
          </c:spPr>
          <c:marker>
            <c:symbol val="none"/>
          </c:marker>
          <c:xVal>
            <c:numRef>
              <c:f>Plot_Data!$B$5:$B$55</c:f>
              <c:numCache>
                <c:formatCode>#,##0</c:formatCode>
                <c:ptCount val="51"/>
                <c:pt idx="0">
                  <c:v>1113.2578303411763</c:v>
                </c:pt>
                <c:pt idx="1">
                  <c:v>1224.5836133752939</c:v>
                </c:pt>
                <c:pt idx="2">
                  <c:v>1335.9093964094116</c:v>
                </c:pt>
                <c:pt idx="3">
                  <c:v>1447.2351794435292</c:v>
                </c:pt>
                <c:pt idx="4">
                  <c:v>1558.5609624776471</c:v>
                </c:pt>
                <c:pt idx="5">
                  <c:v>1669.8867455117645</c:v>
                </c:pt>
                <c:pt idx="6">
                  <c:v>1781.2125285458822</c:v>
                </c:pt>
                <c:pt idx="7">
                  <c:v>1892.5383115799998</c:v>
                </c:pt>
                <c:pt idx="8">
                  <c:v>2003.8640946141172</c:v>
                </c:pt>
                <c:pt idx="9">
                  <c:v>2115.1898776482349</c:v>
                </c:pt>
                <c:pt idx="10">
                  <c:v>2226.5156606823525</c:v>
                </c:pt>
                <c:pt idx="11">
                  <c:v>2337.8414437164702</c:v>
                </c:pt>
                <c:pt idx="12">
                  <c:v>2449.1672267505878</c:v>
                </c:pt>
                <c:pt idx="13">
                  <c:v>2560.4930097847055</c:v>
                </c:pt>
                <c:pt idx="14">
                  <c:v>2671.8187928188231</c:v>
                </c:pt>
                <c:pt idx="15">
                  <c:v>2783.1445758529408</c:v>
                </c:pt>
                <c:pt idx="16">
                  <c:v>2894.4703588870584</c:v>
                </c:pt>
                <c:pt idx="17">
                  <c:v>3005.7961419211761</c:v>
                </c:pt>
                <c:pt idx="18">
                  <c:v>3117.1219249552942</c:v>
                </c:pt>
                <c:pt idx="19">
                  <c:v>3228.4477079894109</c:v>
                </c:pt>
                <c:pt idx="20">
                  <c:v>3339.773491023529</c:v>
                </c:pt>
                <c:pt idx="21">
                  <c:v>3451.0992740576467</c:v>
                </c:pt>
                <c:pt idx="22">
                  <c:v>3562.4250570917643</c:v>
                </c:pt>
                <c:pt idx="23">
                  <c:v>3673.750840125882</c:v>
                </c:pt>
                <c:pt idx="24">
                  <c:v>3785.0766231599996</c:v>
                </c:pt>
                <c:pt idx="25">
                  <c:v>3896.4024061941168</c:v>
                </c:pt>
                <c:pt idx="26">
                  <c:v>4007.7281892282344</c:v>
                </c:pt>
                <c:pt idx="27">
                  <c:v>4119.0539722623525</c:v>
                </c:pt>
                <c:pt idx="28">
                  <c:v>4230.3797552964697</c:v>
                </c:pt>
                <c:pt idx="29">
                  <c:v>4341.7055383305878</c:v>
                </c:pt>
                <c:pt idx="30">
                  <c:v>4453.031321364705</c:v>
                </c:pt>
                <c:pt idx="31">
                  <c:v>4564.3571043988222</c:v>
                </c:pt>
                <c:pt idx="32">
                  <c:v>4675.6828874329403</c:v>
                </c:pt>
                <c:pt idx="33">
                  <c:v>4787.0086704670584</c:v>
                </c:pt>
                <c:pt idx="34">
                  <c:v>4898.3344535011756</c:v>
                </c:pt>
                <c:pt idx="35">
                  <c:v>5009.6602365352937</c:v>
                </c:pt>
                <c:pt idx="36">
                  <c:v>5120.9860195694109</c:v>
                </c:pt>
                <c:pt idx="37">
                  <c:v>5232.3118026035281</c:v>
                </c:pt>
                <c:pt idx="38">
                  <c:v>5343.6375856376462</c:v>
                </c:pt>
                <c:pt idx="39">
                  <c:v>5454.9633686717634</c:v>
                </c:pt>
                <c:pt idx="40">
                  <c:v>5566.2891517058815</c:v>
                </c:pt>
                <c:pt idx="41">
                  <c:v>5677.6149347399996</c:v>
                </c:pt>
                <c:pt idx="42">
                  <c:v>5788.9407177741168</c:v>
                </c:pt>
                <c:pt idx="43">
                  <c:v>5900.2665008082349</c:v>
                </c:pt>
                <c:pt idx="44">
                  <c:v>6011.5922838423521</c:v>
                </c:pt>
                <c:pt idx="45">
                  <c:v>6122.9180668764702</c:v>
                </c:pt>
                <c:pt idx="46">
                  <c:v>6234.2438499105883</c:v>
                </c:pt>
                <c:pt idx="47">
                  <c:v>6345.5696329447046</c:v>
                </c:pt>
                <c:pt idx="48">
                  <c:v>6456.8954159788218</c:v>
                </c:pt>
                <c:pt idx="49">
                  <c:v>6568.2211990129399</c:v>
                </c:pt>
                <c:pt idx="50">
                  <c:v>6679.546982047058</c:v>
                </c:pt>
              </c:numCache>
            </c:numRef>
          </c:xVal>
          <c:yVal>
            <c:numRef>
              <c:f>Plot_Data!$G$5:$G$55</c:f>
              <c:numCache>
                <c:formatCode>0.000</c:formatCode>
                <c:ptCount val="51"/>
                <c:pt idx="0">
                  <c:v>0.79248732034143488</c:v>
                </c:pt>
                <c:pt idx="1">
                  <c:v>0.72649434809411528</c:v>
                </c:pt>
                <c:pt idx="2">
                  <c:v>0.67180831873379998</c:v>
                </c:pt>
                <c:pt idx="3">
                  <c:v>0.62581993774810363</c:v>
                </c:pt>
                <c:pt idx="4">
                  <c:v>0.58666542334246452</c:v>
                </c:pt>
                <c:pt idx="5">
                  <c:v>0.55297800220087157</c:v>
                </c:pt>
                <c:pt idx="6">
                  <c:v>0.52373259433631614</c:v>
                </c:pt>
                <c:pt idx="7">
                  <c:v>0.49814531505285026</c:v>
                </c:pt>
                <c:pt idx="8">
                  <c:v>0.47560647625362568</c:v>
                </c:pt>
                <c:pt idx="9">
                  <c:v>0.45563474523060438</c:v>
                </c:pt>
                <c:pt idx="10">
                  <c:v>0.43784505581735589</c:v>
                </c:pt>
                <c:pt idx="11">
                  <c:v>0.42192568778391248</c:v>
                </c:pt>
                <c:pt idx="12">
                  <c:v>0.40762159730575548</c:v>
                </c:pt>
                <c:pt idx="13">
                  <c:v>0.39472209600610836</c:v>
                </c:pt>
                <c:pt idx="14">
                  <c:v>0.38305161023765727</c:v>
                </c:pt>
                <c:pt idx="15">
                  <c:v>0.37246265813665885</c:v>
                </c:pt>
                <c:pt idx="16">
                  <c:v>0.36283044735686848</c:v>
                </c:pt>
                <c:pt idx="17">
                  <c:v>0.35404867330704082</c:v>
                </c:pt>
                <c:pt idx="18">
                  <c:v>0.34602621776610837</c:v>
                </c:pt>
                <c:pt idx="19">
                  <c:v>0.33868453054349595</c:v>
                </c:pt>
                <c:pt idx="20">
                  <c:v>0.33195553480737133</c:v>
                </c:pt>
                <c:pt idx="21">
                  <c:v>0.32577993783323583</c:v>
                </c:pt>
                <c:pt idx="22">
                  <c:v>0.32010585848715295</c:v>
                </c:pt>
                <c:pt idx="23">
                  <c:v>0.31488770425748153</c:v>
                </c:pt>
                <c:pt idx="24">
                  <c:v>0.31008524645747942</c:v>
                </c:pt>
                <c:pt idx="25">
                  <c:v>0.30566285396460346</c:v>
                </c:pt>
                <c:pt idx="26">
                  <c:v>0.30158885466992652</c:v>
                </c:pt>
                <c:pt idx="27">
                  <c:v>0.29783500047629735</c:v>
                </c:pt>
                <c:pt idx="28">
                  <c:v>0.29437601677047526</c:v>
                </c:pt>
                <c:pt idx="29">
                  <c:v>0.29118922120724439</c:v>
                </c:pt>
                <c:pt idx="30">
                  <c:v>0.28825419967591043</c:v>
                </c:pt>
                <c:pt idx="31">
                  <c:v>0.28555252968633443</c:v>
                </c:pt>
                <c:pt idx="32">
                  <c:v>0.28306754327124817</c:v>
                </c:pt>
                <c:pt idx="33">
                  <c:v>0.28078412297196614</c:v>
                </c:pt>
                <c:pt idx="34">
                  <c:v>0.27868852564422902</c:v>
                </c:pt>
                <c:pt idx="35">
                  <c:v>0.27676822975660054</c:v>
                </c:pt>
                <c:pt idx="36">
                  <c:v>0.27501180260646485</c:v>
                </c:pt>
                <c:pt idx="37">
                  <c:v>0.27340878448717354</c:v>
                </c:pt>
                <c:pt idx="38">
                  <c:v>0.27194958733429869</c:v>
                </c:pt>
                <c:pt idx="39">
                  <c:v>0.27062540578254968</c:v>
                </c:pt>
                <c:pt idx="40">
                  <c:v>0.26942813889585887</c:v>
                </c:pt>
                <c:pt idx="41">
                  <c:v>0.26835032110569351</c:v>
                </c:pt>
                <c:pt idx="42">
                  <c:v>0.26738506111802313</c:v>
                </c:pt>
                <c:pt idx="43">
                  <c:v>0.26652598773648017</c:v>
                </c:pt>
                <c:pt idx="44">
                  <c:v>0.26576720170516865</c:v>
                </c:pt>
                <c:pt idx="45">
                  <c:v>0.2651032328049851</c:v>
                </c:pt>
                <c:pt idx="46">
                  <c:v>0.2645290015467619</c:v>
                </c:pt>
                <c:pt idx="47">
                  <c:v>0.26403978489671159</c:v>
                </c:pt>
                <c:pt idx="48">
                  <c:v>0.26363118554751502</c:v>
                </c:pt>
                <c:pt idx="49">
                  <c:v>0.26329910431438291</c:v>
                </c:pt>
                <c:pt idx="50">
                  <c:v>0.2630397152915121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1E4-46D1-B50A-020F53622D0C}"/>
            </c:ext>
          </c:extLst>
        </c:ser>
        <c:ser>
          <c:idx val="4"/>
          <c:order val="4"/>
          <c:tx>
            <c:v>Landing field length (max W/S)</c:v>
          </c:tx>
          <c:spPr>
            <a:ln w="22000">
              <a:solidFill>
                <a:srgbClr val="00B050"/>
              </a:solidFill>
              <a:prstDash val="solid"/>
            </a:ln>
          </c:spPr>
          <c:marker>
            <c:symbol val="none"/>
          </c:marker>
          <c:xVal>
            <c:numRef>
              <c:f>Plot_Data!$K$5:$K$6</c:f>
              <c:numCache>
                <c:formatCode>0.000</c:formatCode>
                <c:ptCount val="2"/>
                <c:pt idx="0">
                  <c:v>5566.2891517058815</c:v>
                </c:pt>
                <c:pt idx="1">
                  <c:v>5566.2891517058815</c:v>
                </c:pt>
              </c:numCache>
            </c:numRef>
          </c:xVal>
          <c:yVal>
            <c:numRef>
              <c:f>Plot_Data!$L$5:$L$6</c:f>
              <c:numCache>
                <c:formatCode>0.000</c:formatCode>
                <c:ptCount val="2"/>
                <c:pt idx="0">
                  <c:v>0</c:v>
                </c:pt>
                <c:pt idx="1">
                  <c:v>0.8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1E4-46D1-B50A-020F53622D0C}"/>
            </c:ext>
          </c:extLst>
        </c:ser>
        <c:ser>
          <c:idx val="5"/>
          <c:order val="5"/>
          <c:spPr>
            <a:ln w="120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Plot_Data!$K$12:$K$14</c:f>
              <c:numCache>
                <c:formatCode>0.000</c:formatCode>
                <c:ptCount val="3"/>
                <c:pt idx="0">
                  <c:v>5281.0084699453055</c:v>
                </c:pt>
                <c:pt idx="1">
                  <c:v>5281.0084699453055</c:v>
                </c:pt>
                <c:pt idx="2">
                  <c:v>0</c:v>
                </c:pt>
              </c:numCache>
            </c:numRef>
          </c:xVal>
          <c:yVal>
            <c:numRef>
              <c:f>Plot_Data!$L$12:$L$14</c:f>
              <c:numCache>
                <c:formatCode>0.000</c:formatCode>
                <c:ptCount val="3"/>
                <c:pt idx="0">
                  <c:v>0</c:v>
                </c:pt>
                <c:pt idx="1">
                  <c:v>0.27275333551870468</c:v>
                </c:pt>
                <c:pt idx="2">
                  <c:v>0.27275333551870468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1E4-46D1-B50A-020F53622D0C}"/>
            </c:ext>
          </c:extLst>
        </c:ser>
        <c:ser>
          <c:idx val="6"/>
          <c:order val="6"/>
          <c:tx>
            <c:strRef>
              <c:f>Plot_Data!$BK$20</c:f>
              <c:strCache>
                <c:ptCount val="1"/>
                <c:pt idx="0">
                  <c:v>Optimised design point: W/S = 5281 N/m2, T/W = 0.273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diamond"/>
            <c:size val="12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Plot_Data!$K$9</c:f>
              <c:numCache>
                <c:formatCode>0.000</c:formatCode>
                <c:ptCount val="1"/>
                <c:pt idx="0">
                  <c:v>5281.0084699453055</c:v>
                </c:pt>
              </c:numCache>
            </c:numRef>
          </c:xVal>
          <c:yVal>
            <c:numRef>
              <c:f>Plot_Data!$L$9</c:f>
              <c:numCache>
                <c:formatCode>0.000</c:formatCode>
                <c:ptCount val="1"/>
                <c:pt idx="0">
                  <c:v>0.27275333551870468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1E4-46D1-B50A-020F53622D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Wing loading W/S (N/m2)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low"/>
        <c:crossAx val="20"/>
        <c:crosses val="autoZero"/>
        <c:crossBetween val="midCat"/>
      </c:valAx>
      <c:valAx>
        <c:axId val="20"/>
        <c:scaling>
          <c:orientation val="minMax"/>
          <c:max val="0.8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Thrust-to-weight T/W (sea-level static)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low"/>
        <c:crossAx val="10"/>
        <c:crosses val="autoZero"/>
        <c:crossBetween val="midCat"/>
      </c:valAx>
    </c:plotArea>
    <c:legend>
      <c:legendPos val="r"/>
      <c:legendEntry>
        <c:idx val="5"/>
        <c:delete val="1"/>
      </c:legendEntry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Top view - wing, tail, engine and seat placement (to scale)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0000000000000007E-2"/>
          <c:y val="0.09"/>
          <c:w val="0.54923076923076919"/>
          <c:h val="0.84"/>
        </c:manualLayout>
      </c:layout>
      <c:scatterChart>
        <c:scatterStyle val="lineMarker"/>
        <c:varyColors val="0"/>
        <c:ser>
          <c:idx val="0"/>
          <c:order val="0"/>
          <c:spPr>
            <a:ln>
              <a:noFill/>
              <a:prstDash val="solid"/>
            </a:ln>
          </c:spPr>
          <c:marker>
            <c:symbol val="none"/>
          </c:marker>
          <c:xVal>
            <c:numRef>
              <c:f>Plot_Data!$AS$5:$AS$6</c:f>
              <c:numCache>
                <c:formatCode>0.000</c:formatCode>
                <c:ptCount val="2"/>
                <c:pt idx="0">
                  <c:v>-19.591528</c:v>
                </c:pt>
                <c:pt idx="1">
                  <c:v>19.591528</c:v>
                </c:pt>
              </c:numCache>
            </c:numRef>
          </c:xVal>
          <c:yVal>
            <c:numRef>
              <c:f>Plot_Data!$AT$5:$AT$6</c:f>
              <c:numCache>
                <c:formatCode>0.000</c:formatCode>
                <c:ptCount val="2"/>
                <c:pt idx="0">
                  <c:v>-19.591528</c:v>
                </c:pt>
                <c:pt idx="1">
                  <c:v>19.591528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75-400C-BF36-0602607CE2C5}"/>
            </c:ext>
          </c:extLst>
        </c:ser>
        <c:ser>
          <c:idx val="1"/>
          <c:order val="1"/>
          <c:tx>
            <c:strRef>
              <c:f>Plot_Data!$BK$5</c:f>
              <c:strCache>
                <c:ptCount val="1"/>
                <c:pt idx="0">
                  <c:v>Fuselage: L = 35.6 m, d = 3.98 m</c:v>
                </c:pt>
              </c:strCache>
            </c:strRef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xVal>
            <c:numRef>
              <c:f>Plot_Data!$X$5:$X$43</c:f>
              <c:numCache>
                <c:formatCode>0.000</c:formatCode>
                <c:ptCount val="39"/>
                <c:pt idx="0">
                  <c:v>-17.810479999999998</c:v>
                </c:pt>
                <c:pt idx="1">
                  <c:v>-17.73048</c:v>
                </c:pt>
                <c:pt idx="2">
                  <c:v>-17.530479999999997</c:v>
                </c:pt>
                <c:pt idx="3">
                  <c:v>-17.210479999999997</c:v>
                </c:pt>
                <c:pt idx="4">
                  <c:v>-16.610479999999999</c:v>
                </c:pt>
                <c:pt idx="5">
                  <c:v>-16.010479999999998</c:v>
                </c:pt>
                <c:pt idx="6">
                  <c:v>-15.410479999999998</c:v>
                </c:pt>
                <c:pt idx="7">
                  <c:v>-14.610479999999999</c:v>
                </c:pt>
                <c:pt idx="8">
                  <c:v>-13.810479999999998</c:v>
                </c:pt>
                <c:pt idx="9">
                  <c:v>-5.3938133333333411</c:v>
                </c:pt>
                <c:pt idx="10">
                  <c:v>3.0228533333333161</c:v>
                </c:pt>
                <c:pt idx="11">
                  <c:v>11.439519999999998</c:v>
                </c:pt>
                <c:pt idx="12">
                  <c:v>12.395163999999998</c:v>
                </c:pt>
                <c:pt idx="13">
                  <c:v>13.350807999999997</c:v>
                </c:pt>
                <c:pt idx="14">
                  <c:v>14.306452</c:v>
                </c:pt>
                <c:pt idx="15">
                  <c:v>15.262096</c:v>
                </c:pt>
                <c:pt idx="16">
                  <c:v>16.217739999999999</c:v>
                </c:pt>
                <c:pt idx="17">
                  <c:v>17.173383999999999</c:v>
                </c:pt>
                <c:pt idx="18">
                  <c:v>17.810479999999998</c:v>
                </c:pt>
                <c:pt idx="19">
                  <c:v>17.810479999999998</c:v>
                </c:pt>
                <c:pt idx="20">
                  <c:v>17.173383999999999</c:v>
                </c:pt>
                <c:pt idx="21">
                  <c:v>16.217739999999999</c:v>
                </c:pt>
                <c:pt idx="22">
                  <c:v>15.262096</c:v>
                </c:pt>
                <c:pt idx="23">
                  <c:v>14.306452</c:v>
                </c:pt>
                <c:pt idx="24">
                  <c:v>13.350807999999997</c:v>
                </c:pt>
                <c:pt idx="25">
                  <c:v>12.395163999999998</c:v>
                </c:pt>
                <c:pt idx="26">
                  <c:v>11.439519999999998</c:v>
                </c:pt>
                <c:pt idx="27">
                  <c:v>3.0228533333333161</c:v>
                </c:pt>
                <c:pt idx="28">
                  <c:v>-5.3938133333333411</c:v>
                </c:pt>
                <c:pt idx="29">
                  <c:v>-13.810479999999998</c:v>
                </c:pt>
                <c:pt idx="30">
                  <c:v>-14.610479999999999</c:v>
                </c:pt>
                <c:pt idx="31">
                  <c:v>-15.410479999999998</c:v>
                </c:pt>
                <c:pt idx="32">
                  <c:v>-16.010479999999998</c:v>
                </c:pt>
                <c:pt idx="33">
                  <c:v>-16.610479999999999</c:v>
                </c:pt>
                <c:pt idx="34">
                  <c:v>-17.210479999999997</c:v>
                </c:pt>
                <c:pt idx="35">
                  <c:v>-17.530479999999997</c:v>
                </c:pt>
                <c:pt idx="36">
                  <c:v>-17.73048</c:v>
                </c:pt>
                <c:pt idx="37">
                  <c:v>-17.810479999999998</c:v>
                </c:pt>
                <c:pt idx="38">
                  <c:v>-17.810479999999998</c:v>
                </c:pt>
              </c:numCache>
            </c:numRef>
          </c:xVal>
          <c:yVal>
            <c:numRef>
              <c:f>Plot_Data!$Z$5:$Z$43</c:f>
              <c:numCache>
                <c:formatCode>0.000</c:formatCode>
                <c:ptCount val="39"/>
                <c:pt idx="0">
                  <c:v>0</c:v>
                </c:pt>
                <c:pt idx="1">
                  <c:v>0.39618907264429987</c:v>
                </c:pt>
                <c:pt idx="2">
                  <c:v>0.73178343534473222</c:v>
                </c:pt>
                <c:pt idx="3">
                  <c:v>1.048784822394917</c:v>
                </c:pt>
                <c:pt idx="4">
                  <c:v>1.4218048394096672</c:v>
                </c:pt>
                <c:pt idx="5">
                  <c:v>1.662750189610104</c:v>
                </c:pt>
                <c:pt idx="6">
                  <c:v>1.824712903095991</c:v>
                </c:pt>
                <c:pt idx="7">
                  <c:v>1.9507001464602394</c:v>
                </c:pt>
                <c:pt idx="8">
                  <c:v>1.9909249999999998</c:v>
                </c:pt>
                <c:pt idx="9">
                  <c:v>1.9909249999999998</c:v>
                </c:pt>
                <c:pt idx="10">
                  <c:v>1.9909249999999998</c:v>
                </c:pt>
                <c:pt idx="11">
                  <c:v>1.9909249999999998</c:v>
                </c:pt>
                <c:pt idx="12">
                  <c:v>1.8421752621635212</c:v>
                </c:pt>
                <c:pt idx="13">
                  <c:v>1.6246601825521971</c:v>
                </c:pt>
                <c:pt idx="14">
                  <c:v>1.370464926274489</c:v>
                </c:pt>
                <c:pt idx="15">
                  <c:v>1.0890752323886836</c:v>
                </c:pt>
                <c:pt idx="16">
                  <c:v>0.78556378059496024</c:v>
                </c:pt>
                <c:pt idx="17">
                  <c:v>0.46317309305852405</c:v>
                </c:pt>
                <c:pt idx="18">
                  <c:v>0.23891099999999998</c:v>
                </c:pt>
                <c:pt idx="19">
                  <c:v>-0.23891099999999998</c:v>
                </c:pt>
                <c:pt idx="20">
                  <c:v>-0.46317309305852405</c:v>
                </c:pt>
                <c:pt idx="21">
                  <c:v>-0.78556378059496024</c:v>
                </c:pt>
                <c:pt idx="22">
                  <c:v>-1.0890752323886836</c:v>
                </c:pt>
                <c:pt idx="23">
                  <c:v>-1.370464926274489</c:v>
                </c:pt>
                <c:pt idx="24">
                  <c:v>-1.6246601825521971</c:v>
                </c:pt>
                <c:pt idx="25">
                  <c:v>-1.8421752621635212</c:v>
                </c:pt>
                <c:pt idx="26">
                  <c:v>-1.9909249999999998</c:v>
                </c:pt>
                <c:pt idx="27">
                  <c:v>-1.9909249999999998</c:v>
                </c:pt>
                <c:pt idx="28">
                  <c:v>-1.9909249999999998</c:v>
                </c:pt>
                <c:pt idx="29">
                  <c:v>-1.9909249999999998</c:v>
                </c:pt>
                <c:pt idx="30">
                  <c:v>-1.9507001464602394</c:v>
                </c:pt>
                <c:pt idx="31">
                  <c:v>-1.824712903095991</c:v>
                </c:pt>
                <c:pt idx="32">
                  <c:v>-1.662750189610104</c:v>
                </c:pt>
                <c:pt idx="33">
                  <c:v>-1.4218048394096672</c:v>
                </c:pt>
                <c:pt idx="34">
                  <c:v>-1.048784822394917</c:v>
                </c:pt>
                <c:pt idx="35">
                  <c:v>-0.73178343534473222</c:v>
                </c:pt>
                <c:pt idx="36">
                  <c:v>-0.39618907264429987</c:v>
                </c:pt>
                <c:pt idx="37">
                  <c:v>0</c:v>
                </c:pt>
                <c:pt idx="3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A75-400C-BF36-0602607CE2C5}"/>
            </c:ext>
          </c:extLst>
        </c:ser>
        <c:ser>
          <c:idx val="2"/>
          <c:order val="2"/>
          <c:tx>
            <c:strRef>
              <c:f>Plot_Data!$BK$6</c:f>
              <c:strCache>
                <c:ptCount val="1"/>
                <c:pt idx="0">
                  <c:v>Wing: S = 132.0 m2, b = 35.4 m, c/4 sweep 26 deg</c:v>
                </c:pt>
              </c:strCache>
            </c:strRef>
          </c:tx>
          <c:spPr>
            <a:ln w="22000">
              <a:solidFill>
                <a:srgbClr val="0070C0"/>
              </a:solidFill>
              <a:prstDash val="solid"/>
            </a:ln>
          </c:spPr>
          <c:marker>
            <c:symbol val="none"/>
          </c:marker>
          <c:xVal>
            <c:numRef>
              <c:f>Plot_Data!$AC$5:$AC$11</c:f>
              <c:numCache>
                <c:formatCode>0.000</c:formatCode>
                <c:ptCount val="7"/>
                <c:pt idx="0">
                  <c:v>-7.304846666540648</c:v>
                </c:pt>
                <c:pt idx="1">
                  <c:v>2.5154720114824372</c:v>
                </c:pt>
                <c:pt idx="2">
                  <c:v>4.0062695138737334</c:v>
                </c:pt>
                <c:pt idx="3">
                  <c:v>-1.3416566569754629</c:v>
                </c:pt>
                <c:pt idx="4">
                  <c:v>4.0062695138737334</c:v>
                </c:pt>
                <c:pt idx="5">
                  <c:v>2.5154720114824372</c:v>
                </c:pt>
                <c:pt idx="6">
                  <c:v>-7.304846666540648</c:v>
                </c:pt>
              </c:numCache>
            </c:numRef>
          </c:xVal>
          <c:yVal>
            <c:numRef>
              <c:f>Plot_Data!$AD$5:$AD$11</c:f>
              <c:numCache>
                <c:formatCode>0.000</c:formatCode>
                <c:ptCount val="7"/>
                <c:pt idx="0">
                  <c:v>0</c:v>
                </c:pt>
                <c:pt idx="1">
                  <c:v>17.703220340896646</c:v>
                </c:pt>
                <c:pt idx="2">
                  <c:v>17.703220340896646</c:v>
                </c:pt>
                <c:pt idx="3">
                  <c:v>0</c:v>
                </c:pt>
                <c:pt idx="4">
                  <c:v>-17.703220340896646</c:v>
                </c:pt>
                <c:pt idx="5">
                  <c:v>-17.703220340896646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A75-400C-BF36-0602607CE2C5}"/>
            </c:ext>
          </c:extLst>
        </c:ser>
        <c:ser>
          <c:idx val="3"/>
          <c:order val="3"/>
          <c:tx>
            <c:strRef>
              <c:f>Plot_Data!$BK$7</c:f>
              <c:strCache>
                <c:ptCount val="1"/>
                <c:pt idx="0">
                  <c:v>Horizontal tail: S = 34.4 m2, b = 12.4 m</c:v>
                </c:pt>
              </c:strCache>
            </c:strRef>
          </c:tx>
          <c:spPr>
            <a:ln w="22000">
              <a:solidFill>
                <a:srgbClr val="008080"/>
              </a:solidFill>
              <a:prstDash val="solid"/>
            </a:ln>
          </c:spPr>
          <c:marker>
            <c:symbol val="none"/>
          </c:marker>
          <c:xVal>
            <c:numRef>
              <c:f>Plot_Data!$AC$13:$AC$19</c:f>
              <c:numCache>
                <c:formatCode>0.000</c:formatCode>
                <c:ptCount val="7"/>
                <c:pt idx="0">
                  <c:v>11.164541131575625</c:v>
                </c:pt>
                <c:pt idx="1">
                  <c:v>15.36123581003578</c:v>
                </c:pt>
                <c:pt idx="2">
                  <c:v>16.940320560185818</c:v>
                </c:pt>
                <c:pt idx="3">
                  <c:v>15.112253006950716</c:v>
                </c:pt>
                <c:pt idx="4">
                  <c:v>16.940320560185818</c:v>
                </c:pt>
                <c:pt idx="5">
                  <c:v>15.36123581003578</c:v>
                </c:pt>
                <c:pt idx="6">
                  <c:v>11.164541131575625</c:v>
                </c:pt>
              </c:numCache>
            </c:numRef>
          </c:xVal>
          <c:yVal>
            <c:numRef>
              <c:f>Plot_Data!$AD$13:$AD$19</c:f>
              <c:numCache>
                <c:formatCode>0.000</c:formatCode>
                <c:ptCount val="7"/>
                <c:pt idx="0">
                  <c:v>0</c:v>
                </c:pt>
                <c:pt idx="1">
                  <c:v>6.2176462037157743</c:v>
                </c:pt>
                <c:pt idx="2">
                  <c:v>6.2176462037157743</c:v>
                </c:pt>
                <c:pt idx="3">
                  <c:v>0</c:v>
                </c:pt>
                <c:pt idx="4">
                  <c:v>-6.2176462037157743</c:v>
                </c:pt>
                <c:pt idx="5">
                  <c:v>-6.2176462037157743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A75-400C-BF36-0602607CE2C5}"/>
            </c:ext>
          </c:extLst>
        </c:ser>
        <c:ser>
          <c:idx val="4"/>
          <c:order val="4"/>
          <c:tx>
            <c:strRef>
              <c:f>Plot_Data!$BK$9</c:f>
              <c:strCache>
                <c:ptCount val="1"/>
                <c:pt idx="0">
                  <c:v>2 engines: 95 kN each, nacelle 4.3 x 2.2 m</c:v>
                </c:pt>
              </c:strCache>
            </c:strRef>
          </c:tx>
          <c:spPr>
            <a:ln w="22000">
              <a:solidFill>
                <a:srgbClr val="C00000"/>
              </a:solidFill>
              <a:prstDash val="solid"/>
            </a:ln>
          </c:spPr>
          <c:marker>
            <c:symbol val="none"/>
          </c:marker>
          <c:xVal>
            <c:numRef>
              <c:f>Plot_Data!$AL$5:$AL$9</c:f>
              <c:numCache>
                <c:formatCode>0.000</c:formatCode>
                <c:ptCount val="5"/>
                <c:pt idx="0">
                  <c:v>-7.4249768198019375</c:v>
                </c:pt>
                <c:pt idx="1">
                  <c:v>-3.1011786900655132</c:v>
                </c:pt>
                <c:pt idx="2">
                  <c:v>-3.1011786900655132</c:v>
                </c:pt>
                <c:pt idx="3">
                  <c:v>-7.4249768198019375</c:v>
                </c:pt>
                <c:pt idx="4">
                  <c:v>-7.4249768198019375</c:v>
                </c:pt>
              </c:numCache>
            </c:numRef>
          </c:xVal>
          <c:yVal>
            <c:numRef>
              <c:f>Plot_Data!$AM$5:$AM$9</c:f>
              <c:numCache>
                <c:formatCode>0.000</c:formatCode>
                <c:ptCount val="5"/>
                <c:pt idx="0">
                  <c:v>4.9027995806615046</c:v>
                </c:pt>
                <c:pt idx="1">
                  <c:v>4.9027995806615046</c:v>
                </c:pt>
                <c:pt idx="2">
                  <c:v>7.1353902511482161</c:v>
                </c:pt>
                <c:pt idx="3">
                  <c:v>7.1353902511482161</c:v>
                </c:pt>
                <c:pt idx="4">
                  <c:v>4.9027995806615046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A75-400C-BF36-0602607CE2C5}"/>
            </c:ext>
          </c:extLst>
        </c:ser>
        <c:ser>
          <c:idx val="5"/>
          <c:order val="5"/>
          <c:spPr>
            <a:ln w="22000">
              <a:solidFill>
                <a:srgbClr val="C00000"/>
              </a:solidFill>
              <a:prstDash val="solid"/>
            </a:ln>
          </c:spPr>
          <c:marker>
            <c:symbol val="none"/>
          </c:marker>
          <c:xVal>
            <c:numRef>
              <c:f>Plot_Data!$AL$11:$AL$15</c:f>
              <c:numCache>
                <c:formatCode>0.000</c:formatCode>
                <c:ptCount val="5"/>
                <c:pt idx="0">
                  <c:v>-7.4249768198019375</c:v>
                </c:pt>
                <c:pt idx="1">
                  <c:v>-3.1011786900655132</c:v>
                </c:pt>
                <c:pt idx="2">
                  <c:v>-3.1011786900655132</c:v>
                </c:pt>
                <c:pt idx="3">
                  <c:v>-7.4249768198019375</c:v>
                </c:pt>
                <c:pt idx="4">
                  <c:v>-7.4249768198019375</c:v>
                </c:pt>
              </c:numCache>
            </c:numRef>
          </c:xVal>
          <c:yVal>
            <c:numRef>
              <c:f>Plot_Data!$AM$11:$AM$15</c:f>
              <c:numCache>
                <c:formatCode>0.000</c:formatCode>
                <c:ptCount val="5"/>
                <c:pt idx="0">
                  <c:v>-7.1353902511482161</c:v>
                </c:pt>
                <c:pt idx="1">
                  <c:v>-7.1353902511482161</c:v>
                </c:pt>
                <c:pt idx="2">
                  <c:v>-4.9027995806615046</c:v>
                </c:pt>
                <c:pt idx="3">
                  <c:v>-4.9027995806615046</c:v>
                </c:pt>
                <c:pt idx="4">
                  <c:v>-7.1353902511482161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A75-400C-BF36-0602607CE2C5}"/>
            </c:ext>
          </c:extLst>
        </c:ser>
        <c:ser>
          <c:idx val="6"/>
          <c:order val="6"/>
          <c:spPr>
            <a:ln w="22000">
              <a:solidFill>
                <a:srgbClr val="C00000"/>
              </a:solidFill>
              <a:prstDash val="solid"/>
            </a:ln>
          </c:spPr>
          <c:marker>
            <c:symbol val="none"/>
          </c:marker>
          <c:xVal>
            <c:numRef>
              <c:f>Plot_Data!$AL$17:$AL$21</c:f>
              <c:numCache>
                <c:formatCode>0.000</c:formatCode>
                <c:ptCount val="5"/>
                <c:pt idx="0">
                  <c:v>-7.4249768198019375</c:v>
                </c:pt>
                <c:pt idx="1">
                  <c:v>-3.1011786900655132</c:v>
                </c:pt>
                <c:pt idx="2">
                  <c:v>-3.1011786900655132</c:v>
                </c:pt>
                <c:pt idx="3">
                  <c:v>-7.4249768198019375</c:v>
                </c:pt>
                <c:pt idx="4">
                  <c:v>-7.4249768198019375</c:v>
                </c:pt>
              </c:numCache>
            </c:numRef>
          </c:xVal>
          <c:yVal>
            <c:numRef>
              <c:f>Plot_Data!$AM$17:$AM$21</c:f>
              <c:numCache>
                <c:formatCode>0.000</c:formatCode>
                <c:ptCount val="5"/>
                <c:pt idx="0">
                  <c:v>4.9027995806615046</c:v>
                </c:pt>
                <c:pt idx="1">
                  <c:v>4.9027995806615046</c:v>
                </c:pt>
                <c:pt idx="2">
                  <c:v>7.1353902511482161</c:v>
                </c:pt>
                <c:pt idx="3">
                  <c:v>7.1353902511482161</c:v>
                </c:pt>
                <c:pt idx="4">
                  <c:v>4.9027995806615046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A75-400C-BF36-0602607CE2C5}"/>
            </c:ext>
          </c:extLst>
        </c:ser>
        <c:ser>
          <c:idx val="7"/>
          <c:order val="7"/>
          <c:spPr>
            <a:ln w="22000">
              <a:solidFill>
                <a:srgbClr val="C00000"/>
              </a:solidFill>
              <a:prstDash val="solid"/>
            </a:ln>
          </c:spPr>
          <c:marker>
            <c:symbol val="none"/>
          </c:marker>
          <c:xVal>
            <c:numRef>
              <c:f>Plot_Data!$AL$23:$AL$27</c:f>
              <c:numCache>
                <c:formatCode>0.000</c:formatCode>
                <c:ptCount val="5"/>
                <c:pt idx="0">
                  <c:v>-7.4249768198019375</c:v>
                </c:pt>
                <c:pt idx="1">
                  <c:v>-3.1011786900655132</c:v>
                </c:pt>
                <c:pt idx="2">
                  <c:v>-3.1011786900655132</c:v>
                </c:pt>
                <c:pt idx="3">
                  <c:v>-7.4249768198019375</c:v>
                </c:pt>
                <c:pt idx="4">
                  <c:v>-7.4249768198019375</c:v>
                </c:pt>
              </c:numCache>
            </c:numRef>
          </c:xVal>
          <c:yVal>
            <c:numRef>
              <c:f>Plot_Data!$AM$23:$AM$27</c:f>
              <c:numCache>
                <c:formatCode>0.000</c:formatCode>
                <c:ptCount val="5"/>
                <c:pt idx="0">
                  <c:v>-7.1353902511482161</c:v>
                </c:pt>
                <c:pt idx="1">
                  <c:v>-7.1353902511482161</c:v>
                </c:pt>
                <c:pt idx="2">
                  <c:v>-4.9027995806615046</c:v>
                </c:pt>
                <c:pt idx="3">
                  <c:v>-4.9027995806615046</c:v>
                </c:pt>
                <c:pt idx="4">
                  <c:v>-7.1353902511482161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A75-400C-BF36-0602607CE2C5}"/>
            </c:ext>
          </c:extLst>
        </c:ser>
        <c:ser>
          <c:idx val="8"/>
          <c:order val="8"/>
          <c:tx>
            <c:strRef>
              <c:f>Plot_Data!$BK$12</c:f>
              <c:strCache>
                <c:ptCount val="1"/>
                <c:pt idx="0">
                  <c:v>Economy: 150 seats: 6 abreast x 25 rows, seat 0.53 m wide, pitch 0.81 m</c:v>
                </c:pt>
              </c:strCache>
            </c:strRef>
          </c:tx>
          <c:spPr>
            <a:ln w="5000">
              <a:solidFill>
                <a:srgbClr val="ED7D31"/>
              </a:solidFill>
              <a:prstDash val="solid"/>
            </a:ln>
          </c:spPr>
          <c:marker>
            <c:symbol val="none"/>
          </c:marker>
          <c:xVal>
            <c:numRef>
              <c:f>Plot_Data!$BO$5:$BO$4822</c:f>
              <c:numCache>
                <c:formatCode>0.000</c:formatCode>
                <c:ptCount val="4818"/>
                <c:pt idx="0">
                  <c:v>-11.148479999999999</c:v>
                </c:pt>
                <c:pt idx="1">
                  <c:v>-11.148479999999999</c:v>
                </c:pt>
                <c:pt idx="2">
                  <c:v>-11.310479999999998</c:v>
                </c:pt>
                <c:pt idx="3">
                  <c:v>-10.500479999999998</c:v>
                </c:pt>
                <c:pt idx="4">
                  <c:v>-10.662479999999999</c:v>
                </c:pt>
                <c:pt idx="5">
                  <c:v>-10.662479999999999</c:v>
                </c:pt>
                <c:pt idx="6">
                  <c:v>-11.148479999999999</c:v>
                </c:pt>
                <c:pt idx="7">
                  <c:v>-10.500479999999998</c:v>
                </c:pt>
                <c:pt idx="8">
                  <c:v>-10.338479999999997</c:v>
                </c:pt>
                <c:pt idx="9">
                  <c:v>-10.338479999999997</c:v>
                </c:pt>
                <c:pt idx="10">
                  <c:v>-10.500479999999998</c:v>
                </c:pt>
                <c:pt idx="11">
                  <c:v>-9.6904799999999973</c:v>
                </c:pt>
                <c:pt idx="12">
                  <c:v>-9.8524799999999981</c:v>
                </c:pt>
                <c:pt idx="13">
                  <c:v>-9.8524799999999981</c:v>
                </c:pt>
                <c:pt idx="14">
                  <c:v>-10.338479999999997</c:v>
                </c:pt>
                <c:pt idx="15">
                  <c:v>-9.6904799999999973</c:v>
                </c:pt>
                <c:pt idx="16">
                  <c:v>-9.5284799999999965</c:v>
                </c:pt>
                <c:pt idx="17">
                  <c:v>-9.5284799999999965</c:v>
                </c:pt>
                <c:pt idx="18">
                  <c:v>-9.6904799999999973</c:v>
                </c:pt>
                <c:pt idx="19">
                  <c:v>-8.8804799999999968</c:v>
                </c:pt>
                <c:pt idx="20">
                  <c:v>-9.0424799999999976</c:v>
                </c:pt>
                <c:pt idx="21">
                  <c:v>-9.0424799999999976</c:v>
                </c:pt>
                <c:pt idx="22">
                  <c:v>-9.5284799999999965</c:v>
                </c:pt>
                <c:pt idx="23">
                  <c:v>-8.8804799999999968</c:v>
                </c:pt>
                <c:pt idx="24">
                  <c:v>-8.7184799999999978</c:v>
                </c:pt>
                <c:pt idx="25">
                  <c:v>-8.7184799999999978</c:v>
                </c:pt>
                <c:pt idx="26">
                  <c:v>-8.8804799999999986</c:v>
                </c:pt>
                <c:pt idx="27">
                  <c:v>-8.0704799999999981</c:v>
                </c:pt>
                <c:pt idx="28">
                  <c:v>-8.2324799999999989</c:v>
                </c:pt>
                <c:pt idx="29">
                  <c:v>-8.2324799999999989</c:v>
                </c:pt>
                <c:pt idx="30">
                  <c:v>-8.7184799999999978</c:v>
                </c:pt>
                <c:pt idx="31">
                  <c:v>-8.0704799999999981</c:v>
                </c:pt>
                <c:pt idx="32">
                  <c:v>-7.9084799999999973</c:v>
                </c:pt>
                <c:pt idx="33">
                  <c:v>-7.9084799999999973</c:v>
                </c:pt>
                <c:pt idx="34">
                  <c:v>-8.0704799999999981</c:v>
                </c:pt>
                <c:pt idx="35">
                  <c:v>-7.2604799999999976</c:v>
                </c:pt>
                <c:pt idx="36">
                  <c:v>-7.4224799999999984</c:v>
                </c:pt>
                <c:pt idx="37">
                  <c:v>-7.4224799999999984</c:v>
                </c:pt>
                <c:pt idx="38">
                  <c:v>-7.9084799999999973</c:v>
                </c:pt>
                <c:pt idx="39">
                  <c:v>-7.2604799999999976</c:v>
                </c:pt>
                <c:pt idx="40">
                  <c:v>-7.0984799999999968</c:v>
                </c:pt>
                <c:pt idx="41">
                  <c:v>-7.0984799999999968</c:v>
                </c:pt>
                <c:pt idx="42">
                  <c:v>-7.2604799999999976</c:v>
                </c:pt>
                <c:pt idx="43">
                  <c:v>-6.4504799999999971</c:v>
                </c:pt>
                <c:pt idx="44">
                  <c:v>-6.6124799999999979</c:v>
                </c:pt>
                <c:pt idx="45">
                  <c:v>-6.6124799999999979</c:v>
                </c:pt>
                <c:pt idx="46">
                  <c:v>-7.0984799999999968</c:v>
                </c:pt>
                <c:pt idx="47">
                  <c:v>-6.4504799999999971</c:v>
                </c:pt>
                <c:pt idx="48">
                  <c:v>-6.2884799999999981</c:v>
                </c:pt>
                <c:pt idx="49">
                  <c:v>-6.2884799999999981</c:v>
                </c:pt>
                <c:pt idx="50">
                  <c:v>-6.4504799999999989</c:v>
                </c:pt>
                <c:pt idx="51">
                  <c:v>-5.6404799999999984</c:v>
                </c:pt>
                <c:pt idx="52">
                  <c:v>-5.8024799999999992</c:v>
                </c:pt>
                <c:pt idx="53">
                  <c:v>-5.8024799999999992</c:v>
                </c:pt>
                <c:pt idx="54">
                  <c:v>-6.2884799999999981</c:v>
                </c:pt>
                <c:pt idx="55">
                  <c:v>-5.6404799999999984</c:v>
                </c:pt>
                <c:pt idx="56">
                  <c:v>-5.4784799999999976</c:v>
                </c:pt>
                <c:pt idx="57">
                  <c:v>-5.4784799999999976</c:v>
                </c:pt>
                <c:pt idx="58">
                  <c:v>-5.6404799999999984</c:v>
                </c:pt>
                <c:pt idx="59">
                  <c:v>-4.8304799999999979</c:v>
                </c:pt>
                <c:pt idx="60">
                  <c:v>-4.9924799999999987</c:v>
                </c:pt>
                <c:pt idx="61">
                  <c:v>-4.9924799999999987</c:v>
                </c:pt>
                <c:pt idx="62">
                  <c:v>-5.4784799999999976</c:v>
                </c:pt>
                <c:pt idx="63">
                  <c:v>-4.8304799999999979</c:v>
                </c:pt>
                <c:pt idx="64">
                  <c:v>-4.6684799999999971</c:v>
                </c:pt>
                <c:pt idx="65">
                  <c:v>-4.6684799999999971</c:v>
                </c:pt>
                <c:pt idx="66">
                  <c:v>-4.8304799999999979</c:v>
                </c:pt>
                <c:pt idx="67">
                  <c:v>-4.0204799999999974</c:v>
                </c:pt>
                <c:pt idx="68">
                  <c:v>-4.1824799999999982</c:v>
                </c:pt>
                <c:pt idx="69">
                  <c:v>-4.1824799999999982</c:v>
                </c:pt>
                <c:pt idx="70">
                  <c:v>-4.6684799999999971</c:v>
                </c:pt>
                <c:pt idx="71">
                  <c:v>-4.0204799999999974</c:v>
                </c:pt>
                <c:pt idx="72">
                  <c:v>-3.8584799999999966</c:v>
                </c:pt>
                <c:pt idx="73">
                  <c:v>-3.8584799999999966</c:v>
                </c:pt>
                <c:pt idx="74">
                  <c:v>-4.0204799999999974</c:v>
                </c:pt>
                <c:pt idx="75">
                  <c:v>-3.2104799999999969</c:v>
                </c:pt>
                <c:pt idx="76">
                  <c:v>-3.3724799999999977</c:v>
                </c:pt>
                <c:pt idx="77">
                  <c:v>-3.3724799999999977</c:v>
                </c:pt>
                <c:pt idx="78">
                  <c:v>-3.8584799999999966</c:v>
                </c:pt>
                <c:pt idx="79">
                  <c:v>-3.2104799999999969</c:v>
                </c:pt>
                <c:pt idx="80">
                  <c:v>-3.0484799999999961</c:v>
                </c:pt>
                <c:pt idx="81">
                  <c:v>-3.0484799999999961</c:v>
                </c:pt>
                <c:pt idx="82">
                  <c:v>-3.2104799999999969</c:v>
                </c:pt>
                <c:pt idx="83">
                  <c:v>-2.4004799999999964</c:v>
                </c:pt>
                <c:pt idx="84">
                  <c:v>-2.5624799999999972</c:v>
                </c:pt>
                <c:pt idx="85">
                  <c:v>-2.5624799999999972</c:v>
                </c:pt>
                <c:pt idx="86">
                  <c:v>-3.0484799999999961</c:v>
                </c:pt>
                <c:pt idx="87">
                  <c:v>-2.4004799999999964</c:v>
                </c:pt>
                <c:pt idx="88">
                  <c:v>-2.2384799999999974</c:v>
                </c:pt>
                <c:pt idx="89">
                  <c:v>-2.2384799999999974</c:v>
                </c:pt>
                <c:pt idx="90">
                  <c:v>-2.4004799999999982</c:v>
                </c:pt>
                <c:pt idx="91">
                  <c:v>-1.5904799999999994</c:v>
                </c:pt>
                <c:pt idx="92">
                  <c:v>-1.7524799999999985</c:v>
                </c:pt>
                <c:pt idx="93">
                  <c:v>-1.7524799999999985</c:v>
                </c:pt>
                <c:pt idx="94">
                  <c:v>-2.2384799999999974</c:v>
                </c:pt>
                <c:pt idx="95">
                  <c:v>-1.5904799999999994</c:v>
                </c:pt>
                <c:pt idx="96">
                  <c:v>-1.4284800000000004</c:v>
                </c:pt>
                <c:pt idx="97">
                  <c:v>-1.4284800000000004</c:v>
                </c:pt>
                <c:pt idx="98">
                  <c:v>-1.5904799999999994</c:v>
                </c:pt>
                <c:pt idx="99">
                  <c:v>-0.78048000000000073</c:v>
                </c:pt>
                <c:pt idx="100">
                  <c:v>-0.94247999999999976</c:v>
                </c:pt>
                <c:pt idx="101">
                  <c:v>-0.94247999999999976</c:v>
                </c:pt>
                <c:pt idx="102">
                  <c:v>-1.4284800000000004</c:v>
                </c:pt>
                <c:pt idx="103">
                  <c:v>-0.78048000000000073</c:v>
                </c:pt>
                <c:pt idx="104">
                  <c:v>-0.61847999999999814</c:v>
                </c:pt>
                <c:pt idx="105">
                  <c:v>-0.61847999999999814</c:v>
                </c:pt>
                <c:pt idx="106">
                  <c:v>-0.78047999999999718</c:v>
                </c:pt>
                <c:pt idx="107">
                  <c:v>2.9520000000001545E-2</c:v>
                </c:pt>
                <c:pt idx="108">
                  <c:v>-0.13247999999999749</c:v>
                </c:pt>
                <c:pt idx="109">
                  <c:v>-0.13247999999999749</c:v>
                </c:pt>
                <c:pt idx="110">
                  <c:v>-0.61847999999999814</c:v>
                </c:pt>
                <c:pt idx="111">
                  <c:v>2.9520000000001545E-2</c:v>
                </c:pt>
                <c:pt idx="112">
                  <c:v>0.19152000000000058</c:v>
                </c:pt>
                <c:pt idx="113">
                  <c:v>0.19152000000000058</c:v>
                </c:pt>
                <c:pt idx="114">
                  <c:v>2.9520000000001545E-2</c:v>
                </c:pt>
                <c:pt idx="115">
                  <c:v>0.83952000000000027</c:v>
                </c:pt>
                <c:pt idx="116">
                  <c:v>0.67752000000000123</c:v>
                </c:pt>
                <c:pt idx="117">
                  <c:v>0.67752000000000123</c:v>
                </c:pt>
                <c:pt idx="118">
                  <c:v>0.19152000000000058</c:v>
                </c:pt>
                <c:pt idx="119">
                  <c:v>0.83952000000000027</c:v>
                </c:pt>
                <c:pt idx="120">
                  <c:v>1.0015199999999993</c:v>
                </c:pt>
                <c:pt idx="121">
                  <c:v>1.0015199999999993</c:v>
                </c:pt>
                <c:pt idx="122">
                  <c:v>0.83952000000000027</c:v>
                </c:pt>
                <c:pt idx="123">
                  <c:v>1.649519999999999</c:v>
                </c:pt>
                <c:pt idx="124">
                  <c:v>1.48752</c:v>
                </c:pt>
                <c:pt idx="125">
                  <c:v>1.48752</c:v>
                </c:pt>
                <c:pt idx="126">
                  <c:v>1.0015199999999993</c:v>
                </c:pt>
                <c:pt idx="127">
                  <c:v>1.649519999999999</c:v>
                </c:pt>
                <c:pt idx="128">
                  <c:v>1.8115200000000016</c:v>
                </c:pt>
                <c:pt idx="129">
                  <c:v>1.8115200000000016</c:v>
                </c:pt>
                <c:pt idx="130">
                  <c:v>1.6495200000000025</c:v>
                </c:pt>
                <c:pt idx="131">
                  <c:v>2.4595200000000013</c:v>
                </c:pt>
                <c:pt idx="132">
                  <c:v>2.2975200000000022</c:v>
                </c:pt>
                <c:pt idx="133">
                  <c:v>2.2975200000000022</c:v>
                </c:pt>
                <c:pt idx="134">
                  <c:v>1.8115200000000016</c:v>
                </c:pt>
                <c:pt idx="135">
                  <c:v>2.4595200000000013</c:v>
                </c:pt>
                <c:pt idx="136">
                  <c:v>2.6215200000000038</c:v>
                </c:pt>
                <c:pt idx="137">
                  <c:v>2.6215200000000038</c:v>
                </c:pt>
                <c:pt idx="138">
                  <c:v>2.4595200000000048</c:v>
                </c:pt>
                <c:pt idx="139">
                  <c:v>3.2695200000000035</c:v>
                </c:pt>
                <c:pt idx="140">
                  <c:v>3.1075200000000045</c:v>
                </c:pt>
                <c:pt idx="141">
                  <c:v>3.1075200000000045</c:v>
                </c:pt>
                <c:pt idx="142">
                  <c:v>2.6215200000000038</c:v>
                </c:pt>
                <c:pt idx="143">
                  <c:v>3.2695200000000035</c:v>
                </c:pt>
                <c:pt idx="144">
                  <c:v>3.4315200000000026</c:v>
                </c:pt>
                <c:pt idx="145">
                  <c:v>3.4315200000000026</c:v>
                </c:pt>
                <c:pt idx="146">
                  <c:v>3.2695200000000035</c:v>
                </c:pt>
                <c:pt idx="147">
                  <c:v>4.0795200000000023</c:v>
                </c:pt>
                <c:pt idx="148">
                  <c:v>3.9175200000000032</c:v>
                </c:pt>
                <c:pt idx="149">
                  <c:v>3.9175200000000032</c:v>
                </c:pt>
                <c:pt idx="150">
                  <c:v>3.4315200000000026</c:v>
                </c:pt>
                <c:pt idx="151">
                  <c:v>4.0795200000000023</c:v>
                </c:pt>
                <c:pt idx="152">
                  <c:v>4.2415200000000013</c:v>
                </c:pt>
                <c:pt idx="153">
                  <c:v>4.2415200000000013</c:v>
                </c:pt>
                <c:pt idx="154">
                  <c:v>4.0795200000000023</c:v>
                </c:pt>
                <c:pt idx="155">
                  <c:v>4.889520000000001</c:v>
                </c:pt>
                <c:pt idx="156">
                  <c:v>4.7275200000000019</c:v>
                </c:pt>
                <c:pt idx="157">
                  <c:v>4.7275200000000019</c:v>
                </c:pt>
                <c:pt idx="158">
                  <c:v>4.2415200000000013</c:v>
                </c:pt>
                <c:pt idx="159">
                  <c:v>4.889520000000001</c:v>
                </c:pt>
                <c:pt idx="160">
                  <c:v>5.0515200000000036</c:v>
                </c:pt>
                <c:pt idx="161">
                  <c:v>5.0515200000000036</c:v>
                </c:pt>
                <c:pt idx="162">
                  <c:v>4.8895200000000045</c:v>
                </c:pt>
                <c:pt idx="163">
                  <c:v>5.6995200000000033</c:v>
                </c:pt>
                <c:pt idx="164">
                  <c:v>5.5375200000000042</c:v>
                </c:pt>
                <c:pt idx="165">
                  <c:v>5.5375200000000042</c:v>
                </c:pt>
                <c:pt idx="166">
                  <c:v>5.0515200000000036</c:v>
                </c:pt>
                <c:pt idx="167">
                  <c:v>5.6995200000000033</c:v>
                </c:pt>
                <c:pt idx="168">
                  <c:v>5.8615200000000023</c:v>
                </c:pt>
                <c:pt idx="169">
                  <c:v>5.8615200000000023</c:v>
                </c:pt>
                <c:pt idx="170">
                  <c:v>5.6995200000000033</c:v>
                </c:pt>
                <c:pt idx="171">
                  <c:v>6.509520000000002</c:v>
                </c:pt>
                <c:pt idx="172">
                  <c:v>6.3475200000000029</c:v>
                </c:pt>
                <c:pt idx="173">
                  <c:v>6.3475200000000029</c:v>
                </c:pt>
                <c:pt idx="174">
                  <c:v>5.8615200000000023</c:v>
                </c:pt>
                <c:pt idx="175">
                  <c:v>6.509520000000002</c:v>
                </c:pt>
                <c:pt idx="176">
                  <c:v>6.671520000000001</c:v>
                </c:pt>
                <c:pt idx="177">
                  <c:v>6.671520000000001</c:v>
                </c:pt>
                <c:pt idx="178">
                  <c:v>6.509520000000002</c:v>
                </c:pt>
                <c:pt idx="179">
                  <c:v>7.3195200000000007</c:v>
                </c:pt>
                <c:pt idx="180">
                  <c:v>7.1575200000000017</c:v>
                </c:pt>
                <c:pt idx="181">
                  <c:v>7.1575200000000017</c:v>
                </c:pt>
                <c:pt idx="182">
                  <c:v>6.671520000000001</c:v>
                </c:pt>
                <c:pt idx="183">
                  <c:v>7.3195200000000007</c:v>
                </c:pt>
                <c:pt idx="184">
                  <c:v>7.4815200000000033</c:v>
                </c:pt>
                <c:pt idx="185">
                  <c:v>7.4815200000000033</c:v>
                </c:pt>
                <c:pt idx="186">
                  <c:v>7.3195200000000042</c:v>
                </c:pt>
                <c:pt idx="187">
                  <c:v>8.129520000000003</c:v>
                </c:pt>
                <c:pt idx="188">
                  <c:v>7.9675200000000039</c:v>
                </c:pt>
                <c:pt idx="189">
                  <c:v>7.9675200000000039</c:v>
                </c:pt>
                <c:pt idx="190">
                  <c:v>7.4815200000000033</c:v>
                </c:pt>
                <c:pt idx="191">
                  <c:v>8.129520000000003</c:v>
                </c:pt>
                <c:pt idx="192">
                  <c:v>8.291520000000002</c:v>
                </c:pt>
                <c:pt idx="193">
                  <c:v>8.291520000000002</c:v>
                </c:pt>
                <c:pt idx="194">
                  <c:v>8.129520000000003</c:v>
                </c:pt>
                <c:pt idx="195">
                  <c:v>8.9395200000000017</c:v>
                </c:pt>
                <c:pt idx="196">
                  <c:v>8.7775200000000027</c:v>
                </c:pt>
                <c:pt idx="197">
                  <c:v>8.7775200000000027</c:v>
                </c:pt>
                <c:pt idx="198">
                  <c:v>8.291520000000002</c:v>
                </c:pt>
                <c:pt idx="199">
                  <c:v>8.9395200000000017</c:v>
                </c:pt>
                <c:pt idx="200">
                  <c:v>8.291520000000002</c:v>
                </c:pt>
                <c:pt idx="201">
                  <c:v>8.291520000000002</c:v>
                </c:pt>
                <c:pt idx="202">
                  <c:v>8.129520000000003</c:v>
                </c:pt>
                <c:pt idx="203">
                  <c:v>8.9395200000000017</c:v>
                </c:pt>
                <c:pt idx="204">
                  <c:v>8.7775200000000027</c:v>
                </c:pt>
                <c:pt idx="205">
                  <c:v>8.7775200000000027</c:v>
                </c:pt>
                <c:pt idx="206">
                  <c:v>8.291520000000002</c:v>
                </c:pt>
                <c:pt idx="207">
                  <c:v>8.9395200000000017</c:v>
                </c:pt>
                <c:pt idx="208">
                  <c:v>8.291520000000002</c:v>
                </c:pt>
                <c:pt idx="209">
                  <c:v>8.291520000000002</c:v>
                </c:pt>
                <c:pt idx="210">
                  <c:v>8.129520000000003</c:v>
                </c:pt>
                <c:pt idx="211">
                  <c:v>8.9395200000000017</c:v>
                </c:pt>
                <c:pt idx="212">
                  <c:v>8.7775200000000027</c:v>
                </c:pt>
                <c:pt idx="213">
                  <c:v>8.7775200000000027</c:v>
                </c:pt>
                <c:pt idx="214">
                  <c:v>8.291520000000002</c:v>
                </c:pt>
                <c:pt idx="215">
                  <c:v>8.9395200000000017</c:v>
                </c:pt>
                <c:pt idx="216">
                  <c:v>8.291520000000002</c:v>
                </c:pt>
                <c:pt idx="217">
                  <c:v>8.291520000000002</c:v>
                </c:pt>
                <c:pt idx="218">
                  <c:v>8.129520000000003</c:v>
                </c:pt>
                <c:pt idx="219">
                  <c:v>8.9395200000000017</c:v>
                </c:pt>
                <c:pt idx="220">
                  <c:v>8.7775200000000027</c:v>
                </c:pt>
                <c:pt idx="221">
                  <c:v>8.7775200000000027</c:v>
                </c:pt>
                <c:pt idx="222">
                  <c:v>8.291520000000002</c:v>
                </c:pt>
                <c:pt idx="223">
                  <c:v>8.9395200000000017</c:v>
                </c:pt>
                <c:pt idx="224">
                  <c:v>8.291520000000002</c:v>
                </c:pt>
                <c:pt idx="225">
                  <c:v>8.291520000000002</c:v>
                </c:pt>
                <c:pt idx="226">
                  <c:v>8.129520000000003</c:v>
                </c:pt>
                <c:pt idx="227">
                  <c:v>8.9395200000000017</c:v>
                </c:pt>
                <c:pt idx="228">
                  <c:v>8.7775200000000027</c:v>
                </c:pt>
                <c:pt idx="229">
                  <c:v>8.7775200000000027</c:v>
                </c:pt>
                <c:pt idx="230">
                  <c:v>8.291520000000002</c:v>
                </c:pt>
                <c:pt idx="231">
                  <c:v>8.9395200000000017</c:v>
                </c:pt>
                <c:pt idx="232">
                  <c:v>8.291520000000002</c:v>
                </c:pt>
                <c:pt idx="233">
                  <c:v>8.291520000000002</c:v>
                </c:pt>
                <c:pt idx="234">
                  <c:v>8.129520000000003</c:v>
                </c:pt>
                <c:pt idx="235">
                  <c:v>8.9395200000000017</c:v>
                </c:pt>
                <c:pt idx="236">
                  <c:v>8.7775200000000027</c:v>
                </c:pt>
                <c:pt idx="237">
                  <c:v>8.7775200000000027</c:v>
                </c:pt>
                <c:pt idx="238">
                  <c:v>8.291520000000002</c:v>
                </c:pt>
                <c:pt idx="239">
                  <c:v>8.9395200000000017</c:v>
                </c:pt>
                <c:pt idx="240">
                  <c:v>8.291520000000002</c:v>
                </c:pt>
                <c:pt idx="241">
                  <c:v>8.291520000000002</c:v>
                </c:pt>
                <c:pt idx="242">
                  <c:v>8.129520000000003</c:v>
                </c:pt>
                <c:pt idx="243">
                  <c:v>8.9395200000000017</c:v>
                </c:pt>
                <c:pt idx="244">
                  <c:v>8.7775200000000027</c:v>
                </c:pt>
                <c:pt idx="245">
                  <c:v>8.7775200000000027</c:v>
                </c:pt>
                <c:pt idx="246">
                  <c:v>8.291520000000002</c:v>
                </c:pt>
                <c:pt idx="247">
                  <c:v>8.9395200000000017</c:v>
                </c:pt>
                <c:pt idx="248">
                  <c:v>8.291520000000002</c:v>
                </c:pt>
                <c:pt idx="249">
                  <c:v>8.291520000000002</c:v>
                </c:pt>
                <c:pt idx="250">
                  <c:v>8.129520000000003</c:v>
                </c:pt>
                <c:pt idx="251">
                  <c:v>8.9395200000000017</c:v>
                </c:pt>
                <c:pt idx="252">
                  <c:v>8.7775200000000027</c:v>
                </c:pt>
                <c:pt idx="253">
                  <c:v>8.7775200000000027</c:v>
                </c:pt>
                <c:pt idx="254">
                  <c:v>8.291520000000002</c:v>
                </c:pt>
                <c:pt idx="255">
                  <c:v>8.9395200000000017</c:v>
                </c:pt>
                <c:pt idx="256">
                  <c:v>8.291520000000002</c:v>
                </c:pt>
                <c:pt idx="257">
                  <c:v>8.291520000000002</c:v>
                </c:pt>
                <c:pt idx="258">
                  <c:v>8.129520000000003</c:v>
                </c:pt>
                <c:pt idx="259">
                  <c:v>8.9395200000000017</c:v>
                </c:pt>
                <c:pt idx="260">
                  <c:v>8.7775200000000027</c:v>
                </c:pt>
                <c:pt idx="261">
                  <c:v>8.7775200000000027</c:v>
                </c:pt>
                <c:pt idx="262">
                  <c:v>8.291520000000002</c:v>
                </c:pt>
                <c:pt idx="263">
                  <c:v>8.9395200000000017</c:v>
                </c:pt>
                <c:pt idx="264">
                  <c:v>8.291520000000002</c:v>
                </c:pt>
                <c:pt idx="265">
                  <c:v>8.291520000000002</c:v>
                </c:pt>
                <c:pt idx="266">
                  <c:v>8.129520000000003</c:v>
                </c:pt>
                <c:pt idx="267">
                  <c:v>8.9395200000000017</c:v>
                </c:pt>
                <c:pt idx="268">
                  <c:v>8.7775200000000027</c:v>
                </c:pt>
                <c:pt idx="269">
                  <c:v>8.7775200000000027</c:v>
                </c:pt>
                <c:pt idx="270">
                  <c:v>8.291520000000002</c:v>
                </c:pt>
                <c:pt idx="271">
                  <c:v>8.9395200000000017</c:v>
                </c:pt>
                <c:pt idx="272">
                  <c:v>8.291520000000002</c:v>
                </c:pt>
                <c:pt idx="273">
                  <c:v>8.291520000000002</c:v>
                </c:pt>
                <c:pt idx="274">
                  <c:v>8.129520000000003</c:v>
                </c:pt>
                <c:pt idx="275">
                  <c:v>8.9395200000000017</c:v>
                </c:pt>
                <c:pt idx="276">
                  <c:v>8.7775200000000027</c:v>
                </c:pt>
                <c:pt idx="277">
                  <c:v>8.7775200000000027</c:v>
                </c:pt>
                <c:pt idx="278">
                  <c:v>8.291520000000002</c:v>
                </c:pt>
                <c:pt idx="279">
                  <c:v>8.9395200000000017</c:v>
                </c:pt>
                <c:pt idx="280">
                  <c:v>8.291520000000002</c:v>
                </c:pt>
                <c:pt idx="281">
                  <c:v>8.291520000000002</c:v>
                </c:pt>
                <c:pt idx="282">
                  <c:v>8.129520000000003</c:v>
                </c:pt>
                <c:pt idx="283">
                  <c:v>8.9395200000000017</c:v>
                </c:pt>
                <c:pt idx="284">
                  <c:v>8.7775200000000027</c:v>
                </c:pt>
                <c:pt idx="285">
                  <c:v>8.7775200000000027</c:v>
                </c:pt>
                <c:pt idx="286">
                  <c:v>8.291520000000002</c:v>
                </c:pt>
                <c:pt idx="287">
                  <c:v>8.9395200000000017</c:v>
                </c:pt>
                <c:pt idx="288">
                  <c:v>8.291520000000002</c:v>
                </c:pt>
                <c:pt idx="289">
                  <c:v>8.291520000000002</c:v>
                </c:pt>
                <c:pt idx="290">
                  <c:v>8.129520000000003</c:v>
                </c:pt>
                <c:pt idx="291">
                  <c:v>8.9395200000000017</c:v>
                </c:pt>
                <c:pt idx="292">
                  <c:v>8.7775200000000027</c:v>
                </c:pt>
                <c:pt idx="293">
                  <c:v>8.7775200000000027</c:v>
                </c:pt>
                <c:pt idx="294">
                  <c:v>8.291520000000002</c:v>
                </c:pt>
                <c:pt idx="295">
                  <c:v>8.9395200000000017</c:v>
                </c:pt>
                <c:pt idx="296">
                  <c:v>8.291520000000002</c:v>
                </c:pt>
                <c:pt idx="297">
                  <c:v>8.291520000000002</c:v>
                </c:pt>
                <c:pt idx="298">
                  <c:v>8.129520000000003</c:v>
                </c:pt>
                <c:pt idx="299">
                  <c:v>8.9395200000000017</c:v>
                </c:pt>
                <c:pt idx="300">
                  <c:v>8.7775200000000027</c:v>
                </c:pt>
                <c:pt idx="301">
                  <c:v>8.7775200000000027</c:v>
                </c:pt>
                <c:pt idx="302">
                  <c:v>8.291520000000002</c:v>
                </c:pt>
                <c:pt idx="303">
                  <c:v>8.9395200000000017</c:v>
                </c:pt>
                <c:pt idx="304">
                  <c:v>8.291520000000002</c:v>
                </c:pt>
                <c:pt idx="305">
                  <c:v>8.291520000000002</c:v>
                </c:pt>
                <c:pt idx="306">
                  <c:v>8.129520000000003</c:v>
                </c:pt>
                <c:pt idx="307">
                  <c:v>8.9395200000000017</c:v>
                </c:pt>
                <c:pt idx="308">
                  <c:v>8.7775200000000027</c:v>
                </c:pt>
                <c:pt idx="309">
                  <c:v>8.7775200000000027</c:v>
                </c:pt>
                <c:pt idx="310">
                  <c:v>8.291520000000002</c:v>
                </c:pt>
                <c:pt idx="311">
                  <c:v>8.9395200000000017</c:v>
                </c:pt>
                <c:pt idx="312">
                  <c:v>8.291520000000002</c:v>
                </c:pt>
                <c:pt idx="313">
                  <c:v>8.291520000000002</c:v>
                </c:pt>
                <c:pt idx="314">
                  <c:v>8.129520000000003</c:v>
                </c:pt>
                <c:pt idx="315">
                  <c:v>8.9395200000000017</c:v>
                </c:pt>
                <c:pt idx="316">
                  <c:v>8.7775200000000027</c:v>
                </c:pt>
                <c:pt idx="317">
                  <c:v>8.7775200000000027</c:v>
                </c:pt>
                <c:pt idx="318">
                  <c:v>8.291520000000002</c:v>
                </c:pt>
                <c:pt idx="319">
                  <c:v>8.9395200000000017</c:v>
                </c:pt>
                <c:pt idx="320">
                  <c:v>8.291520000000002</c:v>
                </c:pt>
                <c:pt idx="321">
                  <c:v>8.291520000000002</c:v>
                </c:pt>
                <c:pt idx="322">
                  <c:v>8.129520000000003</c:v>
                </c:pt>
                <c:pt idx="323">
                  <c:v>8.9395200000000017</c:v>
                </c:pt>
                <c:pt idx="324">
                  <c:v>8.7775200000000027</c:v>
                </c:pt>
                <c:pt idx="325">
                  <c:v>8.7775200000000027</c:v>
                </c:pt>
                <c:pt idx="326">
                  <c:v>8.291520000000002</c:v>
                </c:pt>
                <c:pt idx="327">
                  <c:v>8.9395200000000017</c:v>
                </c:pt>
                <c:pt idx="328">
                  <c:v>8.291520000000002</c:v>
                </c:pt>
                <c:pt idx="329">
                  <c:v>8.291520000000002</c:v>
                </c:pt>
                <c:pt idx="330">
                  <c:v>8.129520000000003</c:v>
                </c:pt>
                <c:pt idx="331">
                  <c:v>8.9395200000000017</c:v>
                </c:pt>
                <c:pt idx="332">
                  <c:v>8.7775200000000027</c:v>
                </c:pt>
                <c:pt idx="333">
                  <c:v>8.7775200000000027</c:v>
                </c:pt>
                <c:pt idx="334">
                  <c:v>8.291520000000002</c:v>
                </c:pt>
                <c:pt idx="335">
                  <c:v>8.9395200000000017</c:v>
                </c:pt>
                <c:pt idx="336">
                  <c:v>8.291520000000002</c:v>
                </c:pt>
                <c:pt idx="337">
                  <c:v>8.291520000000002</c:v>
                </c:pt>
                <c:pt idx="338">
                  <c:v>8.129520000000003</c:v>
                </c:pt>
                <c:pt idx="339">
                  <c:v>8.9395200000000017</c:v>
                </c:pt>
                <c:pt idx="340">
                  <c:v>8.7775200000000027</c:v>
                </c:pt>
                <c:pt idx="341">
                  <c:v>8.7775200000000027</c:v>
                </c:pt>
                <c:pt idx="342">
                  <c:v>8.291520000000002</c:v>
                </c:pt>
                <c:pt idx="343">
                  <c:v>8.9395200000000017</c:v>
                </c:pt>
                <c:pt idx="344">
                  <c:v>8.291520000000002</c:v>
                </c:pt>
                <c:pt idx="345">
                  <c:v>8.291520000000002</c:v>
                </c:pt>
                <c:pt idx="346">
                  <c:v>8.129520000000003</c:v>
                </c:pt>
                <c:pt idx="347">
                  <c:v>8.9395200000000017</c:v>
                </c:pt>
                <c:pt idx="348">
                  <c:v>8.7775200000000027</c:v>
                </c:pt>
                <c:pt idx="349">
                  <c:v>8.7775200000000027</c:v>
                </c:pt>
                <c:pt idx="350">
                  <c:v>8.291520000000002</c:v>
                </c:pt>
                <c:pt idx="351">
                  <c:v>8.9395200000000017</c:v>
                </c:pt>
                <c:pt idx="352">
                  <c:v>8.291520000000002</c:v>
                </c:pt>
                <c:pt idx="353">
                  <c:v>8.291520000000002</c:v>
                </c:pt>
                <c:pt idx="354">
                  <c:v>8.129520000000003</c:v>
                </c:pt>
                <c:pt idx="355">
                  <c:v>8.9395200000000017</c:v>
                </c:pt>
                <c:pt idx="356">
                  <c:v>8.7775200000000027</c:v>
                </c:pt>
                <c:pt idx="357">
                  <c:v>8.7775200000000027</c:v>
                </c:pt>
                <c:pt idx="358">
                  <c:v>8.291520000000002</c:v>
                </c:pt>
                <c:pt idx="359">
                  <c:v>8.9395200000000017</c:v>
                </c:pt>
                <c:pt idx="360">
                  <c:v>8.291520000000002</c:v>
                </c:pt>
                <c:pt idx="361">
                  <c:v>8.291520000000002</c:v>
                </c:pt>
                <c:pt idx="362">
                  <c:v>8.129520000000003</c:v>
                </c:pt>
                <c:pt idx="363">
                  <c:v>8.9395200000000017</c:v>
                </c:pt>
                <c:pt idx="364">
                  <c:v>8.7775200000000027</c:v>
                </c:pt>
                <c:pt idx="365">
                  <c:v>8.7775200000000027</c:v>
                </c:pt>
                <c:pt idx="366">
                  <c:v>8.291520000000002</c:v>
                </c:pt>
                <c:pt idx="367">
                  <c:v>8.9395200000000017</c:v>
                </c:pt>
                <c:pt idx="368">
                  <c:v>8.291520000000002</c:v>
                </c:pt>
                <c:pt idx="369">
                  <c:v>8.291520000000002</c:v>
                </c:pt>
                <c:pt idx="370">
                  <c:v>8.129520000000003</c:v>
                </c:pt>
                <c:pt idx="371">
                  <c:v>8.9395200000000017</c:v>
                </c:pt>
                <c:pt idx="372">
                  <c:v>8.7775200000000027</c:v>
                </c:pt>
                <c:pt idx="373">
                  <c:v>8.7775200000000027</c:v>
                </c:pt>
                <c:pt idx="374">
                  <c:v>8.291520000000002</c:v>
                </c:pt>
                <c:pt idx="375">
                  <c:v>8.9395200000000017</c:v>
                </c:pt>
                <c:pt idx="376">
                  <c:v>8.291520000000002</c:v>
                </c:pt>
                <c:pt idx="377">
                  <c:v>8.291520000000002</c:v>
                </c:pt>
                <c:pt idx="378">
                  <c:v>8.129520000000003</c:v>
                </c:pt>
                <c:pt idx="379">
                  <c:v>8.9395200000000017</c:v>
                </c:pt>
                <c:pt idx="380">
                  <c:v>8.7775200000000027</c:v>
                </c:pt>
                <c:pt idx="381">
                  <c:v>8.7775200000000027</c:v>
                </c:pt>
                <c:pt idx="382">
                  <c:v>8.291520000000002</c:v>
                </c:pt>
                <c:pt idx="383">
                  <c:v>8.9395200000000017</c:v>
                </c:pt>
                <c:pt idx="384">
                  <c:v>8.291520000000002</c:v>
                </c:pt>
                <c:pt idx="385">
                  <c:v>8.291520000000002</c:v>
                </c:pt>
                <c:pt idx="386">
                  <c:v>8.129520000000003</c:v>
                </c:pt>
                <c:pt idx="387">
                  <c:v>8.9395200000000017</c:v>
                </c:pt>
                <c:pt idx="388">
                  <c:v>8.7775200000000027</c:v>
                </c:pt>
                <c:pt idx="389">
                  <c:v>8.7775200000000027</c:v>
                </c:pt>
                <c:pt idx="390">
                  <c:v>8.291520000000002</c:v>
                </c:pt>
                <c:pt idx="391">
                  <c:v>8.9395200000000017</c:v>
                </c:pt>
                <c:pt idx="392">
                  <c:v>8.291520000000002</c:v>
                </c:pt>
                <c:pt idx="393">
                  <c:v>8.291520000000002</c:v>
                </c:pt>
                <c:pt idx="394">
                  <c:v>8.129520000000003</c:v>
                </c:pt>
                <c:pt idx="395">
                  <c:v>8.9395200000000017</c:v>
                </c:pt>
                <c:pt idx="396">
                  <c:v>8.7775200000000027</c:v>
                </c:pt>
                <c:pt idx="397">
                  <c:v>8.7775200000000027</c:v>
                </c:pt>
                <c:pt idx="398">
                  <c:v>8.291520000000002</c:v>
                </c:pt>
                <c:pt idx="399">
                  <c:v>8.9395200000000017</c:v>
                </c:pt>
                <c:pt idx="400">
                  <c:v>8.291520000000002</c:v>
                </c:pt>
                <c:pt idx="401">
                  <c:v>8.291520000000002</c:v>
                </c:pt>
                <c:pt idx="402">
                  <c:v>8.129520000000003</c:v>
                </c:pt>
                <c:pt idx="403">
                  <c:v>8.9395200000000017</c:v>
                </c:pt>
                <c:pt idx="404">
                  <c:v>8.7775200000000027</c:v>
                </c:pt>
                <c:pt idx="405">
                  <c:v>8.7775200000000027</c:v>
                </c:pt>
                <c:pt idx="406">
                  <c:v>8.291520000000002</c:v>
                </c:pt>
                <c:pt idx="407">
                  <c:v>8.9395200000000017</c:v>
                </c:pt>
                <c:pt idx="408">
                  <c:v>8.291520000000002</c:v>
                </c:pt>
                <c:pt idx="409">
                  <c:v>8.291520000000002</c:v>
                </c:pt>
                <c:pt idx="410">
                  <c:v>8.129520000000003</c:v>
                </c:pt>
                <c:pt idx="411">
                  <c:v>8.9395200000000017</c:v>
                </c:pt>
                <c:pt idx="412">
                  <c:v>8.7775200000000027</c:v>
                </c:pt>
                <c:pt idx="413">
                  <c:v>8.7775200000000027</c:v>
                </c:pt>
                <c:pt idx="414">
                  <c:v>8.291520000000002</c:v>
                </c:pt>
                <c:pt idx="415">
                  <c:v>8.9395200000000017</c:v>
                </c:pt>
                <c:pt idx="416">
                  <c:v>8.291520000000002</c:v>
                </c:pt>
                <c:pt idx="417">
                  <c:v>8.291520000000002</c:v>
                </c:pt>
                <c:pt idx="418">
                  <c:v>8.129520000000003</c:v>
                </c:pt>
                <c:pt idx="419">
                  <c:v>8.9395200000000017</c:v>
                </c:pt>
                <c:pt idx="420">
                  <c:v>8.7775200000000027</c:v>
                </c:pt>
                <c:pt idx="421">
                  <c:v>8.7775200000000027</c:v>
                </c:pt>
                <c:pt idx="422">
                  <c:v>8.291520000000002</c:v>
                </c:pt>
                <c:pt idx="423">
                  <c:v>8.9395200000000017</c:v>
                </c:pt>
                <c:pt idx="424">
                  <c:v>8.291520000000002</c:v>
                </c:pt>
                <c:pt idx="425">
                  <c:v>8.291520000000002</c:v>
                </c:pt>
                <c:pt idx="426">
                  <c:v>8.129520000000003</c:v>
                </c:pt>
                <c:pt idx="427">
                  <c:v>8.9395200000000017</c:v>
                </c:pt>
                <c:pt idx="428">
                  <c:v>8.7775200000000027</c:v>
                </c:pt>
                <c:pt idx="429">
                  <c:v>8.7775200000000027</c:v>
                </c:pt>
                <c:pt idx="430">
                  <c:v>8.291520000000002</c:v>
                </c:pt>
                <c:pt idx="431">
                  <c:v>8.9395200000000017</c:v>
                </c:pt>
                <c:pt idx="432">
                  <c:v>8.291520000000002</c:v>
                </c:pt>
                <c:pt idx="433">
                  <c:v>8.291520000000002</c:v>
                </c:pt>
                <c:pt idx="434">
                  <c:v>8.129520000000003</c:v>
                </c:pt>
                <c:pt idx="435">
                  <c:v>8.9395200000000017</c:v>
                </c:pt>
                <c:pt idx="436">
                  <c:v>8.7775200000000027</c:v>
                </c:pt>
                <c:pt idx="437">
                  <c:v>8.7775200000000027</c:v>
                </c:pt>
                <c:pt idx="438">
                  <c:v>8.291520000000002</c:v>
                </c:pt>
                <c:pt idx="439">
                  <c:v>8.9395200000000017</c:v>
                </c:pt>
                <c:pt idx="440">
                  <c:v>8.291520000000002</c:v>
                </c:pt>
                <c:pt idx="441">
                  <c:v>8.291520000000002</c:v>
                </c:pt>
                <c:pt idx="442">
                  <c:v>8.129520000000003</c:v>
                </c:pt>
                <c:pt idx="443">
                  <c:v>8.9395200000000017</c:v>
                </c:pt>
                <c:pt idx="444">
                  <c:v>8.7775200000000027</c:v>
                </c:pt>
                <c:pt idx="445">
                  <c:v>8.7775200000000027</c:v>
                </c:pt>
                <c:pt idx="446">
                  <c:v>8.291520000000002</c:v>
                </c:pt>
                <c:pt idx="447">
                  <c:v>8.9395200000000017</c:v>
                </c:pt>
                <c:pt idx="448">
                  <c:v>8.291520000000002</c:v>
                </c:pt>
                <c:pt idx="449">
                  <c:v>8.291520000000002</c:v>
                </c:pt>
                <c:pt idx="450">
                  <c:v>8.129520000000003</c:v>
                </c:pt>
                <c:pt idx="451">
                  <c:v>8.9395200000000017</c:v>
                </c:pt>
                <c:pt idx="452">
                  <c:v>8.7775200000000027</c:v>
                </c:pt>
                <c:pt idx="453">
                  <c:v>8.7775200000000027</c:v>
                </c:pt>
                <c:pt idx="454">
                  <c:v>8.291520000000002</c:v>
                </c:pt>
                <c:pt idx="455">
                  <c:v>8.9395200000000017</c:v>
                </c:pt>
                <c:pt idx="456">
                  <c:v>8.291520000000002</c:v>
                </c:pt>
                <c:pt idx="457">
                  <c:v>8.291520000000002</c:v>
                </c:pt>
                <c:pt idx="458">
                  <c:v>8.129520000000003</c:v>
                </c:pt>
                <c:pt idx="459">
                  <c:v>8.9395200000000017</c:v>
                </c:pt>
                <c:pt idx="460">
                  <c:v>8.7775200000000027</c:v>
                </c:pt>
                <c:pt idx="461">
                  <c:v>8.7775200000000027</c:v>
                </c:pt>
                <c:pt idx="462">
                  <c:v>8.291520000000002</c:v>
                </c:pt>
                <c:pt idx="463">
                  <c:v>8.9395200000000017</c:v>
                </c:pt>
                <c:pt idx="464">
                  <c:v>8.291520000000002</c:v>
                </c:pt>
                <c:pt idx="465">
                  <c:v>8.291520000000002</c:v>
                </c:pt>
                <c:pt idx="466">
                  <c:v>8.129520000000003</c:v>
                </c:pt>
                <c:pt idx="467">
                  <c:v>8.9395200000000017</c:v>
                </c:pt>
                <c:pt idx="468">
                  <c:v>8.7775200000000027</c:v>
                </c:pt>
                <c:pt idx="469">
                  <c:v>8.7775200000000027</c:v>
                </c:pt>
                <c:pt idx="470">
                  <c:v>8.291520000000002</c:v>
                </c:pt>
                <c:pt idx="471">
                  <c:v>8.9395200000000017</c:v>
                </c:pt>
                <c:pt idx="472">
                  <c:v>8.291520000000002</c:v>
                </c:pt>
                <c:pt idx="473">
                  <c:v>8.291520000000002</c:v>
                </c:pt>
                <c:pt idx="474">
                  <c:v>8.129520000000003</c:v>
                </c:pt>
                <c:pt idx="475">
                  <c:v>8.9395200000000017</c:v>
                </c:pt>
                <c:pt idx="476">
                  <c:v>8.7775200000000027</c:v>
                </c:pt>
                <c:pt idx="477">
                  <c:v>8.7775200000000027</c:v>
                </c:pt>
                <c:pt idx="478">
                  <c:v>8.291520000000002</c:v>
                </c:pt>
                <c:pt idx="479">
                  <c:v>8.9395200000000017</c:v>
                </c:pt>
                <c:pt idx="480">
                  <c:v>8.9395200000000017</c:v>
                </c:pt>
                <c:pt idx="481">
                  <c:v>-11.310479999999998</c:v>
                </c:pt>
                <c:pt idx="482">
                  <c:v>-11.148479999999999</c:v>
                </c:pt>
                <c:pt idx="483">
                  <c:v>-11.148479999999999</c:v>
                </c:pt>
                <c:pt idx="484">
                  <c:v>-11.310479999999998</c:v>
                </c:pt>
                <c:pt idx="485">
                  <c:v>-10.500479999999998</c:v>
                </c:pt>
                <c:pt idx="486">
                  <c:v>-10.662479999999999</c:v>
                </c:pt>
                <c:pt idx="487">
                  <c:v>-10.662479999999999</c:v>
                </c:pt>
                <c:pt idx="488">
                  <c:v>-11.148479999999999</c:v>
                </c:pt>
                <c:pt idx="489">
                  <c:v>-10.500479999999998</c:v>
                </c:pt>
                <c:pt idx="490">
                  <c:v>-10.338479999999997</c:v>
                </c:pt>
                <c:pt idx="491">
                  <c:v>-10.338479999999997</c:v>
                </c:pt>
                <c:pt idx="492">
                  <c:v>-10.500479999999998</c:v>
                </c:pt>
                <c:pt idx="493">
                  <c:v>-9.6904799999999973</c:v>
                </c:pt>
                <c:pt idx="494">
                  <c:v>-9.8524799999999981</c:v>
                </c:pt>
                <c:pt idx="495">
                  <c:v>-9.8524799999999981</c:v>
                </c:pt>
                <c:pt idx="496">
                  <c:v>-10.338479999999997</c:v>
                </c:pt>
                <c:pt idx="497">
                  <c:v>-9.6904799999999973</c:v>
                </c:pt>
                <c:pt idx="498">
                  <c:v>-9.5284799999999965</c:v>
                </c:pt>
                <c:pt idx="499">
                  <c:v>-9.5284799999999965</c:v>
                </c:pt>
                <c:pt idx="500">
                  <c:v>-9.6904799999999973</c:v>
                </c:pt>
                <c:pt idx="501">
                  <c:v>-8.8804799999999968</c:v>
                </c:pt>
                <c:pt idx="502">
                  <c:v>-9.0424799999999976</c:v>
                </c:pt>
                <c:pt idx="503">
                  <c:v>-9.0424799999999976</c:v>
                </c:pt>
                <c:pt idx="504">
                  <c:v>-9.5284799999999965</c:v>
                </c:pt>
                <c:pt idx="505">
                  <c:v>-8.8804799999999968</c:v>
                </c:pt>
                <c:pt idx="506">
                  <c:v>-8.7184799999999978</c:v>
                </c:pt>
                <c:pt idx="507">
                  <c:v>-8.7184799999999978</c:v>
                </c:pt>
                <c:pt idx="508">
                  <c:v>-8.8804799999999986</c:v>
                </c:pt>
                <c:pt idx="509">
                  <c:v>-8.0704799999999981</c:v>
                </c:pt>
                <c:pt idx="510">
                  <c:v>-8.2324799999999989</c:v>
                </c:pt>
                <c:pt idx="511">
                  <c:v>-8.2324799999999989</c:v>
                </c:pt>
                <c:pt idx="512">
                  <c:v>-8.7184799999999978</c:v>
                </c:pt>
                <c:pt idx="513">
                  <c:v>-8.0704799999999981</c:v>
                </c:pt>
                <c:pt idx="514">
                  <c:v>-7.9084799999999973</c:v>
                </c:pt>
                <c:pt idx="515">
                  <c:v>-7.9084799999999973</c:v>
                </c:pt>
                <c:pt idx="516">
                  <c:v>-8.0704799999999981</c:v>
                </c:pt>
                <c:pt idx="517">
                  <c:v>-7.2604799999999976</c:v>
                </c:pt>
                <c:pt idx="518">
                  <c:v>-7.4224799999999984</c:v>
                </c:pt>
                <c:pt idx="519">
                  <c:v>-7.4224799999999984</c:v>
                </c:pt>
                <c:pt idx="520">
                  <c:v>-7.9084799999999973</c:v>
                </c:pt>
                <c:pt idx="521">
                  <c:v>-7.2604799999999976</c:v>
                </c:pt>
                <c:pt idx="522">
                  <c:v>-7.0984799999999968</c:v>
                </c:pt>
                <c:pt idx="523">
                  <c:v>-7.0984799999999968</c:v>
                </c:pt>
                <c:pt idx="524">
                  <c:v>-7.2604799999999976</c:v>
                </c:pt>
                <c:pt idx="525">
                  <c:v>-6.4504799999999971</c:v>
                </c:pt>
                <c:pt idx="526">
                  <c:v>-6.6124799999999979</c:v>
                </c:pt>
                <c:pt idx="527">
                  <c:v>-6.6124799999999979</c:v>
                </c:pt>
                <c:pt idx="528">
                  <c:v>-7.0984799999999968</c:v>
                </c:pt>
                <c:pt idx="529">
                  <c:v>-6.4504799999999971</c:v>
                </c:pt>
                <c:pt idx="530">
                  <c:v>-6.2884799999999981</c:v>
                </c:pt>
                <c:pt idx="531">
                  <c:v>-6.2884799999999981</c:v>
                </c:pt>
                <c:pt idx="532">
                  <c:v>-6.4504799999999989</c:v>
                </c:pt>
                <c:pt idx="533">
                  <c:v>-5.6404799999999984</c:v>
                </c:pt>
                <c:pt idx="534">
                  <c:v>-5.8024799999999992</c:v>
                </c:pt>
                <c:pt idx="535">
                  <c:v>-5.8024799999999992</c:v>
                </c:pt>
                <c:pt idx="536">
                  <c:v>-6.2884799999999981</c:v>
                </c:pt>
                <c:pt idx="537">
                  <c:v>-5.6404799999999984</c:v>
                </c:pt>
                <c:pt idx="538">
                  <c:v>-5.4784799999999976</c:v>
                </c:pt>
                <c:pt idx="539">
                  <c:v>-5.4784799999999976</c:v>
                </c:pt>
                <c:pt idx="540">
                  <c:v>-5.6404799999999984</c:v>
                </c:pt>
                <c:pt idx="541">
                  <c:v>-4.8304799999999979</c:v>
                </c:pt>
                <c:pt idx="542">
                  <c:v>-4.9924799999999987</c:v>
                </c:pt>
                <c:pt idx="543">
                  <c:v>-4.9924799999999987</c:v>
                </c:pt>
                <c:pt idx="544">
                  <c:v>-5.4784799999999976</c:v>
                </c:pt>
                <c:pt idx="545">
                  <c:v>-4.8304799999999979</c:v>
                </c:pt>
                <c:pt idx="546">
                  <c:v>-4.6684799999999971</c:v>
                </c:pt>
                <c:pt idx="547">
                  <c:v>-4.6684799999999971</c:v>
                </c:pt>
                <c:pt idx="548">
                  <c:v>-4.8304799999999979</c:v>
                </c:pt>
                <c:pt idx="549">
                  <c:v>-4.0204799999999974</c:v>
                </c:pt>
                <c:pt idx="550">
                  <c:v>-4.1824799999999982</c:v>
                </c:pt>
                <c:pt idx="551">
                  <c:v>-4.1824799999999982</c:v>
                </c:pt>
                <c:pt idx="552">
                  <c:v>-4.6684799999999971</c:v>
                </c:pt>
                <c:pt idx="553">
                  <c:v>-4.0204799999999974</c:v>
                </c:pt>
                <c:pt idx="554">
                  <c:v>-3.8584799999999966</c:v>
                </c:pt>
                <c:pt idx="555">
                  <c:v>-3.8584799999999966</c:v>
                </c:pt>
                <c:pt idx="556">
                  <c:v>-4.0204799999999974</c:v>
                </c:pt>
                <c:pt idx="557">
                  <c:v>-3.2104799999999969</c:v>
                </c:pt>
                <c:pt idx="558">
                  <c:v>-3.3724799999999977</c:v>
                </c:pt>
                <c:pt idx="559">
                  <c:v>-3.3724799999999977</c:v>
                </c:pt>
                <c:pt idx="560">
                  <c:v>-3.8584799999999966</c:v>
                </c:pt>
                <c:pt idx="561">
                  <c:v>-3.2104799999999969</c:v>
                </c:pt>
                <c:pt idx="562">
                  <c:v>-3.0484799999999961</c:v>
                </c:pt>
                <c:pt idx="563">
                  <c:v>-3.0484799999999961</c:v>
                </c:pt>
                <c:pt idx="564">
                  <c:v>-3.2104799999999969</c:v>
                </c:pt>
                <c:pt idx="565">
                  <c:v>-2.4004799999999964</c:v>
                </c:pt>
                <c:pt idx="566">
                  <c:v>-2.5624799999999972</c:v>
                </c:pt>
                <c:pt idx="567">
                  <c:v>-2.5624799999999972</c:v>
                </c:pt>
                <c:pt idx="568">
                  <c:v>-3.0484799999999961</c:v>
                </c:pt>
                <c:pt idx="569">
                  <c:v>-2.4004799999999964</c:v>
                </c:pt>
                <c:pt idx="570">
                  <c:v>-2.2384799999999974</c:v>
                </c:pt>
                <c:pt idx="571">
                  <c:v>-2.2384799999999974</c:v>
                </c:pt>
                <c:pt idx="572">
                  <c:v>-2.4004799999999982</c:v>
                </c:pt>
                <c:pt idx="573">
                  <c:v>-1.5904799999999994</c:v>
                </c:pt>
                <c:pt idx="574">
                  <c:v>-1.7524799999999985</c:v>
                </c:pt>
                <c:pt idx="575">
                  <c:v>-1.7524799999999985</c:v>
                </c:pt>
                <c:pt idx="576">
                  <c:v>-2.2384799999999974</c:v>
                </c:pt>
                <c:pt idx="577">
                  <c:v>-1.5904799999999994</c:v>
                </c:pt>
                <c:pt idx="578">
                  <c:v>-1.4284800000000004</c:v>
                </c:pt>
                <c:pt idx="579">
                  <c:v>-1.4284800000000004</c:v>
                </c:pt>
                <c:pt idx="580">
                  <c:v>-1.5904799999999994</c:v>
                </c:pt>
                <c:pt idx="581">
                  <c:v>-0.78048000000000073</c:v>
                </c:pt>
                <c:pt idx="582">
                  <c:v>-0.94247999999999976</c:v>
                </c:pt>
                <c:pt idx="583">
                  <c:v>-0.94247999999999976</c:v>
                </c:pt>
                <c:pt idx="584">
                  <c:v>-1.4284800000000004</c:v>
                </c:pt>
                <c:pt idx="585">
                  <c:v>-0.78048000000000073</c:v>
                </c:pt>
                <c:pt idx="586">
                  <c:v>-0.61847999999999814</c:v>
                </c:pt>
                <c:pt idx="587">
                  <c:v>-0.61847999999999814</c:v>
                </c:pt>
                <c:pt idx="588">
                  <c:v>-0.78047999999999718</c:v>
                </c:pt>
                <c:pt idx="589">
                  <c:v>2.9520000000001545E-2</c:v>
                </c:pt>
                <c:pt idx="590">
                  <c:v>-0.13247999999999749</c:v>
                </c:pt>
                <c:pt idx="591">
                  <c:v>-0.13247999999999749</c:v>
                </c:pt>
                <c:pt idx="592">
                  <c:v>-0.61847999999999814</c:v>
                </c:pt>
                <c:pt idx="593">
                  <c:v>2.9520000000001545E-2</c:v>
                </c:pt>
                <c:pt idx="594">
                  <c:v>0.19152000000000058</c:v>
                </c:pt>
                <c:pt idx="595">
                  <c:v>0.19152000000000058</c:v>
                </c:pt>
                <c:pt idx="596">
                  <c:v>2.9520000000001545E-2</c:v>
                </c:pt>
                <c:pt idx="597">
                  <c:v>0.83952000000000027</c:v>
                </c:pt>
                <c:pt idx="598">
                  <c:v>0.67752000000000123</c:v>
                </c:pt>
                <c:pt idx="599">
                  <c:v>0.67752000000000123</c:v>
                </c:pt>
                <c:pt idx="600">
                  <c:v>0.19152000000000058</c:v>
                </c:pt>
                <c:pt idx="601">
                  <c:v>0.83952000000000027</c:v>
                </c:pt>
                <c:pt idx="602">
                  <c:v>1.0015199999999993</c:v>
                </c:pt>
                <c:pt idx="603">
                  <c:v>1.0015199999999993</c:v>
                </c:pt>
                <c:pt idx="604">
                  <c:v>0.83952000000000027</c:v>
                </c:pt>
                <c:pt idx="605">
                  <c:v>1.649519999999999</c:v>
                </c:pt>
                <c:pt idx="606">
                  <c:v>1.48752</c:v>
                </c:pt>
                <c:pt idx="607">
                  <c:v>1.48752</c:v>
                </c:pt>
                <c:pt idx="608">
                  <c:v>1.0015199999999993</c:v>
                </c:pt>
                <c:pt idx="609">
                  <c:v>1.649519999999999</c:v>
                </c:pt>
                <c:pt idx="610">
                  <c:v>1.8115200000000016</c:v>
                </c:pt>
                <c:pt idx="611">
                  <c:v>1.8115200000000016</c:v>
                </c:pt>
                <c:pt idx="612">
                  <c:v>1.6495200000000025</c:v>
                </c:pt>
                <c:pt idx="613">
                  <c:v>2.4595200000000013</c:v>
                </c:pt>
                <c:pt idx="614">
                  <c:v>2.2975200000000022</c:v>
                </c:pt>
                <c:pt idx="615">
                  <c:v>2.2975200000000022</c:v>
                </c:pt>
                <c:pt idx="616">
                  <c:v>1.8115200000000016</c:v>
                </c:pt>
                <c:pt idx="617">
                  <c:v>2.4595200000000013</c:v>
                </c:pt>
                <c:pt idx="618">
                  <c:v>2.6215200000000038</c:v>
                </c:pt>
                <c:pt idx="619">
                  <c:v>2.6215200000000038</c:v>
                </c:pt>
                <c:pt idx="620">
                  <c:v>2.4595200000000048</c:v>
                </c:pt>
                <c:pt idx="621">
                  <c:v>3.2695200000000035</c:v>
                </c:pt>
                <c:pt idx="622">
                  <c:v>3.1075200000000045</c:v>
                </c:pt>
                <c:pt idx="623">
                  <c:v>3.1075200000000045</c:v>
                </c:pt>
                <c:pt idx="624">
                  <c:v>2.6215200000000038</c:v>
                </c:pt>
                <c:pt idx="625">
                  <c:v>3.2695200000000035</c:v>
                </c:pt>
                <c:pt idx="626">
                  <c:v>3.4315200000000026</c:v>
                </c:pt>
                <c:pt idx="627">
                  <c:v>3.4315200000000026</c:v>
                </c:pt>
                <c:pt idx="628">
                  <c:v>3.2695200000000035</c:v>
                </c:pt>
                <c:pt idx="629">
                  <c:v>4.0795200000000023</c:v>
                </c:pt>
                <c:pt idx="630">
                  <c:v>3.9175200000000032</c:v>
                </c:pt>
                <c:pt idx="631">
                  <c:v>3.9175200000000032</c:v>
                </c:pt>
                <c:pt idx="632">
                  <c:v>3.4315200000000026</c:v>
                </c:pt>
                <c:pt idx="633">
                  <c:v>4.0795200000000023</c:v>
                </c:pt>
                <c:pt idx="634">
                  <c:v>4.2415200000000013</c:v>
                </c:pt>
                <c:pt idx="635">
                  <c:v>4.2415200000000013</c:v>
                </c:pt>
                <c:pt idx="636">
                  <c:v>4.0795200000000023</c:v>
                </c:pt>
                <c:pt idx="637">
                  <c:v>4.889520000000001</c:v>
                </c:pt>
                <c:pt idx="638">
                  <c:v>4.7275200000000019</c:v>
                </c:pt>
                <c:pt idx="639">
                  <c:v>4.7275200000000019</c:v>
                </c:pt>
                <c:pt idx="640">
                  <c:v>4.2415200000000013</c:v>
                </c:pt>
                <c:pt idx="641">
                  <c:v>4.889520000000001</c:v>
                </c:pt>
                <c:pt idx="642">
                  <c:v>5.0515200000000036</c:v>
                </c:pt>
                <c:pt idx="643">
                  <c:v>5.0515200000000036</c:v>
                </c:pt>
                <c:pt idx="644">
                  <c:v>4.8895200000000045</c:v>
                </c:pt>
                <c:pt idx="645">
                  <c:v>5.6995200000000033</c:v>
                </c:pt>
                <c:pt idx="646">
                  <c:v>5.5375200000000042</c:v>
                </c:pt>
                <c:pt idx="647">
                  <c:v>5.5375200000000042</c:v>
                </c:pt>
                <c:pt idx="648">
                  <c:v>5.0515200000000036</c:v>
                </c:pt>
                <c:pt idx="649">
                  <c:v>5.6995200000000033</c:v>
                </c:pt>
                <c:pt idx="650">
                  <c:v>5.8615200000000023</c:v>
                </c:pt>
                <c:pt idx="651">
                  <c:v>5.8615200000000023</c:v>
                </c:pt>
                <c:pt idx="652">
                  <c:v>5.6995200000000033</c:v>
                </c:pt>
                <c:pt idx="653">
                  <c:v>6.509520000000002</c:v>
                </c:pt>
                <c:pt idx="654">
                  <c:v>6.3475200000000029</c:v>
                </c:pt>
                <c:pt idx="655">
                  <c:v>6.3475200000000029</c:v>
                </c:pt>
                <c:pt idx="656">
                  <c:v>5.8615200000000023</c:v>
                </c:pt>
                <c:pt idx="657">
                  <c:v>6.509520000000002</c:v>
                </c:pt>
                <c:pt idx="658">
                  <c:v>6.671520000000001</c:v>
                </c:pt>
                <c:pt idx="659">
                  <c:v>6.671520000000001</c:v>
                </c:pt>
                <c:pt idx="660">
                  <c:v>6.509520000000002</c:v>
                </c:pt>
                <c:pt idx="661">
                  <c:v>7.3195200000000007</c:v>
                </c:pt>
                <c:pt idx="662">
                  <c:v>7.1575200000000017</c:v>
                </c:pt>
                <c:pt idx="663">
                  <c:v>7.1575200000000017</c:v>
                </c:pt>
                <c:pt idx="664">
                  <c:v>6.671520000000001</c:v>
                </c:pt>
                <c:pt idx="665">
                  <c:v>7.3195200000000007</c:v>
                </c:pt>
                <c:pt idx="666">
                  <c:v>7.4815200000000033</c:v>
                </c:pt>
                <c:pt idx="667">
                  <c:v>7.4815200000000033</c:v>
                </c:pt>
                <c:pt idx="668">
                  <c:v>7.3195200000000042</c:v>
                </c:pt>
                <c:pt idx="669">
                  <c:v>8.129520000000003</c:v>
                </c:pt>
                <c:pt idx="670">
                  <c:v>7.9675200000000039</c:v>
                </c:pt>
                <c:pt idx="671">
                  <c:v>7.9675200000000039</c:v>
                </c:pt>
                <c:pt idx="672">
                  <c:v>7.4815200000000033</c:v>
                </c:pt>
                <c:pt idx="673">
                  <c:v>8.129520000000003</c:v>
                </c:pt>
                <c:pt idx="674">
                  <c:v>8.291520000000002</c:v>
                </c:pt>
                <c:pt idx="675">
                  <c:v>8.291520000000002</c:v>
                </c:pt>
                <c:pt idx="676">
                  <c:v>8.129520000000003</c:v>
                </c:pt>
                <c:pt idx="677">
                  <c:v>8.9395200000000017</c:v>
                </c:pt>
                <c:pt idx="678">
                  <c:v>8.7775200000000027</c:v>
                </c:pt>
                <c:pt idx="679">
                  <c:v>8.7775200000000027</c:v>
                </c:pt>
                <c:pt idx="680">
                  <c:v>8.291520000000002</c:v>
                </c:pt>
                <c:pt idx="681">
                  <c:v>8.9395200000000017</c:v>
                </c:pt>
                <c:pt idx="682">
                  <c:v>8.291520000000002</c:v>
                </c:pt>
                <c:pt idx="683">
                  <c:v>8.291520000000002</c:v>
                </c:pt>
                <c:pt idx="684">
                  <c:v>8.129520000000003</c:v>
                </c:pt>
                <c:pt idx="685">
                  <c:v>8.9395200000000017</c:v>
                </c:pt>
                <c:pt idx="686">
                  <c:v>8.7775200000000027</c:v>
                </c:pt>
                <c:pt idx="687">
                  <c:v>8.7775200000000027</c:v>
                </c:pt>
                <c:pt idx="688">
                  <c:v>8.291520000000002</c:v>
                </c:pt>
                <c:pt idx="689">
                  <c:v>8.9395200000000017</c:v>
                </c:pt>
                <c:pt idx="690">
                  <c:v>8.291520000000002</c:v>
                </c:pt>
                <c:pt idx="691">
                  <c:v>8.291520000000002</c:v>
                </c:pt>
                <c:pt idx="692">
                  <c:v>8.129520000000003</c:v>
                </c:pt>
                <c:pt idx="693">
                  <c:v>8.9395200000000017</c:v>
                </c:pt>
                <c:pt idx="694">
                  <c:v>8.7775200000000027</c:v>
                </c:pt>
                <c:pt idx="695">
                  <c:v>8.7775200000000027</c:v>
                </c:pt>
                <c:pt idx="696">
                  <c:v>8.291520000000002</c:v>
                </c:pt>
                <c:pt idx="697">
                  <c:v>8.9395200000000017</c:v>
                </c:pt>
                <c:pt idx="698">
                  <c:v>8.291520000000002</c:v>
                </c:pt>
                <c:pt idx="699">
                  <c:v>8.291520000000002</c:v>
                </c:pt>
                <c:pt idx="700">
                  <c:v>8.129520000000003</c:v>
                </c:pt>
                <c:pt idx="701">
                  <c:v>8.9395200000000017</c:v>
                </c:pt>
                <c:pt idx="702">
                  <c:v>8.7775200000000027</c:v>
                </c:pt>
                <c:pt idx="703">
                  <c:v>8.7775200000000027</c:v>
                </c:pt>
                <c:pt idx="704">
                  <c:v>8.291520000000002</c:v>
                </c:pt>
                <c:pt idx="705">
                  <c:v>8.9395200000000017</c:v>
                </c:pt>
                <c:pt idx="706">
                  <c:v>8.291520000000002</c:v>
                </c:pt>
                <c:pt idx="707">
                  <c:v>8.291520000000002</c:v>
                </c:pt>
                <c:pt idx="708">
                  <c:v>8.129520000000003</c:v>
                </c:pt>
                <c:pt idx="709">
                  <c:v>8.9395200000000017</c:v>
                </c:pt>
                <c:pt idx="710">
                  <c:v>8.7775200000000027</c:v>
                </c:pt>
                <c:pt idx="711">
                  <c:v>8.7775200000000027</c:v>
                </c:pt>
                <c:pt idx="712">
                  <c:v>8.291520000000002</c:v>
                </c:pt>
                <c:pt idx="713">
                  <c:v>8.9395200000000017</c:v>
                </c:pt>
                <c:pt idx="714">
                  <c:v>8.291520000000002</c:v>
                </c:pt>
                <c:pt idx="715">
                  <c:v>8.291520000000002</c:v>
                </c:pt>
                <c:pt idx="716">
                  <c:v>8.129520000000003</c:v>
                </c:pt>
                <c:pt idx="717">
                  <c:v>8.9395200000000017</c:v>
                </c:pt>
                <c:pt idx="718">
                  <c:v>8.7775200000000027</c:v>
                </c:pt>
                <c:pt idx="719">
                  <c:v>8.7775200000000027</c:v>
                </c:pt>
                <c:pt idx="720">
                  <c:v>8.291520000000002</c:v>
                </c:pt>
                <c:pt idx="721">
                  <c:v>8.9395200000000017</c:v>
                </c:pt>
                <c:pt idx="722">
                  <c:v>8.291520000000002</c:v>
                </c:pt>
                <c:pt idx="723">
                  <c:v>8.291520000000002</c:v>
                </c:pt>
                <c:pt idx="724">
                  <c:v>8.129520000000003</c:v>
                </c:pt>
                <c:pt idx="725">
                  <c:v>8.9395200000000017</c:v>
                </c:pt>
                <c:pt idx="726">
                  <c:v>8.7775200000000027</c:v>
                </c:pt>
                <c:pt idx="727">
                  <c:v>8.7775200000000027</c:v>
                </c:pt>
                <c:pt idx="728">
                  <c:v>8.291520000000002</c:v>
                </c:pt>
                <c:pt idx="729">
                  <c:v>8.9395200000000017</c:v>
                </c:pt>
                <c:pt idx="730">
                  <c:v>8.291520000000002</c:v>
                </c:pt>
                <c:pt idx="731">
                  <c:v>8.291520000000002</c:v>
                </c:pt>
                <c:pt idx="732">
                  <c:v>8.129520000000003</c:v>
                </c:pt>
                <c:pt idx="733">
                  <c:v>8.9395200000000017</c:v>
                </c:pt>
                <c:pt idx="734">
                  <c:v>8.7775200000000027</c:v>
                </c:pt>
                <c:pt idx="735">
                  <c:v>8.7775200000000027</c:v>
                </c:pt>
                <c:pt idx="736">
                  <c:v>8.291520000000002</c:v>
                </c:pt>
                <c:pt idx="737">
                  <c:v>8.9395200000000017</c:v>
                </c:pt>
                <c:pt idx="738">
                  <c:v>8.291520000000002</c:v>
                </c:pt>
                <c:pt idx="739">
                  <c:v>8.291520000000002</c:v>
                </c:pt>
                <c:pt idx="740">
                  <c:v>8.129520000000003</c:v>
                </c:pt>
                <c:pt idx="741">
                  <c:v>8.9395200000000017</c:v>
                </c:pt>
                <c:pt idx="742">
                  <c:v>8.7775200000000027</c:v>
                </c:pt>
                <c:pt idx="743">
                  <c:v>8.7775200000000027</c:v>
                </c:pt>
                <c:pt idx="744">
                  <c:v>8.291520000000002</c:v>
                </c:pt>
                <c:pt idx="745">
                  <c:v>8.9395200000000017</c:v>
                </c:pt>
                <c:pt idx="746">
                  <c:v>8.291520000000002</c:v>
                </c:pt>
                <c:pt idx="747">
                  <c:v>8.291520000000002</c:v>
                </c:pt>
                <c:pt idx="748">
                  <c:v>8.129520000000003</c:v>
                </c:pt>
                <c:pt idx="749">
                  <c:v>8.9395200000000017</c:v>
                </c:pt>
                <c:pt idx="750">
                  <c:v>8.7775200000000027</c:v>
                </c:pt>
                <c:pt idx="751">
                  <c:v>8.7775200000000027</c:v>
                </c:pt>
                <c:pt idx="752">
                  <c:v>8.291520000000002</c:v>
                </c:pt>
                <c:pt idx="753">
                  <c:v>8.9395200000000017</c:v>
                </c:pt>
                <c:pt idx="754">
                  <c:v>8.291520000000002</c:v>
                </c:pt>
                <c:pt idx="755">
                  <c:v>8.291520000000002</c:v>
                </c:pt>
                <c:pt idx="756">
                  <c:v>8.129520000000003</c:v>
                </c:pt>
                <c:pt idx="757">
                  <c:v>8.9395200000000017</c:v>
                </c:pt>
                <c:pt idx="758">
                  <c:v>8.7775200000000027</c:v>
                </c:pt>
                <c:pt idx="759">
                  <c:v>8.7775200000000027</c:v>
                </c:pt>
                <c:pt idx="760">
                  <c:v>8.291520000000002</c:v>
                </c:pt>
                <c:pt idx="761">
                  <c:v>8.9395200000000017</c:v>
                </c:pt>
                <c:pt idx="762">
                  <c:v>8.291520000000002</c:v>
                </c:pt>
                <c:pt idx="763">
                  <c:v>8.291520000000002</c:v>
                </c:pt>
                <c:pt idx="764">
                  <c:v>8.129520000000003</c:v>
                </c:pt>
                <c:pt idx="765">
                  <c:v>8.9395200000000017</c:v>
                </c:pt>
                <c:pt idx="766">
                  <c:v>8.7775200000000027</c:v>
                </c:pt>
                <c:pt idx="767">
                  <c:v>8.7775200000000027</c:v>
                </c:pt>
                <c:pt idx="768">
                  <c:v>8.291520000000002</c:v>
                </c:pt>
                <c:pt idx="769">
                  <c:v>8.9395200000000017</c:v>
                </c:pt>
                <c:pt idx="770">
                  <c:v>8.291520000000002</c:v>
                </c:pt>
                <c:pt idx="771">
                  <c:v>8.291520000000002</c:v>
                </c:pt>
                <c:pt idx="772">
                  <c:v>8.129520000000003</c:v>
                </c:pt>
                <c:pt idx="773">
                  <c:v>8.9395200000000017</c:v>
                </c:pt>
                <c:pt idx="774">
                  <c:v>8.7775200000000027</c:v>
                </c:pt>
                <c:pt idx="775">
                  <c:v>8.7775200000000027</c:v>
                </c:pt>
                <c:pt idx="776">
                  <c:v>8.291520000000002</c:v>
                </c:pt>
                <c:pt idx="777">
                  <c:v>8.9395200000000017</c:v>
                </c:pt>
                <c:pt idx="778">
                  <c:v>8.291520000000002</c:v>
                </c:pt>
                <c:pt idx="779">
                  <c:v>8.291520000000002</c:v>
                </c:pt>
                <c:pt idx="780">
                  <c:v>8.129520000000003</c:v>
                </c:pt>
                <c:pt idx="781">
                  <c:v>8.9395200000000017</c:v>
                </c:pt>
                <c:pt idx="782">
                  <c:v>8.7775200000000027</c:v>
                </c:pt>
                <c:pt idx="783">
                  <c:v>8.7775200000000027</c:v>
                </c:pt>
                <c:pt idx="784">
                  <c:v>8.291520000000002</c:v>
                </c:pt>
                <c:pt idx="785">
                  <c:v>8.9395200000000017</c:v>
                </c:pt>
                <c:pt idx="786">
                  <c:v>8.291520000000002</c:v>
                </c:pt>
                <c:pt idx="787">
                  <c:v>8.291520000000002</c:v>
                </c:pt>
                <c:pt idx="788">
                  <c:v>8.129520000000003</c:v>
                </c:pt>
                <c:pt idx="789">
                  <c:v>8.9395200000000017</c:v>
                </c:pt>
                <c:pt idx="790">
                  <c:v>8.7775200000000027</c:v>
                </c:pt>
                <c:pt idx="791">
                  <c:v>8.7775200000000027</c:v>
                </c:pt>
                <c:pt idx="792">
                  <c:v>8.291520000000002</c:v>
                </c:pt>
                <c:pt idx="793">
                  <c:v>8.9395200000000017</c:v>
                </c:pt>
                <c:pt idx="794">
                  <c:v>8.291520000000002</c:v>
                </c:pt>
                <c:pt idx="795">
                  <c:v>8.291520000000002</c:v>
                </c:pt>
                <c:pt idx="796">
                  <c:v>8.129520000000003</c:v>
                </c:pt>
                <c:pt idx="797">
                  <c:v>8.9395200000000017</c:v>
                </c:pt>
                <c:pt idx="798">
                  <c:v>8.7775200000000027</c:v>
                </c:pt>
                <c:pt idx="799">
                  <c:v>8.7775200000000027</c:v>
                </c:pt>
                <c:pt idx="800">
                  <c:v>8.291520000000002</c:v>
                </c:pt>
                <c:pt idx="801">
                  <c:v>8.9395200000000017</c:v>
                </c:pt>
                <c:pt idx="802">
                  <c:v>8.291520000000002</c:v>
                </c:pt>
                <c:pt idx="803">
                  <c:v>8.291520000000002</c:v>
                </c:pt>
                <c:pt idx="804">
                  <c:v>8.129520000000003</c:v>
                </c:pt>
                <c:pt idx="805">
                  <c:v>8.9395200000000017</c:v>
                </c:pt>
                <c:pt idx="806">
                  <c:v>8.7775200000000027</c:v>
                </c:pt>
                <c:pt idx="807">
                  <c:v>8.7775200000000027</c:v>
                </c:pt>
                <c:pt idx="808">
                  <c:v>8.291520000000002</c:v>
                </c:pt>
                <c:pt idx="809">
                  <c:v>8.9395200000000017</c:v>
                </c:pt>
                <c:pt idx="810">
                  <c:v>8.291520000000002</c:v>
                </c:pt>
                <c:pt idx="811">
                  <c:v>8.291520000000002</c:v>
                </c:pt>
                <c:pt idx="812">
                  <c:v>8.129520000000003</c:v>
                </c:pt>
                <c:pt idx="813">
                  <c:v>8.9395200000000017</c:v>
                </c:pt>
                <c:pt idx="814">
                  <c:v>8.7775200000000027</c:v>
                </c:pt>
                <c:pt idx="815">
                  <c:v>8.7775200000000027</c:v>
                </c:pt>
                <c:pt idx="816">
                  <c:v>8.291520000000002</c:v>
                </c:pt>
                <c:pt idx="817">
                  <c:v>8.9395200000000017</c:v>
                </c:pt>
                <c:pt idx="818">
                  <c:v>8.291520000000002</c:v>
                </c:pt>
                <c:pt idx="819">
                  <c:v>8.291520000000002</c:v>
                </c:pt>
                <c:pt idx="820">
                  <c:v>8.129520000000003</c:v>
                </c:pt>
                <c:pt idx="821">
                  <c:v>8.9395200000000017</c:v>
                </c:pt>
                <c:pt idx="822">
                  <c:v>8.7775200000000027</c:v>
                </c:pt>
                <c:pt idx="823">
                  <c:v>8.7775200000000027</c:v>
                </c:pt>
                <c:pt idx="824">
                  <c:v>8.291520000000002</c:v>
                </c:pt>
                <c:pt idx="825">
                  <c:v>8.9395200000000017</c:v>
                </c:pt>
                <c:pt idx="826">
                  <c:v>8.291520000000002</c:v>
                </c:pt>
                <c:pt idx="827">
                  <c:v>8.291520000000002</c:v>
                </c:pt>
                <c:pt idx="828">
                  <c:v>8.129520000000003</c:v>
                </c:pt>
                <c:pt idx="829">
                  <c:v>8.9395200000000017</c:v>
                </c:pt>
                <c:pt idx="830">
                  <c:v>8.7775200000000027</c:v>
                </c:pt>
                <c:pt idx="831">
                  <c:v>8.7775200000000027</c:v>
                </c:pt>
                <c:pt idx="832">
                  <c:v>8.291520000000002</c:v>
                </c:pt>
                <c:pt idx="833">
                  <c:v>8.9395200000000017</c:v>
                </c:pt>
                <c:pt idx="834">
                  <c:v>8.291520000000002</c:v>
                </c:pt>
                <c:pt idx="835">
                  <c:v>8.291520000000002</c:v>
                </c:pt>
                <c:pt idx="836">
                  <c:v>8.129520000000003</c:v>
                </c:pt>
                <c:pt idx="837">
                  <c:v>8.9395200000000017</c:v>
                </c:pt>
                <c:pt idx="838">
                  <c:v>8.7775200000000027</c:v>
                </c:pt>
                <c:pt idx="839">
                  <c:v>8.7775200000000027</c:v>
                </c:pt>
                <c:pt idx="840">
                  <c:v>8.291520000000002</c:v>
                </c:pt>
                <c:pt idx="841">
                  <c:v>8.9395200000000017</c:v>
                </c:pt>
                <c:pt idx="842">
                  <c:v>8.291520000000002</c:v>
                </c:pt>
                <c:pt idx="843">
                  <c:v>8.291520000000002</c:v>
                </c:pt>
                <c:pt idx="844">
                  <c:v>8.129520000000003</c:v>
                </c:pt>
                <c:pt idx="845">
                  <c:v>8.9395200000000017</c:v>
                </c:pt>
                <c:pt idx="846">
                  <c:v>8.7775200000000027</c:v>
                </c:pt>
                <c:pt idx="847">
                  <c:v>8.7775200000000027</c:v>
                </c:pt>
                <c:pt idx="848">
                  <c:v>8.291520000000002</c:v>
                </c:pt>
                <c:pt idx="849">
                  <c:v>8.9395200000000017</c:v>
                </c:pt>
                <c:pt idx="850">
                  <c:v>8.291520000000002</c:v>
                </c:pt>
                <c:pt idx="851">
                  <c:v>8.291520000000002</c:v>
                </c:pt>
                <c:pt idx="852">
                  <c:v>8.129520000000003</c:v>
                </c:pt>
                <c:pt idx="853">
                  <c:v>8.9395200000000017</c:v>
                </c:pt>
                <c:pt idx="854">
                  <c:v>8.7775200000000027</c:v>
                </c:pt>
                <c:pt idx="855">
                  <c:v>8.7775200000000027</c:v>
                </c:pt>
                <c:pt idx="856">
                  <c:v>8.291520000000002</c:v>
                </c:pt>
                <c:pt idx="857">
                  <c:v>8.9395200000000017</c:v>
                </c:pt>
                <c:pt idx="858">
                  <c:v>8.291520000000002</c:v>
                </c:pt>
                <c:pt idx="859">
                  <c:v>8.291520000000002</c:v>
                </c:pt>
                <c:pt idx="860">
                  <c:v>8.129520000000003</c:v>
                </c:pt>
                <c:pt idx="861">
                  <c:v>8.9395200000000017</c:v>
                </c:pt>
                <c:pt idx="862">
                  <c:v>8.7775200000000027</c:v>
                </c:pt>
                <c:pt idx="863">
                  <c:v>8.7775200000000027</c:v>
                </c:pt>
                <c:pt idx="864">
                  <c:v>8.291520000000002</c:v>
                </c:pt>
                <c:pt idx="865">
                  <c:v>8.9395200000000017</c:v>
                </c:pt>
                <c:pt idx="866">
                  <c:v>8.291520000000002</c:v>
                </c:pt>
                <c:pt idx="867">
                  <c:v>8.291520000000002</c:v>
                </c:pt>
                <c:pt idx="868">
                  <c:v>8.129520000000003</c:v>
                </c:pt>
                <c:pt idx="869">
                  <c:v>8.9395200000000017</c:v>
                </c:pt>
                <c:pt idx="870">
                  <c:v>8.7775200000000027</c:v>
                </c:pt>
                <c:pt idx="871">
                  <c:v>8.7775200000000027</c:v>
                </c:pt>
                <c:pt idx="872">
                  <c:v>8.291520000000002</c:v>
                </c:pt>
                <c:pt idx="873">
                  <c:v>8.9395200000000017</c:v>
                </c:pt>
                <c:pt idx="874">
                  <c:v>8.291520000000002</c:v>
                </c:pt>
                <c:pt idx="875">
                  <c:v>8.291520000000002</c:v>
                </c:pt>
                <c:pt idx="876">
                  <c:v>8.129520000000003</c:v>
                </c:pt>
                <c:pt idx="877">
                  <c:v>8.9395200000000017</c:v>
                </c:pt>
                <c:pt idx="878">
                  <c:v>8.7775200000000027</c:v>
                </c:pt>
                <c:pt idx="879">
                  <c:v>8.7775200000000027</c:v>
                </c:pt>
                <c:pt idx="880">
                  <c:v>8.291520000000002</c:v>
                </c:pt>
                <c:pt idx="881">
                  <c:v>8.9395200000000017</c:v>
                </c:pt>
                <c:pt idx="882">
                  <c:v>8.291520000000002</c:v>
                </c:pt>
                <c:pt idx="883">
                  <c:v>8.291520000000002</c:v>
                </c:pt>
                <c:pt idx="884">
                  <c:v>8.129520000000003</c:v>
                </c:pt>
                <c:pt idx="885">
                  <c:v>8.9395200000000017</c:v>
                </c:pt>
                <c:pt idx="886">
                  <c:v>8.7775200000000027</c:v>
                </c:pt>
                <c:pt idx="887">
                  <c:v>8.7775200000000027</c:v>
                </c:pt>
                <c:pt idx="888">
                  <c:v>8.291520000000002</c:v>
                </c:pt>
                <c:pt idx="889">
                  <c:v>8.9395200000000017</c:v>
                </c:pt>
                <c:pt idx="890">
                  <c:v>8.291520000000002</c:v>
                </c:pt>
                <c:pt idx="891">
                  <c:v>8.291520000000002</c:v>
                </c:pt>
                <c:pt idx="892">
                  <c:v>8.129520000000003</c:v>
                </c:pt>
                <c:pt idx="893">
                  <c:v>8.9395200000000017</c:v>
                </c:pt>
                <c:pt idx="894">
                  <c:v>8.7775200000000027</c:v>
                </c:pt>
                <c:pt idx="895">
                  <c:v>8.7775200000000027</c:v>
                </c:pt>
                <c:pt idx="896">
                  <c:v>8.291520000000002</c:v>
                </c:pt>
                <c:pt idx="897">
                  <c:v>8.9395200000000017</c:v>
                </c:pt>
                <c:pt idx="898">
                  <c:v>8.291520000000002</c:v>
                </c:pt>
                <c:pt idx="899">
                  <c:v>8.291520000000002</c:v>
                </c:pt>
                <c:pt idx="900">
                  <c:v>8.129520000000003</c:v>
                </c:pt>
                <c:pt idx="901">
                  <c:v>8.9395200000000017</c:v>
                </c:pt>
                <c:pt idx="902">
                  <c:v>8.7775200000000027</c:v>
                </c:pt>
                <c:pt idx="903">
                  <c:v>8.7775200000000027</c:v>
                </c:pt>
                <c:pt idx="904">
                  <c:v>8.291520000000002</c:v>
                </c:pt>
                <c:pt idx="905">
                  <c:v>8.9395200000000017</c:v>
                </c:pt>
                <c:pt idx="906">
                  <c:v>8.291520000000002</c:v>
                </c:pt>
                <c:pt idx="907">
                  <c:v>8.291520000000002</c:v>
                </c:pt>
                <c:pt idx="908">
                  <c:v>8.129520000000003</c:v>
                </c:pt>
                <c:pt idx="909">
                  <c:v>8.9395200000000017</c:v>
                </c:pt>
                <c:pt idx="910">
                  <c:v>8.7775200000000027</c:v>
                </c:pt>
                <c:pt idx="911">
                  <c:v>8.7775200000000027</c:v>
                </c:pt>
                <c:pt idx="912">
                  <c:v>8.291520000000002</c:v>
                </c:pt>
                <c:pt idx="913">
                  <c:v>8.9395200000000017</c:v>
                </c:pt>
                <c:pt idx="914">
                  <c:v>8.291520000000002</c:v>
                </c:pt>
                <c:pt idx="915">
                  <c:v>8.291520000000002</c:v>
                </c:pt>
                <c:pt idx="916">
                  <c:v>8.129520000000003</c:v>
                </c:pt>
                <c:pt idx="917">
                  <c:v>8.9395200000000017</c:v>
                </c:pt>
                <c:pt idx="918">
                  <c:v>8.7775200000000027</c:v>
                </c:pt>
                <c:pt idx="919">
                  <c:v>8.7775200000000027</c:v>
                </c:pt>
                <c:pt idx="920">
                  <c:v>8.291520000000002</c:v>
                </c:pt>
                <c:pt idx="921">
                  <c:v>8.9395200000000017</c:v>
                </c:pt>
                <c:pt idx="922">
                  <c:v>8.291520000000002</c:v>
                </c:pt>
                <c:pt idx="923">
                  <c:v>8.291520000000002</c:v>
                </c:pt>
                <c:pt idx="924">
                  <c:v>8.129520000000003</c:v>
                </c:pt>
                <c:pt idx="925">
                  <c:v>8.9395200000000017</c:v>
                </c:pt>
                <c:pt idx="926">
                  <c:v>8.7775200000000027</c:v>
                </c:pt>
                <c:pt idx="927">
                  <c:v>8.7775200000000027</c:v>
                </c:pt>
                <c:pt idx="928">
                  <c:v>8.291520000000002</c:v>
                </c:pt>
                <c:pt idx="929">
                  <c:v>8.9395200000000017</c:v>
                </c:pt>
                <c:pt idx="930">
                  <c:v>8.291520000000002</c:v>
                </c:pt>
                <c:pt idx="931">
                  <c:v>8.291520000000002</c:v>
                </c:pt>
                <c:pt idx="932">
                  <c:v>8.129520000000003</c:v>
                </c:pt>
                <c:pt idx="933">
                  <c:v>8.9395200000000017</c:v>
                </c:pt>
                <c:pt idx="934">
                  <c:v>8.7775200000000027</c:v>
                </c:pt>
                <c:pt idx="935">
                  <c:v>8.7775200000000027</c:v>
                </c:pt>
                <c:pt idx="936">
                  <c:v>8.291520000000002</c:v>
                </c:pt>
                <c:pt idx="937">
                  <c:v>8.9395200000000017</c:v>
                </c:pt>
                <c:pt idx="938">
                  <c:v>8.291520000000002</c:v>
                </c:pt>
                <c:pt idx="939">
                  <c:v>8.291520000000002</c:v>
                </c:pt>
                <c:pt idx="940">
                  <c:v>8.129520000000003</c:v>
                </c:pt>
                <c:pt idx="941">
                  <c:v>8.9395200000000017</c:v>
                </c:pt>
                <c:pt idx="942">
                  <c:v>8.7775200000000027</c:v>
                </c:pt>
                <c:pt idx="943">
                  <c:v>8.7775200000000027</c:v>
                </c:pt>
                <c:pt idx="944">
                  <c:v>8.291520000000002</c:v>
                </c:pt>
                <c:pt idx="945">
                  <c:v>8.9395200000000017</c:v>
                </c:pt>
                <c:pt idx="946">
                  <c:v>8.291520000000002</c:v>
                </c:pt>
                <c:pt idx="947">
                  <c:v>8.291520000000002</c:v>
                </c:pt>
                <c:pt idx="948">
                  <c:v>8.129520000000003</c:v>
                </c:pt>
                <c:pt idx="949">
                  <c:v>8.9395200000000017</c:v>
                </c:pt>
                <c:pt idx="950">
                  <c:v>8.7775200000000027</c:v>
                </c:pt>
                <c:pt idx="951">
                  <c:v>8.7775200000000027</c:v>
                </c:pt>
                <c:pt idx="952">
                  <c:v>8.291520000000002</c:v>
                </c:pt>
                <c:pt idx="953">
                  <c:v>8.9395200000000017</c:v>
                </c:pt>
                <c:pt idx="954">
                  <c:v>8.291520000000002</c:v>
                </c:pt>
                <c:pt idx="955">
                  <c:v>8.291520000000002</c:v>
                </c:pt>
                <c:pt idx="956">
                  <c:v>8.129520000000003</c:v>
                </c:pt>
                <c:pt idx="957">
                  <c:v>8.9395200000000017</c:v>
                </c:pt>
                <c:pt idx="958">
                  <c:v>8.7775200000000027</c:v>
                </c:pt>
                <c:pt idx="959">
                  <c:v>8.7775200000000027</c:v>
                </c:pt>
                <c:pt idx="960">
                  <c:v>8.291520000000002</c:v>
                </c:pt>
                <c:pt idx="961">
                  <c:v>8.9395200000000017</c:v>
                </c:pt>
                <c:pt idx="962">
                  <c:v>8.9395200000000017</c:v>
                </c:pt>
                <c:pt idx="963">
                  <c:v>-11.310479999999998</c:v>
                </c:pt>
                <c:pt idx="964">
                  <c:v>-11.148479999999999</c:v>
                </c:pt>
                <c:pt idx="965">
                  <c:v>-11.148479999999999</c:v>
                </c:pt>
                <c:pt idx="966">
                  <c:v>-11.310479999999998</c:v>
                </c:pt>
                <c:pt idx="967">
                  <c:v>-10.500479999999998</c:v>
                </c:pt>
                <c:pt idx="968">
                  <c:v>-10.662479999999999</c:v>
                </c:pt>
                <c:pt idx="969">
                  <c:v>-10.662479999999999</c:v>
                </c:pt>
                <c:pt idx="970">
                  <c:v>-11.148479999999999</c:v>
                </c:pt>
                <c:pt idx="971">
                  <c:v>-10.500479999999998</c:v>
                </c:pt>
                <c:pt idx="972">
                  <c:v>-10.338479999999997</c:v>
                </c:pt>
                <c:pt idx="973">
                  <c:v>-10.338479999999997</c:v>
                </c:pt>
                <c:pt idx="974">
                  <c:v>-10.500479999999998</c:v>
                </c:pt>
                <c:pt idx="975">
                  <c:v>-9.6904799999999973</c:v>
                </c:pt>
                <c:pt idx="976">
                  <c:v>-9.8524799999999981</c:v>
                </c:pt>
                <c:pt idx="977">
                  <c:v>-9.8524799999999981</c:v>
                </c:pt>
                <c:pt idx="978">
                  <c:v>-10.338479999999997</c:v>
                </c:pt>
                <c:pt idx="979">
                  <c:v>-9.6904799999999973</c:v>
                </c:pt>
                <c:pt idx="980">
                  <c:v>-9.5284799999999965</c:v>
                </c:pt>
                <c:pt idx="981">
                  <c:v>-9.5284799999999965</c:v>
                </c:pt>
                <c:pt idx="982">
                  <c:v>-9.6904799999999973</c:v>
                </c:pt>
                <c:pt idx="983">
                  <c:v>-8.8804799999999968</c:v>
                </c:pt>
                <c:pt idx="984">
                  <c:v>-9.0424799999999976</c:v>
                </c:pt>
                <c:pt idx="985">
                  <c:v>-9.0424799999999976</c:v>
                </c:pt>
                <c:pt idx="986">
                  <c:v>-9.5284799999999965</c:v>
                </c:pt>
                <c:pt idx="987">
                  <c:v>-8.8804799999999968</c:v>
                </c:pt>
                <c:pt idx="988">
                  <c:v>-8.7184799999999978</c:v>
                </c:pt>
                <c:pt idx="989">
                  <c:v>-8.7184799999999978</c:v>
                </c:pt>
                <c:pt idx="990">
                  <c:v>-8.8804799999999986</c:v>
                </c:pt>
                <c:pt idx="991">
                  <c:v>-8.0704799999999981</c:v>
                </c:pt>
                <c:pt idx="992">
                  <c:v>-8.2324799999999989</c:v>
                </c:pt>
                <c:pt idx="993">
                  <c:v>-8.2324799999999989</c:v>
                </c:pt>
                <c:pt idx="994">
                  <c:v>-8.7184799999999978</c:v>
                </c:pt>
                <c:pt idx="995">
                  <c:v>-8.0704799999999981</c:v>
                </c:pt>
                <c:pt idx="996">
                  <c:v>-7.9084799999999973</c:v>
                </c:pt>
                <c:pt idx="997">
                  <c:v>-7.9084799999999973</c:v>
                </c:pt>
                <c:pt idx="998">
                  <c:v>-8.0704799999999981</c:v>
                </c:pt>
                <c:pt idx="999">
                  <c:v>-7.2604799999999976</c:v>
                </c:pt>
                <c:pt idx="1000">
                  <c:v>-7.4224799999999984</c:v>
                </c:pt>
                <c:pt idx="1001">
                  <c:v>-7.4224799999999984</c:v>
                </c:pt>
                <c:pt idx="1002">
                  <c:v>-7.9084799999999973</c:v>
                </c:pt>
                <c:pt idx="1003">
                  <c:v>-7.2604799999999976</c:v>
                </c:pt>
                <c:pt idx="1004">
                  <c:v>-7.0984799999999968</c:v>
                </c:pt>
                <c:pt idx="1005">
                  <c:v>-7.0984799999999968</c:v>
                </c:pt>
                <c:pt idx="1006">
                  <c:v>-7.2604799999999976</c:v>
                </c:pt>
                <c:pt idx="1007">
                  <c:v>-6.4504799999999971</c:v>
                </c:pt>
                <c:pt idx="1008">
                  <c:v>-6.6124799999999979</c:v>
                </c:pt>
                <c:pt idx="1009">
                  <c:v>-6.6124799999999979</c:v>
                </c:pt>
                <c:pt idx="1010">
                  <c:v>-7.0984799999999968</c:v>
                </c:pt>
                <c:pt idx="1011">
                  <c:v>-6.4504799999999971</c:v>
                </c:pt>
                <c:pt idx="1012">
                  <c:v>-6.2884799999999981</c:v>
                </c:pt>
                <c:pt idx="1013">
                  <c:v>-6.2884799999999981</c:v>
                </c:pt>
                <c:pt idx="1014">
                  <c:v>-6.4504799999999989</c:v>
                </c:pt>
                <c:pt idx="1015">
                  <c:v>-5.6404799999999984</c:v>
                </c:pt>
                <c:pt idx="1016">
                  <c:v>-5.8024799999999992</c:v>
                </c:pt>
                <c:pt idx="1017">
                  <c:v>-5.8024799999999992</c:v>
                </c:pt>
                <c:pt idx="1018">
                  <c:v>-6.2884799999999981</c:v>
                </c:pt>
                <c:pt idx="1019">
                  <c:v>-5.6404799999999984</c:v>
                </c:pt>
                <c:pt idx="1020">
                  <c:v>-5.4784799999999976</c:v>
                </c:pt>
                <c:pt idx="1021">
                  <c:v>-5.4784799999999976</c:v>
                </c:pt>
                <c:pt idx="1022">
                  <c:v>-5.6404799999999984</c:v>
                </c:pt>
                <c:pt idx="1023">
                  <c:v>-4.8304799999999979</c:v>
                </c:pt>
                <c:pt idx="1024">
                  <c:v>-4.9924799999999987</c:v>
                </c:pt>
                <c:pt idx="1025">
                  <c:v>-4.9924799999999987</c:v>
                </c:pt>
                <c:pt idx="1026">
                  <c:v>-5.4784799999999976</c:v>
                </c:pt>
                <c:pt idx="1027">
                  <c:v>-4.8304799999999979</c:v>
                </c:pt>
                <c:pt idx="1028">
                  <c:v>-4.6684799999999971</c:v>
                </c:pt>
                <c:pt idx="1029">
                  <c:v>-4.6684799999999971</c:v>
                </c:pt>
                <c:pt idx="1030">
                  <c:v>-4.8304799999999979</c:v>
                </c:pt>
                <c:pt idx="1031">
                  <c:v>-4.0204799999999974</c:v>
                </c:pt>
                <c:pt idx="1032">
                  <c:v>-4.1824799999999982</c:v>
                </c:pt>
                <c:pt idx="1033">
                  <c:v>-4.1824799999999982</c:v>
                </c:pt>
                <c:pt idx="1034">
                  <c:v>-4.6684799999999971</c:v>
                </c:pt>
                <c:pt idx="1035">
                  <c:v>-4.0204799999999974</c:v>
                </c:pt>
                <c:pt idx="1036">
                  <c:v>-3.8584799999999966</c:v>
                </c:pt>
                <c:pt idx="1037">
                  <c:v>-3.8584799999999966</c:v>
                </c:pt>
                <c:pt idx="1038">
                  <c:v>-4.0204799999999974</c:v>
                </c:pt>
                <c:pt idx="1039">
                  <c:v>-3.2104799999999969</c:v>
                </c:pt>
                <c:pt idx="1040">
                  <c:v>-3.3724799999999977</c:v>
                </c:pt>
                <c:pt idx="1041">
                  <c:v>-3.3724799999999977</c:v>
                </c:pt>
                <c:pt idx="1042">
                  <c:v>-3.8584799999999966</c:v>
                </c:pt>
                <c:pt idx="1043">
                  <c:v>-3.2104799999999969</c:v>
                </c:pt>
                <c:pt idx="1044">
                  <c:v>-3.0484799999999961</c:v>
                </c:pt>
                <c:pt idx="1045">
                  <c:v>-3.0484799999999961</c:v>
                </c:pt>
                <c:pt idx="1046">
                  <c:v>-3.2104799999999969</c:v>
                </c:pt>
                <c:pt idx="1047">
                  <c:v>-2.4004799999999964</c:v>
                </c:pt>
                <c:pt idx="1048">
                  <c:v>-2.5624799999999972</c:v>
                </c:pt>
                <c:pt idx="1049">
                  <c:v>-2.5624799999999972</c:v>
                </c:pt>
                <c:pt idx="1050">
                  <c:v>-3.0484799999999961</c:v>
                </c:pt>
                <c:pt idx="1051">
                  <c:v>-2.4004799999999964</c:v>
                </c:pt>
                <c:pt idx="1052">
                  <c:v>-2.2384799999999974</c:v>
                </c:pt>
                <c:pt idx="1053">
                  <c:v>-2.2384799999999974</c:v>
                </c:pt>
                <c:pt idx="1054">
                  <c:v>-2.4004799999999982</c:v>
                </c:pt>
                <c:pt idx="1055">
                  <c:v>-1.5904799999999994</c:v>
                </c:pt>
                <c:pt idx="1056">
                  <c:v>-1.7524799999999985</c:v>
                </c:pt>
                <c:pt idx="1057">
                  <c:v>-1.7524799999999985</c:v>
                </c:pt>
                <c:pt idx="1058">
                  <c:v>-2.2384799999999974</c:v>
                </c:pt>
                <c:pt idx="1059">
                  <c:v>-1.5904799999999994</c:v>
                </c:pt>
                <c:pt idx="1060">
                  <c:v>-1.4284800000000004</c:v>
                </c:pt>
                <c:pt idx="1061">
                  <c:v>-1.4284800000000004</c:v>
                </c:pt>
                <c:pt idx="1062">
                  <c:v>-1.5904799999999994</c:v>
                </c:pt>
                <c:pt idx="1063">
                  <c:v>-0.78048000000000073</c:v>
                </c:pt>
                <c:pt idx="1064">
                  <c:v>-0.94247999999999976</c:v>
                </c:pt>
                <c:pt idx="1065">
                  <c:v>-0.94247999999999976</c:v>
                </c:pt>
                <c:pt idx="1066">
                  <c:v>-1.4284800000000004</c:v>
                </c:pt>
                <c:pt idx="1067">
                  <c:v>-0.78048000000000073</c:v>
                </c:pt>
                <c:pt idx="1068">
                  <c:v>-0.61847999999999814</c:v>
                </c:pt>
                <c:pt idx="1069">
                  <c:v>-0.61847999999999814</c:v>
                </c:pt>
                <c:pt idx="1070">
                  <c:v>-0.78047999999999718</c:v>
                </c:pt>
                <c:pt idx="1071">
                  <c:v>2.9520000000001545E-2</c:v>
                </c:pt>
                <c:pt idx="1072">
                  <c:v>-0.13247999999999749</c:v>
                </c:pt>
                <c:pt idx="1073">
                  <c:v>-0.13247999999999749</c:v>
                </c:pt>
                <c:pt idx="1074">
                  <c:v>-0.61847999999999814</c:v>
                </c:pt>
                <c:pt idx="1075">
                  <c:v>2.9520000000001545E-2</c:v>
                </c:pt>
                <c:pt idx="1076">
                  <c:v>0.19152000000000058</c:v>
                </c:pt>
                <c:pt idx="1077">
                  <c:v>0.19152000000000058</c:v>
                </c:pt>
                <c:pt idx="1078">
                  <c:v>2.9520000000001545E-2</c:v>
                </c:pt>
                <c:pt idx="1079">
                  <c:v>0.83952000000000027</c:v>
                </c:pt>
                <c:pt idx="1080">
                  <c:v>0.67752000000000123</c:v>
                </c:pt>
                <c:pt idx="1081">
                  <c:v>0.67752000000000123</c:v>
                </c:pt>
                <c:pt idx="1082">
                  <c:v>0.19152000000000058</c:v>
                </c:pt>
                <c:pt idx="1083">
                  <c:v>0.83952000000000027</c:v>
                </c:pt>
                <c:pt idx="1084">
                  <c:v>1.0015199999999993</c:v>
                </c:pt>
                <c:pt idx="1085">
                  <c:v>1.0015199999999993</c:v>
                </c:pt>
                <c:pt idx="1086">
                  <c:v>0.83952000000000027</c:v>
                </c:pt>
                <c:pt idx="1087">
                  <c:v>1.649519999999999</c:v>
                </c:pt>
                <c:pt idx="1088">
                  <c:v>1.48752</c:v>
                </c:pt>
                <c:pt idx="1089">
                  <c:v>1.48752</c:v>
                </c:pt>
                <c:pt idx="1090">
                  <c:v>1.0015199999999993</c:v>
                </c:pt>
                <c:pt idx="1091">
                  <c:v>1.649519999999999</c:v>
                </c:pt>
                <c:pt idx="1092">
                  <c:v>1.8115200000000016</c:v>
                </c:pt>
                <c:pt idx="1093">
                  <c:v>1.8115200000000016</c:v>
                </c:pt>
                <c:pt idx="1094">
                  <c:v>1.6495200000000025</c:v>
                </c:pt>
                <c:pt idx="1095">
                  <c:v>2.4595200000000013</c:v>
                </c:pt>
                <c:pt idx="1096">
                  <c:v>2.2975200000000022</c:v>
                </c:pt>
                <c:pt idx="1097">
                  <c:v>2.2975200000000022</c:v>
                </c:pt>
                <c:pt idx="1098">
                  <c:v>1.8115200000000016</c:v>
                </c:pt>
                <c:pt idx="1099">
                  <c:v>2.4595200000000013</c:v>
                </c:pt>
                <c:pt idx="1100">
                  <c:v>2.6215200000000038</c:v>
                </c:pt>
                <c:pt idx="1101">
                  <c:v>2.6215200000000038</c:v>
                </c:pt>
                <c:pt idx="1102">
                  <c:v>2.4595200000000048</c:v>
                </c:pt>
                <c:pt idx="1103">
                  <c:v>3.2695200000000035</c:v>
                </c:pt>
                <c:pt idx="1104">
                  <c:v>3.1075200000000045</c:v>
                </c:pt>
                <c:pt idx="1105">
                  <c:v>3.1075200000000045</c:v>
                </c:pt>
                <c:pt idx="1106">
                  <c:v>2.6215200000000038</c:v>
                </c:pt>
                <c:pt idx="1107">
                  <c:v>3.2695200000000035</c:v>
                </c:pt>
                <c:pt idx="1108">
                  <c:v>3.4315200000000026</c:v>
                </c:pt>
                <c:pt idx="1109">
                  <c:v>3.4315200000000026</c:v>
                </c:pt>
                <c:pt idx="1110">
                  <c:v>3.2695200000000035</c:v>
                </c:pt>
                <c:pt idx="1111">
                  <c:v>4.0795200000000023</c:v>
                </c:pt>
                <c:pt idx="1112">
                  <c:v>3.9175200000000032</c:v>
                </c:pt>
                <c:pt idx="1113">
                  <c:v>3.9175200000000032</c:v>
                </c:pt>
                <c:pt idx="1114">
                  <c:v>3.4315200000000026</c:v>
                </c:pt>
                <c:pt idx="1115">
                  <c:v>4.0795200000000023</c:v>
                </c:pt>
                <c:pt idx="1116">
                  <c:v>4.2415200000000013</c:v>
                </c:pt>
                <c:pt idx="1117">
                  <c:v>4.2415200000000013</c:v>
                </c:pt>
                <c:pt idx="1118">
                  <c:v>4.0795200000000023</c:v>
                </c:pt>
                <c:pt idx="1119">
                  <c:v>4.889520000000001</c:v>
                </c:pt>
                <c:pt idx="1120">
                  <c:v>4.7275200000000019</c:v>
                </c:pt>
                <c:pt idx="1121">
                  <c:v>4.7275200000000019</c:v>
                </c:pt>
                <c:pt idx="1122">
                  <c:v>4.2415200000000013</c:v>
                </c:pt>
                <c:pt idx="1123">
                  <c:v>4.889520000000001</c:v>
                </c:pt>
                <c:pt idx="1124">
                  <c:v>5.0515200000000036</c:v>
                </c:pt>
                <c:pt idx="1125">
                  <c:v>5.0515200000000036</c:v>
                </c:pt>
                <c:pt idx="1126">
                  <c:v>4.8895200000000045</c:v>
                </c:pt>
                <c:pt idx="1127">
                  <c:v>5.6995200000000033</c:v>
                </c:pt>
                <c:pt idx="1128">
                  <c:v>5.5375200000000042</c:v>
                </c:pt>
                <c:pt idx="1129">
                  <c:v>5.5375200000000042</c:v>
                </c:pt>
                <c:pt idx="1130">
                  <c:v>5.0515200000000036</c:v>
                </c:pt>
                <c:pt idx="1131">
                  <c:v>5.6995200000000033</c:v>
                </c:pt>
                <c:pt idx="1132">
                  <c:v>5.8615200000000023</c:v>
                </c:pt>
                <c:pt idx="1133">
                  <c:v>5.8615200000000023</c:v>
                </c:pt>
                <c:pt idx="1134">
                  <c:v>5.6995200000000033</c:v>
                </c:pt>
                <c:pt idx="1135">
                  <c:v>6.509520000000002</c:v>
                </c:pt>
                <c:pt idx="1136">
                  <c:v>6.3475200000000029</c:v>
                </c:pt>
                <c:pt idx="1137">
                  <c:v>6.3475200000000029</c:v>
                </c:pt>
                <c:pt idx="1138">
                  <c:v>5.8615200000000023</c:v>
                </c:pt>
                <c:pt idx="1139">
                  <c:v>6.509520000000002</c:v>
                </c:pt>
                <c:pt idx="1140">
                  <c:v>6.671520000000001</c:v>
                </c:pt>
                <c:pt idx="1141">
                  <c:v>6.671520000000001</c:v>
                </c:pt>
                <c:pt idx="1142">
                  <c:v>6.509520000000002</c:v>
                </c:pt>
                <c:pt idx="1143">
                  <c:v>7.3195200000000007</c:v>
                </c:pt>
                <c:pt idx="1144">
                  <c:v>7.1575200000000017</c:v>
                </c:pt>
                <c:pt idx="1145">
                  <c:v>7.1575200000000017</c:v>
                </c:pt>
                <c:pt idx="1146">
                  <c:v>6.671520000000001</c:v>
                </c:pt>
                <c:pt idx="1147">
                  <c:v>7.3195200000000007</c:v>
                </c:pt>
                <c:pt idx="1148">
                  <c:v>7.4815200000000033</c:v>
                </c:pt>
                <c:pt idx="1149">
                  <c:v>7.4815200000000033</c:v>
                </c:pt>
                <c:pt idx="1150">
                  <c:v>7.3195200000000042</c:v>
                </c:pt>
                <c:pt idx="1151">
                  <c:v>8.129520000000003</c:v>
                </c:pt>
                <c:pt idx="1152">
                  <c:v>7.9675200000000039</c:v>
                </c:pt>
                <c:pt idx="1153">
                  <c:v>7.9675200000000039</c:v>
                </c:pt>
                <c:pt idx="1154">
                  <c:v>7.4815200000000033</c:v>
                </c:pt>
                <c:pt idx="1155">
                  <c:v>8.129520000000003</c:v>
                </c:pt>
                <c:pt idx="1156">
                  <c:v>8.291520000000002</c:v>
                </c:pt>
                <c:pt idx="1157">
                  <c:v>8.291520000000002</c:v>
                </c:pt>
                <c:pt idx="1158">
                  <c:v>8.129520000000003</c:v>
                </c:pt>
                <c:pt idx="1159">
                  <c:v>8.9395200000000017</c:v>
                </c:pt>
                <c:pt idx="1160">
                  <c:v>8.7775200000000027</c:v>
                </c:pt>
                <c:pt idx="1161">
                  <c:v>8.7775200000000027</c:v>
                </c:pt>
                <c:pt idx="1162">
                  <c:v>8.291520000000002</c:v>
                </c:pt>
                <c:pt idx="1163">
                  <c:v>8.9395200000000017</c:v>
                </c:pt>
                <c:pt idx="1164">
                  <c:v>8.291520000000002</c:v>
                </c:pt>
                <c:pt idx="1165">
                  <c:v>8.291520000000002</c:v>
                </c:pt>
                <c:pt idx="1166">
                  <c:v>8.129520000000003</c:v>
                </c:pt>
                <c:pt idx="1167">
                  <c:v>8.9395200000000017</c:v>
                </c:pt>
                <c:pt idx="1168">
                  <c:v>8.7775200000000027</c:v>
                </c:pt>
                <c:pt idx="1169">
                  <c:v>8.7775200000000027</c:v>
                </c:pt>
                <c:pt idx="1170">
                  <c:v>8.291520000000002</c:v>
                </c:pt>
                <c:pt idx="1171">
                  <c:v>8.9395200000000017</c:v>
                </c:pt>
                <c:pt idx="1172">
                  <c:v>8.291520000000002</c:v>
                </c:pt>
                <c:pt idx="1173">
                  <c:v>8.291520000000002</c:v>
                </c:pt>
                <c:pt idx="1174">
                  <c:v>8.129520000000003</c:v>
                </c:pt>
                <c:pt idx="1175">
                  <c:v>8.9395200000000017</c:v>
                </c:pt>
                <c:pt idx="1176">
                  <c:v>8.7775200000000027</c:v>
                </c:pt>
                <c:pt idx="1177">
                  <c:v>8.7775200000000027</c:v>
                </c:pt>
                <c:pt idx="1178">
                  <c:v>8.291520000000002</c:v>
                </c:pt>
                <c:pt idx="1179">
                  <c:v>8.9395200000000017</c:v>
                </c:pt>
                <c:pt idx="1180">
                  <c:v>8.291520000000002</c:v>
                </c:pt>
                <c:pt idx="1181">
                  <c:v>8.291520000000002</c:v>
                </c:pt>
                <c:pt idx="1182">
                  <c:v>8.129520000000003</c:v>
                </c:pt>
                <c:pt idx="1183">
                  <c:v>8.9395200000000017</c:v>
                </c:pt>
                <c:pt idx="1184">
                  <c:v>8.7775200000000027</c:v>
                </c:pt>
                <c:pt idx="1185">
                  <c:v>8.7775200000000027</c:v>
                </c:pt>
                <c:pt idx="1186">
                  <c:v>8.291520000000002</c:v>
                </c:pt>
                <c:pt idx="1187">
                  <c:v>8.9395200000000017</c:v>
                </c:pt>
                <c:pt idx="1188">
                  <c:v>8.291520000000002</c:v>
                </c:pt>
                <c:pt idx="1189">
                  <c:v>8.291520000000002</c:v>
                </c:pt>
                <c:pt idx="1190">
                  <c:v>8.129520000000003</c:v>
                </c:pt>
                <c:pt idx="1191">
                  <c:v>8.9395200000000017</c:v>
                </c:pt>
                <c:pt idx="1192">
                  <c:v>8.7775200000000027</c:v>
                </c:pt>
                <c:pt idx="1193">
                  <c:v>8.7775200000000027</c:v>
                </c:pt>
                <c:pt idx="1194">
                  <c:v>8.291520000000002</c:v>
                </c:pt>
                <c:pt idx="1195">
                  <c:v>8.9395200000000017</c:v>
                </c:pt>
                <c:pt idx="1196">
                  <c:v>8.291520000000002</c:v>
                </c:pt>
                <c:pt idx="1197">
                  <c:v>8.291520000000002</c:v>
                </c:pt>
                <c:pt idx="1198">
                  <c:v>8.129520000000003</c:v>
                </c:pt>
                <c:pt idx="1199">
                  <c:v>8.9395200000000017</c:v>
                </c:pt>
                <c:pt idx="1200">
                  <c:v>8.7775200000000027</c:v>
                </c:pt>
                <c:pt idx="1201">
                  <c:v>8.7775200000000027</c:v>
                </c:pt>
                <c:pt idx="1202">
                  <c:v>8.291520000000002</c:v>
                </c:pt>
                <c:pt idx="1203">
                  <c:v>8.9395200000000017</c:v>
                </c:pt>
                <c:pt idx="1204">
                  <c:v>8.291520000000002</c:v>
                </c:pt>
                <c:pt idx="1205">
                  <c:v>8.291520000000002</c:v>
                </c:pt>
                <c:pt idx="1206">
                  <c:v>8.129520000000003</c:v>
                </c:pt>
                <c:pt idx="1207">
                  <c:v>8.9395200000000017</c:v>
                </c:pt>
                <c:pt idx="1208">
                  <c:v>8.7775200000000027</c:v>
                </c:pt>
                <c:pt idx="1209">
                  <c:v>8.7775200000000027</c:v>
                </c:pt>
                <c:pt idx="1210">
                  <c:v>8.291520000000002</c:v>
                </c:pt>
                <c:pt idx="1211">
                  <c:v>8.9395200000000017</c:v>
                </c:pt>
                <c:pt idx="1212">
                  <c:v>8.291520000000002</c:v>
                </c:pt>
                <c:pt idx="1213">
                  <c:v>8.291520000000002</c:v>
                </c:pt>
                <c:pt idx="1214">
                  <c:v>8.129520000000003</c:v>
                </c:pt>
                <c:pt idx="1215">
                  <c:v>8.9395200000000017</c:v>
                </c:pt>
                <c:pt idx="1216">
                  <c:v>8.7775200000000027</c:v>
                </c:pt>
                <c:pt idx="1217">
                  <c:v>8.7775200000000027</c:v>
                </c:pt>
                <c:pt idx="1218">
                  <c:v>8.291520000000002</c:v>
                </c:pt>
                <c:pt idx="1219">
                  <c:v>8.9395200000000017</c:v>
                </c:pt>
                <c:pt idx="1220">
                  <c:v>8.291520000000002</c:v>
                </c:pt>
                <c:pt idx="1221">
                  <c:v>8.291520000000002</c:v>
                </c:pt>
                <c:pt idx="1222">
                  <c:v>8.129520000000003</c:v>
                </c:pt>
                <c:pt idx="1223">
                  <c:v>8.9395200000000017</c:v>
                </c:pt>
                <c:pt idx="1224">
                  <c:v>8.7775200000000027</c:v>
                </c:pt>
                <c:pt idx="1225">
                  <c:v>8.7775200000000027</c:v>
                </c:pt>
                <c:pt idx="1226">
                  <c:v>8.291520000000002</c:v>
                </c:pt>
                <c:pt idx="1227">
                  <c:v>8.9395200000000017</c:v>
                </c:pt>
                <c:pt idx="1228">
                  <c:v>8.291520000000002</c:v>
                </c:pt>
                <c:pt idx="1229">
                  <c:v>8.291520000000002</c:v>
                </c:pt>
                <c:pt idx="1230">
                  <c:v>8.129520000000003</c:v>
                </c:pt>
                <c:pt idx="1231">
                  <c:v>8.9395200000000017</c:v>
                </c:pt>
                <c:pt idx="1232">
                  <c:v>8.7775200000000027</c:v>
                </c:pt>
                <c:pt idx="1233">
                  <c:v>8.7775200000000027</c:v>
                </c:pt>
                <c:pt idx="1234">
                  <c:v>8.291520000000002</c:v>
                </c:pt>
                <c:pt idx="1235">
                  <c:v>8.9395200000000017</c:v>
                </c:pt>
                <c:pt idx="1236">
                  <c:v>8.291520000000002</c:v>
                </c:pt>
                <c:pt idx="1237">
                  <c:v>8.291520000000002</c:v>
                </c:pt>
                <c:pt idx="1238">
                  <c:v>8.129520000000003</c:v>
                </c:pt>
                <c:pt idx="1239">
                  <c:v>8.9395200000000017</c:v>
                </c:pt>
                <c:pt idx="1240">
                  <c:v>8.7775200000000027</c:v>
                </c:pt>
                <c:pt idx="1241">
                  <c:v>8.7775200000000027</c:v>
                </c:pt>
                <c:pt idx="1242">
                  <c:v>8.291520000000002</c:v>
                </c:pt>
                <c:pt idx="1243">
                  <c:v>8.9395200000000017</c:v>
                </c:pt>
                <c:pt idx="1244">
                  <c:v>8.291520000000002</c:v>
                </c:pt>
                <c:pt idx="1245">
                  <c:v>8.291520000000002</c:v>
                </c:pt>
                <c:pt idx="1246">
                  <c:v>8.129520000000003</c:v>
                </c:pt>
                <c:pt idx="1247">
                  <c:v>8.9395200000000017</c:v>
                </c:pt>
                <c:pt idx="1248">
                  <c:v>8.7775200000000027</c:v>
                </c:pt>
                <c:pt idx="1249">
                  <c:v>8.7775200000000027</c:v>
                </c:pt>
                <c:pt idx="1250">
                  <c:v>8.291520000000002</c:v>
                </c:pt>
                <c:pt idx="1251">
                  <c:v>8.9395200000000017</c:v>
                </c:pt>
                <c:pt idx="1252">
                  <c:v>8.291520000000002</c:v>
                </c:pt>
                <c:pt idx="1253">
                  <c:v>8.291520000000002</c:v>
                </c:pt>
                <c:pt idx="1254">
                  <c:v>8.129520000000003</c:v>
                </c:pt>
                <c:pt idx="1255">
                  <c:v>8.9395200000000017</c:v>
                </c:pt>
                <c:pt idx="1256">
                  <c:v>8.7775200000000027</c:v>
                </c:pt>
                <c:pt idx="1257">
                  <c:v>8.7775200000000027</c:v>
                </c:pt>
                <c:pt idx="1258">
                  <c:v>8.291520000000002</c:v>
                </c:pt>
                <c:pt idx="1259">
                  <c:v>8.9395200000000017</c:v>
                </c:pt>
                <c:pt idx="1260">
                  <c:v>8.291520000000002</c:v>
                </c:pt>
                <c:pt idx="1261">
                  <c:v>8.291520000000002</c:v>
                </c:pt>
                <c:pt idx="1262">
                  <c:v>8.129520000000003</c:v>
                </c:pt>
                <c:pt idx="1263">
                  <c:v>8.9395200000000017</c:v>
                </c:pt>
                <c:pt idx="1264">
                  <c:v>8.7775200000000027</c:v>
                </c:pt>
                <c:pt idx="1265">
                  <c:v>8.7775200000000027</c:v>
                </c:pt>
                <c:pt idx="1266">
                  <c:v>8.291520000000002</c:v>
                </c:pt>
                <c:pt idx="1267">
                  <c:v>8.9395200000000017</c:v>
                </c:pt>
                <c:pt idx="1268">
                  <c:v>8.291520000000002</c:v>
                </c:pt>
                <c:pt idx="1269">
                  <c:v>8.291520000000002</c:v>
                </c:pt>
                <c:pt idx="1270">
                  <c:v>8.129520000000003</c:v>
                </c:pt>
                <c:pt idx="1271">
                  <c:v>8.9395200000000017</c:v>
                </c:pt>
                <c:pt idx="1272">
                  <c:v>8.7775200000000027</c:v>
                </c:pt>
                <c:pt idx="1273">
                  <c:v>8.7775200000000027</c:v>
                </c:pt>
                <c:pt idx="1274">
                  <c:v>8.291520000000002</c:v>
                </c:pt>
                <c:pt idx="1275">
                  <c:v>8.9395200000000017</c:v>
                </c:pt>
                <c:pt idx="1276">
                  <c:v>8.291520000000002</c:v>
                </c:pt>
                <c:pt idx="1277">
                  <c:v>8.291520000000002</c:v>
                </c:pt>
                <c:pt idx="1278">
                  <c:v>8.129520000000003</c:v>
                </c:pt>
                <c:pt idx="1279">
                  <c:v>8.9395200000000017</c:v>
                </c:pt>
                <c:pt idx="1280">
                  <c:v>8.7775200000000027</c:v>
                </c:pt>
                <c:pt idx="1281">
                  <c:v>8.7775200000000027</c:v>
                </c:pt>
                <c:pt idx="1282">
                  <c:v>8.291520000000002</c:v>
                </c:pt>
                <c:pt idx="1283">
                  <c:v>8.9395200000000017</c:v>
                </c:pt>
                <c:pt idx="1284">
                  <c:v>8.291520000000002</c:v>
                </c:pt>
                <c:pt idx="1285">
                  <c:v>8.291520000000002</c:v>
                </c:pt>
                <c:pt idx="1286">
                  <c:v>8.129520000000003</c:v>
                </c:pt>
                <c:pt idx="1287">
                  <c:v>8.9395200000000017</c:v>
                </c:pt>
                <c:pt idx="1288">
                  <c:v>8.7775200000000027</c:v>
                </c:pt>
                <c:pt idx="1289">
                  <c:v>8.7775200000000027</c:v>
                </c:pt>
                <c:pt idx="1290">
                  <c:v>8.291520000000002</c:v>
                </c:pt>
                <c:pt idx="1291">
                  <c:v>8.9395200000000017</c:v>
                </c:pt>
                <c:pt idx="1292">
                  <c:v>8.291520000000002</c:v>
                </c:pt>
                <c:pt idx="1293">
                  <c:v>8.291520000000002</c:v>
                </c:pt>
                <c:pt idx="1294">
                  <c:v>8.129520000000003</c:v>
                </c:pt>
                <c:pt idx="1295">
                  <c:v>8.9395200000000017</c:v>
                </c:pt>
                <c:pt idx="1296">
                  <c:v>8.7775200000000027</c:v>
                </c:pt>
                <c:pt idx="1297">
                  <c:v>8.7775200000000027</c:v>
                </c:pt>
                <c:pt idx="1298">
                  <c:v>8.291520000000002</c:v>
                </c:pt>
                <c:pt idx="1299">
                  <c:v>8.9395200000000017</c:v>
                </c:pt>
                <c:pt idx="1300">
                  <c:v>8.291520000000002</c:v>
                </c:pt>
                <c:pt idx="1301">
                  <c:v>8.291520000000002</c:v>
                </c:pt>
                <c:pt idx="1302">
                  <c:v>8.129520000000003</c:v>
                </c:pt>
                <c:pt idx="1303">
                  <c:v>8.9395200000000017</c:v>
                </c:pt>
                <c:pt idx="1304">
                  <c:v>8.7775200000000027</c:v>
                </c:pt>
                <c:pt idx="1305">
                  <c:v>8.7775200000000027</c:v>
                </c:pt>
                <c:pt idx="1306">
                  <c:v>8.291520000000002</c:v>
                </c:pt>
                <c:pt idx="1307">
                  <c:v>8.9395200000000017</c:v>
                </c:pt>
                <c:pt idx="1308">
                  <c:v>8.291520000000002</c:v>
                </c:pt>
                <c:pt idx="1309">
                  <c:v>8.291520000000002</c:v>
                </c:pt>
                <c:pt idx="1310">
                  <c:v>8.129520000000003</c:v>
                </c:pt>
                <c:pt idx="1311">
                  <c:v>8.9395200000000017</c:v>
                </c:pt>
                <c:pt idx="1312">
                  <c:v>8.7775200000000027</c:v>
                </c:pt>
                <c:pt idx="1313">
                  <c:v>8.7775200000000027</c:v>
                </c:pt>
                <c:pt idx="1314">
                  <c:v>8.291520000000002</c:v>
                </c:pt>
                <c:pt idx="1315">
                  <c:v>8.9395200000000017</c:v>
                </c:pt>
                <c:pt idx="1316">
                  <c:v>8.291520000000002</c:v>
                </c:pt>
                <c:pt idx="1317">
                  <c:v>8.291520000000002</c:v>
                </c:pt>
                <c:pt idx="1318">
                  <c:v>8.129520000000003</c:v>
                </c:pt>
                <c:pt idx="1319">
                  <c:v>8.9395200000000017</c:v>
                </c:pt>
                <c:pt idx="1320">
                  <c:v>8.7775200000000027</c:v>
                </c:pt>
                <c:pt idx="1321">
                  <c:v>8.7775200000000027</c:v>
                </c:pt>
                <c:pt idx="1322">
                  <c:v>8.291520000000002</c:v>
                </c:pt>
                <c:pt idx="1323">
                  <c:v>8.9395200000000017</c:v>
                </c:pt>
                <c:pt idx="1324">
                  <c:v>8.291520000000002</c:v>
                </c:pt>
                <c:pt idx="1325">
                  <c:v>8.291520000000002</c:v>
                </c:pt>
                <c:pt idx="1326">
                  <c:v>8.129520000000003</c:v>
                </c:pt>
                <c:pt idx="1327">
                  <c:v>8.9395200000000017</c:v>
                </c:pt>
                <c:pt idx="1328">
                  <c:v>8.7775200000000027</c:v>
                </c:pt>
                <c:pt idx="1329">
                  <c:v>8.7775200000000027</c:v>
                </c:pt>
                <c:pt idx="1330">
                  <c:v>8.291520000000002</c:v>
                </c:pt>
                <c:pt idx="1331">
                  <c:v>8.9395200000000017</c:v>
                </c:pt>
                <c:pt idx="1332">
                  <c:v>8.291520000000002</c:v>
                </c:pt>
                <c:pt idx="1333">
                  <c:v>8.291520000000002</c:v>
                </c:pt>
                <c:pt idx="1334">
                  <c:v>8.129520000000003</c:v>
                </c:pt>
                <c:pt idx="1335">
                  <c:v>8.9395200000000017</c:v>
                </c:pt>
                <c:pt idx="1336">
                  <c:v>8.7775200000000027</c:v>
                </c:pt>
                <c:pt idx="1337">
                  <c:v>8.7775200000000027</c:v>
                </c:pt>
                <c:pt idx="1338">
                  <c:v>8.291520000000002</c:v>
                </c:pt>
                <c:pt idx="1339">
                  <c:v>8.9395200000000017</c:v>
                </c:pt>
                <c:pt idx="1340">
                  <c:v>8.291520000000002</c:v>
                </c:pt>
                <c:pt idx="1341">
                  <c:v>8.291520000000002</c:v>
                </c:pt>
                <c:pt idx="1342">
                  <c:v>8.129520000000003</c:v>
                </c:pt>
                <c:pt idx="1343">
                  <c:v>8.9395200000000017</c:v>
                </c:pt>
                <c:pt idx="1344">
                  <c:v>8.7775200000000027</c:v>
                </c:pt>
                <c:pt idx="1345">
                  <c:v>8.7775200000000027</c:v>
                </c:pt>
                <c:pt idx="1346">
                  <c:v>8.291520000000002</c:v>
                </c:pt>
                <c:pt idx="1347">
                  <c:v>8.9395200000000017</c:v>
                </c:pt>
                <c:pt idx="1348">
                  <c:v>8.291520000000002</c:v>
                </c:pt>
                <c:pt idx="1349">
                  <c:v>8.291520000000002</c:v>
                </c:pt>
                <c:pt idx="1350">
                  <c:v>8.129520000000003</c:v>
                </c:pt>
                <c:pt idx="1351">
                  <c:v>8.9395200000000017</c:v>
                </c:pt>
                <c:pt idx="1352">
                  <c:v>8.7775200000000027</c:v>
                </c:pt>
                <c:pt idx="1353">
                  <c:v>8.7775200000000027</c:v>
                </c:pt>
                <c:pt idx="1354">
                  <c:v>8.291520000000002</c:v>
                </c:pt>
                <c:pt idx="1355">
                  <c:v>8.9395200000000017</c:v>
                </c:pt>
                <c:pt idx="1356">
                  <c:v>8.291520000000002</c:v>
                </c:pt>
                <c:pt idx="1357">
                  <c:v>8.291520000000002</c:v>
                </c:pt>
                <c:pt idx="1358">
                  <c:v>8.129520000000003</c:v>
                </c:pt>
                <c:pt idx="1359">
                  <c:v>8.9395200000000017</c:v>
                </c:pt>
                <c:pt idx="1360">
                  <c:v>8.7775200000000027</c:v>
                </c:pt>
                <c:pt idx="1361">
                  <c:v>8.7775200000000027</c:v>
                </c:pt>
                <c:pt idx="1362">
                  <c:v>8.291520000000002</c:v>
                </c:pt>
                <c:pt idx="1363">
                  <c:v>8.9395200000000017</c:v>
                </c:pt>
                <c:pt idx="1364">
                  <c:v>8.291520000000002</c:v>
                </c:pt>
                <c:pt idx="1365">
                  <c:v>8.291520000000002</c:v>
                </c:pt>
                <c:pt idx="1366">
                  <c:v>8.129520000000003</c:v>
                </c:pt>
                <c:pt idx="1367">
                  <c:v>8.9395200000000017</c:v>
                </c:pt>
                <c:pt idx="1368">
                  <c:v>8.7775200000000027</c:v>
                </c:pt>
                <c:pt idx="1369">
                  <c:v>8.7775200000000027</c:v>
                </c:pt>
                <c:pt idx="1370">
                  <c:v>8.291520000000002</c:v>
                </c:pt>
                <c:pt idx="1371">
                  <c:v>8.9395200000000017</c:v>
                </c:pt>
                <c:pt idx="1372">
                  <c:v>8.291520000000002</c:v>
                </c:pt>
                <c:pt idx="1373">
                  <c:v>8.291520000000002</c:v>
                </c:pt>
                <c:pt idx="1374">
                  <c:v>8.129520000000003</c:v>
                </c:pt>
                <c:pt idx="1375">
                  <c:v>8.9395200000000017</c:v>
                </c:pt>
                <c:pt idx="1376">
                  <c:v>8.7775200000000027</c:v>
                </c:pt>
                <c:pt idx="1377">
                  <c:v>8.7775200000000027</c:v>
                </c:pt>
                <c:pt idx="1378">
                  <c:v>8.291520000000002</c:v>
                </c:pt>
                <c:pt idx="1379">
                  <c:v>8.9395200000000017</c:v>
                </c:pt>
                <c:pt idx="1380">
                  <c:v>8.291520000000002</c:v>
                </c:pt>
                <c:pt idx="1381">
                  <c:v>8.291520000000002</c:v>
                </c:pt>
                <c:pt idx="1382">
                  <c:v>8.129520000000003</c:v>
                </c:pt>
                <c:pt idx="1383">
                  <c:v>8.9395200000000017</c:v>
                </c:pt>
                <c:pt idx="1384">
                  <c:v>8.7775200000000027</c:v>
                </c:pt>
                <c:pt idx="1385">
                  <c:v>8.7775200000000027</c:v>
                </c:pt>
                <c:pt idx="1386">
                  <c:v>8.291520000000002</c:v>
                </c:pt>
                <c:pt idx="1387">
                  <c:v>8.9395200000000017</c:v>
                </c:pt>
                <c:pt idx="1388">
                  <c:v>8.291520000000002</c:v>
                </c:pt>
                <c:pt idx="1389">
                  <c:v>8.291520000000002</c:v>
                </c:pt>
                <c:pt idx="1390">
                  <c:v>8.129520000000003</c:v>
                </c:pt>
                <c:pt idx="1391">
                  <c:v>8.9395200000000017</c:v>
                </c:pt>
                <c:pt idx="1392">
                  <c:v>8.7775200000000027</c:v>
                </c:pt>
                <c:pt idx="1393">
                  <c:v>8.7775200000000027</c:v>
                </c:pt>
                <c:pt idx="1394">
                  <c:v>8.291520000000002</c:v>
                </c:pt>
                <c:pt idx="1395">
                  <c:v>8.9395200000000017</c:v>
                </c:pt>
                <c:pt idx="1396">
                  <c:v>8.291520000000002</c:v>
                </c:pt>
                <c:pt idx="1397">
                  <c:v>8.291520000000002</c:v>
                </c:pt>
                <c:pt idx="1398">
                  <c:v>8.129520000000003</c:v>
                </c:pt>
                <c:pt idx="1399">
                  <c:v>8.9395200000000017</c:v>
                </c:pt>
                <c:pt idx="1400">
                  <c:v>8.7775200000000027</c:v>
                </c:pt>
                <c:pt idx="1401">
                  <c:v>8.7775200000000027</c:v>
                </c:pt>
                <c:pt idx="1402">
                  <c:v>8.291520000000002</c:v>
                </c:pt>
                <c:pt idx="1403">
                  <c:v>8.9395200000000017</c:v>
                </c:pt>
                <c:pt idx="1404">
                  <c:v>8.291520000000002</c:v>
                </c:pt>
                <c:pt idx="1405">
                  <c:v>8.291520000000002</c:v>
                </c:pt>
                <c:pt idx="1406">
                  <c:v>8.129520000000003</c:v>
                </c:pt>
                <c:pt idx="1407">
                  <c:v>8.9395200000000017</c:v>
                </c:pt>
                <c:pt idx="1408">
                  <c:v>8.7775200000000027</c:v>
                </c:pt>
                <c:pt idx="1409">
                  <c:v>8.7775200000000027</c:v>
                </c:pt>
                <c:pt idx="1410">
                  <c:v>8.291520000000002</c:v>
                </c:pt>
                <c:pt idx="1411">
                  <c:v>8.9395200000000017</c:v>
                </c:pt>
                <c:pt idx="1412">
                  <c:v>8.291520000000002</c:v>
                </c:pt>
                <c:pt idx="1413">
                  <c:v>8.291520000000002</c:v>
                </c:pt>
                <c:pt idx="1414">
                  <c:v>8.129520000000003</c:v>
                </c:pt>
                <c:pt idx="1415">
                  <c:v>8.9395200000000017</c:v>
                </c:pt>
                <c:pt idx="1416">
                  <c:v>8.7775200000000027</c:v>
                </c:pt>
                <c:pt idx="1417">
                  <c:v>8.7775200000000027</c:v>
                </c:pt>
                <c:pt idx="1418">
                  <c:v>8.291520000000002</c:v>
                </c:pt>
                <c:pt idx="1419">
                  <c:v>8.9395200000000017</c:v>
                </c:pt>
                <c:pt idx="1420">
                  <c:v>8.291520000000002</c:v>
                </c:pt>
                <c:pt idx="1421">
                  <c:v>8.291520000000002</c:v>
                </c:pt>
                <c:pt idx="1422">
                  <c:v>8.129520000000003</c:v>
                </c:pt>
                <c:pt idx="1423">
                  <c:v>8.9395200000000017</c:v>
                </c:pt>
                <c:pt idx="1424">
                  <c:v>8.7775200000000027</c:v>
                </c:pt>
                <c:pt idx="1425">
                  <c:v>8.7775200000000027</c:v>
                </c:pt>
                <c:pt idx="1426">
                  <c:v>8.291520000000002</c:v>
                </c:pt>
                <c:pt idx="1427">
                  <c:v>8.9395200000000017</c:v>
                </c:pt>
                <c:pt idx="1428">
                  <c:v>8.291520000000002</c:v>
                </c:pt>
                <c:pt idx="1429">
                  <c:v>8.291520000000002</c:v>
                </c:pt>
                <c:pt idx="1430">
                  <c:v>8.129520000000003</c:v>
                </c:pt>
                <c:pt idx="1431">
                  <c:v>8.9395200000000017</c:v>
                </c:pt>
                <c:pt idx="1432">
                  <c:v>8.7775200000000027</c:v>
                </c:pt>
                <c:pt idx="1433">
                  <c:v>8.7775200000000027</c:v>
                </c:pt>
                <c:pt idx="1434">
                  <c:v>8.291520000000002</c:v>
                </c:pt>
                <c:pt idx="1435">
                  <c:v>8.9395200000000017</c:v>
                </c:pt>
                <c:pt idx="1436">
                  <c:v>8.291520000000002</c:v>
                </c:pt>
                <c:pt idx="1437">
                  <c:v>8.291520000000002</c:v>
                </c:pt>
                <c:pt idx="1438">
                  <c:v>8.129520000000003</c:v>
                </c:pt>
                <c:pt idx="1439">
                  <c:v>8.9395200000000017</c:v>
                </c:pt>
                <c:pt idx="1440">
                  <c:v>8.7775200000000027</c:v>
                </c:pt>
                <c:pt idx="1441">
                  <c:v>8.7775200000000027</c:v>
                </c:pt>
                <c:pt idx="1442">
                  <c:v>8.291520000000002</c:v>
                </c:pt>
                <c:pt idx="1443">
                  <c:v>8.9395200000000017</c:v>
                </c:pt>
                <c:pt idx="1444">
                  <c:v>8.9395200000000017</c:v>
                </c:pt>
                <c:pt idx="1445">
                  <c:v>-11.310479999999998</c:v>
                </c:pt>
                <c:pt idx="1446">
                  <c:v>-11.148479999999999</c:v>
                </c:pt>
                <c:pt idx="1447">
                  <c:v>-11.148479999999999</c:v>
                </c:pt>
                <c:pt idx="1448">
                  <c:v>-11.310479999999998</c:v>
                </c:pt>
                <c:pt idx="1449">
                  <c:v>-10.500479999999998</c:v>
                </c:pt>
                <c:pt idx="1450">
                  <c:v>-10.662479999999999</c:v>
                </c:pt>
                <c:pt idx="1451">
                  <c:v>-10.662479999999999</c:v>
                </c:pt>
                <c:pt idx="1452">
                  <c:v>-11.148479999999999</c:v>
                </c:pt>
                <c:pt idx="1453">
                  <c:v>-10.500479999999998</c:v>
                </c:pt>
                <c:pt idx="1454">
                  <c:v>-10.338479999999997</c:v>
                </c:pt>
                <c:pt idx="1455">
                  <c:v>-10.338479999999997</c:v>
                </c:pt>
                <c:pt idx="1456">
                  <c:v>-10.500479999999998</c:v>
                </c:pt>
                <c:pt idx="1457">
                  <c:v>-9.6904799999999973</c:v>
                </c:pt>
                <c:pt idx="1458">
                  <c:v>-9.8524799999999981</c:v>
                </c:pt>
                <c:pt idx="1459">
                  <c:v>-9.8524799999999981</c:v>
                </c:pt>
                <c:pt idx="1460">
                  <c:v>-10.338479999999997</c:v>
                </c:pt>
                <c:pt idx="1461">
                  <c:v>-9.6904799999999973</c:v>
                </c:pt>
                <c:pt idx="1462">
                  <c:v>-9.5284799999999965</c:v>
                </c:pt>
                <c:pt idx="1463">
                  <c:v>-9.5284799999999965</c:v>
                </c:pt>
                <c:pt idx="1464">
                  <c:v>-9.6904799999999973</c:v>
                </c:pt>
                <c:pt idx="1465">
                  <c:v>-8.8804799999999968</c:v>
                </c:pt>
                <c:pt idx="1466">
                  <c:v>-9.0424799999999976</c:v>
                </c:pt>
                <c:pt idx="1467">
                  <c:v>-9.0424799999999976</c:v>
                </c:pt>
                <c:pt idx="1468">
                  <c:v>-9.5284799999999965</c:v>
                </c:pt>
                <c:pt idx="1469">
                  <c:v>-8.8804799999999968</c:v>
                </c:pt>
                <c:pt idx="1470">
                  <c:v>-8.7184799999999978</c:v>
                </c:pt>
                <c:pt idx="1471">
                  <c:v>-8.7184799999999978</c:v>
                </c:pt>
                <c:pt idx="1472">
                  <c:v>-8.8804799999999986</c:v>
                </c:pt>
                <c:pt idx="1473">
                  <c:v>-8.0704799999999981</c:v>
                </c:pt>
                <c:pt idx="1474">
                  <c:v>-8.2324799999999989</c:v>
                </c:pt>
                <c:pt idx="1475">
                  <c:v>-8.2324799999999989</c:v>
                </c:pt>
                <c:pt idx="1476">
                  <c:v>-8.7184799999999978</c:v>
                </c:pt>
                <c:pt idx="1477">
                  <c:v>-8.0704799999999981</c:v>
                </c:pt>
                <c:pt idx="1478">
                  <c:v>-7.9084799999999973</c:v>
                </c:pt>
                <c:pt idx="1479">
                  <c:v>-7.9084799999999973</c:v>
                </c:pt>
                <c:pt idx="1480">
                  <c:v>-8.0704799999999981</c:v>
                </c:pt>
                <c:pt idx="1481">
                  <c:v>-7.2604799999999976</c:v>
                </c:pt>
                <c:pt idx="1482">
                  <c:v>-7.4224799999999984</c:v>
                </c:pt>
                <c:pt idx="1483">
                  <c:v>-7.4224799999999984</c:v>
                </c:pt>
                <c:pt idx="1484">
                  <c:v>-7.9084799999999973</c:v>
                </c:pt>
                <c:pt idx="1485">
                  <c:v>-7.2604799999999976</c:v>
                </c:pt>
                <c:pt idx="1486">
                  <c:v>-7.0984799999999968</c:v>
                </c:pt>
                <c:pt idx="1487">
                  <c:v>-7.0984799999999968</c:v>
                </c:pt>
                <c:pt idx="1488">
                  <c:v>-7.2604799999999976</c:v>
                </c:pt>
                <c:pt idx="1489">
                  <c:v>-6.4504799999999971</c:v>
                </c:pt>
                <c:pt idx="1490">
                  <c:v>-6.6124799999999979</c:v>
                </c:pt>
                <c:pt idx="1491">
                  <c:v>-6.6124799999999979</c:v>
                </c:pt>
                <c:pt idx="1492">
                  <c:v>-7.0984799999999968</c:v>
                </c:pt>
                <c:pt idx="1493">
                  <c:v>-6.4504799999999971</c:v>
                </c:pt>
                <c:pt idx="1494">
                  <c:v>-6.2884799999999981</c:v>
                </c:pt>
                <c:pt idx="1495">
                  <c:v>-6.2884799999999981</c:v>
                </c:pt>
                <c:pt idx="1496">
                  <c:v>-6.4504799999999989</c:v>
                </c:pt>
                <c:pt idx="1497">
                  <c:v>-5.6404799999999984</c:v>
                </c:pt>
                <c:pt idx="1498">
                  <c:v>-5.8024799999999992</c:v>
                </c:pt>
                <c:pt idx="1499">
                  <c:v>-5.8024799999999992</c:v>
                </c:pt>
                <c:pt idx="1500">
                  <c:v>-6.2884799999999981</c:v>
                </c:pt>
                <c:pt idx="1501">
                  <c:v>-5.6404799999999984</c:v>
                </c:pt>
                <c:pt idx="1502">
                  <c:v>-5.4784799999999976</c:v>
                </c:pt>
                <c:pt idx="1503">
                  <c:v>-5.4784799999999976</c:v>
                </c:pt>
                <c:pt idx="1504">
                  <c:v>-5.6404799999999984</c:v>
                </c:pt>
                <c:pt idx="1505">
                  <c:v>-4.8304799999999979</c:v>
                </c:pt>
                <c:pt idx="1506">
                  <c:v>-4.9924799999999987</c:v>
                </c:pt>
                <c:pt idx="1507">
                  <c:v>-4.9924799999999987</c:v>
                </c:pt>
                <c:pt idx="1508">
                  <c:v>-5.4784799999999976</c:v>
                </c:pt>
                <c:pt idx="1509">
                  <c:v>-4.8304799999999979</c:v>
                </c:pt>
                <c:pt idx="1510">
                  <c:v>-4.6684799999999971</c:v>
                </c:pt>
                <c:pt idx="1511">
                  <c:v>-4.6684799999999971</c:v>
                </c:pt>
                <c:pt idx="1512">
                  <c:v>-4.8304799999999979</c:v>
                </c:pt>
                <c:pt idx="1513">
                  <c:v>-4.0204799999999974</c:v>
                </c:pt>
                <c:pt idx="1514">
                  <c:v>-4.1824799999999982</c:v>
                </c:pt>
                <c:pt idx="1515">
                  <c:v>-4.1824799999999982</c:v>
                </c:pt>
                <c:pt idx="1516">
                  <c:v>-4.6684799999999971</c:v>
                </c:pt>
                <c:pt idx="1517">
                  <c:v>-4.0204799999999974</c:v>
                </c:pt>
                <c:pt idx="1518">
                  <c:v>-3.8584799999999966</c:v>
                </c:pt>
                <c:pt idx="1519">
                  <c:v>-3.8584799999999966</c:v>
                </c:pt>
                <c:pt idx="1520">
                  <c:v>-4.0204799999999974</c:v>
                </c:pt>
                <c:pt idx="1521">
                  <c:v>-3.2104799999999969</c:v>
                </c:pt>
                <c:pt idx="1522">
                  <c:v>-3.3724799999999977</c:v>
                </c:pt>
                <c:pt idx="1523">
                  <c:v>-3.3724799999999977</c:v>
                </c:pt>
                <c:pt idx="1524">
                  <c:v>-3.8584799999999966</c:v>
                </c:pt>
                <c:pt idx="1525">
                  <c:v>-3.2104799999999969</c:v>
                </c:pt>
                <c:pt idx="1526">
                  <c:v>-3.0484799999999961</c:v>
                </c:pt>
                <c:pt idx="1527">
                  <c:v>-3.0484799999999961</c:v>
                </c:pt>
                <c:pt idx="1528">
                  <c:v>-3.2104799999999969</c:v>
                </c:pt>
                <c:pt idx="1529">
                  <c:v>-2.4004799999999964</c:v>
                </c:pt>
                <c:pt idx="1530">
                  <c:v>-2.5624799999999972</c:v>
                </c:pt>
                <c:pt idx="1531">
                  <c:v>-2.5624799999999972</c:v>
                </c:pt>
                <c:pt idx="1532">
                  <c:v>-3.0484799999999961</c:v>
                </c:pt>
                <c:pt idx="1533">
                  <c:v>-2.4004799999999964</c:v>
                </c:pt>
                <c:pt idx="1534">
                  <c:v>-2.2384799999999974</c:v>
                </c:pt>
                <c:pt idx="1535">
                  <c:v>-2.2384799999999974</c:v>
                </c:pt>
                <c:pt idx="1536">
                  <c:v>-2.4004799999999982</c:v>
                </c:pt>
                <c:pt idx="1537">
                  <c:v>-1.5904799999999994</c:v>
                </c:pt>
                <c:pt idx="1538">
                  <c:v>-1.7524799999999985</c:v>
                </c:pt>
                <c:pt idx="1539">
                  <c:v>-1.7524799999999985</c:v>
                </c:pt>
                <c:pt idx="1540">
                  <c:v>-2.2384799999999974</c:v>
                </c:pt>
                <c:pt idx="1541">
                  <c:v>-1.5904799999999994</c:v>
                </c:pt>
                <c:pt idx="1542">
                  <c:v>-1.4284800000000004</c:v>
                </c:pt>
                <c:pt idx="1543">
                  <c:v>-1.4284800000000004</c:v>
                </c:pt>
                <c:pt idx="1544">
                  <c:v>-1.5904799999999994</c:v>
                </c:pt>
                <c:pt idx="1545">
                  <c:v>-0.78048000000000073</c:v>
                </c:pt>
                <c:pt idx="1546">
                  <c:v>-0.94247999999999976</c:v>
                </c:pt>
                <c:pt idx="1547">
                  <c:v>-0.94247999999999976</c:v>
                </c:pt>
                <c:pt idx="1548">
                  <c:v>-1.4284800000000004</c:v>
                </c:pt>
                <c:pt idx="1549">
                  <c:v>-0.78048000000000073</c:v>
                </c:pt>
                <c:pt idx="1550">
                  <c:v>-0.61847999999999814</c:v>
                </c:pt>
                <c:pt idx="1551">
                  <c:v>-0.61847999999999814</c:v>
                </c:pt>
                <c:pt idx="1552">
                  <c:v>-0.78047999999999718</c:v>
                </c:pt>
                <c:pt idx="1553">
                  <c:v>2.9520000000001545E-2</c:v>
                </c:pt>
                <c:pt idx="1554">
                  <c:v>-0.13247999999999749</c:v>
                </c:pt>
                <c:pt idx="1555">
                  <c:v>-0.13247999999999749</c:v>
                </c:pt>
                <c:pt idx="1556">
                  <c:v>-0.61847999999999814</c:v>
                </c:pt>
                <c:pt idx="1557">
                  <c:v>2.9520000000001545E-2</c:v>
                </c:pt>
                <c:pt idx="1558">
                  <c:v>0.19152000000000058</c:v>
                </c:pt>
                <c:pt idx="1559">
                  <c:v>0.19152000000000058</c:v>
                </c:pt>
                <c:pt idx="1560">
                  <c:v>2.9520000000001545E-2</c:v>
                </c:pt>
                <c:pt idx="1561">
                  <c:v>0.83952000000000027</c:v>
                </c:pt>
                <c:pt idx="1562">
                  <c:v>0.67752000000000123</c:v>
                </c:pt>
                <c:pt idx="1563">
                  <c:v>0.67752000000000123</c:v>
                </c:pt>
                <c:pt idx="1564">
                  <c:v>0.19152000000000058</c:v>
                </c:pt>
                <c:pt idx="1565">
                  <c:v>0.83952000000000027</c:v>
                </c:pt>
                <c:pt idx="1566">
                  <c:v>1.0015199999999993</c:v>
                </c:pt>
                <c:pt idx="1567">
                  <c:v>1.0015199999999993</c:v>
                </c:pt>
                <c:pt idx="1568">
                  <c:v>0.83952000000000027</c:v>
                </c:pt>
                <c:pt idx="1569">
                  <c:v>1.649519999999999</c:v>
                </c:pt>
                <c:pt idx="1570">
                  <c:v>1.48752</c:v>
                </c:pt>
                <c:pt idx="1571">
                  <c:v>1.48752</c:v>
                </c:pt>
                <c:pt idx="1572">
                  <c:v>1.0015199999999993</c:v>
                </c:pt>
                <c:pt idx="1573">
                  <c:v>1.649519999999999</c:v>
                </c:pt>
                <c:pt idx="1574">
                  <c:v>1.8115200000000016</c:v>
                </c:pt>
                <c:pt idx="1575">
                  <c:v>1.8115200000000016</c:v>
                </c:pt>
                <c:pt idx="1576">
                  <c:v>1.6495200000000025</c:v>
                </c:pt>
                <c:pt idx="1577">
                  <c:v>2.4595200000000013</c:v>
                </c:pt>
                <c:pt idx="1578">
                  <c:v>2.2975200000000022</c:v>
                </c:pt>
                <c:pt idx="1579">
                  <c:v>2.2975200000000022</c:v>
                </c:pt>
                <c:pt idx="1580">
                  <c:v>1.8115200000000016</c:v>
                </c:pt>
                <c:pt idx="1581">
                  <c:v>2.4595200000000013</c:v>
                </c:pt>
                <c:pt idx="1582">
                  <c:v>2.6215200000000038</c:v>
                </c:pt>
                <c:pt idx="1583">
                  <c:v>2.6215200000000038</c:v>
                </c:pt>
                <c:pt idx="1584">
                  <c:v>2.4595200000000048</c:v>
                </c:pt>
                <c:pt idx="1585">
                  <c:v>3.2695200000000035</c:v>
                </c:pt>
                <c:pt idx="1586">
                  <c:v>3.1075200000000045</c:v>
                </c:pt>
                <c:pt idx="1587">
                  <c:v>3.1075200000000045</c:v>
                </c:pt>
                <c:pt idx="1588">
                  <c:v>2.6215200000000038</c:v>
                </c:pt>
                <c:pt idx="1589">
                  <c:v>3.2695200000000035</c:v>
                </c:pt>
                <c:pt idx="1590">
                  <c:v>3.4315200000000026</c:v>
                </c:pt>
                <c:pt idx="1591">
                  <c:v>3.4315200000000026</c:v>
                </c:pt>
                <c:pt idx="1592">
                  <c:v>3.2695200000000035</c:v>
                </c:pt>
                <c:pt idx="1593">
                  <c:v>4.0795200000000023</c:v>
                </c:pt>
                <c:pt idx="1594">
                  <c:v>3.9175200000000032</c:v>
                </c:pt>
                <c:pt idx="1595">
                  <c:v>3.9175200000000032</c:v>
                </c:pt>
                <c:pt idx="1596">
                  <c:v>3.4315200000000026</c:v>
                </c:pt>
                <c:pt idx="1597">
                  <c:v>4.0795200000000023</c:v>
                </c:pt>
                <c:pt idx="1598">
                  <c:v>4.2415200000000013</c:v>
                </c:pt>
                <c:pt idx="1599">
                  <c:v>4.2415200000000013</c:v>
                </c:pt>
                <c:pt idx="1600">
                  <c:v>4.0795200000000023</c:v>
                </c:pt>
                <c:pt idx="1601">
                  <c:v>4.889520000000001</c:v>
                </c:pt>
                <c:pt idx="1602">
                  <c:v>4.7275200000000019</c:v>
                </c:pt>
                <c:pt idx="1603">
                  <c:v>4.7275200000000019</c:v>
                </c:pt>
                <c:pt idx="1604">
                  <c:v>4.2415200000000013</c:v>
                </c:pt>
                <c:pt idx="1605">
                  <c:v>4.889520000000001</c:v>
                </c:pt>
                <c:pt idx="1606">
                  <c:v>5.0515200000000036</c:v>
                </c:pt>
                <c:pt idx="1607">
                  <c:v>5.0515200000000036</c:v>
                </c:pt>
                <c:pt idx="1608">
                  <c:v>4.8895200000000045</c:v>
                </c:pt>
                <c:pt idx="1609">
                  <c:v>5.6995200000000033</c:v>
                </c:pt>
                <c:pt idx="1610">
                  <c:v>5.5375200000000042</c:v>
                </c:pt>
                <c:pt idx="1611">
                  <c:v>5.5375200000000042</c:v>
                </c:pt>
                <c:pt idx="1612">
                  <c:v>5.0515200000000036</c:v>
                </c:pt>
                <c:pt idx="1613">
                  <c:v>5.6995200000000033</c:v>
                </c:pt>
                <c:pt idx="1614">
                  <c:v>5.8615200000000023</c:v>
                </c:pt>
                <c:pt idx="1615">
                  <c:v>5.8615200000000023</c:v>
                </c:pt>
                <c:pt idx="1616">
                  <c:v>5.6995200000000033</c:v>
                </c:pt>
                <c:pt idx="1617">
                  <c:v>6.509520000000002</c:v>
                </c:pt>
                <c:pt idx="1618">
                  <c:v>6.3475200000000029</c:v>
                </c:pt>
                <c:pt idx="1619">
                  <c:v>6.3475200000000029</c:v>
                </c:pt>
                <c:pt idx="1620">
                  <c:v>5.8615200000000023</c:v>
                </c:pt>
                <c:pt idx="1621">
                  <c:v>6.509520000000002</c:v>
                </c:pt>
                <c:pt idx="1622">
                  <c:v>6.671520000000001</c:v>
                </c:pt>
                <c:pt idx="1623">
                  <c:v>6.671520000000001</c:v>
                </c:pt>
                <c:pt idx="1624">
                  <c:v>6.509520000000002</c:v>
                </c:pt>
                <c:pt idx="1625">
                  <c:v>7.3195200000000007</c:v>
                </c:pt>
                <c:pt idx="1626">
                  <c:v>7.1575200000000017</c:v>
                </c:pt>
                <c:pt idx="1627">
                  <c:v>7.1575200000000017</c:v>
                </c:pt>
                <c:pt idx="1628">
                  <c:v>6.671520000000001</c:v>
                </c:pt>
                <c:pt idx="1629">
                  <c:v>7.3195200000000007</c:v>
                </c:pt>
                <c:pt idx="1630">
                  <c:v>7.4815200000000033</c:v>
                </c:pt>
                <c:pt idx="1631">
                  <c:v>7.4815200000000033</c:v>
                </c:pt>
                <c:pt idx="1632">
                  <c:v>7.3195200000000042</c:v>
                </c:pt>
                <c:pt idx="1633">
                  <c:v>8.129520000000003</c:v>
                </c:pt>
                <c:pt idx="1634">
                  <c:v>7.9675200000000039</c:v>
                </c:pt>
                <c:pt idx="1635">
                  <c:v>7.9675200000000039</c:v>
                </c:pt>
                <c:pt idx="1636">
                  <c:v>7.4815200000000033</c:v>
                </c:pt>
                <c:pt idx="1637">
                  <c:v>8.129520000000003</c:v>
                </c:pt>
                <c:pt idx="1638">
                  <c:v>8.291520000000002</c:v>
                </c:pt>
                <c:pt idx="1639">
                  <c:v>8.291520000000002</c:v>
                </c:pt>
                <c:pt idx="1640">
                  <c:v>8.129520000000003</c:v>
                </c:pt>
                <c:pt idx="1641">
                  <c:v>8.9395200000000017</c:v>
                </c:pt>
                <c:pt idx="1642">
                  <c:v>8.7775200000000027</c:v>
                </c:pt>
                <c:pt idx="1643">
                  <c:v>8.7775200000000027</c:v>
                </c:pt>
                <c:pt idx="1644">
                  <c:v>8.291520000000002</c:v>
                </c:pt>
                <c:pt idx="1645">
                  <c:v>8.9395200000000017</c:v>
                </c:pt>
                <c:pt idx="1646">
                  <c:v>8.291520000000002</c:v>
                </c:pt>
                <c:pt idx="1647">
                  <c:v>8.291520000000002</c:v>
                </c:pt>
                <c:pt idx="1648">
                  <c:v>8.129520000000003</c:v>
                </c:pt>
                <c:pt idx="1649">
                  <c:v>8.9395200000000017</c:v>
                </c:pt>
                <c:pt idx="1650">
                  <c:v>8.7775200000000027</c:v>
                </c:pt>
                <c:pt idx="1651">
                  <c:v>8.7775200000000027</c:v>
                </c:pt>
                <c:pt idx="1652">
                  <c:v>8.291520000000002</c:v>
                </c:pt>
                <c:pt idx="1653">
                  <c:v>8.9395200000000017</c:v>
                </c:pt>
                <c:pt idx="1654">
                  <c:v>8.291520000000002</c:v>
                </c:pt>
                <c:pt idx="1655">
                  <c:v>8.291520000000002</c:v>
                </c:pt>
                <c:pt idx="1656">
                  <c:v>8.129520000000003</c:v>
                </c:pt>
                <c:pt idx="1657">
                  <c:v>8.9395200000000017</c:v>
                </c:pt>
                <c:pt idx="1658">
                  <c:v>8.7775200000000027</c:v>
                </c:pt>
                <c:pt idx="1659">
                  <c:v>8.7775200000000027</c:v>
                </c:pt>
                <c:pt idx="1660">
                  <c:v>8.291520000000002</c:v>
                </c:pt>
                <c:pt idx="1661">
                  <c:v>8.9395200000000017</c:v>
                </c:pt>
                <c:pt idx="1662">
                  <c:v>8.291520000000002</c:v>
                </c:pt>
                <c:pt idx="1663">
                  <c:v>8.291520000000002</c:v>
                </c:pt>
                <c:pt idx="1664">
                  <c:v>8.129520000000003</c:v>
                </c:pt>
                <c:pt idx="1665">
                  <c:v>8.9395200000000017</c:v>
                </c:pt>
                <c:pt idx="1666">
                  <c:v>8.7775200000000027</c:v>
                </c:pt>
                <c:pt idx="1667">
                  <c:v>8.7775200000000027</c:v>
                </c:pt>
                <c:pt idx="1668">
                  <c:v>8.291520000000002</c:v>
                </c:pt>
                <c:pt idx="1669">
                  <c:v>8.9395200000000017</c:v>
                </c:pt>
                <c:pt idx="1670">
                  <c:v>8.291520000000002</c:v>
                </c:pt>
                <c:pt idx="1671">
                  <c:v>8.291520000000002</c:v>
                </c:pt>
                <c:pt idx="1672">
                  <c:v>8.129520000000003</c:v>
                </c:pt>
                <c:pt idx="1673">
                  <c:v>8.9395200000000017</c:v>
                </c:pt>
                <c:pt idx="1674">
                  <c:v>8.7775200000000027</c:v>
                </c:pt>
                <c:pt idx="1675">
                  <c:v>8.7775200000000027</c:v>
                </c:pt>
                <c:pt idx="1676">
                  <c:v>8.291520000000002</c:v>
                </c:pt>
                <c:pt idx="1677">
                  <c:v>8.9395200000000017</c:v>
                </c:pt>
                <c:pt idx="1678">
                  <c:v>8.291520000000002</c:v>
                </c:pt>
                <c:pt idx="1679">
                  <c:v>8.291520000000002</c:v>
                </c:pt>
                <c:pt idx="1680">
                  <c:v>8.129520000000003</c:v>
                </c:pt>
                <c:pt idx="1681">
                  <c:v>8.9395200000000017</c:v>
                </c:pt>
                <c:pt idx="1682">
                  <c:v>8.7775200000000027</c:v>
                </c:pt>
                <c:pt idx="1683">
                  <c:v>8.7775200000000027</c:v>
                </c:pt>
                <c:pt idx="1684">
                  <c:v>8.291520000000002</c:v>
                </c:pt>
                <c:pt idx="1685">
                  <c:v>8.9395200000000017</c:v>
                </c:pt>
                <c:pt idx="1686">
                  <c:v>8.291520000000002</c:v>
                </c:pt>
                <c:pt idx="1687">
                  <c:v>8.291520000000002</c:v>
                </c:pt>
                <c:pt idx="1688">
                  <c:v>8.129520000000003</c:v>
                </c:pt>
                <c:pt idx="1689">
                  <c:v>8.9395200000000017</c:v>
                </c:pt>
                <c:pt idx="1690">
                  <c:v>8.7775200000000027</c:v>
                </c:pt>
                <c:pt idx="1691">
                  <c:v>8.7775200000000027</c:v>
                </c:pt>
                <c:pt idx="1692">
                  <c:v>8.291520000000002</c:v>
                </c:pt>
                <c:pt idx="1693">
                  <c:v>8.9395200000000017</c:v>
                </c:pt>
                <c:pt idx="1694">
                  <c:v>8.291520000000002</c:v>
                </c:pt>
                <c:pt idx="1695">
                  <c:v>8.291520000000002</c:v>
                </c:pt>
                <c:pt idx="1696">
                  <c:v>8.129520000000003</c:v>
                </c:pt>
                <c:pt idx="1697">
                  <c:v>8.9395200000000017</c:v>
                </c:pt>
                <c:pt idx="1698">
                  <c:v>8.7775200000000027</c:v>
                </c:pt>
                <c:pt idx="1699">
                  <c:v>8.7775200000000027</c:v>
                </c:pt>
                <c:pt idx="1700">
                  <c:v>8.291520000000002</c:v>
                </c:pt>
                <c:pt idx="1701">
                  <c:v>8.9395200000000017</c:v>
                </c:pt>
                <c:pt idx="1702">
                  <c:v>8.291520000000002</c:v>
                </c:pt>
                <c:pt idx="1703">
                  <c:v>8.291520000000002</c:v>
                </c:pt>
                <c:pt idx="1704">
                  <c:v>8.129520000000003</c:v>
                </c:pt>
                <c:pt idx="1705">
                  <c:v>8.9395200000000017</c:v>
                </c:pt>
                <c:pt idx="1706">
                  <c:v>8.7775200000000027</c:v>
                </c:pt>
                <c:pt idx="1707">
                  <c:v>8.7775200000000027</c:v>
                </c:pt>
                <c:pt idx="1708">
                  <c:v>8.291520000000002</c:v>
                </c:pt>
                <c:pt idx="1709">
                  <c:v>8.9395200000000017</c:v>
                </c:pt>
                <c:pt idx="1710">
                  <c:v>8.291520000000002</c:v>
                </c:pt>
                <c:pt idx="1711">
                  <c:v>8.291520000000002</c:v>
                </c:pt>
                <c:pt idx="1712">
                  <c:v>8.129520000000003</c:v>
                </c:pt>
                <c:pt idx="1713">
                  <c:v>8.9395200000000017</c:v>
                </c:pt>
                <c:pt idx="1714">
                  <c:v>8.7775200000000027</c:v>
                </c:pt>
                <c:pt idx="1715">
                  <c:v>8.7775200000000027</c:v>
                </c:pt>
                <c:pt idx="1716">
                  <c:v>8.291520000000002</c:v>
                </c:pt>
                <c:pt idx="1717">
                  <c:v>8.9395200000000017</c:v>
                </c:pt>
                <c:pt idx="1718">
                  <c:v>8.291520000000002</c:v>
                </c:pt>
                <c:pt idx="1719">
                  <c:v>8.291520000000002</c:v>
                </c:pt>
                <c:pt idx="1720">
                  <c:v>8.129520000000003</c:v>
                </c:pt>
                <c:pt idx="1721">
                  <c:v>8.9395200000000017</c:v>
                </c:pt>
                <c:pt idx="1722">
                  <c:v>8.7775200000000027</c:v>
                </c:pt>
                <c:pt idx="1723">
                  <c:v>8.7775200000000027</c:v>
                </c:pt>
                <c:pt idx="1724">
                  <c:v>8.291520000000002</c:v>
                </c:pt>
                <c:pt idx="1725">
                  <c:v>8.9395200000000017</c:v>
                </c:pt>
                <c:pt idx="1726">
                  <c:v>8.291520000000002</c:v>
                </c:pt>
                <c:pt idx="1727">
                  <c:v>8.291520000000002</c:v>
                </c:pt>
                <c:pt idx="1728">
                  <c:v>8.129520000000003</c:v>
                </c:pt>
                <c:pt idx="1729">
                  <c:v>8.9395200000000017</c:v>
                </c:pt>
                <c:pt idx="1730">
                  <c:v>8.7775200000000027</c:v>
                </c:pt>
                <c:pt idx="1731">
                  <c:v>8.7775200000000027</c:v>
                </c:pt>
                <c:pt idx="1732">
                  <c:v>8.291520000000002</c:v>
                </c:pt>
                <c:pt idx="1733">
                  <c:v>8.9395200000000017</c:v>
                </c:pt>
                <c:pt idx="1734">
                  <c:v>8.291520000000002</c:v>
                </c:pt>
                <c:pt idx="1735">
                  <c:v>8.291520000000002</c:v>
                </c:pt>
                <c:pt idx="1736">
                  <c:v>8.129520000000003</c:v>
                </c:pt>
                <c:pt idx="1737">
                  <c:v>8.9395200000000017</c:v>
                </c:pt>
                <c:pt idx="1738">
                  <c:v>8.7775200000000027</c:v>
                </c:pt>
                <c:pt idx="1739">
                  <c:v>8.7775200000000027</c:v>
                </c:pt>
                <c:pt idx="1740">
                  <c:v>8.291520000000002</c:v>
                </c:pt>
                <c:pt idx="1741">
                  <c:v>8.9395200000000017</c:v>
                </c:pt>
                <c:pt idx="1742">
                  <c:v>8.291520000000002</c:v>
                </c:pt>
                <c:pt idx="1743">
                  <c:v>8.291520000000002</c:v>
                </c:pt>
                <c:pt idx="1744">
                  <c:v>8.129520000000003</c:v>
                </c:pt>
                <c:pt idx="1745">
                  <c:v>8.9395200000000017</c:v>
                </c:pt>
                <c:pt idx="1746">
                  <c:v>8.7775200000000027</c:v>
                </c:pt>
                <c:pt idx="1747">
                  <c:v>8.7775200000000027</c:v>
                </c:pt>
                <c:pt idx="1748">
                  <c:v>8.291520000000002</c:v>
                </c:pt>
                <c:pt idx="1749">
                  <c:v>8.9395200000000017</c:v>
                </c:pt>
                <c:pt idx="1750">
                  <c:v>8.291520000000002</c:v>
                </c:pt>
                <c:pt idx="1751">
                  <c:v>8.291520000000002</c:v>
                </c:pt>
                <c:pt idx="1752">
                  <c:v>8.129520000000003</c:v>
                </c:pt>
                <c:pt idx="1753">
                  <c:v>8.9395200000000017</c:v>
                </c:pt>
                <c:pt idx="1754">
                  <c:v>8.7775200000000027</c:v>
                </c:pt>
                <c:pt idx="1755">
                  <c:v>8.7775200000000027</c:v>
                </c:pt>
                <c:pt idx="1756">
                  <c:v>8.291520000000002</c:v>
                </c:pt>
                <c:pt idx="1757">
                  <c:v>8.9395200000000017</c:v>
                </c:pt>
                <c:pt idx="1758">
                  <c:v>8.291520000000002</c:v>
                </c:pt>
                <c:pt idx="1759">
                  <c:v>8.291520000000002</c:v>
                </c:pt>
                <c:pt idx="1760">
                  <c:v>8.129520000000003</c:v>
                </c:pt>
                <c:pt idx="1761">
                  <c:v>8.9395200000000017</c:v>
                </c:pt>
                <c:pt idx="1762">
                  <c:v>8.7775200000000027</c:v>
                </c:pt>
                <c:pt idx="1763">
                  <c:v>8.7775200000000027</c:v>
                </c:pt>
                <c:pt idx="1764">
                  <c:v>8.291520000000002</c:v>
                </c:pt>
                <c:pt idx="1765">
                  <c:v>8.9395200000000017</c:v>
                </c:pt>
                <c:pt idx="1766">
                  <c:v>8.291520000000002</c:v>
                </c:pt>
                <c:pt idx="1767">
                  <c:v>8.291520000000002</c:v>
                </c:pt>
                <c:pt idx="1768">
                  <c:v>8.129520000000003</c:v>
                </c:pt>
                <c:pt idx="1769">
                  <c:v>8.9395200000000017</c:v>
                </c:pt>
                <c:pt idx="1770">
                  <c:v>8.7775200000000027</c:v>
                </c:pt>
                <c:pt idx="1771">
                  <c:v>8.7775200000000027</c:v>
                </c:pt>
                <c:pt idx="1772">
                  <c:v>8.291520000000002</c:v>
                </c:pt>
                <c:pt idx="1773">
                  <c:v>8.9395200000000017</c:v>
                </c:pt>
                <c:pt idx="1774">
                  <c:v>8.291520000000002</c:v>
                </c:pt>
                <c:pt idx="1775">
                  <c:v>8.291520000000002</c:v>
                </c:pt>
                <c:pt idx="1776">
                  <c:v>8.129520000000003</c:v>
                </c:pt>
                <c:pt idx="1777">
                  <c:v>8.9395200000000017</c:v>
                </c:pt>
                <c:pt idx="1778">
                  <c:v>8.7775200000000027</c:v>
                </c:pt>
                <c:pt idx="1779">
                  <c:v>8.7775200000000027</c:v>
                </c:pt>
                <c:pt idx="1780">
                  <c:v>8.291520000000002</c:v>
                </c:pt>
                <c:pt idx="1781">
                  <c:v>8.9395200000000017</c:v>
                </c:pt>
                <c:pt idx="1782">
                  <c:v>8.291520000000002</c:v>
                </c:pt>
                <c:pt idx="1783">
                  <c:v>8.291520000000002</c:v>
                </c:pt>
                <c:pt idx="1784">
                  <c:v>8.129520000000003</c:v>
                </c:pt>
                <c:pt idx="1785">
                  <c:v>8.9395200000000017</c:v>
                </c:pt>
                <c:pt idx="1786">
                  <c:v>8.7775200000000027</c:v>
                </c:pt>
                <c:pt idx="1787">
                  <c:v>8.7775200000000027</c:v>
                </c:pt>
                <c:pt idx="1788">
                  <c:v>8.291520000000002</c:v>
                </c:pt>
                <c:pt idx="1789">
                  <c:v>8.9395200000000017</c:v>
                </c:pt>
                <c:pt idx="1790">
                  <c:v>8.291520000000002</c:v>
                </c:pt>
                <c:pt idx="1791">
                  <c:v>8.291520000000002</c:v>
                </c:pt>
                <c:pt idx="1792">
                  <c:v>8.129520000000003</c:v>
                </c:pt>
                <c:pt idx="1793">
                  <c:v>8.9395200000000017</c:v>
                </c:pt>
                <c:pt idx="1794">
                  <c:v>8.7775200000000027</c:v>
                </c:pt>
                <c:pt idx="1795">
                  <c:v>8.7775200000000027</c:v>
                </c:pt>
                <c:pt idx="1796">
                  <c:v>8.291520000000002</c:v>
                </c:pt>
                <c:pt idx="1797">
                  <c:v>8.9395200000000017</c:v>
                </c:pt>
                <c:pt idx="1798">
                  <c:v>8.291520000000002</c:v>
                </c:pt>
                <c:pt idx="1799">
                  <c:v>8.291520000000002</c:v>
                </c:pt>
                <c:pt idx="1800">
                  <c:v>8.129520000000003</c:v>
                </c:pt>
                <c:pt idx="1801">
                  <c:v>8.9395200000000017</c:v>
                </c:pt>
                <c:pt idx="1802">
                  <c:v>8.7775200000000027</c:v>
                </c:pt>
                <c:pt idx="1803">
                  <c:v>8.7775200000000027</c:v>
                </c:pt>
                <c:pt idx="1804">
                  <c:v>8.291520000000002</c:v>
                </c:pt>
                <c:pt idx="1805">
                  <c:v>8.9395200000000017</c:v>
                </c:pt>
                <c:pt idx="1806">
                  <c:v>8.291520000000002</c:v>
                </c:pt>
                <c:pt idx="1807">
                  <c:v>8.291520000000002</c:v>
                </c:pt>
                <c:pt idx="1808">
                  <c:v>8.129520000000003</c:v>
                </c:pt>
                <c:pt idx="1809">
                  <c:v>8.9395200000000017</c:v>
                </c:pt>
                <c:pt idx="1810">
                  <c:v>8.7775200000000027</c:v>
                </c:pt>
                <c:pt idx="1811">
                  <c:v>8.7775200000000027</c:v>
                </c:pt>
                <c:pt idx="1812">
                  <c:v>8.291520000000002</c:v>
                </c:pt>
                <c:pt idx="1813">
                  <c:v>8.9395200000000017</c:v>
                </c:pt>
                <c:pt idx="1814">
                  <c:v>8.291520000000002</c:v>
                </c:pt>
                <c:pt idx="1815">
                  <c:v>8.291520000000002</c:v>
                </c:pt>
                <c:pt idx="1816">
                  <c:v>8.129520000000003</c:v>
                </c:pt>
                <c:pt idx="1817">
                  <c:v>8.9395200000000017</c:v>
                </c:pt>
                <c:pt idx="1818">
                  <c:v>8.7775200000000027</c:v>
                </c:pt>
                <c:pt idx="1819">
                  <c:v>8.7775200000000027</c:v>
                </c:pt>
                <c:pt idx="1820">
                  <c:v>8.291520000000002</c:v>
                </c:pt>
                <c:pt idx="1821">
                  <c:v>8.9395200000000017</c:v>
                </c:pt>
                <c:pt idx="1822">
                  <c:v>8.291520000000002</c:v>
                </c:pt>
                <c:pt idx="1823">
                  <c:v>8.291520000000002</c:v>
                </c:pt>
                <c:pt idx="1824">
                  <c:v>8.129520000000003</c:v>
                </c:pt>
                <c:pt idx="1825">
                  <c:v>8.9395200000000017</c:v>
                </c:pt>
                <c:pt idx="1826">
                  <c:v>8.7775200000000027</c:v>
                </c:pt>
                <c:pt idx="1827">
                  <c:v>8.7775200000000027</c:v>
                </c:pt>
                <c:pt idx="1828">
                  <c:v>8.291520000000002</c:v>
                </c:pt>
                <c:pt idx="1829">
                  <c:v>8.9395200000000017</c:v>
                </c:pt>
                <c:pt idx="1830">
                  <c:v>8.291520000000002</c:v>
                </c:pt>
                <c:pt idx="1831">
                  <c:v>8.291520000000002</c:v>
                </c:pt>
                <c:pt idx="1832">
                  <c:v>8.129520000000003</c:v>
                </c:pt>
                <c:pt idx="1833">
                  <c:v>8.9395200000000017</c:v>
                </c:pt>
                <c:pt idx="1834">
                  <c:v>8.7775200000000027</c:v>
                </c:pt>
                <c:pt idx="1835">
                  <c:v>8.7775200000000027</c:v>
                </c:pt>
                <c:pt idx="1836">
                  <c:v>8.291520000000002</c:v>
                </c:pt>
                <c:pt idx="1837">
                  <c:v>8.9395200000000017</c:v>
                </c:pt>
                <c:pt idx="1838">
                  <c:v>8.291520000000002</c:v>
                </c:pt>
                <c:pt idx="1839">
                  <c:v>8.291520000000002</c:v>
                </c:pt>
                <c:pt idx="1840">
                  <c:v>8.129520000000003</c:v>
                </c:pt>
                <c:pt idx="1841">
                  <c:v>8.9395200000000017</c:v>
                </c:pt>
                <c:pt idx="1842">
                  <c:v>8.7775200000000027</c:v>
                </c:pt>
                <c:pt idx="1843">
                  <c:v>8.7775200000000027</c:v>
                </c:pt>
                <c:pt idx="1844">
                  <c:v>8.291520000000002</c:v>
                </c:pt>
                <c:pt idx="1845">
                  <c:v>8.9395200000000017</c:v>
                </c:pt>
                <c:pt idx="1846">
                  <c:v>8.291520000000002</c:v>
                </c:pt>
                <c:pt idx="1847">
                  <c:v>8.291520000000002</c:v>
                </c:pt>
                <c:pt idx="1848">
                  <c:v>8.129520000000003</c:v>
                </c:pt>
                <c:pt idx="1849">
                  <c:v>8.9395200000000017</c:v>
                </c:pt>
                <c:pt idx="1850">
                  <c:v>8.7775200000000027</c:v>
                </c:pt>
                <c:pt idx="1851">
                  <c:v>8.7775200000000027</c:v>
                </c:pt>
                <c:pt idx="1852">
                  <c:v>8.291520000000002</c:v>
                </c:pt>
                <c:pt idx="1853">
                  <c:v>8.9395200000000017</c:v>
                </c:pt>
                <c:pt idx="1854">
                  <c:v>8.291520000000002</c:v>
                </c:pt>
                <c:pt idx="1855">
                  <c:v>8.291520000000002</c:v>
                </c:pt>
                <c:pt idx="1856">
                  <c:v>8.129520000000003</c:v>
                </c:pt>
                <c:pt idx="1857">
                  <c:v>8.9395200000000017</c:v>
                </c:pt>
                <c:pt idx="1858">
                  <c:v>8.7775200000000027</c:v>
                </c:pt>
                <c:pt idx="1859">
                  <c:v>8.7775200000000027</c:v>
                </c:pt>
                <c:pt idx="1860">
                  <c:v>8.291520000000002</c:v>
                </c:pt>
                <c:pt idx="1861">
                  <c:v>8.9395200000000017</c:v>
                </c:pt>
                <c:pt idx="1862">
                  <c:v>8.291520000000002</c:v>
                </c:pt>
                <c:pt idx="1863">
                  <c:v>8.291520000000002</c:v>
                </c:pt>
                <c:pt idx="1864">
                  <c:v>8.129520000000003</c:v>
                </c:pt>
                <c:pt idx="1865">
                  <c:v>8.9395200000000017</c:v>
                </c:pt>
                <c:pt idx="1866">
                  <c:v>8.7775200000000027</c:v>
                </c:pt>
                <c:pt idx="1867">
                  <c:v>8.7775200000000027</c:v>
                </c:pt>
                <c:pt idx="1868">
                  <c:v>8.291520000000002</c:v>
                </c:pt>
                <c:pt idx="1869">
                  <c:v>8.9395200000000017</c:v>
                </c:pt>
                <c:pt idx="1870">
                  <c:v>8.291520000000002</c:v>
                </c:pt>
                <c:pt idx="1871">
                  <c:v>8.291520000000002</c:v>
                </c:pt>
                <c:pt idx="1872">
                  <c:v>8.129520000000003</c:v>
                </c:pt>
                <c:pt idx="1873">
                  <c:v>8.9395200000000017</c:v>
                </c:pt>
                <c:pt idx="1874">
                  <c:v>8.7775200000000027</c:v>
                </c:pt>
                <c:pt idx="1875">
                  <c:v>8.7775200000000027</c:v>
                </c:pt>
                <c:pt idx="1876">
                  <c:v>8.291520000000002</c:v>
                </c:pt>
                <c:pt idx="1877">
                  <c:v>8.9395200000000017</c:v>
                </c:pt>
                <c:pt idx="1878">
                  <c:v>8.291520000000002</c:v>
                </c:pt>
                <c:pt idx="1879">
                  <c:v>8.291520000000002</c:v>
                </c:pt>
                <c:pt idx="1880">
                  <c:v>8.129520000000003</c:v>
                </c:pt>
                <c:pt idx="1881">
                  <c:v>8.9395200000000017</c:v>
                </c:pt>
                <c:pt idx="1882">
                  <c:v>8.7775200000000027</c:v>
                </c:pt>
                <c:pt idx="1883">
                  <c:v>8.7775200000000027</c:v>
                </c:pt>
                <c:pt idx="1884">
                  <c:v>8.291520000000002</c:v>
                </c:pt>
                <c:pt idx="1885">
                  <c:v>8.9395200000000017</c:v>
                </c:pt>
                <c:pt idx="1886">
                  <c:v>8.291520000000002</c:v>
                </c:pt>
                <c:pt idx="1887">
                  <c:v>8.291520000000002</c:v>
                </c:pt>
                <c:pt idx="1888">
                  <c:v>8.129520000000003</c:v>
                </c:pt>
                <c:pt idx="1889">
                  <c:v>8.9395200000000017</c:v>
                </c:pt>
                <c:pt idx="1890">
                  <c:v>8.7775200000000027</c:v>
                </c:pt>
                <c:pt idx="1891">
                  <c:v>8.7775200000000027</c:v>
                </c:pt>
                <c:pt idx="1892">
                  <c:v>8.291520000000002</c:v>
                </c:pt>
                <c:pt idx="1893">
                  <c:v>8.9395200000000017</c:v>
                </c:pt>
                <c:pt idx="1894">
                  <c:v>8.291520000000002</c:v>
                </c:pt>
                <c:pt idx="1895">
                  <c:v>8.291520000000002</c:v>
                </c:pt>
                <c:pt idx="1896">
                  <c:v>8.129520000000003</c:v>
                </c:pt>
                <c:pt idx="1897">
                  <c:v>8.9395200000000017</c:v>
                </c:pt>
                <c:pt idx="1898">
                  <c:v>8.7775200000000027</c:v>
                </c:pt>
                <c:pt idx="1899">
                  <c:v>8.7775200000000027</c:v>
                </c:pt>
                <c:pt idx="1900">
                  <c:v>8.291520000000002</c:v>
                </c:pt>
                <c:pt idx="1901">
                  <c:v>8.9395200000000017</c:v>
                </c:pt>
                <c:pt idx="1902">
                  <c:v>8.291520000000002</c:v>
                </c:pt>
                <c:pt idx="1903">
                  <c:v>8.291520000000002</c:v>
                </c:pt>
                <c:pt idx="1904">
                  <c:v>8.129520000000003</c:v>
                </c:pt>
                <c:pt idx="1905">
                  <c:v>8.9395200000000017</c:v>
                </c:pt>
                <c:pt idx="1906">
                  <c:v>8.7775200000000027</c:v>
                </c:pt>
                <c:pt idx="1907">
                  <c:v>8.7775200000000027</c:v>
                </c:pt>
                <c:pt idx="1908">
                  <c:v>8.291520000000002</c:v>
                </c:pt>
                <c:pt idx="1909">
                  <c:v>8.9395200000000017</c:v>
                </c:pt>
                <c:pt idx="1910">
                  <c:v>8.291520000000002</c:v>
                </c:pt>
                <c:pt idx="1911">
                  <c:v>8.291520000000002</c:v>
                </c:pt>
                <c:pt idx="1912">
                  <c:v>8.129520000000003</c:v>
                </c:pt>
                <c:pt idx="1913">
                  <c:v>8.9395200000000017</c:v>
                </c:pt>
                <c:pt idx="1914">
                  <c:v>8.7775200000000027</c:v>
                </c:pt>
                <c:pt idx="1915">
                  <c:v>8.7775200000000027</c:v>
                </c:pt>
                <c:pt idx="1916">
                  <c:v>8.291520000000002</c:v>
                </c:pt>
                <c:pt idx="1917">
                  <c:v>8.9395200000000017</c:v>
                </c:pt>
                <c:pt idx="1918">
                  <c:v>8.291520000000002</c:v>
                </c:pt>
                <c:pt idx="1919">
                  <c:v>8.291520000000002</c:v>
                </c:pt>
                <c:pt idx="1920">
                  <c:v>8.129520000000003</c:v>
                </c:pt>
                <c:pt idx="1921">
                  <c:v>8.9395200000000017</c:v>
                </c:pt>
                <c:pt idx="1922">
                  <c:v>8.7775200000000027</c:v>
                </c:pt>
                <c:pt idx="1923">
                  <c:v>8.7775200000000027</c:v>
                </c:pt>
                <c:pt idx="1924">
                  <c:v>8.291520000000002</c:v>
                </c:pt>
                <c:pt idx="1925">
                  <c:v>8.9395200000000017</c:v>
                </c:pt>
                <c:pt idx="1926">
                  <c:v>8.9395200000000017</c:v>
                </c:pt>
                <c:pt idx="1927">
                  <c:v>-11.310479999999998</c:v>
                </c:pt>
                <c:pt idx="1928">
                  <c:v>-11.148479999999999</c:v>
                </c:pt>
                <c:pt idx="1929">
                  <c:v>-11.148479999999999</c:v>
                </c:pt>
                <c:pt idx="1930">
                  <c:v>-11.310479999999998</c:v>
                </c:pt>
                <c:pt idx="1931">
                  <c:v>-10.500479999999998</c:v>
                </c:pt>
                <c:pt idx="1932">
                  <c:v>-10.662479999999999</c:v>
                </c:pt>
                <c:pt idx="1933">
                  <c:v>-10.662479999999999</c:v>
                </c:pt>
                <c:pt idx="1934">
                  <c:v>-11.148479999999999</c:v>
                </c:pt>
                <c:pt idx="1935">
                  <c:v>-10.500479999999998</c:v>
                </c:pt>
                <c:pt idx="1936">
                  <c:v>-10.338479999999997</c:v>
                </c:pt>
                <c:pt idx="1937">
                  <c:v>-10.338479999999997</c:v>
                </c:pt>
                <c:pt idx="1938">
                  <c:v>-10.500479999999998</c:v>
                </c:pt>
                <c:pt idx="1939">
                  <c:v>-9.6904799999999973</c:v>
                </c:pt>
                <c:pt idx="1940">
                  <c:v>-9.8524799999999981</c:v>
                </c:pt>
                <c:pt idx="1941">
                  <c:v>-9.8524799999999981</c:v>
                </c:pt>
                <c:pt idx="1942">
                  <c:v>-10.338479999999997</c:v>
                </c:pt>
                <c:pt idx="1943">
                  <c:v>-9.6904799999999973</c:v>
                </c:pt>
                <c:pt idx="1944">
                  <c:v>-9.5284799999999965</c:v>
                </c:pt>
                <c:pt idx="1945">
                  <c:v>-9.5284799999999965</c:v>
                </c:pt>
                <c:pt idx="1946">
                  <c:v>-9.6904799999999973</c:v>
                </c:pt>
                <c:pt idx="1947">
                  <c:v>-8.8804799999999968</c:v>
                </c:pt>
                <c:pt idx="1948">
                  <c:v>-9.0424799999999976</c:v>
                </c:pt>
                <c:pt idx="1949">
                  <c:v>-9.0424799999999976</c:v>
                </c:pt>
                <c:pt idx="1950">
                  <c:v>-9.5284799999999965</c:v>
                </c:pt>
                <c:pt idx="1951">
                  <c:v>-8.8804799999999968</c:v>
                </c:pt>
                <c:pt idx="1952">
                  <c:v>-8.7184799999999978</c:v>
                </c:pt>
                <c:pt idx="1953">
                  <c:v>-8.7184799999999978</c:v>
                </c:pt>
                <c:pt idx="1954">
                  <c:v>-8.8804799999999986</c:v>
                </c:pt>
                <c:pt idx="1955">
                  <c:v>-8.0704799999999981</c:v>
                </c:pt>
                <c:pt idx="1956">
                  <c:v>-8.2324799999999989</c:v>
                </c:pt>
                <c:pt idx="1957">
                  <c:v>-8.2324799999999989</c:v>
                </c:pt>
                <c:pt idx="1958">
                  <c:v>-8.7184799999999978</c:v>
                </c:pt>
                <c:pt idx="1959">
                  <c:v>-8.0704799999999981</c:v>
                </c:pt>
                <c:pt idx="1960">
                  <c:v>-7.9084799999999973</c:v>
                </c:pt>
                <c:pt idx="1961">
                  <c:v>-7.9084799999999973</c:v>
                </c:pt>
                <c:pt idx="1962">
                  <c:v>-8.0704799999999981</c:v>
                </c:pt>
                <c:pt idx="1963">
                  <c:v>-7.2604799999999976</c:v>
                </c:pt>
                <c:pt idx="1964">
                  <c:v>-7.4224799999999984</c:v>
                </c:pt>
                <c:pt idx="1965">
                  <c:v>-7.4224799999999984</c:v>
                </c:pt>
                <c:pt idx="1966">
                  <c:v>-7.9084799999999973</c:v>
                </c:pt>
                <c:pt idx="1967">
                  <c:v>-7.2604799999999976</c:v>
                </c:pt>
                <c:pt idx="1968">
                  <c:v>-7.0984799999999968</c:v>
                </c:pt>
                <c:pt idx="1969">
                  <c:v>-7.0984799999999968</c:v>
                </c:pt>
                <c:pt idx="1970">
                  <c:v>-7.2604799999999976</c:v>
                </c:pt>
                <c:pt idx="1971">
                  <c:v>-6.4504799999999971</c:v>
                </c:pt>
                <c:pt idx="1972">
                  <c:v>-6.6124799999999979</c:v>
                </c:pt>
                <c:pt idx="1973">
                  <c:v>-6.6124799999999979</c:v>
                </c:pt>
                <c:pt idx="1974">
                  <c:v>-7.0984799999999968</c:v>
                </c:pt>
                <c:pt idx="1975">
                  <c:v>-6.4504799999999971</c:v>
                </c:pt>
                <c:pt idx="1976">
                  <c:v>-6.2884799999999981</c:v>
                </c:pt>
                <c:pt idx="1977">
                  <c:v>-6.2884799999999981</c:v>
                </c:pt>
                <c:pt idx="1978">
                  <c:v>-6.4504799999999989</c:v>
                </c:pt>
                <c:pt idx="1979">
                  <c:v>-5.6404799999999984</c:v>
                </c:pt>
                <c:pt idx="1980">
                  <c:v>-5.8024799999999992</c:v>
                </c:pt>
                <c:pt idx="1981">
                  <c:v>-5.8024799999999992</c:v>
                </c:pt>
                <c:pt idx="1982">
                  <c:v>-6.2884799999999981</c:v>
                </c:pt>
                <c:pt idx="1983">
                  <c:v>-5.6404799999999984</c:v>
                </c:pt>
                <c:pt idx="1984">
                  <c:v>-5.4784799999999976</c:v>
                </c:pt>
                <c:pt idx="1985">
                  <c:v>-5.4784799999999976</c:v>
                </c:pt>
                <c:pt idx="1986">
                  <c:v>-5.6404799999999984</c:v>
                </c:pt>
                <c:pt idx="1987">
                  <c:v>-4.8304799999999979</c:v>
                </c:pt>
                <c:pt idx="1988">
                  <c:v>-4.9924799999999987</c:v>
                </c:pt>
                <c:pt idx="1989">
                  <c:v>-4.9924799999999987</c:v>
                </c:pt>
                <c:pt idx="1990">
                  <c:v>-5.4784799999999976</c:v>
                </c:pt>
                <c:pt idx="1991">
                  <c:v>-4.8304799999999979</c:v>
                </c:pt>
                <c:pt idx="1992">
                  <c:v>-4.6684799999999971</c:v>
                </c:pt>
                <c:pt idx="1993">
                  <c:v>-4.6684799999999971</c:v>
                </c:pt>
                <c:pt idx="1994">
                  <c:v>-4.8304799999999979</c:v>
                </c:pt>
                <c:pt idx="1995">
                  <c:v>-4.0204799999999974</c:v>
                </c:pt>
                <c:pt idx="1996">
                  <c:v>-4.1824799999999982</c:v>
                </c:pt>
                <c:pt idx="1997">
                  <c:v>-4.1824799999999982</c:v>
                </c:pt>
                <c:pt idx="1998">
                  <c:v>-4.6684799999999971</c:v>
                </c:pt>
                <c:pt idx="1999">
                  <c:v>-4.0204799999999974</c:v>
                </c:pt>
                <c:pt idx="2000">
                  <c:v>-3.8584799999999966</c:v>
                </c:pt>
                <c:pt idx="2001">
                  <c:v>-3.8584799999999966</c:v>
                </c:pt>
                <c:pt idx="2002">
                  <c:v>-4.0204799999999974</c:v>
                </c:pt>
                <c:pt idx="2003">
                  <c:v>-3.2104799999999969</c:v>
                </c:pt>
                <c:pt idx="2004">
                  <c:v>-3.3724799999999977</c:v>
                </c:pt>
                <c:pt idx="2005">
                  <c:v>-3.3724799999999977</c:v>
                </c:pt>
                <c:pt idx="2006">
                  <c:v>-3.8584799999999966</c:v>
                </c:pt>
                <c:pt idx="2007">
                  <c:v>-3.2104799999999969</c:v>
                </c:pt>
                <c:pt idx="2008">
                  <c:v>-3.0484799999999961</c:v>
                </c:pt>
                <c:pt idx="2009">
                  <c:v>-3.0484799999999961</c:v>
                </c:pt>
                <c:pt idx="2010">
                  <c:v>-3.2104799999999969</c:v>
                </c:pt>
                <c:pt idx="2011">
                  <c:v>-2.4004799999999964</c:v>
                </c:pt>
                <c:pt idx="2012">
                  <c:v>-2.5624799999999972</c:v>
                </c:pt>
                <c:pt idx="2013">
                  <c:v>-2.5624799999999972</c:v>
                </c:pt>
                <c:pt idx="2014">
                  <c:v>-3.0484799999999961</c:v>
                </c:pt>
                <c:pt idx="2015">
                  <c:v>-2.4004799999999964</c:v>
                </c:pt>
                <c:pt idx="2016">
                  <c:v>-2.2384799999999974</c:v>
                </c:pt>
                <c:pt idx="2017">
                  <c:v>-2.2384799999999974</c:v>
                </c:pt>
                <c:pt idx="2018">
                  <c:v>-2.4004799999999982</c:v>
                </c:pt>
                <c:pt idx="2019">
                  <c:v>-1.5904799999999994</c:v>
                </c:pt>
                <c:pt idx="2020">
                  <c:v>-1.7524799999999985</c:v>
                </c:pt>
                <c:pt idx="2021">
                  <c:v>-1.7524799999999985</c:v>
                </c:pt>
                <c:pt idx="2022">
                  <c:v>-2.2384799999999974</c:v>
                </c:pt>
                <c:pt idx="2023">
                  <c:v>-1.5904799999999994</c:v>
                </c:pt>
                <c:pt idx="2024">
                  <c:v>-1.4284800000000004</c:v>
                </c:pt>
                <c:pt idx="2025">
                  <c:v>-1.4284800000000004</c:v>
                </c:pt>
                <c:pt idx="2026">
                  <c:v>-1.5904799999999994</c:v>
                </c:pt>
                <c:pt idx="2027">
                  <c:v>-0.78048000000000073</c:v>
                </c:pt>
                <c:pt idx="2028">
                  <c:v>-0.94247999999999976</c:v>
                </c:pt>
                <c:pt idx="2029">
                  <c:v>-0.94247999999999976</c:v>
                </c:pt>
                <c:pt idx="2030">
                  <c:v>-1.4284800000000004</c:v>
                </c:pt>
                <c:pt idx="2031">
                  <c:v>-0.78048000000000073</c:v>
                </c:pt>
                <c:pt idx="2032">
                  <c:v>-0.61847999999999814</c:v>
                </c:pt>
                <c:pt idx="2033">
                  <c:v>-0.61847999999999814</c:v>
                </c:pt>
                <c:pt idx="2034">
                  <c:v>-0.78047999999999718</c:v>
                </c:pt>
                <c:pt idx="2035">
                  <c:v>2.9520000000001545E-2</c:v>
                </c:pt>
                <c:pt idx="2036">
                  <c:v>-0.13247999999999749</c:v>
                </c:pt>
                <c:pt idx="2037">
                  <c:v>-0.13247999999999749</c:v>
                </c:pt>
                <c:pt idx="2038">
                  <c:v>-0.61847999999999814</c:v>
                </c:pt>
                <c:pt idx="2039">
                  <c:v>2.9520000000001545E-2</c:v>
                </c:pt>
                <c:pt idx="2040">
                  <c:v>0.19152000000000058</c:v>
                </c:pt>
                <c:pt idx="2041">
                  <c:v>0.19152000000000058</c:v>
                </c:pt>
                <c:pt idx="2042">
                  <c:v>2.9520000000001545E-2</c:v>
                </c:pt>
                <c:pt idx="2043">
                  <c:v>0.83952000000000027</c:v>
                </c:pt>
                <c:pt idx="2044">
                  <c:v>0.67752000000000123</c:v>
                </c:pt>
                <c:pt idx="2045">
                  <c:v>0.67752000000000123</c:v>
                </c:pt>
                <c:pt idx="2046">
                  <c:v>0.19152000000000058</c:v>
                </c:pt>
                <c:pt idx="2047">
                  <c:v>0.83952000000000027</c:v>
                </c:pt>
                <c:pt idx="2048">
                  <c:v>1.0015199999999993</c:v>
                </c:pt>
                <c:pt idx="2049">
                  <c:v>1.0015199999999993</c:v>
                </c:pt>
                <c:pt idx="2050">
                  <c:v>0.83952000000000027</c:v>
                </c:pt>
                <c:pt idx="2051">
                  <c:v>1.649519999999999</c:v>
                </c:pt>
                <c:pt idx="2052">
                  <c:v>1.48752</c:v>
                </c:pt>
                <c:pt idx="2053">
                  <c:v>1.48752</c:v>
                </c:pt>
                <c:pt idx="2054">
                  <c:v>1.0015199999999993</c:v>
                </c:pt>
                <c:pt idx="2055">
                  <c:v>1.649519999999999</c:v>
                </c:pt>
                <c:pt idx="2056">
                  <c:v>1.8115200000000016</c:v>
                </c:pt>
                <c:pt idx="2057">
                  <c:v>1.8115200000000016</c:v>
                </c:pt>
                <c:pt idx="2058">
                  <c:v>1.6495200000000025</c:v>
                </c:pt>
                <c:pt idx="2059">
                  <c:v>2.4595200000000013</c:v>
                </c:pt>
                <c:pt idx="2060">
                  <c:v>2.2975200000000022</c:v>
                </c:pt>
                <c:pt idx="2061">
                  <c:v>2.2975200000000022</c:v>
                </c:pt>
                <c:pt idx="2062">
                  <c:v>1.8115200000000016</c:v>
                </c:pt>
                <c:pt idx="2063">
                  <c:v>2.4595200000000013</c:v>
                </c:pt>
                <c:pt idx="2064">
                  <c:v>2.6215200000000038</c:v>
                </c:pt>
                <c:pt idx="2065">
                  <c:v>2.6215200000000038</c:v>
                </c:pt>
                <c:pt idx="2066">
                  <c:v>2.4595200000000048</c:v>
                </c:pt>
                <c:pt idx="2067">
                  <c:v>3.2695200000000035</c:v>
                </c:pt>
                <c:pt idx="2068">
                  <c:v>3.1075200000000045</c:v>
                </c:pt>
                <c:pt idx="2069">
                  <c:v>3.1075200000000045</c:v>
                </c:pt>
                <c:pt idx="2070">
                  <c:v>2.6215200000000038</c:v>
                </c:pt>
                <c:pt idx="2071">
                  <c:v>3.2695200000000035</c:v>
                </c:pt>
                <c:pt idx="2072">
                  <c:v>3.4315200000000026</c:v>
                </c:pt>
                <c:pt idx="2073">
                  <c:v>3.4315200000000026</c:v>
                </c:pt>
                <c:pt idx="2074">
                  <c:v>3.2695200000000035</c:v>
                </c:pt>
                <c:pt idx="2075">
                  <c:v>4.0795200000000023</c:v>
                </c:pt>
                <c:pt idx="2076">
                  <c:v>3.9175200000000032</c:v>
                </c:pt>
                <c:pt idx="2077">
                  <c:v>3.9175200000000032</c:v>
                </c:pt>
                <c:pt idx="2078">
                  <c:v>3.4315200000000026</c:v>
                </c:pt>
                <c:pt idx="2079">
                  <c:v>4.0795200000000023</c:v>
                </c:pt>
                <c:pt idx="2080">
                  <c:v>4.2415200000000013</c:v>
                </c:pt>
                <c:pt idx="2081">
                  <c:v>4.2415200000000013</c:v>
                </c:pt>
                <c:pt idx="2082">
                  <c:v>4.0795200000000023</c:v>
                </c:pt>
                <c:pt idx="2083">
                  <c:v>4.889520000000001</c:v>
                </c:pt>
                <c:pt idx="2084">
                  <c:v>4.7275200000000019</c:v>
                </c:pt>
                <c:pt idx="2085">
                  <c:v>4.7275200000000019</c:v>
                </c:pt>
                <c:pt idx="2086">
                  <c:v>4.2415200000000013</c:v>
                </c:pt>
                <c:pt idx="2087">
                  <c:v>4.889520000000001</c:v>
                </c:pt>
                <c:pt idx="2088">
                  <c:v>5.0515200000000036</c:v>
                </c:pt>
                <c:pt idx="2089">
                  <c:v>5.0515200000000036</c:v>
                </c:pt>
                <c:pt idx="2090">
                  <c:v>4.8895200000000045</c:v>
                </c:pt>
                <c:pt idx="2091">
                  <c:v>5.6995200000000033</c:v>
                </c:pt>
                <c:pt idx="2092">
                  <c:v>5.5375200000000042</c:v>
                </c:pt>
                <c:pt idx="2093">
                  <c:v>5.5375200000000042</c:v>
                </c:pt>
                <c:pt idx="2094">
                  <c:v>5.0515200000000036</c:v>
                </c:pt>
                <c:pt idx="2095">
                  <c:v>5.6995200000000033</c:v>
                </c:pt>
                <c:pt idx="2096">
                  <c:v>5.8615200000000023</c:v>
                </c:pt>
                <c:pt idx="2097">
                  <c:v>5.8615200000000023</c:v>
                </c:pt>
                <c:pt idx="2098">
                  <c:v>5.6995200000000033</c:v>
                </c:pt>
                <c:pt idx="2099">
                  <c:v>6.509520000000002</c:v>
                </c:pt>
                <c:pt idx="2100">
                  <c:v>6.3475200000000029</c:v>
                </c:pt>
                <c:pt idx="2101">
                  <c:v>6.3475200000000029</c:v>
                </c:pt>
                <c:pt idx="2102">
                  <c:v>5.8615200000000023</c:v>
                </c:pt>
                <c:pt idx="2103">
                  <c:v>6.509520000000002</c:v>
                </c:pt>
                <c:pt idx="2104">
                  <c:v>6.671520000000001</c:v>
                </c:pt>
                <c:pt idx="2105">
                  <c:v>6.671520000000001</c:v>
                </c:pt>
                <c:pt idx="2106">
                  <c:v>6.509520000000002</c:v>
                </c:pt>
                <c:pt idx="2107">
                  <c:v>7.3195200000000007</c:v>
                </c:pt>
                <c:pt idx="2108">
                  <c:v>7.1575200000000017</c:v>
                </c:pt>
                <c:pt idx="2109">
                  <c:v>7.1575200000000017</c:v>
                </c:pt>
                <c:pt idx="2110">
                  <c:v>6.671520000000001</c:v>
                </c:pt>
                <c:pt idx="2111">
                  <c:v>7.3195200000000007</c:v>
                </c:pt>
                <c:pt idx="2112">
                  <c:v>7.4815200000000033</c:v>
                </c:pt>
                <c:pt idx="2113">
                  <c:v>7.4815200000000033</c:v>
                </c:pt>
                <c:pt idx="2114">
                  <c:v>7.3195200000000042</c:v>
                </c:pt>
                <c:pt idx="2115">
                  <c:v>8.129520000000003</c:v>
                </c:pt>
                <c:pt idx="2116">
                  <c:v>7.9675200000000039</c:v>
                </c:pt>
                <c:pt idx="2117">
                  <c:v>7.9675200000000039</c:v>
                </c:pt>
                <c:pt idx="2118">
                  <c:v>7.4815200000000033</c:v>
                </c:pt>
                <c:pt idx="2119">
                  <c:v>8.129520000000003</c:v>
                </c:pt>
                <c:pt idx="2120">
                  <c:v>8.291520000000002</c:v>
                </c:pt>
                <c:pt idx="2121">
                  <c:v>8.291520000000002</c:v>
                </c:pt>
                <c:pt idx="2122">
                  <c:v>8.129520000000003</c:v>
                </c:pt>
                <c:pt idx="2123">
                  <c:v>8.9395200000000017</c:v>
                </c:pt>
                <c:pt idx="2124">
                  <c:v>8.7775200000000027</c:v>
                </c:pt>
                <c:pt idx="2125">
                  <c:v>8.7775200000000027</c:v>
                </c:pt>
                <c:pt idx="2126">
                  <c:v>8.291520000000002</c:v>
                </c:pt>
                <c:pt idx="2127">
                  <c:v>8.9395200000000017</c:v>
                </c:pt>
                <c:pt idx="2128">
                  <c:v>8.291520000000002</c:v>
                </c:pt>
                <c:pt idx="2129">
                  <c:v>8.291520000000002</c:v>
                </c:pt>
                <c:pt idx="2130">
                  <c:v>8.129520000000003</c:v>
                </c:pt>
                <c:pt idx="2131">
                  <c:v>8.9395200000000017</c:v>
                </c:pt>
                <c:pt idx="2132">
                  <c:v>8.7775200000000027</c:v>
                </c:pt>
                <c:pt idx="2133">
                  <c:v>8.7775200000000027</c:v>
                </c:pt>
                <c:pt idx="2134">
                  <c:v>8.291520000000002</c:v>
                </c:pt>
                <c:pt idx="2135">
                  <c:v>8.9395200000000017</c:v>
                </c:pt>
                <c:pt idx="2136">
                  <c:v>8.291520000000002</c:v>
                </c:pt>
                <c:pt idx="2137">
                  <c:v>8.291520000000002</c:v>
                </c:pt>
                <c:pt idx="2138">
                  <c:v>8.129520000000003</c:v>
                </c:pt>
                <c:pt idx="2139">
                  <c:v>8.9395200000000017</c:v>
                </c:pt>
                <c:pt idx="2140">
                  <c:v>8.7775200000000027</c:v>
                </c:pt>
                <c:pt idx="2141">
                  <c:v>8.7775200000000027</c:v>
                </c:pt>
                <c:pt idx="2142">
                  <c:v>8.291520000000002</c:v>
                </c:pt>
                <c:pt idx="2143">
                  <c:v>8.9395200000000017</c:v>
                </c:pt>
                <c:pt idx="2144">
                  <c:v>8.291520000000002</c:v>
                </c:pt>
                <c:pt idx="2145">
                  <c:v>8.291520000000002</c:v>
                </c:pt>
                <c:pt idx="2146">
                  <c:v>8.129520000000003</c:v>
                </c:pt>
                <c:pt idx="2147">
                  <c:v>8.9395200000000017</c:v>
                </c:pt>
                <c:pt idx="2148">
                  <c:v>8.7775200000000027</c:v>
                </c:pt>
                <c:pt idx="2149">
                  <c:v>8.7775200000000027</c:v>
                </c:pt>
                <c:pt idx="2150">
                  <c:v>8.291520000000002</c:v>
                </c:pt>
                <c:pt idx="2151">
                  <c:v>8.9395200000000017</c:v>
                </c:pt>
                <c:pt idx="2152">
                  <c:v>8.291520000000002</c:v>
                </c:pt>
                <c:pt idx="2153">
                  <c:v>8.291520000000002</c:v>
                </c:pt>
                <c:pt idx="2154">
                  <c:v>8.129520000000003</c:v>
                </c:pt>
                <c:pt idx="2155">
                  <c:v>8.9395200000000017</c:v>
                </c:pt>
                <c:pt idx="2156">
                  <c:v>8.7775200000000027</c:v>
                </c:pt>
                <c:pt idx="2157">
                  <c:v>8.7775200000000027</c:v>
                </c:pt>
                <c:pt idx="2158">
                  <c:v>8.291520000000002</c:v>
                </c:pt>
                <c:pt idx="2159">
                  <c:v>8.9395200000000017</c:v>
                </c:pt>
                <c:pt idx="2160">
                  <c:v>8.291520000000002</c:v>
                </c:pt>
                <c:pt idx="2161">
                  <c:v>8.291520000000002</c:v>
                </c:pt>
                <c:pt idx="2162">
                  <c:v>8.129520000000003</c:v>
                </c:pt>
                <c:pt idx="2163">
                  <c:v>8.9395200000000017</c:v>
                </c:pt>
                <c:pt idx="2164">
                  <c:v>8.7775200000000027</c:v>
                </c:pt>
                <c:pt idx="2165">
                  <c:v>8.7775200000000027</c:v>
                </c:pt>
                <c:pt idx="2166">
                  <c:v>8.291520000000002</c:v>
                </c:pt>
                <c:pt idx="2167">
                  <c:v>8.9395200000000017</c:v>
                </c:pt>
                <c:pt idx="2168">
                  <c:v>8.291520000000002</c:v>
                </c:pt>
                <c:pt idx="2169">
                  <c:v>8.291520000000002</c:v>
                </c:pt>
                <c:pt idx="2170">
                  <c:v>8.129520000000003</c:v>
                </c:pt>
                <c:pt idx="2171">
                  <c:v>8.9395200000000017</c:v>
                </c:pt>
                <c:pt idx="2172">
                  <c:v>8.7775200000000027</c:v>
                </c:pt>
                <c:pt idx="2173">
                  <c:v>8.7775200000000027</c:v>
                </c:pt>
                <c:pt idx="2174">
                  <c:v>8.291520000000002</c:v>
                </c:pt>
                <c:pt idx="2175">
                  <c:v>8.9395200000000017</c:v>
                </c:pt>
                <c:pt idx="2176">
                  <c:v>8.291520000000002</c:v>
                </c:pt>
                <c:pt idx="2177">
                  <c:v>8.291520000000002</c:v>
                </c:pt>
                <c:pt idx="2178">
                  <c:v>8.129520000000003</c:v>
                </c:pt>
                <c:pt idx="2179">
                  <c:v>8.9395200000000017</c:v>
                </c:pt>
                <c:pt idx="2180">
                  <c:v>8.7775200000000027</c:v>
                </c:pt>
                <c:pt idx="2181">
                  <c:v>8.7775200000000027</c:v>
                </c:pt>
                <c:pt idx="2182">
                  <c:v>8.291520000000002</c:v>
                </c:pt>
                <c:pt idx="2183">
                  <c:v>8.9395200000000017</c:v>
                </c:pt>
                <c:pt idx="2184">
                  <c:v>8.291520000000002</c:v>
                </c:pt>
                <c:pt idx="2185">
                  <c:v>8.291520000000002</c:v>
                </c:pt>
                <c:pt idx="2186">
                  <c:v>8.129520000000003</c:v>
                </c:pt>
                <c:pt idx="2187">
                  <c:v>8.9395200000000017</c:v>
                </c:pt>
                <c:pt idx="2188">
                  <c:v>8.7775200000000027</c:v>
                </c:pt>
                <c:pt idx="2189">
                  <c:v>8.7775200000000027</c:v>
                </c:pt>
                <c:pt idx="2190">
                  <c:v>8.291520000000002</c:v>
                </c:pt>
                <c:pt idx="2191">
                  <c:v>8.9395200000000017</c:v>
                </c:pt>
                <c:pt idx="2192">
                  <c:v>8.291520000000002</c:v>
                </c:pt>
                <c:pt idx="2193">
                  <c:v>8.291520000000002</c:v>
                </c:pt>
                <c:pt idx="2194">
                  <c:v>8.129520000000003</c:v>
                </c:pt>
                <c:pt idx="2195">
                  <c:v>8.9395200000000017</c:v>
                </c:pt>
                <c:pt idx="2196">
                  <c:v>8.7775200000000027</c:v>
                </c:pt>
                <c:pt idx="2197">
                  <c:v>8.7775200000000027</c:v>
                </c:pt>
                <c:pt idx="2198">
                  <c:v>8.291520000000002</c:v>
                </c:pt>
                <c:pt idx="2199">
                  <c:v>8.9395200000000017</c:v>
                </c:pt>
                <c:pt idx="2200">
                  <c:v>8.291520000000002</c:v>
                </c:pt>
                <c:pt idx="2201">
                  <c:v>8.291520000000002</c:v>
                </c:pt>
                <c:pt idx="2202">
                  <c:v>8.129520000000003</c:v>
                </c:pt>
                <c:pt idx="2203">
                  <c:v>8.9395200000000017</c:v>
                </c:pt>
                <c:pt idx="2204">
                  <c:v>8.7775200000000027</c:v>
                </c:pt>
                <c:pt idx="2205">
                  <c:v>8.7775200000000027</c:v>
                </c:pt>
                <c:pt idx="2206">
                  <c:v>8.291520000000002</c:v>
                </c:pt>
                <c:pt idx="2207">
                  <c:v>8.9395200000000017</c:v>
                </c:pt>
                <c:pt idx="2208">
                  <c:v>8.291520000000002</c:v>
                </c:pt>
                <c:pt idx="2209">
                  <c:v>8.291520000000002</c:v>
                </c:pt>
                <c:pt idx="2210">
                  <c:v>8.129520000000003</c:v>
                </c:pt>
                <c:pt idx="2211">
                  <c:v>8.9395200000000017</c:v>
                </c:pt>
                <c:pt idx="2212">
                  <c:v>8.7775200000000027</c:v>
                </c:pt>
                <c:pt idx="2213">
                  <c:v>8.7775200000000027</c:v>
                </c:pt>
                <c:pt idx="2214">
                  <c:v>8.291520000000002</c:v>
                </c:pt>
                <c:pt idx="2215">
                  <c:v>8.9395200000000017</c:v>
                </c:pt>
                <c:pt idx="2216">
                  <c:v>8.291520000000002</c:v>
                </c:pt>
                <c:pt idx="2217">
                  <c:v>8.291520000000002</c:v>
                </c:pt>
                <c:pt idx="2218">
                  <c:v>8.129520000000003</c:v>
                </c:pt>
                <c:pt idx="2219">
                  <c:v>8.9395200000000017</c:v>
                </c:pt>
                <c:pt idx="2220">
                  <c:v>8.7775200000000027</c:v>
                </c:pt>
                <c:pt idx="2221">
                  <c:v>8.7775200000000027</c:v>
                </c:pt>
                <c:pt idx="2222">
                  <c:v>8.291520000000002</c:v>
                </c:pt>
                <c:pt idx="2223">
                  <c:v>8.9395200000000017</c:v>
                </c:pt>
                <c:pt idx="2224">
                  <c:v>8.291520000000002</c:v>
                </c:pt>
                <c:pt idx="2225">
                  <c:v>8.291520000000002</c:v>
                </c:pt>
                <c:pt idx="2226">
                  <c:v>8.129520000000003</c:v>
                </c:pt>
                <c:pt idx="2227">
                  <c:v>8.9395200000000017</c:v>
                </c:pt>
                <c:pt idx="2228">
                  <c:v>8.7775200000000027</c:v>
                </c:pt>
                <c:pt idx="2229">
                  <c:v>8.7775200000000027</c:v>
                </c:pt>
                <c:pt idx="2230">
                  <c:v>8.291520000000002</c:v>
                </c:pt>
                <c:pt idx="2231">
                  <c:v>8.9395200000000017</c:v>
                </c:pt>
                <c:pt idx="2232">
                  <c:v>8.291520000000002</c:v>
                </c:pt>
                <c:pt idx="2233">
                  <c:v>8.291520000000002</c:v>
                </c:pt>
                <c:pt idx="2234">
                  <c:v>8.129520000000003</c:v>
                </c:pt>
                <c:pt idx="2235">
                  <c:v>8.9395200000000017</c:v>
                </c:pt>
                <c:pt idx="2236">
                  <c:v>8.7775200000000027</c:v>
                </c:pt>
                <c:pt idx="2237">
                  <c:v>8.7775200000000027</c:v>
                </c:pt>
                <c:pt idx="2238">
                  <c:v>8.291520000000002</c:v>
                </c:pt>
                <c:pt idx="2239">
                  <c:v>8.9395200000000017</c:v>
                </c:pt>
                <c:pt idx="2240">
                  <c:v>8.291520000000002</c:v>
                </c:pt>
                <c:pt idx="2241">
                  <c:v>8.291520000000002</c:v>
                </c:pt>
                <c:pt idx="2242">
                  <c:v>8.129520000000003</c:v>
                </c:pt>
                <c:pt idx="2243">
                  <c:v>8.9395200000000017</c:v>
                </c:pt>
                <c:pt idx="2244">
                  <c:v>8.7775200000000027</c:v>
                </c:pt>
                <c:pt idx="2245">
                  <c:v>8.7775200000000027</c:v>
                </c:pt>
                <c:pt idx="2246">
                  <c:v>8.291520000000002</c:v>
                </c:pt>
                <c:pt idx="2247">
                  <c:v>8.9395200000000017</c:v>
                </c:pt>
                <c:pt idx="2248">
                  <c:v>8.291520000000002</c:v>
                </c:pt>
                <c:pt idx="2249">
                  <c:v>8.291520000000002</c:v>
                </c:pt>
                <c:pt idx="2250">
                  <c:v>8.129520000000003</c:v>
                </c:pt>
                <c:pt idx="2251">
                  <c:v>8.9395200000000017</c:v>
                </c:pt>
                <c:pt idx="2252">
                  <c:v>8.7775200000000027</c:v>
                </c:pt>
                <c:pt idx="2253">
                  <c:v>8.7775200000000027</c:v>
                </c:pt>
                <c:pt idx="2254">
                  <c:v>8.291520000000002</c:v>
                </c:pt>
                <c:pt idx="2255">
                  <c:v>8.9395200000000017</c:v>
                </c:pt>
                <c:pt idx="2256">
                  <c:v>8.291520000000002</c:v>
                </c:pt>
                <c:pt idx="2257">
                  <c:v>8.291520000000002</c:v>
                </c:pt>
                <c:pt idx="2258">
                  <c:v>8.129520000000003</c:v>
                </c:pt>
                <c:pt idx="2259">
                  <c:v>8.9395200000000017</c:v>
                </c:pt>
                <c:pt idx="2260">
                  <c:v>8.7775200000000027</c:v>
                </c:pt>
                <c:pt idx="2261">
                  <c:v>8.7775200000000027</c:v>
                </c:pt>
                <c:pt idx="2262">
                  <c:v>8.291520000000002</c:v>
                </c:pt>
                <c:pt idx="2263">
                  <c:v>8.9395200000000017</c:v>
                </c:pt>
                <c:pt idx="2264">
                  <c:v>8.291520000000002</c:v>
                </c:pt>
                <c:pt idx="2265">
                  <c:v>8.291520000000002</c:v>
                </c:pt>
                <c:pt idx="2266">
                  <c:v>8.129520000000003</c:v>
                </c:pt>
                <c:pt idx="2267">
                  <c:v>8.9395200000000017</c:v>
                </c:pt>
                <c:pt idx="2268">
                  <c:v>8.7775200000000027</c:v>
                </c:pt>
                <c:pt idx="2269">
                  <c:v>8.7775200000000027</c:v>
                </c:pt>
                <c:pt idx="2270">
                  <c:v>8.291520000000002</c:v>
                </c:pt>
                <c:pt idx="2271">
                  <c:v>8.9395200000000017</c:v>
                </c:pt>
                <c:pt idx="2272">
                  <c:v>8.291520000000002</c:v>
                </c:pt>
                <c:pt idx="2273">
                  <c:v>8.291520000000002</c:v>
                </c:pt>
                <c:pt idx="2274">
                  <c:v>8.129520000000003</c:v>
                </c:pt>
                <c:pt idx="2275">
                  <c:v>8.9395200000000017</c:v>
                </c:pt>
                <c:pt idx="2276">
                  <c:v>8.7775200000000027</c:v>
                </c:pt>
                <c:pt idx="2277">
                  <c:v>8.7775200000000027</c:v>
                </c:pt>
                <c:pt idx="2278">
                  <c:v>8.291520000000002</c:v>
                </c:pt>
                <c:pt idx="2279">
                  <c:v>8.9395200000000017</c:v>
                </c:pt>
                <c:pt idx="2280">
                  <c:v>8.291520000000002</c:v>
                </c:pt>
                <c:pt idx="2281">
                  <c:v>8.291520000000002</c:v>
                </c:pt>
                <c:pt idx="2282">
                  <c:v>8.129520000000003</c:v>
                </c:pt>
                <c:pt idx="2283">
                  <c:v>8.9395200000000017</c:v>
                </c:pt>
                <c:pt idx="2284">
                  <c:v>8.7775200000000027</c:v>
                </c:pt>
                <c:pt idx="2285">
                  <c:v>8.7775200000000027</c:v>
                </c:pt>
                <c:pt idx="2286">
                  <c:v>8.291520000000002</c:v>
                </c:pt>
                <c:pt idx="2287">
                  <c:v>8.9395200000000017</c:v>
                </c:pt>
                <c:pt idx="2288">
                  <c:v>8.291520000000002</c:v>
                </c:pt>
                <c:pt idx="2289">
                  <c:v>8.291520000000002</c:v>
                </c:pt>
                <c:pt idx="2290">
                  <c:v>8.129520000000003</c:v>
                </c:pt>
                <c:pt idx="2291">
                  <c:v>8.9395200000000017</c:v>
                </c:pt>
                <c:pt idx="2292">
                  <c:v>8.7775200000000027</c:v>
                </c:pt>
                <c:pt idx="2293">
                  <c:v>8.7775200000000027</c:v>
                </c:pt>
                <c:pt idx="2294">
                  <c:v>8.291520000000002</c:v>
                </c:pt>
                <c:pt idx="2295">
                  <c:v>8.9395200000000017</c:v>
                </c:pt>
                <c:pt idx="2296">
                  <c:v>8.291520000000002</c:v>
                </c:pt>
                <c:pt idx="2297">
                  <c:v>8.291520000000002</c:v>
                </c:pt>
                <c:pt idx="2298">
                  <c:v>8.129520000000003</c:v>
                </c:pt>
                <c:pt idx="2299">
                  <c:v>8.9395200000000017</c:v>
                </c:pt>
                <c:pt idx="2300">
                  <c:v>8.7775200000000027</c:v>
                </c:pt>
                <c:pt idx="2301">
                  <c:v>8.7775200000000027</c:v>
                </c:pt>
                <c:pt idx="2302">
                  <c:v>8.291520000000002</c:v>
                </c:pt>
                <c:pt idx="2303">
                  <c:v>8.9395200000000017</c:v>
                </c:pt>
                <c:pt idx="2304">
                  <c:v>8.291520000000002</c:v>
                </c:pt>
                <c:pt idx="2305">
                  <c:v>8.291520000000002</c:v>
                </c:pt>
                <c:pt idx="2306">
                  <c:v>8.129520000000003</c:v>
                </c:pt>
                <c:pt idx="2307">
                  <c:v>8.9395200000000017</c:v>
                </c:pt>
                <c:pt idx="2308">
                  <c:v>8.7775200000000027</c:v>
                </c:pt>
                <c:pt idx="2309">
                  <c:v>8.7775200000000027</c:v>
                </c:pt>
                <c:pt idx="2310">
                  <c:v>8.291520000000002</c:v>
                </c:pt>
                <c:pt idx="2311">
                  <c:v>8.9395200000000017</c:v>
                </c:pt>
                <c:pt idx="2312">
                  <c:v>8.291520000000002</c:v>
                </c:pt>
                <c:pt idx="2313">
                  <c:v>8.291520000000002</c:v>
                </c:pt>
                <c:pt idx="2314">
                  <c:v>8.129520000000003</c:v>
                </c:pt>
                <c:pt idx="2315">
                  <c:v>8.9395200000000017</c:v>
                </c:pt>
                <c:pt idx="2316">
                  <c:v>8.7775200000000027</c:v>
                </c:pt>
                <c:pt idx="2317">
                  <c:v>8.7775200000000027</c:v>
                </c:pt>
                <c:pt idx="2318">
                  <c:v>8.291520000000002</c:v>
                </c:pt>
                <c:pt idx="2319">
                  <c:v>8.9395200000000017</c:v>
                </c:pt>
                <c:pt idx="2320">
                  <c:v>8.291520000000002</c:v>
                </c:pt>
                <c:pt idx="2321">
                  <c:v>8.291520000000002</c:v>
                </c:pt>
                <c:pt idx="2322">
                  <c:v>8.129520000000003</c:v>
                </c:pt>
                <c:pt idx="2323">
                  <c:v>8.9395200000000017</c:v>
                </c:pt>
                <c:pt idx="2324">
                  <c:v>8.7775200000000027</c:v>
                </c:pt>
                <c:pt idx="2325">
                  <c:v>8.7775200000000027</c:v>
                </c:pt>
                <c:pt idx="2326">
                  <c:v>8.291520000000002</c:v>
                </c:pt>
                <c:pt idx="2327">
                  <c:v>8.9395200000000017</c:v>
                </c:pt>
                <c:pt idx="2328">
                  <c:v>8.291520000000002</c:v>
                </c:pt>
                <c:pt idx="2329">
                  <c:v>8.291520000000002</c:v>
                </c:pt>
                <c:pt idx="2330">
                  <c:v>8.129520000000003</c:v>
                </c:pt>
                <c:pt idx="2331">
                  <c:v>8.9395200000000017</c:v>
                </c:pt>
                <c:pt idx="2332">
                  <c:v>8.7775200000000027</c:v>
                </c:pt>
                <c:pt idx="2333">
                  <c:v>8.7775200000000027</c:v>
                </c:pt>
                <c:pt idx="2334">
                  <c:v>8.291520000000002</c:v>
                </c:pt>
                <c:pt idx="2335">
                  <c:v>8.9395200000000017</c:v>
                </c:pt>
                <c:pt idx="2336">
                  <c:v>8.291520000000002</c:v>
                </c:pt>
                <c:pt idx="2337">
                  <c:v>8.291520000000002</c:v>
                </c:pt>
                <c:pt idx="2338">
                  <c:v>8.129520000000003</c:v>
                </c:pt>
                <c:pt idx="2339">
                  <c:v>8.9395200000000017</c:v>
                </c:pt>
                <c:pt idx="2340">
                  <c:v>8.7775200000000027</c:v>
                </c:pt>
                <c:pt idx="2341">
                  <c:v>8.7775200000000027</c:v>
                </c:pt>
                <c:pt idx="2342">
                  <c:v>8.291520000000002</c:v>
                </c:pt>
                <c:pt idx="2343">
                  <c:v>8.9395200000000017</c:v>
                </c:pt>
                <c:pt idx="2344">
                  <c:v>8.291520000000002</c:v>
                </c:pt>
                <c:pt idx="2345">
                  <c:v>8.291520000000002</c:v>
                </c:pt>
                <c:pt idx="2346">
                  <c:v>8.129520000000003</c:v>
                </c:pt>
                <c:pt idx="2347">
                  <c:v>8.9395200000000017</c:v>
                </c:pt>
                <c:pt idx="2348">
                  <c:v>8.7775200000000027</c:v>
                </c:pt>
                <c:pt idx="2349">
                  <c:v>8.7775200000000027</c:v>
                </c:pt>
                <c:pt idx="2350">
                  <c:v>8.291520000000002</c:v>
                </c:pt>
                <c:pt idx="2351">
                  <c:v>8.9395200000000017</c:v>
                </c:pt>
                <c:pt idx="2352">
                  <c:v>8.291520000000002</c:v>
                </c:pt>
                <c:pt idx="2353">
                  <c:v>8.291520000000002</c:v>
                </c:pt>
                <c:pt idx="2354">
                  <c:v>8.129520000000003</c:v>
                </c:pt>
                <c:pt idx="2355">
                  <c:v>8.9395200000000017</c:v>
                </c:pt>
                <c:pt idx="2356">
                  <c:v>8.7775200000000027</c:v>
                </c:pt>
                <c:pt idx="2357">
                  <c:v>8.7775200000000027</c:v>
                </c:pt>
                <c:pt idx="2358">
                  <c:v>8.291520000000002</c:v>
                </c:pt>
                <c:pt idx="2359">
                  <c:v>8.9395200000000017</c:v>
                </c:pt>
                <c:pt idx="2360">
                  <c:v>8.291520000000002</c:v>
                </c:pt>
                <c:pt idx="2361">
                  <c:v>8.291520000000002</c:v>
                </c:pt>
                <c:pt idx="2362">
                  <c:v>8.129520000000003</c:v>
                </c:pt>
                <c:pt idx="2363">
                  <c:v>8.9395200000000017</c:v>
                </c:pt>
                <c:pt idx="2364">
                  <c:v>8.7775200000000027</c:v>
                </c:pt>
                <c:pt idx="2365">
                  <c:v>8.7775200000000027</c:v>
                </c:pt>
                <c:pt idx="2366">
                  <c:v>8.291520000000002</c:v>
                </c:pt>
                <c:pt idx="2367">
                  <c:v>8.9395200000000017</c:v>
                </c:pt>
                <c:pt idx="2368">
                  <c:v>8.291520000000002</c:v>
                </c:pt>
                <c:pt idx="2369">
                  <c:v>8.291520000000002</c:v>
                </c:pt>
                <c:pt idx="2370">
                  <c:v>8.129520000000003</c:v>
                </c:pt>
                <c:pt idx="2371">
                  <c:v>8.9395200000000017</c:v>
                </c:pt>
                <c:pt idx="2372">
                  <c:v>8.7775200000000027</c:v>
                </c:pt>
                <c:pt idx="2373">
                  <c:v>8.7775200000000027</c:v>
                </c:pt>
                <c:pt idx="2374">
                  <c:v>8.291520000000002</c:v>
                </c:pt>
                <c:pt idx="2375">
                  <c:v>8.9395200000000017</c:v>
                </c:pt>
                <c:pt idx="2376">
                  <c:v>8.291520000000002</c:v>
                </c:pt>
                <c:pt idx="2377">
                  <c:v>8.291520000000002</c:v>
                </c:pt>
                <c:pt idx="2378">
                  <c:v>8.129520000000003</c:v>
                </c:pt>
                <c:pt idx="2379">
                  <c:v>8.9395200000000017</c:v>
                </c:pt>
                <c:pt idx="2380">
                  <c:v>8.7775200000000027</c:v>
                </c:pt>
                <c:pt idx="2381">
                  <c:v>8.7775200000000027</c:v>
                </c:pt>
                <c:pt idx="2382">
                  <c:v>8.291520000000002</c:v>
                </c:pt>
                <c:pt idx="2383">
                  <c:v>8.9395200000000017</c:v>
                </c:pt>
                <c:pt idx="2384">
                  <c:v>8.291520000000002</c:v>
                </c:pt>
                <c:pt idx="2385">
                  <c:v>8.291520000000002</c:v>
                </c:pt>
                <c:pt idx="2386">
                  <c:v>8.129520000000003</c:v>
                </c:pt>
                <c:pt idx="2387">
                  <c:v>8.9395200000000017</c:v>
                </c:pt>
                <c:pt idx="2388">
                  <c:v>8.7775200000000027</c:v>
                </c:pt>
                <c:pt idx="2389">
                  <c:v>8.7775200000000027</c:v>
                </c:pt>
                <c:pt idx="2390">
                  <c:v>8.291520000000002</c:v>
                </c:pt>
                <c:pt idx="2391">
                  <c:v>8.9395200000000017</c:v>
                </c:pt>
                <c:pt idx="2392">
                  <c:v>8.291520000000002</c:v>
                </c:pt>
                <c:pt idx="2393">
                  <c:v>8.291520000000002</c:v>
                </c:pt>
                <c:pt idx="2394">
                  <c:v>8.129520000000003</c:v>
                </c:pt>
                <c:pt idx="2395">
                  <c:v>8.9395200000000017</c:v>
                </c:pt>
                <c:pt idx="2396">
                  <c:v>8.7775200000000027</c:v>
                </c:pt>
                <c:pt idx="2397">
                  <c:v>8.7775200000000027</c:v>
                </c:pt>
                <c:pt idx="2398">
                  <c:v>8.291520000000002</c:v>
                </c:pt>
                <c:pt idx="2399">
                  <c:v>8.9395200000000017</c:v>
                </c:pt>
                <c:pt idx="2400">
                  <c:v>8.291520000000002</c:v>
                </c:pt>
                <c:pt idx="2401">
                  <c:v>8.291520000000002</c:v>
                </c:pt>
                <c:pt idx="2402">
                  <c:v>8.129520000000003</c:v>
                </c:pt>
                <c:pt idx="2403">
                  <c:v>8.9395200000000017</c:v>
                </c:pt>
                <c:pt idx="2404">
                  <c:v>8.7775200000000027</c:v>
                </c:pt>
                <c:pt idx="2405">
                  <c:v>8.7775200000000027</c:v>
                </c:pt>
                <c:pt idx="2406">
                  <c:v>8.291520000000002</c:v>
                </c:pt>
                <c:pt idx="2407">
                  <c:v>8.9395200000000017</c:v>
                </c:pt>
                <c:pt idx="2408">
                  <c:v>8.9395200000000017</c:v>
                </c:pt>
                <c:pt idx="2409">
                  <c:v>-11.310479999999998</c:v>
                </c:pt>
                <c:pt idx="2410">
                  <c:v>-11.148479999999999</c:v>
                </c:pt>
                <c:pt idx="2411">
                  <c:v>-11.148479999999999</c:v>
                </c:pt>
                <c:pt idx="2412">
                  <c:v>-11.310479999999998</c:v>
                </c:pt>
                <c:pt idx="2413">
                  <c:v>-10.500479999999998</c:v>
                </c:pt>
                <c:pt idx="2414">
                  <c:v>-10.662479999999999</c:v>
                </c:pt>
                <c:pt idx="2415">
                  <c:v>-10.662479999999999</c:v>
                </c:pt>
                <c:pt idx="2416">
                  <c:v>-11.148479999999999</c:v>
                </c:pt>
                <c:pt idx="2417">
                  <c:v>-10.500479999999998</c:v>
                </c:pt>
                <c:pt idx="2418">
                  <c:v>-10.338479999999997</c:v>
                </c:pt>
                <c:pt idx="2419">
                  <c:v>-10.338479999999997</c:v>
                </c:pt>
                <c:pt idx="2420">
                  <c:v>-10.500479999999998</c:v>
                </c:pt>
                <c:pt idx="2421">
                  <c:v>-9.6904799999999973</c:v>
                </c:pt>
                <c:pt idx="2422">
                  <c:v>-9.8524799999999981</c:v>
                </c:pt>
                <c:pt idx="2423">
                  <c:v>-9.8524799999999981</c:v>
                </c:pt>
                <c:pt idx="2424">
                  <c:v>-10.338479999999997</c:v>
                </c:pt>
                <c:pt idx="2425">
                  <c:v>-9.6904799999999973</c:v>
                </c:pt>
                <c:pt idx="2426">
                  <c:v>-9.5284799999999965</c:v>
                </c:pt>
                <c:pt idx="2427">
                  <c:v>-9.5284799999999965</c:v>
                </c:pt>
                <c:pt idx="2428">
                  <c:v>-9.6904799999999973</c:v>
                </c:pt>
                <c:pt idx="2429">
                  <c:v>-8.8804799999999968</c:v>
                </c:pt>
                <c:pt idx="2430">
                  <c:v>-9.0424799999999976</c:v>
                </c:pt>
                <c:pt idx="2431">
                  <c:v>-9.0424799999999976</c:v>
                </c:pt>
                <c:pt idx="2432">
                  <c:v>-9.5284799999999965</c:v>
                </c:pt>
                <c:pt idx="2433">
                  <c:v>-8.8804799999999968</c:v>
                </c:pt>
                <c:pt idx="2434">
                  <c:v>-8.7184799999999978</c:v>
                </c:pt>
                <c:pt idx="2435">
                  <c:v>-8.7184799999999978</c:v>
                </c:pt>
                <c:pt idx="2436">
                  <c:v>-8.8804799999999986</c:v>
                </c:pt>
                <c:pt idx="2437">
                  <c:v>-8.0704799999999981</c:v>
                </c:pt>
                <c:pt idx="2438">
                  <c:v>-8.2324799999999989</c:v>
                </c:pt>
                <c:pt idx="2439">
                  <c:v>-8.2324799999999989</c:v>
                </c:pt>
                <c:pt idx="2440">
                  <c:v>-8.7184799999999978</c:v>
                </c:pt>
                <c:pt idx="2441">
                  <c:v>-8.0704799999999981</c:v>
                </c:pt>
                <c:pt idx="2442">
                  <c:v>-7.9084799999999973</c:v>
                </c:pt>
                <c:pt idx="2443">
                  <c:v>-7.9084799999999973</c:v>
                </c:pt>
                <c:pt idx="2444">
                  <c:v>-8.0704799999999981</c:v>
                </c:pt>
                <c:pt idx="2445">
                  <c:v>-7.2604799999999976</c:v>
                </c:pt>
                <c:pt idx="2446">
                  <c:v>-7.4224799999999984</c:v>
                </c:pt>
                <c:pt idx="2447">
                  <c:v>-7.4224799999999984</c:v>
                </c:pt>
                <c:pt idx="2448">
                  <c:v>-7.9084799999999973</c:v>
                </c:pt>
                <c:pt idx="2449">
                  <c:v>-7.2604799999999976</c:v>
                </c:pt>
                <c:pt idx="2450">
                  <c:v>-7.0984799999999968</c:v>
                </c:pt>
                <c:pt idx="2451">
                  <c:v>-7.0984799999999968</c:v>
                </c:pt>
                <c:pt idx="2452">
                  <c:v>-7.2604799999999976</c:v>
                </c:pt>
                <c:pt idx="2453">
                  <c:v>-6.4504799999999971</c:v>
                </c:pt>
                <c:pt idx="2454">
                  <c:v>-6.6124799999999979</c:v>
                </c:pt>
                <c:pt idx="2455">
                  <c:v>-6.6124799999999979</c:v>
                </c:pt>
                <c:pt idx="2456">
                  <c:v>-7.0984799999999968</c:v>
                </c:pt>
                <c:pt idx="2457">
                  <c:v>-6.4504799999999971</c:v>
                </c:pt>
                <c:pt idx="2458">
                  <c:v>-6.2884799999999981</c:v>
                </c:pt>
                <c:pt idx="2459">
                  <c:v>-6.2884799999999981</c:v>
                </c:pt>
                <c:pt idx="2460">
                  <c:v>-6.4504799999999989</c:v>
                </c:pt>
                <c:pt idx="2461">
                  <c:v>-5.6404799999999984</c:v>
                </c:pt>
                <c:pt idx="2462">
                  <c:v>-5.8024799999999992</c:v>
                </c:pt>
                <c:pt idx="2463">
                  <c:v>-5.8024799999999992</c:v>
                </c:pt>
                <c:pt idx="2464">
                  <c:v>-6.2884799999999981</c:v>
                </c:pt>
                <c:pt idx="2465">
                  <c:v>-5.6404799999999984</c:v>
                </c:pt>
                <c:pt idx="2466">
                  <c:v>-5.4784799999999976</c:v>
                </c:pt>
                <c:pt idx="2467">
                  <c:v>-5.4784799999999976</c:v>
                </c:pt>
                <c:pt idx="2468">
                  <c:v>-5.6404799999999984</c:v>
                </c:pt>
                <c:pt idx="2469">
                  <c:v>-4.8304799999999979</c:v>
                </c:pt>
                <c:pt idx="2470">
                  <c:v>-4.9924799999999987</c:v>
                </c:pt>
                <c:pt idx="2471">
                  <c:v>-4.9924799999999987</c:v>
                </c:pt>
                <c:pt idx="2472">
                  <c:v>-5.4784799999999976</c:v>
                </c:pt>
                <c:pt idx="2473">
                  <c:v>-4.8304799999999979</c:v>
                </c:pt>
                <c:pt idx="2474">
                  <c:v>-4.6684799999999971</c:v>
                </c:pt>
                <c:pt idx="2475">
                  <c:v>-4.6684799999999971</c:v>
                </c:pt>
                <c:pt idx="2476">
                  <c:v>-4.8304799999999979</c:v>
                </c:pt>
                <c:pt idx="2477">
                  <c:v>-4.0204799999999974</c:v>
                </c:pt>
                <c:pt idx="2478">
                  <c:v>-4.1824799999999982</c:v>
                </c:pt>
                <c:pt idx="2479">
                  <c:v>-4.1824799999999982</c:v>
                </c:pt>
                <c:pt idx="2480">
                  <c:v>-4.6684799999999971</c:v>
                </c:pt>
                <c:pt idx="2481">
                  <c:v>-4.0204799999999974</c:v>
                </c:pt>
                <c:pt idx="2482">
                  <c:v>-3.8584799999999966</c:v>
                </c:pt>
                <c:pt idx="2483">
                  <c:v>-3.8584799999999966</c:v>
                </c:pt>
                <c:pt idx="2484">
                  <c:v>-4.0204799999999974</c:v>
                </c:pt>
                <c:pt idx="2485">
                  <c:v>-3.2104799999999969</c:v>
                </c:pt>
                <c:pt idx="2486">
                  <c:v>-3.3724799999999977</c:v>
                </c:pt>
                <c:pt idx="2487">
                  <c:v>-3.3724799999999977</c:v>
                </c:pt>
                <c:pt idx="2488">
                  <c:v>-3.8584799999999966</c:v>
                </c:pt>
                <c:pt idx="2489">
                  <c:v>-3.2104799999999969</c:v>
                </c:pt>
                <c:pt idx="2490">
                  <c:v>-3.0484799999999961</c:v>
                </c:pt>
                <c:pt idx="2491">
                  <c:v>-3.0484799999999961</c:v>
                </c:pt>
                <c:pt idx="2492">
                  <c:v>-3.2104799999999969</c:v>
                </c:pt>
                <c:pt idx="2493">
                  <c:v>-2.4004799999999964</c:v>
                </c:pt>
                <c:pt idx="2494">
                  <c:v>-2.5624799999999972</c:v>
                </c:pt>
                <c:pt idx="2495">
                  <c:v>-2.5624799999999972</c:v>
                </c:pt>
                <c:pt idx="2496">
                  <c:v>-3.0484799999999961</c:v>
                </c:pt>
                <c:pt idx="2497">
                  <c:v>-2.4004799999999964</c:v>
                </c:pt>
                <c:pt idx="2498">
                  <c:v>-2.2384799999999974</c:v>
                </c:pt>
                <c:pt idx="2499">
                  <c:v>-2.2384799999999974</c:v>
                </c:pt>
                <c:pt idx="2500">
                  <c:v>-2.4004799999999982</c:v>
                </c:pt>
                <c:pt idx="2501">
                  <c:v>-1.5904799999999994</c:v>
                </c:pt>
                <c:pt idx="2502">
                  <c:v>-1.7524799999999985</c:v>
                </c:pt>
                <c:pt idx="2503">
                  <c:v>-1.7524799999999985</c:v>
                </c:pt>
                <c:pt idx="2504">
                  <c:v>-2.2384799999999974</c:v>
                </c:pt>
                <c:pt idx="2505">
                  <c:v>-1.5904799999999994</c:v>
                </c:pt>
                <c:pt idx="2506">
                  <c:v>-1.4284800000000004</c:v>
                </c:pt>
                <c:pt idx="2507">
                  <c:v>-1.4284800000000004</c:v>
                </c:pt>
                <c:pt idx="2508">
                  <c:v>-1.5904799999999994</c:v>
                </c:pt>
                <c:pt idx="2509">
                  <c:v>-0.78048000000000073</c:v>
                </c:pt>
                <c:pt idx="2510">
                  <c:v>-0.94247999999999976</c:v>
                </c:pt>
                <c:pt idx="2511">
                  <c:v>-0.94247999999999976</c:v>
                </c:pt>
                <c:pt idx="2512">
                  <c:v>-1.4284800000000004</c:v>
                </c:pt>
                <c:pt idx="2513">
                  <c:v>-0.78048000000000073</c:v>
                </c:pt>
                <c:pt idx="2514">
                  <c:v>-0.61847999999999814</c:v>
                </c:pt>
                <c:pt idx="2515">
                  <c:v>-0.61847999999999814</c:v>
                </c:pt>
                <c:pt idx="2516">
                  <c:v>-0.78047999999999718</c:v>
                </c:pt>
                <c:pt idx="2517">
                  <c:v>2.9520000000001545E-2</c:v>
                </c:pt>
                <c:pt idx="2518">
                  <c:v>-0.13247999999999749</c:v>
                </c:pt>
                <c:pt idx="2519">
                  <c:v>-0.13247999999999749</c:v>
                </c:pt>
                <c:pt idx="2520">
                  <c:v>-0.61847999999999814</c:v>
                </c:pt>
                <c:pt idx="2521">
                  <c:v>2.9520000000001545E-2</c:v>
                </c:pt>
                <c:pt idx="2522">
                  <c:v>0.19152000000000058</c:v>
                </c:pt>
                <c:pt idx="2523">
                  <c:v>0.19152000000000058</c:v>
                </c:pt>
                <c:pt idx="2524">
                  <c:v>2.9520000000001545E-2</c:v>
                </c:pt>
                <c:pt idx="2525">
                  <c:v>0.83952000000000027</c:v>
                </c:pt>
                <c:pt idx="2526">
                  <c:v>0.67752000000000123</c:v>
                </c:pt>
                <c:pt idx="2527">
                  <c:v>0.67752000000000123</c:v>
                </c:pt>
                <c:pt idx="2528">
                  <c:v>0.19152000000000058</c:v>
                </c:pt>
                <c:pt idx="2529">
                  <c:v>0.83952000000000027</c:v>
                </c:pt>
                <c:pt idx="2530">
                  <c:v>1.0015199999999993</c:v>
                </c:pt>
                <c:pt idx="2531">
                  <c:v>1.0015199999999993</c:v>
                </c:pt>
                <c:pt idx="2532">
                  <c:v>0.83952000000000027</c:v>
                </c:pt>
                <c:pt idx="2533">
                  <c:v>1.649519999999999</c:v>
                </c:pt>
                <c:pt idx="2534">
                  <c:v>1.48752</c:v>
                </c:pt>
                <c:pt idx="2535">
                  <c:v>1.48752</c:v>
                </c:pt>
                <c:pt idx="2536">
                  <c:v>1.0015199999999993</c:v>
                </c:pt>
                <c:pt idx="2537">
                  <c:v>1.649519999999999</c:v>
                </c:pt>
                <c:pt idx="2538">
                  <c:v>1.8115200000000016</c:v>
                </c:pt>
                <c:pt idx="2539">
                  <c:v>1.8115200000000016</c:v>
                </c:pt>
                <c:pt idx="2540">
                  <c:v>1.6495200000000025</c:v>
                </c:pt>
                <c:pt idx="2541">
                  <c:v>2.4595200000000013</c:v>
                </c:pt>
                <c:pt idx="2542">
                  <c:v>2.2975200000000022</c:v>
                </c:pt>
                <c:pt idx="2543">
                  <c:v>2.2975200000000022</c:v>
                </c:pt>
                <c:pt idx="2544">
                  <c:v>1.8115200000000016</c:v>
                </c:pt>
                <c:pt idx="2545">
                  <c:v>2.4595200000000013</c:v>
                </c:pt>
                <c:pt idx="2546">
                  <c:v>2.6215200000000038</c:v>
                </c:pt>
                <c:pt idx="2547">
                  <c:v>2.6215200000000038</c:v>
                </c:pt>
                <c:pt idx="2548">
                  <c:v>2.4595200000000048</c:v>
                </c:pt>
                <c:pt idx="2549">
                  <c:v>3.2695200000000035</c:v>
                </c:pt>
                <c:pt idx="2550">
                  <c:v>3.1075200000000045</c:v>
                </c:pt>
                <c:pt idx="2551">
                  <c:v>3.1075200000000045</c:v>
                </c:pt>
                <c:pt idx="2552">
                  <c:v>2.6215200000000038</c:v>
                </c:pt>
                <c:pt idx="2553">
                  <c:v>3.2695200000000035</c:v>
                </c:pt>
                <c:pt idx="2554">
                  <c:v>3.4315200000000026</c:v>
                </c:pt>
                <c:pt idx="2555">
                  <c:v>3.4315200000000026</c:v>
                </c:pt>
                <c:pt idx="2556">
                  <c:v>3.2695200000000035</c:v>
                </c:pt>
                <c:pt idx="2557">
                  <c:v>4.0795200000000023</c:v>
                </c:pt>
                <c:pt idx="2558">
                  <c:v>3.9175200000000032</c:v>
                </c:pt>
                <c:pt idx="2559">
                  <c:v>3.9175200000000032</c:v>
                </c:pt>
                <c:pt idx="2560">
                  <c:v>3.4315200000000026</c:v>
                </c:pt>
                <c:pt idx="2561">
                  <c:v>4.0795200000000023</c:v>
                </c:pt>
                <c:pt idx="2562">
                  <c:v>4.2415200000000013</c:v>
                </c:pt>
                <c:pt idx="2563">
                  <c:v>4.2415200000000013</c:v>
                </c:pt>
                <c:pt idx="2564">
                  <c:v>4.0795200000000023</c:v>
                </c:pt>
                <c:pt idx="2565">
                  <c:v>4.889520000000001</c:v>
                </c:pt>
                <c:pt idx="2566">
                  <c:v>4.7275200000000019</c:v>
                </c:pt>
                <c:pt idx="2567">
                  <c:v>4.7275200000000019</c:v>
                </c:pt>
                <c:pt idx="2568">
                  <c:v>4.2415200000000013</c:v>
                </c:pt>
                <c:pt idx="2569">
                  <c:v>4.889520000000001</c:v>
                </c:pt>
                <c:pt idx="2570">
                  <c:v>5.0515200000000036</c:v>
                </c:pt>
                <c:pt idx="2571">
                  <c:v>5.0515200000000036</c:v>
                </c:pt>
                <c:pt idx="2572">
                  <c:v>4.8895200000000045</c:v>
                </c:pt>
                <c:pt idx="2573">
                  <c:v>5.6995200000000033</c:v>
                </c:pt>
                <c:pt idx="2574">
                  <c:v>5.5375200000000042</c:v>
                </c:pt>
                <c:pt idx="2575">
                  <c:v>5.5375200000000042</c:v>
                </c:pt>
                <c:pt idx="2576">
                  <c:v>5.0515200000000036</c:v>
                </c:pt>
                <c:pt idx="2577">
                  <c:v>5.6995200000000033</c:v>
                </c:pt>
                <c:pt idx="2578">
                  <c:v>5.8615200000000023</c:v>
                </c:pt>
                <c:pt idx="2579">
                  <c:v>5.8615200000000023</c:v>
                </c:pt>
                <c:pt idx="2580">
                  <c:v>5.6995200000000033</c:v>
                </c:pt>
                <c:pt idx="2581">
                  <c:v>6.509520000000002</c:v>
                </c:pt>
                <c:pt idx="2582">
                  <c:v>6.3475200000000029</c:v>
                </c:pt>
                <c:pt idx="2583">
                  <c:v>6.3475200000000029</c:v>
                </c:pt>
                <c:pt idx="2584">
                  <c:v>5.8615200000000023</c:v>
                </c:pt>
                <c:pt idx="2585">
                  <c:v>6.509520000000002</c:v>
                </c:pt>
                <c:pt idx="2586">
                  <c:v>6.671520000000001</c:v>
                </c:pt>
                <c:pt idx="2587">
                  <c:v>6.671520000000001</c:v>
                </c:pt>
                <c:pt idx="2588">
                  <c:v>6.509520000000002</c:v>
                </c:pt>
                <c:pt idx="2589">
                  <c:v>7.3195200000000007</c:v>
                </c:pt>
                <c:pt idx="2590">
                  <c:v>7.1575200000000017</c:v>
                </c:pt>
                <c:pt idx="2591">
                  <c:v>7.1575200000000017</c:v>
                </c:pt>
                <c:pt idx="2592">
                  <c:v>6.671520000000001</c:v>
                </c:pt>
                <c:pt idx="2593">
                  <c:v>7.3195200000000007</c:v>
                </c:pt>
                <c:pt idx="2594">
                  <c:v>7.4815200000000033</c:v>
                </c:pt>
                <c:pt idx="2595">
                  <c:v>7.4815200000000033</c:v>
                </c:pt>
                <c:pt idx="2596">
                  <c:v>7.3195200000000042</c:v>
                </c:pt>
                <c:pt idx="2597">
                  <c:v>8.129520000000003</c:v>
                </c:pt>
                <c:pt idx="2598">
                  <c:v>7.9675200000000039</c:v>
                </c:pt>
                <c:pt idx="2599">
                  <c:v>7.9675200000000039</c:v>
                </c:pt>
                <c:pt idx="2600">
                  <c:v>7.4815200000000033</c:v>
                </c:pt>
                <c:pt idx="2601">
                  <c:v>8.129520000000003</c:v>
                </c:pt>
                <c:pt idx="2602">
                  <c:v>8.291520000000002</c:v>
                </c:pt>
                <c:pt idx="2603">
                  <c:v>8.291520000000002</c:v>
                </c:pt>
                <c:pt idx="2604">
                  <c:v>8.129520000000003</c:v>
                </c:pt>
                <c:pt idx="2605">
                  <c:v>8.9395200000000017</c:v>
                </c:pt>
                <c:pt idx="2606">
                  <c:v>8.7775200000000027</c:v>
                </c:pt>
                <c:pt idx="2607">
                  <c:v>8.7775200000000027</c:v>
                </c:pt>
                <c:pt idx="2608">
                  <c:v>8.291520000000002</c:v>
                </c:pt>
                <c:pt idx="2609">
                  <c:v>8.9395200000000017</c:v>
                </c:pt>
                <c:pt idx="2610">
                  <c:v>8.291520000000002</c:v>
                </c:pt>
                <c:pt idx="2611">
                  <c:v>8.291520000000002</c:v>
                </c:pt>
                <c:pt idx="2612">
                  <c:v>8.129520000000003</c:v>
                </c:pt>
                <c:pt idx="2613">
                  <c:v>8.9395200000000017</c:v>
                </c:pt>
                <c:pt idx="2614">
                  <c:v>8.7775200000000027</c:v>
                </c:pt>
                <c:pt idx="2615">
                  <c:v>8.7775200000000027</c:v>
                </c:pt>
                <c:pt idx="2616">
                  <c:v>8.291520000000002</c:v>
                </c:pt>
                <c:pt idx="2617">
                  <c:v>8.9395200000000017</c:v>
                </c:pt>
                <c:pt idx="2618">
                  <c:v>8.291520000000002</c:v>
                </c:pt>
                <c:pt idx="2619">
                  <c:v>8.291520000000002</c:v>
                </c:pt>
                <c:pt idx="2620">
                  <c:v>8.129520000000003</c:v>
                </c:pt>
                <c:pt idx="2621">
                  <c:v>8.9395200000000017</c:v>
                </c:pt>
                <c:pt idx="2622">
                  <c:v>8.7775200000000027</c:v>
                </c:pt>
                <c:pt idx="2623">
                  <c:v>8.7775200000000027</c:v>
                </c:pt>
                <c:pt idx="2624">
                  <c:v>8.291520000000002</c:v>
                </c:pt>
                <c:pt idx="2625">
                  <c:v>8.9395200000000017</c:v>
                </c:pt>
                <c:pt idx="2626">
                  <c:v>8.291520000000002</c:v>
                </c:pt>
                <c:pt idx="2627">
                  <c:v>8.291520000000002</c:v>
                </c:pt>
                <c:pt idx="2628">
                  <c:v>8.129520000000003</c:v>
                </c:pt>
                <c:pt idx="2629">
                  <c:v>8.9395200000000017</c:v>
                </c:pt>
                <c:pt idx="2630">
                  <c:v>8.7775200000000027</c:v>
                </c:pt>
                <c:pt idx="2631">
                  <c:v>8.7775200000000027</c:v>
                </c:pt>
                <c:pt idx="2632">
                  <c:v>8.291520000000002</c:v>
                </c:pt>
                <c:pt idx="2633">
                  <c:v>8.9395200000000017</c:v>
                </c:pt>
                <c:pt idx="2634">
                  <c:v>8.291520000000002</c:v>
                </c:pt>
                <c:pt idx="2635">
                  <c:v>8.291520000000002</c:v>
                </c:pt>
                <c:pt idx="2636">
                  <c:v>8.129520000000003</c:v>
                </c:pt>
                <c:pt idx="2637">
                  <c:v>8.9395200000000017</c:v>
                </c:pt>
                <c:pt idx="2638">
                  <c:v>8.7775200000000027</c:v>
                </c:pt>
                <c:pt idx="2639">
                  <c:v>8.7775200000000027</c:v>
                </c:pt>
                <c:pt idx="2640">
                  <c:v>8.291520000000002</c:v>
                </c:pt>
                <c:pt idx="2641">
                  <c:v>8.9395200000000017</c:v>
                </c:pt>
                <c:pt idx="2642">
                  <c:v>8.291520000000002</c:v>
                </c:pt>
                <c:pt idx="2643">
                  <c:v>8.291520000000002</c:v>
                </c:pt>
                <c:pt idx="2644">
                  <c:v>8.129520000000003</c:v>
                </c:pt>
                <c:pt idx="2645">
                  <c:v>8.9395200000000017</c:v>
                </c:pt>
                <c:pt idx="2646">
                  <c:v>8.7775200000000027</c:v>
                </c:pt>
                <c:pt idx="2647">
                  <c:v>8.7775200000000027</c:v>
                </c:pt>
                <c:pt idx="2648">
                  <c:v>8.291520000000002</c:v>
                </c:pt>
                <c:pt idx="2649">
                  <c:v>8.9395200000000017</c:v>
                </c:pt>
                <c:pt idx="2650">
                  <c:v>8.291520000000002</c:v>
                </c:pt>
                <c:pt idx="2651">
                  <c:v>8.291520000000002</c:v>
                </c:pt>
                <c:pt idx="2652">
                  <c:v>8.129520000000003</c:v>
                </c:pt>
                <c:pt idx="2653">
                  <c:v>8.9395200000000017</c:v>
                </c:pt>
                <c:pt idx="2654">
                  <c:v>8.7775200000000027</c:v>
                </c:pt>
                <c:pt idx="2655">
                  <c:v>8.7775200000000027</c:v>
                </c:pt>
                <c:pt idx="2656">
                  <c:v>8.291520000000002</c:v>
                </c:pt>
                <c:pt idx="2657">
                  <c:v>8.9395200000000017</c:v>
                </c:pt>
                <c:pt idx="2658">
                  <c:v>8.291520000000002</c:v>
                </c:pt>
                <c:pt idx="2659">
                  <c:v>8.291520000000002</c:v>
                </c:pt>
                <c:pt idx="2660">
                  <c:v>8.129520000000003</c:v>
                </c:pt>
                <c:pt idx="2661">
                  <c:v>8.9395200000000017</c:v>
                </c:pt>
                <c:pt idx="2662">
                  <c:v>8.7775200000000027</c:v>
                </c:pt>
                <c:pt idx="2663">
                  <c:v>8.7775200000000027</c:v>
                </c:pt>
                <c:pt idx="2664">
                  <c:v>8.291520000000002</c:v>
                </c:pt>
                <c:pt idx="2665">
                  <c:v>8.9395200000000017</c:v>
                </c:pt>
                <c:pt idx="2666">
                  <c:v>8.291520000000002</c:v>
                </c:pt>
                <c:pt idx="2667">
                  <c:v>8.291520000000002</c:v>
                </c:pt>
                <c:pt idx="2668">
                  <c:v>8.129520000000003</c:v>
                </c:pt>
                <c:pt idx="2669">
                  <c:v>8.9395200000000017</c:v>
                </c:pt>
                <c:pt idx="2670">
                  <c:v>8.7775200000000027</c:v>
                </c:pt>
                <c:pt idx="2671">
                  <c:v>8.7775200000000027</c:v>
                </c:pt>
                <c:pt idx="2672">
                  <c:v>8.291520000000002</c:v>
                </c:pt>
                <c:pt idx="2673">
                  <c:v>8.9395200000000017</c:v>
                </c:pt>
                <c:pt idx="2674">
                  <c:v>8.291520000000002</c:v>
                </c:pt>
                <c:pt idx="2675">
                  <c:v>8.291520000000002</c:v>
                </c:pt>
                <c:pt idx="2676">
                  <c:v>8.129520000000003</c:v>
                </c:pt>
                <c:pt idx="2677">
                  <c:v>8.9395200000000017</c:v>
                </c:pt>
                <c:pt idx="2678">
                  <c:v>8.7775200000000027</c:v>
                </c:pt>
                <c:pt idx="2679">
                  <c:v>8.7775200000000027</c:v>
                </c:pt>
                <c:pt idx="2680">
                  <c:v>8.291520000000002</c:v>
                </c:pt>
                <c:pt idx="2681">
                  <c:v>8.9395200000000017</c:v>
                </c:pt>
                <c:pt idx="2682">
                  <c:v>8.291520000000002</c:v>
                </c:pt>
                <c:pt idx="2683">
                  <c:v>8.291520000000002</c:v>
                </c:pt>
                <c:pt idx="2684">
                  <c:v>8.129520000000003</c:v>
                </c:pt>
                <c:pt idx="2685">
                  <c:v>8.9395200000000017</c:v>
                </c:pt>
                <c:pt idx="2686">
                  <c:v>8.7775200000000027</c:v>
                </c:pt>
                <c:pt idx="2687">
                  <c:v>8.7775200000000027</c:v>
                </c:pt>
                <c:pt idx="2688">
                  <c:v>8.291520000000002</c:v>
                </c:pt>
                <c:pt idx="2689">
                  <c:v>8.9395200000000017</c:v>
                </c:pt>
                <c:pt idx="2690">
                  <c:v>8.291520000000002</c:v>
                </c:pt>
                <c:pt idx="2691">
                  <c:v>8.291520000000002</c:v>
                </c:pt>
                <c:pt idx="2692">
                  <c:v>8.129520000000003</c:v>
                </c:pt>
                <c:pt idx="2693">
                  <c:v>8.9395200000000017</c:v>
                </c:pt>
                <c:pt idx="2694">
                  <c:v>8.7775200000000027</c:v>
                </c:pt>
                <c:pt idx="2695">
                  <c:v>8.7775200000000027</c:v>
                </c:pt>
                <c:pt idx="2696">
                  <c:v>8.291520000000002</c:v>
                </c:pt>
                <c:pt idx="2697">
                  <c:v>8.9395200000000017</c:v>
                </c:pt>
                <c:pt idx="2698">
                  <c:v>8.291520000000002</c:v>
                </c:pt>
                <c:pt idx="2699">
                  <c:v>8.291520000000002</c:v>
                </c:pt>
                <c:pt idx="2700">
                  <c:v>8.129520000000003</c:v>
                </c:pt>
                <c:pt idx="2701">
                  <c:v>8.9395200000000017</c:v>
                </c:pt>
                <c:pt idx="2702">
                  <c:v>8.7775200000000027</c:v>
                </c:pt>
                <c:pt idx="2703">
                  <c:v>8.7775200000000027</c:v>
                </c:pt>
                <c:pt idx="2704">
                  <c:v>8.291520000000002</c:v>
                </c:pt>
                <c:pt idx="2705">
                  <c:v>8.9395200000000017</c:v>
                </c:pt>
                <c:pt idx="2706">
                  <c:v>8.291520000000002</c:v>
                </c:pt>
                <c:pt idx="2707">
                  <c:v>8.291520000000002</c:v>
                </c:pt>
                <c:pt idx="2708">
                  <c:v>8.129520000000003</c:v>
                </c:pt>
                <c:pt idx="2709">
                  <c:v>8.9395200000000017</c:v>
                </c:pt>
                <c:pt idx="2710">
                  <c:v>8.7775200000000027</c:v>
                </c:pt>
                <c:pt idx="2711">
                  <c:v>8.7775200000000027</c:v>
                </c:pt>
                <c:pt idx="2712">
                  <c:v>8.291520000000002</c:v>
                </c:pt>
                <c:pt idx="2713">
                  <c:v>8.9395200000000017</c:v>
                </c:pt>
                <c:pt idx="2714">
                  <c:v>8.291520000000002</c:v>
                </c:pt>
                <c:pt idx="2715">
                  <c:v>8.291520000000002</c:v>
                </c:pt>
                <c:pt idx="2716">
                  <c:v>8.129520000000003</c:v>
                </c:pt>
                <c:pt idx="2717">
                  <c:v>8.9395200000000017</c:v>
                </c:pt>
                <c:pt idx="2718">
                  <c:v>8.7775200000000027</c:v>
                </c:pt>
                <c:pt idx="2719">
                  <c:v>8.7775200000000027</c:v>
                </c:pt>
                <c:pt idx="2720">
                  <c:v>8.291520000000002</c:v>
                </c:pt>
                <c:pt idx="2721">
                  <c:v>8.9395200000000017</c:v>
                </c:pt>
                <c:pt idx="2722">
                  <c:v>8.291520000000002</c:v>
                </c:pt>
                <c:pt idx="2723">
                  <c:v>8.291520000000002</c:v>
                </c:pt>
                <c:pt idx="2724">
                  <c:v>8.129520000000003</c:v>
                </c:pt>
                <c:pt idx="2725">
                  <c:v>8.9395200000000017</c:v>
                </c:pt>
                <c:pt idx="2726">
                  <c:v>8.7775200000000027</c:v>
                </c:pt>
                <c:pt idx="2727">
                  <c:v>8.7775200000000027</c:v>
                </c:pt>
                <c:pt idx="2728">
                  <c:v>8.291520000000002</c:v>
                </c:pt>
                <c:pt idx="2729">
                  <c:v>8.9395200000000017</c:v>
                </c:pt>
                <c:pt idx="2730">
                  <c:v>8.291520000000002</c:v>
                </c:pt>
                <c:pt idx="2731">
                  <c:v>8.291520000000002</c:v>
                </c:pt>
                <c:pt idx="2732">
                  <c:v>8.129520000000003</c:v>
                </c:pt>
                <c:pt idx="2733">
                  <c:v>8.9395200000000017</c:v>
                </c:pt>
                <c:pt idx="2734">
                  <c:v>8.7775200000000027</c:v>
                </c:pt>
                <c:pt idx="2735">
                  <c:v>8.7775200000000027</c:v>
                </c:pt>
                <c:pt idx="2736">
                  <c:v>8.291520000000002</c:v>
                </c:pt>
                <c:pt idx="2737">
                  <c:v>8.9395200000000017</c:v>
                </c:pt>
                <c:pt idx="2738">
                  <c:v>8.291520000000002</c:v>
                </c:pt>
                <c:pt idx="2739">
                  <c:v>8.291520000000002</c:v>
                </c:pt>
                <c:pt idx="2740">
                  <c:v>8.129520000000003</c:v>
                </c:pt>
                <c:pt idx="2741">
                  <c:v>8.9395200000000017</c:v>
                </c:pt>
                <c:pt idx="2742">
                  <c:v>8.7775200000000027</c:v>
                </c:pt>
                <c:pt idx="2743">
                  <c:v>8.7775200000000027</c:v>
                </c:pt>
                <c:pt idx="2744">
                  <c:v>8.291520000000002</c:v>
                </c:pt>
                <c:pt idx="2745">
                  <c:v>8.9395200000000017</c:v>
                </c:pt>
                <c:pt idx="2746">
                  <c:v>8.291520000000002</c:v>
                </c:pt>
                <c:pt idx="2747">
                  <c:v>8.291520000000002</c:v>
                </c:pt>
                <c:pt idx="2748">
                  <c:v>8.129520000000003</c:v>
                </c:pt>
                <c:pt idx="2749">
                  <c:v>8.9395200000000017</c:v>
                </c:pt>
                <c:pt idx="2750">
                  <c:v>8.7775200000000027</c:v>
                </c:pt>
                <c:pt idx="2751">
                  <c:v>8.7775200000000027</c:v>
                </c:pt>
                <c:pt idx="2752">
                  <c:v>8.291520000000002</c:v>
                </c:pt>
                <c:pt idx="2753">
                  <c:v>8.9395200000000017</c:v>
                </c:pt>
                <c:pt idx="2754">
                  <c:v>8.291520000000002</c:v>
                </c:pt>
                <c:pt idx="2755">
                  <c:v>8.291520000000002</c:v>
                </c:pt>
                <c:pt idx="2756">
                  <c:v>8.129520000000003</c:v>
                </c:pt>
                <c:pt idx="2757">
                  <c:v>8.9395200000000017</c:v>
                </c:pt>
                <c:pt idx="2758">
                  <c:v>8.7775200000000027</c:v>
                </c:pt>
                <c:pt idx="2759">
                  <c:v>8.7775200000000027</c:v>
                </c:pt>
                <c:pt idx="2760">
                  <c:v>8.291520000000002</c:v>
                </c:pt>
                <c:pt idx="2761">
                  <c:v>8.9395200000000017</c:v>
                </c:pt>
                <c:pt idx="2762">
                  <c:v>8.291520000000002</c:v>
                </c:pt>
                <c:pt idx="2763">
                  <c:v>8.291520000000002</c:v>
                </c:pt>
                <c:pt idx="2764">
                  <c:v>8.129520000000003</c:v>
                </c:pt>
                <c:pt idx="2765">
                  <c:v>8.9395200000000017</c:v>
                </c:pt>
                <c:pt idx="2766">
                  <c:v>8.7775200000000027</c:v>
                </c:pt>
                <c:pt idx="2767">
                  <c:v>8.7775200000000027</c:v>
                </c:pt>
                <c:pt idx="2768">
                  <c:v>8.291520000000002</c:v>
                </c:pt>
                <c:pt idx="2769">
                  <c:v>8.9395200000000017</c:v>
                </c:pt>
                <c:pt idx="2770">
                  <c:v>8.291520000000002</c:v>
                </c:pt>
                <c:pt idx="2771">
                  <c:v>8.291520000000002</c:v>
                </c:pt>
                <c:pt idx="2772">
                  <c:v>8.129520000000003</c:v>
                </c:pt>
                <c:pt idx="2773">
                  <c:v>8.9395200000000017</c:v>
                </c:pt>
                <c:pt idx="2774">
                  <c:v>8.7775200000000027</c:v>
                </c:pt>
                <c:pt idx="2775">
                  <c:v>8.7775200000000027</c:v>
                </c:pt>
                <c:pt idx="2776">
                  <c:v>8.291520000000002</c:v>
                </c:pt>
                <c:pt idx="2777">
                  <c:v>8.9395200000000017</c:v>
                </c:pt>
                <c:pt idx="2778">
                  <c:v>8.291520000000002</c:v>
                </c:pt>
                <c:pt idx="2779">
                  <c:v>8.291520000000002</c:v>
                </c:pt>
                <c:pt idx="2780">
                  <c:v>8.129520000000003</c:v>
                </c:pt>
                <c:pt idx="2781">
                  <c:v>8.9395200000000017</c:v>
                </c:pt>
                <c:pt idx="2782">
                  <c:v>8.7775200000000027</c:v>
                </c:pt>
                <c:pt idx="2783">
                  <c:v>8.7775200000000027</c:v>
                </c:pt>
                <c:pt idx="2784">
                  <c:v>8.291520000000002</c:v>
                </c:pt>
                <c:pt idx="2785">
                  <c:v>8.9395200000000017</c:v>
                </c:pt>
                <c:pt idx="2786">
                  <c:v>8.291520000000002</c:v>
                </c:pt>
                <c:pt idx="2787">
                  <c:v>8.291520000000002</c:v>
                </c:pt>
                <c:pt idx="2788">
                  <c:v>8.129520000000003</c:v>
                </c:pt>
                <c:pt idx="2789">
                  <c:v>8.9395200000000017</c:v>
                </c:pt>
                <c:pt idx="2790">
                  <c:v>8.7775200000000027</c:v>
                </c:pt>
                <c:pt idx="2791">
                  <c:v>8.7775200000000027</c:v>
                </c:pt>
                <c:pt idx="2792">
                  <c:v>8.291520000000002</c:v>
                </c:pt>
                <c:pt idx="2793">
                  <c:v>8.9395200000000017</c:v>
                </c:pt>
                <c:pt idx="2794">
                  <c:v>8.291520000000002</c:v>
                </c:pt>
                <c:pt idx="2795">
                  <c:v>8.291520000000002</c:v>
                </c:pt>
                <c:pt idx="2796">
                  <c:v>8.129520000000003</c:v>
                </c:pt>
                <c:pt idx="2797">
                  <c:v>8.9395200000000017</c:v>
                </c:pt>
                <c:pt idx="2798">
                  <c:v>8.7775200000000027</c:v>
                </c:pt>
                <c:pt idx="2799">
                  <c:v>8.7775200000000027</c:v>
                </c:pt>
                <c:pt idx="2800">
                  <c:v>8.291520000000002</c:v>
                </c:pt>
                <c:pt idx="2801">
                  <c:v>8.9395200000000017</c:v>
                </c:pt>
                <c:pt idx="2802">
                  <c:v>8.291520000000002</c:v>
                </c:pt>
                <c:pt idx="2803">
                  <c:v>8.291520000000002</c:v>
                </c:pt>
                <c:pt idx="2804">
                  <c:v>8.129520000000003</c:v>
                </c:pt>
                <c:pt idx="2805">
                  <c:v>8.9395200000000017</c:v>
                </c:pt>
                <c:pt idx="2806">
                  <c:v>8.7775200000000027</c:v>
                </c:pt>
                <c:pt idx="2807">
                  <c:v>8.7775200000000027</c:v>
                </c:pt>
                <c:pt idx="2808">
                  <c:v>8.291520000000002</c:v>
                </c:pt>
                <c:pt idx="2809">
                  <c:v>8.9395200000000017</c:v>
                </c:pt>
                <c:pt idx="2810">
                  <c:v>8.291520000000002</c:v>
                </c:pt>
                <c:pt idx="2811">
                  <c:v>8.291520000000002</c:v>
                </c:pt>
                <c:pt idx="2812">
                  <c:v>8.129520000000003</c:v>
                </c:pt>
                <c:pt idx="2813">
                  <c:v>8.9395200000000017</c:v>
                </c:pt>
                <c:pt idx="2814">
                  <c:v>8.7775200000000027</c:v>
                </c:pt>
                <c:pt idx="2815">
                  <c:v>8.7775200000000027</c:v>
                </c:pt>
                <c:pt idx="2816">
                  <c:v>8.291520000000002</c:v>
                </c:pt>
                <c:pt idx="2817">
                  <c:v>8.9395200000000017</c:v>
                </c:pt>
                <c:pt idx="2818">
                  <c:v>8.291520000000002</c:v>
                </c:pt>
                <c:pt idx="2819">
                  <c:v>8.291520000000002</c:v>
                </c:pt>
                <c:pt idx="2820">
                  <c:v>8.129520000000003</c:v>
                </c:pt>
                <c:pt idx="2821">
                  <c:v>8.9395200000000017</c:v>
                </c:pt>
                <c:pt idx="2822">
                  <c:v>8.7775200000000027</c:v>
                </c:pt>
                <c:pt idx="2823">
                  <c:v>8.7775200000000027</c:v>
                </c:pt>
                <c:pt idx="2824">
                  <c:v>8.291520000000002</c:v>
                </c:pt>
                <c:pt idx="2825">
                  <c:v>8.9395200000000017</c:v>
                </c:pt>
                <c:pt idx="2826">
                  <c:v>8.291520000000002</c:v>
                </c:pt>
                <c:pt idx="2827">
                  <c:v>8.291520000000002</c:v>
                </c:pt>
                <c:pt idx="2828">
                  <c:v>8.129520000000003</c:v>
                </c:pt>
                <c:pt idx="2829">
                  <c:v>8.9395200000000017</c:v>
                </c:pt>
                <c:pt idx="2830">
                  <c:v>8.7775200000000027</c:v>
                </c:pt>
                <c:pt idx="2831">
                  <c:v>8.7775200000000027</c:v>
                </c:pt>
                <c:pt idx="2832">
                  <c:v>8.291520000000002</c:v>
                </c:pt>
                <c:pt idx="2833">
                  <c:v>8.9395200000000017</c:v>
                </c:pt>
                <c:pt idx="2834">
                  <c:v>8.291520000000002</c:v>
                </c:pt>
                <c:pt idx="2835">
                  <c:v>8.291520000000002</c:v>
                </c:pt>
                <c:pt idx="2836">
                  <c:v>8.129520000000003</c:v>
                </c:pt>
                <c:pt idx="2837">
                  <c:v>8.9395200000000017</c:v>
                </c:pt>
                <c:pt idx="2838">
                  <c:v>8.7775200000000027</c:v>
                </c:pt>
                <c:pt idx="2839">
                  <c:v>8.7775200000000027</c:v>
                </c:pt>
                <c:pt idx="2840">
                  <c:v>8.291520000000002</c:v>
                </c:pt>
                <c:pt idx="2841">
                  <c:v>8.9395200000000017</c:v>
                </c:pt>
                <c:pt idx="2842">
                  <c:v>8.291520000000002</c:v>
                </c:pt>
                <c:pt idx="2843">
                  <c:v>8.291520000000002</c:v>
                </c:pt>
                <c:pt idx="2844">
                  <c:v>8.129520000000003</c:v>
                </c:pt>
                <c:pt idx="2845">
                  <c:v>8.9395200000000017</c:v>
                </c:pt>
                <c:pt idx="2846">
                  <c:v>8.7775200000000027</c:v>
                </c:pt>
                <c:pt idx="2847">
                  <c:v>8.7775200000000027</c:v>
                </c:pt>
                <c:pt idx="2848">
                  <c:v>8.291520000000002</c:v>
                </c:pt>
                <c:pt idx="2849">
                  <c:v>8.9395200000000017</c:v>
                </c:pt>
                <c:pt idx="2850">
                  <c:v>8.291520000000002</c:v>
                </c:pt>
                <c:pt idx="2851">
                  <c:v>8.291520000000002</c:v>
                </c:pt>
                <c:pt idx="2852">
                  <c:v>8.129520000000003</c:v>
                </c:pt>
                <c:pt idx="2853">
                  <c:v>8.9395200000000017</c:v>
                </c:pt>
                <c:pt idx="2854">
                  <c:v>8.7775200000000027</c:v>
                </c:pt>
                <c:pt idx="2855">
                  <c:v>8.7775200000000027</c:v>
                </c:pt>
                <c:pt idx="2856">
                  <c:v>8.291520000000002</c:v>
                </c:pt>
                <c:pt idx="2857">
                  <c:v>8.9395200000000017</c:v>
                </c:pt>
                <c:pt idx="2858">
                  <c:v>8.291520000000002</c:v>
                </c:pt>
                <c:pt idx="2859">
                  <c:v>8.291520000000002</c:v>
                </c:pt>
                <c:pt idx="2860">
                  <c:v>8.129520000000003</c:v>
                </c:pt>
                <c:pt idx="2861">
                  <c:v>8.9395200000000017</c:v>
                </c:pt>
                <c:pt idx="2862">
                  <c:v>8.7775200000000027</c:v>
                </c:pt>
                <c:pt idx="2863">
                  <c:v>8.7775200000000027</c:v>
                </c:pt>
                <c:pt idx="2864">
                  <c:v>8.291520000000002</c:v>
                </c:pt>
                <c:pt idx="2865">
                  <c:v>8.9395200000000017</c:v>
                </c:pt>
                <c:pt idx="2866">
                  <c:v>8.291520000000002</c:v>
                </c:pt>
                <c:pt idx="2867">
                  <c:v>8.291520000000002</c:v>
                </c:pt>
                <c:pt idx="2868">
                  <c:v>8.129520000000003</c:v>
                </c:pt>
                <c:pt idx="2869">
                  <c:v>8.9395200000000017</c:v>
                </c:pt>
                <c:pt idx="2870">
                  <c:v>8.7775200000000027</c:v>
                </c:pt>
                <c:pt idx="2871">
                  <c:v>8.7775200000000027</c:v>
                </c:pt>
                <c:pt idx="2872">
                  <c:v>8.291520000000002</c:v>
                </c:pt>
                <c:pt idx="2873">
                  <c:v>8.9395200000000017</c:v>
                </c:pt>
                <c:pt idx="2874">
                  <c:v>8.291520000000002</c:v>
                </c:pt>
                <c:pt idx="2875">
                  <c:v>8.291520000000002</c:v>
                </c:pt>
                <c:pt idx="2876">
                  <c:v>8.129520000000003</c:v>
                </c:pt>
                <c:pt idx="2877">
                  <c:v>8.9395200000000017</c:v>
                </c:pt>
                <c:pt idx="2878">
                  <c:v>8.7775200000000027</c:v>
                </c:pt>
                <c:pt idx="2879">
                  <c:v>8.7775200000000027</c:v>
                </c:pt>
                <c:pt idx="2880">
                  <c:v>8.291520000000002</c:v>
                </c:pt>
                <c:pt idx="2881">
                  <c:v>8.9395200000000017</c:v>
                </c:pt>
                <c:pt idx="2882">
                  <c:v>8.291520000000002</c:v>
                </c:pt>
                <c:pt idx="2883">
                  <c:v>8.291520000000002</c:v>
                </c:pt>
                <c:pt idx="2884">
                  <c:v>8.129520000000003</c:v>
                </c:pt>
                <c:pt idx="2885">
                  <c:v>8.9395200000000017</c:v>
                </c:pt>
                <c:pt idx="2886">
                  <c:v>8.7775200000000027</c:v>
                </c:pt>
                <c:pt idx="2887">
                  <c:v>8.7775200000000027</c:v>
                </c:pt>
                <c:pt idx="2888">
                  <c:v>8.291520000000002</c:v>
                </c:pt>
                <c:pt idx="2889">
                  <c:v>8.9395200000000017</c:v>
                </c:pt>
                <c:pt idx="2890">
                  <c:v>8.9395200000000017</c:v>
                </c:pt>
                <c:pt idx="2891">
                  <c:v>-11.310479999999998</c:v>
                </c:pt>
                <c:pt idx="2892">
                  <c:v>-11.148479999999999</c:v>
                </c:pt>
                <c:pt idx="2893">
                  <c:v>-11.148479999999999</c:v>
                </c:pt>
                <c:pt idx="2894">
                  <c:v>-11.310479999999998</c:v>
                </c:pt>
                <c:pt idx="2895">
                  <c:v>-10.500479999999998</c:v>
                </c:pt>
                <c:pt idx="2896">
                  <c:v>-10.662479999999999</c:v>
                </c:pt>
                <c:pt idx="2897">
                  <c:v>-10.662479999999999</c:v>
                </c:pt>
                <c:pt idx="2898">
                  <c:v>-11.148479999999999</c:v>
                </c:pt>
                <c:pt idx="2899">
                  <c:v>-10.500479999999998</c:v>
                </c:pt>
                <c:pt idx="2900">
                  <c:v>-10.338479999999997</c:v>
                </c:pt>
                <c:pt idx="2901">
                  <c:v>-10.338479999999997</c:v>
                </c:pt>
                <c:pt idx="2902">
                  <c:v>-10.500479999999998</c:v>
                </c:pt>
                <c:pt idx="2903">
                  <c:v>-9.6904799999999973</c:v>
                </c:pt>
                <c:pt idx="2904">
                  <c:v>-9.8524799999999981</c:v>
                </c:pt>
                <c:pt idx="2905">
                  <c:v>-9.8524799999999981</c:v>
                </c:pt>
                <c:pt idx="2906">
                  <c:v>-10.338479999999997</c:v>
                </c:pt>
                <c:pt idx="2907">
                  <c:v>-9.6904799999999973</c:v>
                </c:pt>
                <c:pt idx="2908">
                  <c:v>-9.5284799999999965</c:v>
                </c:pt>
                <c:pt idx="2909">
                  <c:v>-9.5284799999999965</c:v>
                </c:pt>
                <c:pt idx="2910">
                  <c:v>-9.6904799999999973</c:v>
                </c:pt>
                <c:pt idx="2911">
                  <c:v>-8.8804799999999968</c:v>
                </c:pt>
                <c:pt idx="2912">
                  <c:v>-9.0424799999999976</c:v>
                </c:pt>
                <c:pt idx="2913">
                  <c:v>-9.0424799999999976</c:v>
                </c:pt>
                <c:pt idx="2914">
                  <c:v>-9.5284799999999965</c:v>
                </c:pt>
                <c:pt idx="2915">
                  <c:v>-8.8804799999999968</c:v>
                </c:pt>
                <c:pt idx="2916">
                  <c:v>-8.7184799999999978</c:v>
                </c:pt>
                <c:pt idx="2917">
                  <c:v>-8.7184799999999978</c:v>
                </c:pt>
                <c:pt idx="2918">
                  <c:v>-8.8804799999999986</c:v>
                </c:pt>
                <c:pt idx="2919">
                  <c:v>-8.0704799999999981</c:v>
                </c:pt>
                <c:pt idx="2920">
                  <c:v>-8.2324799999999989</c:v>
                </c:pt>
                <c:pt idx="2921">
                  <c:v>-8.2324799999999989</c:v>
                </c:pt>
                <c:pt idx="2922">
                  <c:v>-8.7184799999999978</c:v>
                </c:pt>
                <c:pt idx="2923">
                  <c:v>-8.0704799999999981</c:v>
                </c:pt>
                <c:pt idx="2924">
                  <c:v>-7.9084799999999973</c:v>
                </c:pt>
                <c:pt idx="2925">
                  <c:v>-7.9084799999999973</c:v>
                </c:pt>
                <c:pt idx="2926">
                  <c:v>-8.0704799999999981</c:v>
                </c:pt>
                <c:pt idx="2927">
                  <c:v>-7.2604799999999976</c:v>
                </c:pt>
                <c:pt idx="2928">
                  <c:v>-7.4224799999999984</c:v>
                </c:pt>
                <c:pt idx="2929">
                  <c:v>-7.4224799999999984</c:v>
                </c:pt>
                <c:pt idx="2930">
                  <c:v>-7.9084799999999973</c:v>
                </c:pt>
                <c:pt idx="2931">
                  <c:v>-7.2604799999999976</c:v>
                </c:pt>
                <c:pt idx="2932">
                  <c:v>-7.0984799999999968</c:v>
                </c:pt>
                <c:pt idx="2933">
                  <c:v>-7.0984799999999968</c:v>
                </c:pt>
                <c:pt idx="2934">
                  <c:v>-7.2604799999999976</c:v>
                </c:pt>
                <c:pt idx="2935">
                  <c:v>-6.4504799999999971</c:v>
                </c:pt>
                <c:pt idx="2936">
                  <c:v>-6.6124799999999979</c:v>
                </c:pt>
                <c:pt idx="2937">
                  <c:v>-6.6124799999999979</c:v>
                </c:pt>
                <c:pt idx="2938">
                  <c:v>-7.0984799999999968</c:v>
                </c:pt>
                <c:pt idx="2939">
                  <c:v>-6.4504799999999971</c:v>
                </c:pt>
                <c:pt idx="2940">
                  <c:v>-6.2884799999999981</c:v>
                </c:pt>
                <c:pt idx="2941">
                  <c:v>-6.2884799999999981</c:v>
                </c:pt>
                <c:pt idx="2942">
                  <c:v>-6.4504799999999989</c:v>
                </c:pt>
                <c:pt idx="2943">
                  <c:v>-5.6404799999999984</c:v>
                </c:pt>
                <c:pt idx="2944">
                  <c:v>-5.8024799999999992</c:v>
                </c:pt>
                <c:pt idx="2945">
                  <c:v>-5.8024799999999992</c:v>
                </c:pt>
                <c:pt idx="2946">
                  <c:v>-6.2884799999999981</c:v>
                </c:pt>
                <c:pt idx="2947">
                  <c:v>-5.6404799999999984</c:v>
                </c:pt>
                <c:pt idx="2948">
                  <c:v>-5.4784799999999976</c:v>
                </c:pt>
                <c:pt idx="2949">
                  <c:v>-5.4784799999999976</c:v>
                </c:pt>
                <c:pt idx="2950">
                  <c:v>-5.6404799999999984</c:v>
                </c:pt>
                <c:pt idx="2951">
                  <c:v>-4.8304799999999979</c:v>
                </c:pt>
                <c:pt idx="2952">
                  <c:v>-4.9924799999999987</c:v>
                </c:pt>
                <c:pt idx="2953">
                  <c:v>-4.9924799999999987</c:v>
                </c:pt>
                <c:pt idx="2954">
                  <c:v>-5.4784799999999976</c:v>
                </c:pt>
                <c:pt idx="2955">
                  <c:v>-4.8304799999999979</c:v>
                </c:pt>
                <c:pt idx="2956">
                  <c:v>-4.6684799999999971</c:v>
                </c:pt>
                <c:pt idx="2957">
                  <c:v>-4.6684799999999971</c:v>
                </c:pt>
                <c:pt idx="2958">
                  <c:v>-4.8304799999999979</c:v>
                </c:pt>
                <c:pt idx="2959">
                  <c:v>-4.0204799999999974</c:v>
                </c:pt>
                <c:pt idx="2960">
                  <c:v>-4.1824799999999982</c:v>
                </c:pt>
                <c:pt idx="2961">
                  <c:v>-4.1824799999999982</c:v>
                </c:pt>
                <c:pt idx="2962">
                  <c:v>-4.6684799999999971</c:v>
                </c:pt>
                <c:pt idx="2963">
                  <c:v>-4.0204799999999974</c:v>
                </c:pt>
                <c:pt idx="2964">
                  <c:v>-3.8584799999999966</c:v>
                </c:pt>
                <c:pt idx="2965">
                  <c:v>-3.8584799999999966</c:v>
                </c:pt>
                <c:pt idx="2966">
                  <c:v>-4.0204799999999974</c:v>
                </c:pt>
                <c:pt idx="2967">
                  <c:v>-3.2104799999999969</c:v>
                </c:pt>
                <c:pt idx="2968">
                  <c:v>-3.3724799999999977</c:v>
                </c:pt>
                <c:pt idx="2969">
                  <c:v>-3.3724799999999977</c:v>
                </c:pt>
                <c:pt idx="2970">
                  <c:v>-3.8584799999999966</c:v>
                </c:pt>
                <c:pt idx="2971">
                  <c:v>-3.2104799999999969</c:v>
                </c:pt>
                <c:pt idx="2972">
                  <c:v>-3.0484799999999961</c:v>
                </c:pt>
                <c:pt idx="2973">
                  <c:v>-3.0484799999999961</c:v>
                </c:pt>
                <c:pt idx="2974">
                  <c:v>-3.2104799999999969</c:v>
                </c:pt>
                <c:pt idx="2975">
                  <c:v>-2.4004799999999964</c:v>
                </c:pt>
                <c:pt idx="2976">
                  <c:v>-2.5624799999999972</c:v>
                </c:pt>
                <c:pt idx="2977">
                  <c:v>-2.5624799999999972</c:v>
                </c:pt>
                <c:pt idx="2978">
                  <c:v>-3.0484799999999961</c:v>
                </c:pt>
                <c:pt idx="2979">
                  <c:v>-2.4004799999999964</c:v>
                </c:pt>
                <c:pt idx="2980">
                  <c:v>-2.2384799999999974</c:v>
                </c:pt>
                <c:pt idx="2981">
                  <c:v>-2.2384799999999974</c:v>
                </c:pt>
                <c:pt idx="2982">
                  <c:v>-2.4004799999999982</c:v>
                </c:pt>
                <c:pt idx="2983">
                  <c:v>-1.5904799999999994</c:v>
                </c:pt>
                <c:pt idx="2984">
                  <c:v>-1.7524799999999985</c:v>
                </c:pt>
                <c:pt idx="2985">
                  <c:v>-1.7524799999999985</c:v>
                </c:pt>
                <c:pt idx="2986">
                  <c:v>-2.2384799999999974</c:v>
                </c:pt>
                <c:pt idx="2987">
                  <c:v>-1.5904799999999994</c:v>
                </c:pt>
                <c:pt idx="2988">
                  <c:v>-1.4284800000000004</c:v>
                </c:pt>
                <c:pt idx="2989">
                  <c:v>-1.4284800000000004</c:v>
                </c:pt>
                <c:pt idx="2990">
                  <c:v>-1.5904799999999994</c:v>
                </c:pt>
                <c:pt idx="2991">
                  <c:v>-0.78048000000000073</c:v>
                </c:pt>
                <c:pt idx="2992">
                  <c:v>-0.94247999999999976</c:v>
                </c:pt>
                <c:pt idx="2993">
                  <c:v>-0.94247999999999976</c:v>
                </c:pt>
                <c:pt idx="2994">
                  <c:v>-1.4284800000000004</c:v>
                </c:pt>
                <c:pt idx="2995">
                  <c:v>-0.78048000000000073</c:v>
                </c:pt>
                <c:pt idx="2996">
                  <c:v>-0.61847999999999814</c:v>
                </c:pt>
                <c:pt idx="2997">
                  <c:v>-0.61847999999999814</c:v>
                </c:pt>
                <c:pt idx="2998">
                  <c:v>-0.78047999999999718</c:v>
                </c:pt>
                <c:pt idx="2999">
                  <c:v>2.9520000000001545E-2</c:v>
                </c:pt>
                <c:pt idx="3000">
                  <c:v>-0.13247999999999749</c:v>
                </c:pt>
                <c:pt idx="3001">
                  <c:v>-0.13247999999999749</c:v>
                </c:pt>
                <c:pt idx="3002">
                  <c:v>-0.61847999999999814</c:v>
                </c:pt>
                <c:pt idx="3003">
                  <c:v>2.9520000000001545E-2</c:v>
                </c:pt>
                <c:pt idx="3004">
                  <c:v>0.19152000000000058</c:v>
                </c:pt>
                <c:pt idx="3005">
                  <c:v>0.19152000000000058</c:v>
                </c:pt>
                <c:pt idx="3006">
                  <c:v>2.9520000000001545E-2</c:v>
                </c:pt>
                <c:pt idx="3007">
                  <c:v>0.83952000000000027</c:v>
                </c:pt>
                <c:pt idx="3008">
                  <c:v>0.67752000000000123</c:v>
                </c:pt>
                <c:pt idx="3009">
                  <c:v>0.67752000000000123</c:v>
                </c:pt>
                <c:pt idx="3010">
                  <c:v>0.19152000000000058</c:v>
                </c:pt>
                <c:pt idx="3011">
                  <c:v>0.83952000000000027</c:v>
                </c:pt>
                <c:pt idx="3012">
                  <c:v>1.0015199999999993</c:v>
                </c:pt>
                <c:pt idx="3013">
                  <c:v>1.0015199999999993</c:v>
                </c:pt>
                <c:pt idx="3014">
                  <c:v>0.83952000000000027</c:v>
                </c:pt>
                <c:pt idx="3015">
                  <c:v>1.649519999999999</c:v>
                </c:pt>
                <c:pt idx="3016">
                  <c:v>1.48752</c:v>
                </c:pt>
                <c:pt idx="3017">
                  <c:v>1.48752</c:v>
                </c:pt>
                <c:pt idx="3018">
                  <c:v>1.0015199999999993</c:v>
                </c:pt>
                <c:pt idx="3019">
                  <c:v>1.649519999999999</c:v>
                </c:pt>
                <c:pt idx="3020">
                  <c:v>1.8115200000000016</c:v>
                </c:pt>
                <c:pt idx="3021">
                  <c:v>1.8115200000000016</c:v>
                </c:pt>
                <c:pt idx="3022">
                  <c:v>1.6495200000000025</c:v>
                </c:pt>
                <c:pt idx="3023">
                  <c:v>2.4595200000000013</c:v>
                </c:pt>
                <c:pt idx="3024">
                  <c:v>2.2975200000000022</c:v>
                </c:pt>
                <c:pt idx="3025">
                  <c:v>2.2975200000000022</c:v>
                </c:pt>
                <c:pt idx="3026">
                  <c:v>1.8115200000000016</c:v>
                </c:pt>
                <c:pt idx="3027">
                  <c:v>2.4595200000000013</c:v>
                </c:pt>
                <c:pt idx="3028">
                  <c:v>2.6215200000000038</c:v>
                </c:pt>
                <c:pt idx="3029">
                  <c:v>2.6215200000000038</c:v>
                </c:pt>
                <c:pt idx="3030">
                  <c:v>2.4595200000000048</c:v>
                </c:pt>
                <c:pt idx="3031">
                  <c:v>3.2695200000000035</c:v>
                </c:pt>
                <c:pt idx="3032">
                  <c:v>3.1075200000000045</c:v>
                </c:pt>
                <c:pt idx="3033">
                  <c:v>3.1075200000000045</c:v>
                </c:pt>
                <c:pt idx="3034">
                  <c:v>2.6215200000000038</c:v>
                </c:pt>
                <c:pt idx="3035">
                  <c:v>3.2695200000000035</c:v>
                </c:pt>
                <c:pt idx="3036">
                  <c:v>3.4315200000000026</c:v>
                </c:pt>
                <c:pt idx="3037">
                  <c:v>3.4315200000000026</c:v>
                </c:pt>
                <c:pt idx="3038">
                  <c:v>3.2695200000000035</c:v>
                </c:pt>
                <c:pt idx="3039">
                  <c:v>4.0795200000000023</c:v>
                </c:pt>
                <c:pt idx="3040">
                  <c:v>3.9175200000000032</c:v>
                </c:pt>
                <c:pt idx="3041">
                  <c:v>3.9175200000000032</c:v>
                </c:pt>
                <c:pt idx="3042">
                  <c:v>3.4315200000000026</c:v>
                </c:pt>
                <c:pt idx="3043">
                  <c:v>4.0795200000000023</c:v>
                </c:pt>
                <c:pt idx="3044">
                  <c:v>4.2415200000000013</c:v>
                </c:pt>
                <c:pt idx="3045">
                  <c:v>4.2415200000000013</c:v>
                </c:pt>
                <c:pt idx="3046">
                  <c:v>4.0795200000000023</c:v>
                </c:pt>
                <c:pt idx="3047">
                  <c:v>4.889520000000001</c:v>
                </c:pt>
                <c:pt idx="3048">
                  <c:v>4.7275200000000019</c:v>
                </c:pt>
                <c:pt idx="3049">
                  <c:v>4.7275200000000019</c:v>
                </c:pt>
                <c:pt idx="3050">
                  <c:v>4.2415200000000013</c:v>
                </c:pt>
                <c:pt idx="3051">
                  <c:v>4.889520000000001</c:v>
                </c:pt>
                <c:pt idx="3052">
                  <c:v>5.0515200000000036</c:v>
                </c:pt>
                <c:pt idx="3053">
                  <c:v>5.0515200000000036</c:v>
                </c:pt>
                <c:pt idx="3054">
                  <c:v>4.8895200000000045</c:v>
                </c:pt>
                <c:pt idx="3055">
                  <c:v>5.6995200000000033</c:v>
                </c:pt>
                <c:pt idx="3056">
                  <c:v>5.5375200000000042</c:v>
                </c:pt>
                <c:pt idx="3057">
                  <c:v>5.5375200000000042</c:v>
                </c:pt>
                <c:pt idx="3058">
                  <c:v>5.0515200000000036</c:v>
                </c:pt>
                <c:pt idx="3059">
                  <c:v>5.6995200000000033</c:v>
                </c:pt>
                <c:pt idx="3060">
                  <c:v>5.8615200000000023</c:v>
                </c:pt>
                <c:pt idx="3061">
                  <c:v>5.8615200000000023</c:v>
                </c:pt>
                <c:pt idx="3062">
                  <c:v>5.6995200000000033</c:v>
                </c:pt>
                <c:pt idx="3063">
                  <c:v>6.509520000000002</c:v>
                </c:pt>
                <c:pt idx="3064">
                  <c:v>6.3475200000000029</c:v>
                </c:pt>
                <c:pt idx="3065">
                  <c:v>6.3475200000000029</c:v>
                </c:pt>
                <c:pt idx="3066">
                  <c:v>5.8615200000000023</c:v>
                </c:pt>
                <c:pt idx="3067">
                  <c:v>6.509520000000002</c:v>
                </c:pt>
                <c:pt idx="3068">
                  <c:v>6.671520000000001</c:v>
                </c:pt>
                <c:pt idx="3069">
                  <c:v>6.671520000000001</c:v>
                </c:pt>
                <c:pt idx="3070">
                  <c:v>6.509520000000002</c:v>
                </c:pt>
                <c:pt idx="3071">
                  <c:v>7.3195200000000007</c:v>
                </c:pt>
                <c:pt idx="3072">
                  <c:v>7.1575200000000017</c:v>
                </c:pt>
                <c:pt idx="3073">
                  <c:v>7.1575200000000017</c:v>
                </c:pt>
                <c:pt idx="3074">
                  <c:v>6.671520000000001</c:v>
                </c:pt>
                <c:pt idx="3075">
                  <c:v>7.3195200000000007</c:v>
                </c:pt>
                <c:pt idx="3076">
                  <c:v>7.4815200000000033</c:v>
                </c:pt>
                <c:pt idx="3077">
                  <c:v>7.4815200000000033</c:v>
                </c:pt>
                <c:pt idx="3078">
                  <c:v>7.3195200000000042</c:v>
                </c:pt>
                <c:pt idx="3079">
                  <c:v>8.129520000000003</c:v>
                </c:pt>
                <c:pt idx="3080">
                  <c:v>7.9675200000000039</c:v>
                </c:pt>
                <c:pt idx="3081">
                  <c:v>7.9675200000000039</c:v>
                </c:pt>
                <c:pt idx="3082">
                  <c:v>7.4815200000000033</c:v>
                </c:pt>
                <c:pt idx="3083">
                  <c:v>8.129520000000003</c:v>
                </c:pt>
                <c:pt idx="3084">
                  <c:v>8.291520000000002</c:v>
                </c:pt>
                <c:pt idx="3085">
                  <c:v>8.291520000000002</c:v>
                </c:pt>
                <c:pt idx="3086">
                  <c:v>8.129520000000003</c:v>
                </c:pt>
                <c:pt idx="3087">
                  <c:v>8.9395200000000017</c:v>
                </c:pt>
                <c:pt idx="3088">
                  <c:v>8.7775200000000027</c:v>
                </c:pt>
                <c:pt idx="3089">
                  <c:v>8.7775200000000027</c:v>
                </c:pt>
                <c:pt idx="3090">
                  <c:v>8.291520000000002</c:v>
                </c:pt>
                <c:pt idx="3091">
                  <c:v>8.9395200000000017</c:v>
                </c:pt>
                <c:pt idx="3092">
                  <c:v>8.291520000000002</c:v>
                </c:pt>
                <c:pt idx="3093">
                  <c:v>8.291520000000002</c:v>
                </c:pt>
                <c:pt idx="3094">
                  <c:v>8.129520000000003</c:v>
                </c:pt>
                <c:pt idx="3095">
                  <c:v>8.9395200000000017</c:v>
                </c:pt>
                <c:pt idx="3096">
                  <c:v>8.7775200000000027</c:v>
                </c:pt>
                <c:pt idx="3097">
                  <c:v>8.7775200000000027</c:v>
                </c:pt>
                <c:pt idx="3098">
                  <c:v>8.291520000000002</c:v>
                </c:pt>
                <c:pt idx="3099">
                  <c:v>8.9395200000000017</c:v>
                </c:pt>
                <c:pt idx="3100">
                  <c:v>8.291520000000002</c:v>
                </c:pt>
                <c:pt idx="3101">
                  <c:v>8.291520000000002</c:v>
                </c:pt>
                <c:pt idx="3102">
                  <c:v>8.129520000000003</c:v>
                </c:pt>
                <c:pt idx="3103">
                  <c:v>8.9395200000000017</c:v>
                </c:pt>
                <c:pt idx="3104">
                  <c:v>8.7775200000000027</c:v>
                </c:pt>
                <c:pt idx="3105">
                  <c:v>8.7775200000000027</c:v>
                </c:pt>
                <c:pt idx="3106">
                  <c:v>8.291520000000002</c:v>
                </c:pt>
                <c:pt idx="3107">
                  <c:v>8.9395200000000017</c:v>
                </c:pt>
                <c:pt idx="3108">
                  <c:v>8.291520000000002</c:v>
                </c:pt>
                <c:pt idx="3109">
                  <c:v>8.291520000000002</c:v>
                </c:pt>
                <c:pt idx="3110">
                  <c:v>8.129520000000003</c:v>
                </c:pt>
                <c:pt idx="3111">
                  <c:v>8.9395200000000017</c:v>
                </c:pt>
                <c:pt idx="3112">
                  <c:v>8.7775200000000027</c:v>
                </c:pt>
                <c:pt idx="3113">
                  <c:v>8.7775200000000027</c:v>
                </c:pt>
                <c:pt idx="3114">
                  <c:v>8.291520000000002</c:v>
                </c:pt>
                <c:pt idx="3115">
                  <c:v>8.9395200000000017</c:v>
                </c:pt>
                <c:pt idx="3116">
                  <c:v>8.291520000000002</c:v>
                </c:pt>
                <c:pt idx="3117">
                  <c:v>8.291520000000002</c:v>
                </c:pt>
                <c:pt idx="3118">
                  <c:v>8.129520000000003</c:v>
                </c:pt>
                <c:pt idx="3119">
                  <c:v>8.9395200000000017</c:v>
                </c:pt>
                <c:pt idx="3120">
                  <c:v>8.7775200000000027</c:v>
                </c:pt>
                <c:pt idx="3121">
                  <c:v>8.7775200000000027</c:v>
                </c:pt>
                <c:pt idx="3122">
                  <c:v>8.291520000000002</c:v>
                </c:pt>
                <c:pt idx="3123">
                  <c:v>8.9395200000000017</c:v>
                </c:pt>
                <c:pt idx="3124">
                  <c:v>8.291520000000002</c:v>
                </c:pt>
                <c:pt idx="3125">
                  <c:v>8.291520000000002</c:v>
                </c:pt>
                <c:pt idx="3126">
                  <c:v>8.129520000000003</c:v>
                </c:pt>
                <c:pt idx="3127">
                  <c:v>8.9395200000000017</c:v>
                </c:pt>
                <c:pt idx="3128">
                  <c:v>8.7775200000000027</c:v>
                </c:pt>
                <c:pt idx="3129">
                  <c:v>8.7775200000000027</c:v>
                </c:pt>
                <c:pt idx="3130">
                  <c:v>8.291520000000002</c:v>
                </c:pt>
                <c:pt idx="3131">
                  <c:v>8.9395200000000017</c:v>
                </c:pt>
                <c:pt idx="3132">
                  <c:v>8.291520000000002</c:v>
                </c:pt>
                <c:pt idx="3133">
                  <c:v>8.291520000000002</c:v>
                </c:pt>
                <c:pt idx="3134">
                  <c:v>8.129520000000003</c:v>
                </c:pt>
                <c:pt idx="3135">
                  <c:v>8.9395200000000017</c:v>
                </c:pt>
                <c:pt idx="3136">
                  <c:v>8.7775200000000027</c:v>
                </c:pt>
                <c:pt idx="3137">
                  <c:v>8.7775200000000027</c:v>
                </c:pt>
                <c:pt idx="3138">
                  <c:v>8.291520000000002</c:v>
                </c:pt>
                <c:pt idx="3139">
                  <c:v>8.9395200000000017</c:v>
                </c:pt>
                <c:pt idx="3140">
                  <c:v>8.291520000000002</c:v>
                </c:pt>
                <c:pt idx="3141">
                  <c:v>8.291520000000002</c:v>
                </c:pt>
                <c:pt idx="3142">
                  <c:v>8.129520000000003</c:v>
                </c:pt>
                <c:pt idx="3143">
                  <c:v>8.9395200000000017</c:v>
                </c:pt>
                <c:pt idx="3144">
                  <c:v>8.7775200000000027</c:v>
                </c:pt>
                <c:pt idx="3145">
                  <c:v>8.7775200000000027</c:v>
                </c:pt>
                <c:pt idx="3146">
                  <c:v>8.291520000000002</c:v>
                </c:pt>
                <c:pt idx="3147">
                  <c:v>8.9395200000000017</c:v>
                </c:pt>
                <c:pt idx="3148">
                  <c:v>8.291520000000002</c:v>
                </c:pt>
                <c:pt idx="3149">
                  <c:v>8.291520000000002</c:v>
                </c:pt>
                <c:pt idx="3150">
                  <c:v>8.129520000000003</c:v>
                </c:pt>
                <c:pt idx="3151">
                  <c:v>8.9395200000000017</c:v>
                </c:pt>
                <c:pt idx="3152">
                  <c:v>8.7775200000000027</c:v>
                </c:pt>
                <c:pt idx="3153">
                  <c:v>8.7775200000000027</c:v>
                </c:pt>
                <c:pt idx="3154">
                  <c:v>8.291520000000002</c:v>
                </c:pt>
                <c:pt idx="3155">
                  <c:v>8.9395200000000017</c:v>
                </c:pt>
                <c:pt idx="3156">
                  <c:v>8.291520000000002</c:v>
                </c:pt>
                <c:pt idx="3157">
                  <c:v>8.291520000000002</c:v>
                </c:pt>
                <c:pt idx="3158">
                  <c:v>8.129520000000003</c:v>
                </c:pt>
                <c:pt idx="3159">
                  <c:v>8.9395200000000017</c:v>
                </c:pt>
                <c:pt idx="3160">
                  <c:v>8.7775200000000027</c:v>
                </c:pt>
                <c:pt idx="3161">
                  <c:v>8.7775200000000027</c:v>
                </c:pt>
                <c:pt idx="3162">
                  <c:v>8.291520000000002</c:v>
                </c:pt>
                <c:pt idx="3163">
                  <c:v>8.9395200000000017</c:v>
                </c:pt>
                <c:pt idx="3164">
                  <c:v>8.291520000000002</c:v>
                </c:pt>
                <c:pt idx="3165">
                  <c:v>8.291520000000002</c:v>
                </c:pt>
                <c:pt idx="3166">
                  <c:v>8.129520000000003</c:v>
                </c:pt>
                <c:pt idx="3167">
                  <c:v>8.9395200000000017</c:v>
                </c:pt>
                <c:pt idx="3168">
                  <c:v>8.7775200000000027</c:v>
                </c:pt>
                <c:pt idx="3169">
                  <c:v>8.7775200000000027</c:v>
                </c:pt>
                <c:pt idx="3170">
                  <c:v>8.291520000000002</c:v>
                </c:pt>
                <c:pt idx="3171">
                  <c:v>8.9395200000000017</c:v>
                </c:pt>
                <c:pt idx="3172">
                  <c:v>8.291520000000002</c:v>
                </c:pt>
                <c:pt idx="3173">
                  <c:v>8.291520000000002</c:v>
                </c:pt>
                <c:pt idx="3174">
                  <c:v>8.129520000000003</c:v>
                </c:pt>
                <c:pt idx="3175">
                  <c:v>8.9395200000000017</c:v>
                </c:pt>
                <c:pt idx="3176">
                  <c:v>8.7775200000000027</c:v>
                </c:pt>
                <c:pt idx="3177">
                  <c:v>8.7775200000000027</c:v>
                </c:pt>
                <c:pt idx="3178">
                  <c:v>8.291520000000002</c:v>
                </c:pt>
                <c:pt idx="3179">
                  <c:v>8.9395200000000017</c:v>
                </c:pt>
                <c:pt idx="3180">
                  <c:v>8.291520000000002</c:v>
                </c:pt>
                <c:pt idx="3181">
                  <c:v>8.291520000000002</c:v>
                </c:pt>
                <c:pt idx="3182">
                  <c:v>8.129520000000003</c:v>
                </c:pt>
                <c:pt idx="3183">
                  <c:v>8.9395200000000017</c:v>
                </c:pt>
                <c:pt idx="3184">
                  <c:v>8.7775200000000027</c:v>
                </c:pt>
                <c:pt idx="3185">
                  <c:v>8.7775200000000027</c:v>
                </c:pt>
                <c:pt idx="3186">
                  <c:v>8.291520000000002</c:v>
                </c:pt>
                <c:pt idx="3187">
                  <c:v>8.9395200000000017</c:v>
                </c:pt>
                <c:pt idx="3188">
                  <c:v>8.291520000000002</c:v>
                </c:pt>
                <c:pt idx="3189">
                  <c:v>8.291520000000002</c:v>
                </c:pt>
                <c:pt idx="3190">
                  <c:v>8.129520000000003</c:v>
                </c:pt>
                <c:pt idx="3191">
                  <c:v>8.9395200000000017</c:v>
                </c:pt>
                <c:pt idx="3192">
                  <c:v>8.7775200000000027</c:v>
                </c:pt>
                <c:pt idx="3193">
                  <c:v>8.7775200000000027</c:v>
                </c:pt>
                <c:pt idx="3194">
                  <c:v>8.291520000000002</c:v>
                </c:pt>
                <c:pt idx="3195">
                  <c:v>8.9395200000000017</c:v>
                </c:pt>
                <c:pt idx="3196">
                  <c:v>8.291520000000002</c:v>
                </c:pt>
                <c:pt idx="3197">
                  <c:v>8.291520000000002</c:v>
                </c:pt>
                <c:pt idx="3198">
                  <c:v>8.129520000000003</c:v>
                </c:pt>
                <c:pt idx="3199">
                  <c:v>8.9395200000000017</c:v>
                </c:pt>
                <c:pt idx="3200">
                  <c:v>8.7775200000000027</c:v>
                </c:pt>
                <c:pt idx="3201">
                  <c:v>8.7775200000000027</c:v>
                </c:pt>
                <c:pt idx="3202">
                  <c:v>8.291520000000002</c:v>
                </c:pt>
                <c:pt idx="3203">
                  <c:v>8.9395200000000017</c:v>
                </c:pt>
                <c:pt idx="3204">
                  <c:v>8.291520000000002</c:v>
                </c:pt>
                <c:pt idx="3205">
                  <c:v>8.291520000000002</c:v>
                </c:pt>
                <c:pt idx="3206">
                  <c:v>8.129520000000003</c:v>
                </c:pt>
                <c:pt idx="3207">
                  <c:v>8.9395200000000017</c:v>
                </c:pt>
                <c:pt idx="3208">
                  <c:v>8.7775200000000027</c:v>
                </c:pt>
                <c:pt idx="3209">
                  <c:v>8.7775200000000027</c:v>
                </c:pt>
                <c:pt idx="3210">
                  <c:v>8.291520000000002</c:v>
                </c:pt>
                <c:pt idx="3211">
                  <c:v>8.9395200000000017</c:v>
                </c:pt>
                <c:pt idx="3212">
                  <c:v>8.291520000000002</c:v>
                </c:pt>
                <c:pt idx="3213">
                  <c:v>8.291520000000002</c:v>
                </c:pt>
                <c:pt idx="3214">
                  <c:v>8.129520000000003</c:v>
                </c:pt>
                <c:pt idx="3215">
                  <c:v>8.9395200000000017</c:v>
                </c:pt>
                <c:pt idx="3216">
                  <c:v>8.7775200000000027</c:v>
                </c:pt>
                <c:pt idx="3217">
                  <c:v>8.7775200000000027</c:v>
                </c:pt>
                <c:pt idx="3218">
                  <c:v>8.291520000000002</c:v>
                </c:pt>
                <c:pt idx="3219">
                  <c:v>8.9395200000000017</c:v>
                </c:pt>
                <c:pt idx="3220">
                  <c:v>8.291520000000002</c:v>
                </c:pt>
                <c:pt idx="3221">
                  <c:v>8.291520000000002</c:v>
                </c:pt>
                <c:pt idx="3222">
                  <c:v>8.129520000000003</c:v>
                </c:pt>
                <c:pt idx="3223">
                  <c:v>8.9395200000000017</c:v>
                </c:pt>
                <c:pt idx="3224">
                  <c:v>8.7775200000000027</c:v>
                </c:pt>
                <c:pt idx="3225">
                  <c:v>8.7775200000000027</c:v>
                </c:pt>
                <c:pt idx="3226">
                  <c:v>8.291520000000002</c:v>
                </c:pt>
                <c:pt idx="3227">
                  <c:v>8.9395200000000017</c:v>
                </c:pt>
                <c:pt idx="3228">
                  <c:v>8.291520000000002</c:v>
                </c:pt>
                <c:pt idx="3229">
                  <c:v>8.291520000000002</c:v>
                </c:pt>
                <c:pt idx="3230">
                  <c:v>8.129520000000003</c:v>
                </c:pt>
                <c:pt idx="3231">
                  <c:v>8.9395200000000017</c:v>
                </c:pt>
                <c:pt idx="3232">
                  <c:v>8.7775200000000027</c:v>
                </c:pt>
                <c:pt idx="3233">
                  <c:v>8.7775200000000027</c:v>
                </c:pt>
                <c:pt idx="3234">
                  <c:v>8.291520000000002</c:v>
                </c:pt>
                <c:pt idx="3235">
                  <c:v>8.9395200000000017</c:v>
                </c:pt>
                <c:pt idx="3236">
                  <c:v>8.291520000000002</c:v>
                </c:pt>
                <c:pt idx="3237">
                  <c:v>8.291520000000002</c:v>
                </c:pt>
                <c:pt idx="3238">
                  <c:v>8.129520000000003</c:v>
                </c:pt>
                <c:pt idx="3239">
                  <c:v>8.9395200000000017</c:v>
                </c:pt>
                <c:pt idx="3240">
                  <c:v>8.7775200000000027</c:v>
                </c:pt>
                <c:pt idx="3241">
                  <c:v>8.7775200000000027</c:v>
                </c:pt>
                <c:pt idx="3242">
                  <c:v>8.291520000000002</c:v>
                </c:pt>
                <c:pt idx="3243">
                  <c:v>8.9395200000000017</c:v>
                </c:pt>
                <c:pt idx="3244">
                  <c:v>8.291520000000002</c:v>
                </c:pt>
                <c:pt idx="3245">
                  <c:v>8.291520000000002</c:v>
                </c:pt>
                <c:pt idx="3246">
                  <c:v>8.129520000000003</c:v>
                </c:pt>
                <c:pt idx="3247">
                  <c:v>8.9395200000000017</c:v>
                </c:pt>
                <c:pt idx="3248">
                  <c:v>8.7775200000000027</c:v>
                </c:pt>
                <c:pt idx="3249">
                  <c:v>8.7775200000000027</c:v>
                </c:pt>
                <c:pt idx="3250">
                  <c:v>8.291520000000002</c:v>
                </c:pt>
                <c:pt idx="3251">
                  <c:v>8.9395200000000017</c:v>
                </c:pt>
                <c:pt idx="3252">
                  <c:v>8.291520000000002</c:v>
                </c:pt>
                <c:pt idx="3253">
                  <c:v>8.291520000000002</c:v>
                </c:pt>
                <c:pt idx="3254">
                  <c:v>8.129520000000003</c:v>
                </c:pt>
                <c:pt idx="3255">
                  <c:v>8.9395200000000017</c:v>
                </c:pt>
                <c:pt idx="3256">
                  <c:v>8.7775200000000027</c:v>
                </c:pt>
                <c:pt idx="3257">
                  <c:v>8.7775200000000027</c:v>
                </c:pt>
                <c:pt idx="3258">
                  <c:v>8.291520000000002</c:v>
                </c:pt>
                <c:pt idx="3259">
                  <c:v>8.9395200000000017</c:v>
                </c:pt>
                <c:pt idx="3260">
                  <c:v>8.291520000000002</c:v>
                </c:pt>
                <c:pt idx="3261">
                  <c:v>8.291520000000002</c:v>
                </c:pt>
                <c:pt idx="3262">
                  <c:v>8.129520000000003</c:v>
                </c:pt>
                <c:pt idx="3263">
                  <c:v>8.9395200000000017</c:v>
                </c:pt>
                <c:pt idx="3264">
                  <c:v>8.7775200000000027</c:v>
                </c:pt>
                <c:pt idx="3265">
                  <c:v>8.7775200000000027</c:v>
                </c:pt>
                <c:pt idx="3266">
                  <c:v>8.291520000000002</c:v>
                </c:pt>
                <c:pt idx="3267">
                  <c:v>8.9395200000000017</c:v>
                </c:pt>
                <c:pt idx="3268">
                  <c:v>8.291520000000002</c:v>
                </c:pt>
                <c:pt idx="3269">
                  <c:v>8.291520000000002</c:v>
                </c:pt>
                <c:pt idx="3270">
                  <c:v>8.129520000000003</c:v>
                </c:pt>
                <c:pt idx="3271">
                  <c:v>8.9395200000000017</c:v>
                </c:pt>
                <c:pt idx="3272">
                  <c:v>8.7775200000000027</c:v>
                </c:pt>
                <c:pt idx="3273">
                  <c:v>8.7775200000000027</c:v>
                </c:pt>
                <c:pt idx="3274">
                  <c:v>8.291520000000002</c:v>
                </c:pt>
                <c:pt idx="3275">
                  <c:v>8.9395200000000017</c:v>
                </c:pt>
                <c:pt idx="3276">
                  <c:v>8.291520000000002</c:v>
                </c:pt>
                <c:pt idx="3277">
                  <c:v>8.291520000000002</c:v>
                </c:pt>
                <c:pt idx="3278">
                  <c:v>8.129520000000003</c:v>
                </c:pt>
                <c:pt idx="3279">
                  <c:v>8.9395200000000017</c:v>
                </c:pt>
                <c:pt idx="3280">
                  <c:v>8.7775200000000027</c:v>
                </c:pt>
                <c:pt idx="3281">
                  <c:v>8.7775200000000027</c:v>
                </c:pt>
                <c:pt idx="3282">
                  <c:v>8.291520000000002</c:v>
                </c:pt>
                <c:pt idx="3283">
                  <c:v>8.9395200000000017</c:v>
                </c:pt>
                <c:pt idx="3284">
                  <c:v>8.291520000000002</c:v>
                </c:pt>
                <c:pt idx="3285">
                  <c:v>8.291520000000002</c:v>
                </c:pt>
                <c:pt idx="3286">
                  <c:v>8.129520000000003</c:v>
                </c:pt>
                <c:pt idx="3287">
                  <c:v>8.9395200000000017</c:v>
                </c:pt>
                <c:pt idx="3288">
                  <c:v>8.7775200000000027</c:v>
                </c:pt>
                <c:pt idx="3289">
                  <c:v>8.7775200000000027</c:v>
                </c:pt>
                <c:pt idx="3290">
                  <c:v>8.291520000000002</c:v>
                </c:pt>
                <c:pt idx="3291">
                  <c:v>8.9395200000000017</c:v>
                </c:pt>
                <c:pt idx="3292">
                  <c:v>8.291520000000002</c:v>
                </c:pt>
                <c:pt idx="3293">
                  <c:v>8.291520000000002</c:v>
                </c:pt>
                <c:pt idx="3294">
                  <c:v>8.129520000000003</c:v>
                </c:pt>
                <c:pt idx="3295">
                  <c:v>8.9395200000000017</c:v>
                </c:pt>
                <c:pt idx="3296">
                  <c:v>8.7775200000000027</c:v>
                </c:pt>
                <c:pt idx="3297">
                  <c:v>8.7775200000000027</c:v>
                </c:pt>
                <c:pt idx="3298">
                  <c:v>8.291520000000002</c:v>
                </c:pt>
                <c:pt idx="3299">
                  <c:v>8.9395200000000017</c:v>
                </c:pt>
                <c:pt idx="3300">
                  <c:v>8.291520000000002</c:v>
                </c:pt>
                <c:pt idx="3301">
                  <c:v>8.291520000000002</c:v>
                </c:pt>
                <c:pt idx="3302">
                  <c:v>8.129520000000003</c:v>
                </c:pt>
                <c:pt idx="3303">
                  <c:v>8.9395200000000017</c:v>
                </c:pt>
                <c:pt idx="3304">
                  <c:v>8.7775200000000027</c:v>
                </c:pt>
                <c:pt idx="3305">
                  <c:v>8.7775200000000027</c:v>
                </c:pt>
                <c:pt idx="3306">
                  <c:v>8.291520000000002</c:v>
                </c:pt>
                <c:pt idx="3307">
                  <c:v>8.9395200000000017</c:v>
                </c:pt>
                <c:pt idx="3308">
                  <c:v>8.291520000000002</c:v>
                </c:pt>
                <c:pt idx="3309">
                  <c:v>8.291520000000002</c:v>
                </c:pt>
                <c:pt idx="3310">
                  <c:v>8.129520000000003</c:v>
                </c:pt>
                <c:pt idx="3311">
                  <c:v>8.9395200000000017</c:v>
                </c:pt>
                <c:pt idx="3312">
                  <c:v>8.7775200000000027</c:v>
                </c:pt>
                <c:pt idx="3313">
                  <c:v>8.7775200000000027</c:v>
                </c:pt>
                <c:pt idx="3314">
                  <c:v>8.291520000000002</c:v>
                </c:pt>
                <c:pt idx="3315">
                  <c:v>8.9395200000000017</c:v>
                </c:pt>
                <c:pt idx="3316">
                  <c:v>8.291520000000002</c:v>
                </c:pt>
                <c:pt idx="3317">
                  <c:v>8.291520000000002</c:v>
                </c:pt>
                <c:pt idx="3318">
                  <c:v>8.129520000000003</c:v>
                </c:pt>
                <c:pt idx="3319">
                  <c:v>8.9395200000000017</c:v>
                </c:pt>
                <c:pt idx="3320">
                  <c:v>8.7775200000000027</c:v>
                </c:pt>
                <c:pt idx="3321">
                  <c:v>8.7775200000000027</c:v>
                </c:pt>
                <c:pt idx="3322">
                  <c:v>8.291520000000002</c:v>
                </c:pt>
                <c:pt idx="3323">
                  <c:v>8.9395200000000017</c:v>
                </c:pt>
                <c:pt idx="3324">
                  <c:v>8.291520000000002</c:v>
                </c:pt>
                <c:pt idx="3325">
                  <c:v>8.291520000000002</c:v>
                </c:pt>
                <c:pt idx="3326">
                  <c:v>8.129520000000003</c:v>
                </c:pt>
                <c:pt idx="3327">
                  <c:v>8.9395200000000017</c:v>
                </c:pt>
                <c:pt idx="3328">
                  <c:v>8.7775200000000027</c:v>
                </c:pt>
                <c:pt idx="3329">
                  <c:v>8.7775200000000027</c:v>
                </c:pt>
                <c:pt idx="3330">
                  <c:v>8.291520000000002</c:v>
                </c:pt>
                <c:pt idx="3331">
                  <c:v>8.9395200000000017</c:v>
                </c:pt>
                <c:pt idx="3332">
                  <c:v>8.291520000000002</c:v>
                </c:pt>
                <c:pt idx="3333">
                  <c:v>8.291520000000002</c:v>
                </c:pt>
                <c:pt idx="3334">
                  <c:v>8.129520000000003</c:v>
                </c:pt>
                <c:pt idx="3335">
                  <c:v>8.9395200000000017</c:v>
                </c:pt>
                <c:pt idx="3336">
                  <c:v>8.7775200000000027</c:v>
                </c:pt>
                <c:pt idx="3337">
                  <c:v>8.7775200000000027</c:v>
                </c:pt>
                <c:pt idx="3338">
                  <c:v>8.291520000000002</c:v>
                </c:pt>
                <c:pt idx="3339">
                  <c:v>8.9395200000000017</c:v>
                </c:pt>
                <c:pt idx="3340">
                  <c:v>8.291520000000002</c:v>
                </c:pt>
                <c:pt idx="3341">
                  <c:v>8.291520000000002</c:v>
                </c:pt>
                <c:pt idx="3342">
                  <c:v>8.129520000000003</c:v>
                </c:pt>
                <c:pt idx="3343">
                  <c:v>8.9395200000000017</c:v>
                </c:pt>
                <c:pt idx="3344">
                  <c:v>8.7775200000000027</c:v>
                </c:pt>
                <c:pt idx="3345">
                  <c:v>8.7775200000000027</c:v>
                </c:pt>
                <c:pt idx="3346">
                  <c:v>8.291520000000002</c:v>
                </c:pt>
                <c:pt idx="3347">
                  <c:v>8.9395200000000017</c:v>
                </c:pt>
                <c:pt idx="3348">
                  <c:v>8.291520000000002</c:v>
                </c:pt>
                <c:pt idx="3349">
                  <c:v>8.291520000000002</c:v>
                </c:pt>
                <c:pt idx="3350">
                  <c:v>8.129520000000003</c:v>
                </c:pt>
                <c:pt idx="3351">
                  <c:v>8.9395200000000017</c:v>
                </c:pt>
                <c:pt idx="3352">
                  <c:v>8.7775200000000027</c:v>
                </c:pt>
                <c:pt idx="3353">
                  <c:v>8.7775200000000027</c:v>
                </c:pt>
                <c:pt idx="3354">
                  <c:v>8.291520000000002</c:v>
                </c:pt>
                <c:pt idx="3355">
                  <c:v>8.9395200000000017</c:v>
                </c:pt>
                <c:pt idx="3356">
                  <c:v>8.291520000000002</c:v>
                </c:pt>
                <c:pt idx="3357">
                  <c:v>8.291520000000002</c:v>
                </c:pt>
                <c:pt idx="3358">
                  <c:v>8.129520000000003</c:v>
                </c:pt>
                <c:pt idx="3359">
                  <c:v>8.9395200000000017</c:v>
                </c:pt>
                <c:pt idx="3360">
                  <c:v>8.7775200000000027</c:v>
                </c:pt>
                <c:pt idx="3361">
                  <c:v>8.7775200000000027</c:v>
                </c:pt>
                <c:pt idx="3362">
                  <c:v>8.291520000000002</c:v>
                </c:pt>
                <c:pt idx="3363">
                  <c:v>8.9395200000000017</c:v>
                </c:pt>
                <c:pt idx="3364">
                  <c:v>8.291520000000002</c:v>
                </c:pt>
                <c:pt idx="3365">
                  <c:v>8.291520000000002</c:v>
                </c:pt>
                <c:pt idx="3366">
                  <c:v>8.129520000000003</c:v>
                </c:pt>
                <c:pt idx="3367">
                  <c:v>8.9395200000000017</c:v>
                </c:pt>
                <c:pt idx="3368">
                  <c:v>8.7775200000000027</c:v>
                </c:pt>
                <c:pt idx="3369">
                  <c:v>8.7775200000000027</c:v>
                </c:pt>
                <c:pt idx="3370">
                  <c:v>8.291520000000002</c:v>
                </c:pt>
                <c:pt idx="3371">
                  <c:v>8.9395200000000017</c:v>
                </c:pt>
                <c:pt idx="3372">
                  <c:v>8.9395200000000017</c:v>
                </c:pt>
                <c:pt idx="3373">
                  <c:v>-11.310479999999998</c:v>
                </c:pt>
                <c:pt idx="3374">
                  <c:v>-11.148479999999999</c:v>
                </c:pt>
                <c:pt idx="3375">
                  <c:v>-11.148479999999999</c:v>
                </c:pt>
                <c:pt idx="3376">
                  <c:v>-11.310479999999998</c:v>
                </c:pt>
                <c:pt idx="3377">
                  <c:v>-10.500479999999998</c:v>
                </c:pt>
                <c:pt idx="3378">
                  <c:v>-10.662479999999999</c:v>
                </c:pt>
                <c:pt idx="3379">
                  <c:v>-10.662479999999999</c:v>
                </c:pt>
                <c:pt idx="3380">
                  <c:v>-11.148479999999999</c:v>
                </c:pt>
                <c:pt idx="3381">
                  <c:v>-10.500479999999998</c:v>
                </c:pt>
                <c:pt idx="3382">
                  <c:v>-10.338479999999997</c:v>
                </c:pt>
                <c:pt idx="3383">
                  <c:v>-10.338479999999997</c:v>
                </c:pt>
                <c:pt idx="3384">
                  <c:v>-10.500479999999998</c:v>
                </c:pt>
                <c:pt idx="3385">
                  <c:v>-9.6904799999999973</c:v>
                </c:pt>
                <c:pt idx="3386">
                  <c:v>-9.8524799999999981</c:v>
                </c:pt>
                <c:pt idx="3387">
                  <c:v>-9.8524799999999981</c:v>
                </c:pt>
                <c:pt idx="3388">
                  <c:v>-10.338479999999997</c:v>
                </c:pt>
                <c:pt idx="3389">
                  <c:v>-9.6904799999999973</c:v>
                </c:pt>
                <c:pt idx="3390">
                  <c:v>-9.5284799999999965</c:v>
                </c:pt>
                <c:pt idx="3391">
                  <c:v>-9.5284799999999965</c:v>
                </c:pt>
                <c:pt idx="3392">
                  <c:v>-9.6904799999999973</c:v>
                </c:pt>
                <c:pt idx="3393">
                  <c:v>-8.8804799999999968</c:v>
                </c:pt>
                <c:pt idx="3394">
                  <c:v>-9.0424799999999976</c:v>
                </c:pt>
                <c:pt idx="3395">
                  <c:v>-9.0424799999999976</c:v>
                </c:pt>
                <c:pt idx="3396">
                  <c:v>-9.5284799999999965</c:v>
                </c:pt>
                <c:pt idx="3397">
                  <c:v>-8.8804799999999968</c:v>
                </c:pt>
                <c:pt idx="3398">
                  <c:v>-8.7184799999999978</c:v>
                </c:pt>
                <c:pt idx="3399">
                  <c:v>-8.7184799999999978</c:v>
                </c:pt>
                <c:pt idx="3400">
                  <c:v>-8.8804799999999986</c:v>
                </c:pt>
                <c:pt idx="3401">
                  <c:v>-8.0704799999999981</c:v>
                </c:pt>
                <c:pt idx="3402">
                  <c:v>-8.2324799999999989</c:v>
                </c:pt>
                <c:pt idx="3403">
                  <c:v>-8.2324799999999989</c:v>
                </c:pt>
                <c:pt idx="3404">
                  <c:v>-8.7184799999999978</c:v>
                </c:pt>
                <c:pt idx="3405">
                  <c:v>-8.0704799999999981</c:v>
                </c:pt>
                <c:pt idx="3406">
                  <c:v>-7.9084799999999973</c:v>
                </c:pt>
                <c:pt idx="3407">
                  <c:v>-7.9084799999999973</c:v>
                </c:pt>
                <c:pt idx="3408">
                  <c:v>-8.0704799999999981</c:v>
                </c:pt>
                <c:pt idx="3409">
                  <c:v>-7.2604799999999976</c:v>
                </c:pt>
                <c:pt idx="3410">
                  <c:v>-7.4224799999999984</c:v>
                </c:pt>
                <c:pt idx="3411">
                  <c:v>-7.4224799999999984</c:v>
                </c:pt>
                <c:pt idx="3412">
                  <c:v>-7.9084799999999973</c:v>
                </c:pt>
                <c:pt idx="3413">
                  <c:v>-7.2604799999999976</c:v>
                </c:pt>
                <c:pt idx="3414">
                  <c:v>-7.0984799999999968</c:v>
                </c:pt>
                <c:pt idx="3415">
                  <c:v>-7.0984799999999968</c:v>
                </c:pt>
                <c:pt idx="3416">
                  <c:v>-7.2604799999999976</c:v>
                </c:pt>
                <c:pt idx="3417">
                  <c:v>-6.4504799999999971</c:v>
                </c:pt>
                <c:pt idx="3418">
                  <c:v>-6.6124799999999979</c:v>
                </c:pt>
                <c:pt idx="3419">
                  <c:v>-6.6124799999999979</c:v>
                </c:pt>
                <c:pt idx="3420">
                  <c:v>-7.0984799999999968</c:v>
                </c:pt>
                <c:pt idx="3421">
                  <c:v>-6.4504799999999971</c:v>
                </c:pt>
                <c:pt idx="3422">
                  <c:v>-6.2884799999999981</c:v>
                </c:pt>
                <c:pt idx="3423">
                  <c:v>-6.2884799999999981</c:v>
                </c:pt>
                <c:pt idx="3424">
                  <c:v>-6.4504799999999989</c:v>
                </c:pt>
                <c:pt idx="3425">
                  <c:v>-5.6404799999999984</c:v>
                </c:pt>
                <c:pt idx="3426">
                  <c:v>-5.8024799999999992</c:v>
                </c:pt>
                <c:pt idx="3427">
                  <c:v>-5.8024799999999992</c:v>
                </c:pt>
                <c:pt idx="3428">
                  <c:v>-6.2884799999999981</c:v>
                </c:pt>
                <c:pt idx="3429">
                  <c:v>-5.6404799999999984</c:v>
                </c:pt>
                <c:pt idx="3430">
                  <c:v>-5.4784799999999976</c:v>
                </c:pt>
                <c:pt idx="3431">
                  <c:v>-5.4784799999999976</c:v>
                </c:pt>
                <c:pt idx="3432">
                  <c:v>-5.6404799999999984</c:v>
                </c:pt>
                <c:pt idx="3433">
                  <c:v>-4.8304799999999979</c:v>
                </c:pt>
                <c:pt idx="3434">
                  <c:v>-4.9924799999999987</c:v>
                </c:pt>
                <c:pt idx="3435">
                  <c:v>-4.9924799999999987</c:v>
                </c:pt>
                <c:pt idx="3436">
                  <c:v>-5.4784799999999976</c:v>
                </c:pt>
                <c:pt idx="3437">
                  <c:v>-4.8304799999999979</c:v>
                </c:pt>
                <c:pt idx="3438">
                  <c:v>-4.6684799999999971</c:v>
                </c:pt>
                <c:pt idx="3439">
                  <c:v>-4.6684799999999971</c:v>
                </c:pt>
                <c:pt idx="3440">
                  <c:v>-4.8304799999999979</c:v>
                </c:pt>
                <c:pt idx="3441">
                  <c:v>-4.0204799999999974</c:v>
                </c:pt>
                <c:pt idx="3442">
                  <c:v>-4.1824799999999982</c:v>
                </c:pt>
                <c:pt idx="3443">
                  <c:v>-4.1824799999999982</c:v>
                </c:pt>
                <c:pt idx="3444">
                  <c:v>-4.6684799999999971</c:v>
                </c:pt>
                <c:pt idx="3445">
                  <c:v>-4.0204799999999974</c:v>
                </c:pt>
                <c:pt idx="3446">
                  <c:v>-3.8584799999999966</c:v>
                </c:pt>
                <c:pt idx="3447">
                  <c:v>-3.8584799999999966</c:v>
                </c:pt>
                <c:pt idx="3448">
                  <c:v>-4.0204799999999974</c:v>
                </c:pt>
                <c:pt idx="3449">
                  <c:v>-3.2104799999999969</c:v>
                </c:pt>
                <c:pt idx="3450">
                  <c:v>-3.3724799999999977</c:v>
                </c:pt>
                <c:pt idx="3451">
                  <c:v>-3.3724799999999977</c:v>
                </c:pt>
                <c:pt idx="3452">
                  <c:v>-3.8584799999999966</c:v>
                </c:pt>
                <c:pt idx="3453">
                  <c:v>-3.2104799999999969</c:v>
                </c:pt>
                <c:pt idx="3454">
                  <c:v>-3.0484799999999961</c:v>
                </c:pt>
                <c:pt idx="3455">
                  <c:v>-3.0484799999999961</c:v>
                </c:pt>
                <c:pt idx="3456">
                  <c:v>-3.2104799999999969</c:v>
                </c:pt>
                <c:pt idx="3457">
                  <c:v>-2.4004799999999964</c:v>
                </c:pt>
                <c:pt idx="3458">
                  <c:v>-2.5624799999999972</c:v>
                </c:pt>
                <c:pt idx="3459">
                  <c:v>-2.5624799999999972</c:v>
                </c:pt>
                <c:pt idx="3460">
                  <c:v>-3.0484799999999961</c:v>
                </c:pt>
                <c:pt idx="3461">
                  <c:v>-2.4004799999999964</c:v>
                </c:pt>
                <c:pt idx="3462">
                  <c:v>-2.2384799999999974</c:v>
                </c:pt>
                <c:pt idx="3463">
                  <c:v>-2.2384799999999974</c:v>
                </c:pt>
                <c:pt idx="3464">
                  <c:v>-2.4004799999999982</c:v>
                </c:pt>
                <c:pt idx="3465">
                  <c:v>-1.5904799999999994</c:v>
                </c:pt>
                <c:pt idx="3466">
                  <c:v>-1.7524799999999985</c:v>
                </c:pt>
                <c:pt idx="3467">
                  <c:v>-1.7524799999999985</c:v>
                </c:pt>
                <c:pt idx="3468">
                  <c:v>-2.2384799999999974</c:v>
                </c:pt>
                <c:pt idx="3469">
                  <c:v>-1.5904799999999994</c:v>
                </c:pt>
                <c:pt idx="3470">
                  <c:v>-1.4284800000000004</c:v>
                </c:pt>
                <c:pt idx="3471">
                  <c:v>-1.4284800000000004</c:v>
                </c:pt>
                <c:pt idx="3472">
                  <c:v>-1.5904799999999994</c:v>
                </c:pt>
                <c:pt idx="3473">
                  <c:v>-0.78048000000000073</c:v>
                </c:pt>
                <c:pt idx="3474">
                  <c:v>-0.94247999999999976</c:v>
                </c:pt>
                <c:pt idx="3475">
                  <c:v>-0.94247999999999976</c:v>
                </c:pt>
                <c:pt idx="3476">
                  <c:v>-1.4284800000000004</c:v>
                </c:pt>
                <c:pt idx="3477">
                  <c:v>-0.78048000000000073</c:v>
                </c:pt>
                <c:pt idx="3478">
                  <c:v>-0.61847999999999814</c:v>
                </c:pt>
                <c:pt idx="3479">
                  <c:v>-0.61847999999999814</c:v>
                </c:pt>
                <c:pt idx="3480">
                  <c:v>-0.78047999999999718</c:v>
                </c:pt>
                <c:pt idx="3481">
                  <c:v>2.9520000000001545E-2</c:v>
                </c:pt>
                <c:pt idx="3482">
                  <c:v>-0.13247999999999749</c:v>
                </c:pt>
                <c:pt idx="3483">
                  <c:v>-0.13247999999999749</c:v>
                </c:pt>
                <c:pt idx="3484">
                  <c:v>-0.61847999999999814</c:v>
                </c:pt>
                <c:pt idx="3485">
                  <c:v>2.9520000000001545E-2</c:v>
                </c:pt>
                <c:pt idx="3486">
                  <c:v>0.19152000000000058</c:v>
                </c:pt>
                <c:pt idx="3487">
                  <c:v>0.19152000000000058</c:v>
                </c:pt>
                <c:pt idx="3488">
                  <c:v>2.9520000000001545E-2</c:v>
                </c:pt>
                <c:pt idx="3489">
                  <c:v>0.83952000000000027</c:v>
                </c:pt>
                <c:pt idx="3490">
                  <c:v>0.67752000000000123</c:v>
                </c:pt>
                <c:pt idx="3491">
                  <c:v>0.67752000000000123</c:v>
                </c:pt>
                <c:pt idx="3492">
                  <c:v>0.19152000000000058</c:v>
                </c:pt>
                <c:pt idx="3493">
                  <c:v>0.83952000000000027</c:v>
                </c:pt>
                <c:pt idx="3494">
                  <c:v>1.0015199999999993</c:v>
                </c:pt>
                <c:pt idx="3495">
                  <c:v>1.0015199999999993</c:v>
                </c:pt>
                <c:pt idx="3496">
                  <c:v>0.83952000000000027</c:v>
                </c:pt>
                <c:pt idx="3497">
                  <c:v>1.649519999999999</c:v>
                </c:pt>
                <c:pt idx="3498">
                  <c:v>1.48752</c:v>
                </c:pt>
                <c:pt idx="3499">
                  <c:v>1.48752</c:v>
                </c:pt>
                <c:pt idx="3500">
                  <c:v>1.0015199999999993</c:v>
                </c:pt>
                <c:pt idx="3501">
                  <c:v>1.649519999999999</c:v>
                </c:pt>
                <c:pt idx="3502">
                  <c:v>1.8115200000000016</c:v>
                </c:pt>
                <c:pt idx="3503">
                  <c:v>1.8115200000000016</c:v>
                </c:pt>
                <c:pt idx="3504">
                  <c:v>1.6495200000000025</c:v>
                </c:pt>
                <c:pt idx="3505">
                  <c:v>2.4595200000000013</c:v>
                </c:pt>
                <c:pt idx="3506">
                  <c:v>2.2975200000000022</c:v>
                </c:pt>
                <c:pt idx="3507">
                  <c:v>2.2975200000000022</c:v>
                </c:pt>
                <c:pt idx="3508">
                  <c:v>1.8115200000000016</c:v>
                </c:pt>
                <c:pt idx="3509">
                  <c:v>2.4595200000000013</c:v>
                </c:pt>
                <c:pt idx="3510">
                  <c:v>2.6215200000000038</c:v>
                </c:pt>
                <c:pt idx="3511">
                  <c:v>2.6215200000000038</c:v>
                </c:pt>
                <c:pt idx="3512">
                  <c:v>2.4595200000000048</c:v>
                </c:pt>
                <c:pt idx="3513">
                  <c:v>3.2695200000000035</c:v>
                </c:pt>
                <c:pt idx="3514">
                  <c:v>3.1075200000000045</c:v>
                </c:pt>
                <c:pt idx="3515">
                  <c:v>3.1075200000000045</c:v>
                </c:pt>
                <c:pt idx="3516">
                  <c:v>2.6215200000000038</c:v>
                </c:pt>
                <c:pt idx="3517">
                  <c:v>3.2695200000000035</c:v>
                </c:pt>
                <c:pt idx="3518">
                  <c:v>3.4315200000000026</c:v>
                </c:pt>
                <c:pt idx="3519">
                  <c:v>3.4315200000000026</c:v>
                </c:pt>
                <c:pt idx="3520">
                  <c:v>3.2695200000000035</c:v>
                </c:pt>
                <c:pt idx="3521">
                  <c:v>4.0795200000000023</c:v>
                </c:pt>
                <c:pt idx="3522">
                  <c:v>3.9175200000000032</c:v>
                </c:pt>
                <c:pt idx="3523">
                  <c:v>3.9175200000000032</c:v>
                </c:pt>
                <c:pt idx="3524">
                  <c:v>3.4315200000000026</c:v>
                </c:pt>
                <c:pt idx="3525">
                  <c:v>4.0795200000000023</c:v>
                </c:pt>
                <c:pt idx="3526">
                  <c:v>4.2415200000000013</c:v>
                </c:pt>
                <c:pt idx="3527">
                  <c:v>4.2415200000000013</c:v>
                </c:pt>
                <c:pt idx="3528">
                  <c:v>4.0795200000000023</c:v>
                </c:pt>
                <c:pt idx="3529">
                  <c:v>4.889520000000001</c:v>
                </c:pt>
                <c:pt idx="3530">
                  <c:v>4.7275200000000019</c:v>
                </c:pt>
                <c:pt idx="3531">
                  <c:v>4.7275200000000019</c:v>
                </c:pt>
                <c:pt idx="3532">
                  <c:v>4.2415200000000013</c:v>
                </c:pt>
                <c:pt idx="3533">
                  <c:v>4.889520000000001</c:v>
                </c:pt>
                <c:pt idx="3534">
                  <c:v>5.0515200000000036</c:v>
                </c:pt>
                <c:pt idx="3535">
                  <c:v>5.0515200000000036</c:v>
                </c:pt>
                <c:pt idx="3536">
                  <c:v>4.8895200000000045</c:v>
                </c:pt>
                <c:pt idx="3537">
                  <c:v>5.6995200000000033</c:v>
                </c:pt>
                <c:pt idx="3538">
                  <c:v>5.5375200000000042</c:v>
                </c:pt>
                <c:pt idx="3539">
                  <c:v>5.5375200000000042</c:v>
                </c:pt>
                <c:pt idx="3540">
                  <c:v>5.0515200000000036</c:v>
                </c:pt>
                <c:pt idx="3541">
                  <c:v>5.6995200000000033</c:v>
                </c:pt>
                <c:pt idx="3542">
                  <c:v>5.8615200000000023</c:v>
                </c:pt>
                <c:pt idx="3543">
                  <c:v>5.8615200000000023</c:v>
                </c:pt>
                <c:pt idx="3544">
                  <c:v>5.6995200000000033</c:v>
                </c:pt>
                <c:pt idx="3545">
                  <c:v>6.509520000000002</c:v>
                </c:pt>
                <c:pt idx="3546">
                  <c:v>6.3475200000000029</c:v>
                </c:pt>
                <c:pt idx="3547">
                  <c:v>6.3475200000000029</c:v>
                </c:pt>
                <c:pt idx="3548">
                  <c:v>5.8615200000000023</c:v>
                </c:pt>
                <c:pt idx="3549">
                  <c:v>6.509520000000002</c:v>
                </c:pt>
                <c:pt idx="3550">
                  <c:v>6.671520000000001</c:v>
                </c:pt>
                <c:pt idx="3551">
                  <c:v>6.671520000000001</c:v>
                </c:pt>
                <c:pt idx="3552">
                  <c:v>6.509520000000002</c:v>
                </c:pt>
                <c:pt idx="3553">
                  <c:v>7.3195200000000007</c:v>
                </c:pt>
                <c:pt idx="3554">
                  <c:v>7.1575200000000017</c:v>
                </c:pt>
                <c:pt idx="3555">
                  <c:v>7.1575200000000017</c:v>
                </c:pt>
                <c:pt idx="3556">
                  <c:v>6.671520000000001</c:v>
                </c:pt>
                <c:pt idx="3557">
                  <c:v>7.3195200000000007</c:v>
                </c:pt>
                <c:pt idx="3558">
                  <c:v>7.4815200000000033</c:v>
                </c:pt>
                <c:pt idx="3559">
                  <c:v>7.4815200000000033</c:v>
                </c:pt>
                <c:pt idx="3560">
                  <c:v>7.3195200000000042</c:v>
                </c:pt>
                <c:pt idx="3561">
                  <c:v>8.129520000000003</c:v>
                </c:pt>
                <c:pt idx="3562">
                  <c:v>7.9675200000000039</c:v>
                </c:pt>
                <c:pt idx="3563">
                  <c:v>7.9675200000000039</c:v>
                </c:pt>
                <c:pt idx="3564">
                  <c:v>7.4815200000000033</c:v>
                </c:pt>
                <c:pt idx="3565">
                  <c:v>8.129520000000003</c:v>
                </c:pt>
                <c:pt idx="3566">
                  <c:v>8.291520000000002</c:v>
                </c:pt>
                <c:pt idx="3567">
                  <c:v>8.291520000000002</c:v>
                </c:pt>
                <c:pt idx="3568">
                  <c:v>8.129520000000003</c:v>
                </c:pt>
                <c:pt idx="3569">
                  <c:v>8.9395200000000017</c:v>
                </c:pt>
                <c:pt idx="3570">
                  <c:v>8.7775200000000027</c:v>
                </c:pt>
                <c:pt idx="3571">
                  <c:v>8.7775200000000027</c:v>
                </c:pt>
                <c:pt idx="3572">
                  <c:v>8.291520000000002</c:v>
                </c:pt>
                <c:pt idx="3573">
                  <c:v>8.9395200000000017</c:v>
                </c:pt>
                <c:pt idx="3574">
                  <c:v>8.291520000000002</c:v>
                </c:pt>
                <c:pt idx="3575">
                  <c:v>8.291520000000002</c:v>
                </c:pt>
                <c:pt idx="3576">
                  <c:v>8.129520000000003</c:v>
                </c:pt>
                <c:pt idx="3577">
                  <c:v>8.9395200000000017</c:v>
                </c:pt>
                <c:pt idx="3578">
                  <c:v>8.7775200000000027</c:v>
                </c:pt>
                <c:pt idx="3579">
                  <c:v>8.7775200000000027</c:v>
                </c:pt>
                <c:pt idx="3580">
                  <c:v>8.291520000000002</c:v>
                </c:pt>
                <c:pt idx="3581">
                  <c:v>8.9395200000000017</c:v>
                </c:pt>
                <c:pt idx="3582">
                  <c:v>8.291520000000002</c:v>
                </c:pt>
                <c:pt idx="3583">
                  <c:v>8.291520000000002</c:v>
                </c:pt>
                <c:pt idx="3584">
                  <c:v>8.129520000000003</c:v>
                </c:pt>
                <c:pt idx="3585">
                  <c:v>8.9395200000000017</c:v>
                </c:pt>
                <c:pt idx="3586">
                  <c:v>8.7775200000000027</c:v>
                </c:pt>
                <c:pt idx="3587">
                  <c:v>8.7775200000000027</c:v>
                </c:pt>
                <c:pt idx="3588">
                  <c:v>8.291520000000002</c:v>
                </c:pt>
                <c:pt idx="3589">
                  <c:v>8.9395200000000017</c:v>
                </c:pt>
                <c:pt idx="3590">
                  <c:v>8.291520000000002</c:v>
                </c:pt>
                <c:pt idx="3591">
                  <c:v>8.291520000000002</c:v>
                </c:pt>
                <c:pt idx="3592">
                  <c:v>8.129520000000003</c:v>
                </c:pt>
                <c:pt idx="3593">
                  <c:v>8.9395200000000017</c:v>
                </c:pt>
                <c:pt idx="3594">
                  <c:v>8.7775200000000027</c:v>
                </c:pt>
                <c:pt idx="3595">
                  <c:v>8.7775200000000027</c:v>
                </c:pt>
                <c:pt idx="3596">
                  <c:v>8.291520000000002</c:v>
                </c:pt>
                <c:pt idx="3597">
                  <c:v>8.9395200000000017</c:v>
                </c:pt>
                <c:pt idx="3598">
                  <c:v>8.291520000000002</c:v>
                </c:pt>
                <c:pt idx="3599">
                  <c:v>8.291520000000002</c:v>
                </c:pt>
                <c:pt idx="3600">
                  <c:v>8.129520000000003</c:v>
                </c:pt>
                <c:pt idx="3601">
                  <c:v>8.9395200000000017</c:v>
                </c:pt>
                <c:pt idx="3602">
                  <c:v>8.7775200000000027</c:v>
                </c:pt>
                <c:pt idx="3603">
                  <c:v>8.7775200000000027</c:v>
                </c:pt>
                <c:pt idx="3604">
                  <c:v>8.291520000000002</c:v>
                </c:pt>
                <c:pt idx="3605">
                  <c:v>8.9395200000000017</c:v>
                </c:pt>
                <c:pt idx="3606">
                  <c:v>8.291520000000002</c:v>
                </c:pt>
                <c:pt idx="3607">
                  <c:v>8.291520000000002</c:v>
                </c:pt>
                <c:pt idx="3608">
                  <c:v>8.129520000000003</c:v>
                </c:pt>
                <c:pt idx="3609">
                  <c:v>8.9395200000000017</c:v>
                </c:pt>
                <c:pt idx="3610">
                  <c:v>8.7775200000000027</c:v>
                </c:pt>
                <c:pt idx="3611">
                  <c:v>8.7775200000000027</c:v>
                </c:pt>
                <c:pt idx="3612">
                  <c:v>8.291520000000002</c:v>
                </c:pt>
                <c:pt idx="3613">
                  <c:v>8.9395200000000017</c:v>
                </c:pt>
                <c:pt idx="3614">
                  <c:v>8.291520000000002</c:v>
                </c:pt>
                <c:pt idx="3615">
                  <c:v>8.291520000000002</c:v>
                </c:pt>
                <c:pt idx="3616">
                  <c:v>8.129520000000003</c:v>
                </c:pt>
                <c:pt idx="3617">
                  <c:v>8.9395200000000017</c:v>
                </c:pt>
                <c:pt idx="3618">
                  <c:v>8.7775200000000027</c:v>
                </c:pt>
                <c:pt idx="3619">
                  <c:v>8.7775200000000027</c:v>
                </c:pt>
                <c:pt idx="3620">
                  <c:v>8.291520000000002</c:v>
                </c:pt>
                <c:pt idx="3621">
                  <c:v>8.9395200000000017</c:v>
                </c:pt>
                <c:pt idx="3622">
                  <c:v>8.291520000000002</c:v>
                </c:pt>
                <c:pt idx="3623">
                  <c:v>8.291520000000002</c:v>
                </c:pt>
                <c:pt idx="3624">
                  <c:v>8.129520000000003</c:v>
                </c:pt>
                <c:pt idx="3625">
                  <c:v>8.9395200000000017</c:v>
                </c:pt>
                <c:pt idx="3626">
                  <c:v>8.7775200000000027</c:v>
                </c:pt>
                <c:pt idx="3627">
                  <c:v>8.7775200000000027</c:v>
                </c:pt>
                <c:pt idx="3628">
                  <c:v>8.291520000000002</c:v>
                </c:pt>
                <c:pt idx="3629">
                  <c:v>8.9395200000000017</c:v>
                </c:pt>
                <c:pt idx="3630">
                  <c:v>8.291520000000002</c:v>
                </c:pt>
                <c:pt idx="3631">
                  <c:v>8.291520000000002</c:v>
                </c:pt>
                <c:pt idx="3632">
                  <c:v>8.129520000000003</c:v>
                </c:pt>
                <c:pt idx="3633">
                  <c:v>8.9395200000000017</c:v>
                </c:pt>
                <c:pt idx="3634">
                  <c:v>8.7775200000000027</c:v>
                </c:pt>
                <c:pt idx="3635">
                  <c:v>8.7775200000000027</c:v>
                </c:pt>
                <c:pt idx="3636">
                  <c:v>8.291520000000002</c:v>
                </c:pt>
                <c:pt idx="3637">
                  <c:v>8.9395200000000017</c:v>
                </c:pt>
                <c:pt idx="3638">
                  <c:v>8.291520000000002</c:v>
                </c:pt>
                <c:pt idx="3639">
                  <c:v>8.291520000000002</c:v>
                </c:pt>
                <c:pt idx="3640">
                  <c:v>8.129520000000003</c:v>
                </c:pt>
                <c:pt idx="3641">
                  <c:v>8.9395200000000017</c:v>
                </c:pt>
                <c:pt idx="3642">
                  <c:v>8.7775200000000027</c:v>
                </c:pt>
                <c:pt idx="3643">
                  <c:v>8.7775200000000027</c:v>
                </c:pt>
                <c:pt idx="3644">
                  <c:v>8.291520000000002</c:v>
                </c:pt>
                <c:pt idx="3645">
                  <c:v>8.9395200000000017</c:v>
                </c:pt>
                <c:pt idx="3646">
                  <c:v>8.291520000000002</c:v>
                </c:pt>
                <c:pt idx="3647">
                  <c:v>8.291520000000002</c:v>
                </c:pt>
                <c:pt idx="3648">
                  <c:v>8.129520000000003</c:v>
                </c:pt>
                <c:pt idx="3649">
                  <c:v>8.9395200000000017</c:v>
                </c:pt>
                <c:pt idx="3650">
                  <c:v>8.7775200000000027</c:v>
                </c:pt>
                <c:pt idx="3651">
                  <c:v>8.7775200000000027</c:v>
                </c:pt>
                <c:pt idx="3652">
                  <c:v>8.291520000000002</c:v>
                </c:pt>
                <c:pt idx="3653">
                  <c:v>8.9395200000000017</c:v>
                </c:pt>
                <c:pt idx="3654">
                  <c:v>8.291520000000002</c:v>
                </c:pt>
                <c:pt idx="3655">
                  <c:v>8.291520000000002</c:v>
                </c:pt>
                <c:pt idx="3656">
                  <c:v>8.129520000000003</c:v>
                </c:pt>
                <c:pt idx="3657">
                  <c:v>8.9395200000000017</c:v>
                </c:pt>
                <c:pt idx="3658">
                  <c:v>8.7775200000000027</c:v>
                </c:pt>
                <c:pt idx="3659">
                  <c:v>8.7775200000000027</c:v>
                </c:pt>
                <c:pt idx="3660">
                  <c:v>8.291520000000002</c:v>
                </c:pt>
                <c:pt idx="3661">
                  <c:v>8.9395200000000017</c:v>
                </c:pt>
                <c:pt idx="3662">
                  <c:v>8.291520000000002</c:v>
                </c:pt>
                <c:pt idx="3663">
                  <c:v>8.291520000000002</c:v>
                </c:pt>
                <c:pt idx="3664">
                  <c:v>8.129520000000003</c:v>
                </c:pt>
                <c:pt idx="3665">
                  <c:v>8.9395200000000017</c:v>
                </c:pt>
                <c:pt idx="3666">
                  <c:v>8.7775200000000027</c:v>
                </c:pt>
                <c:pt idx="3667">
                  <c:v>8.7775200000000027</c:v>
                </c:pt>
                <c:pt idx="3668">
                  <c:v>8.291520000000002</c:v>
                </c:pt>
                <c:pt idx="3669">
                  <c:v>8.9395200000000017</c:v>
                </c:pt>
                <c:pt idx="3670">
                  <c:v>8.291520000000002</c:v>
                </c:pt>
                <c:pt idx="3671">
                  <c:v>8.291520000000002</c:v>
                </c:pt>
                <c:pt idx="3672">
                  <c:v>8.129520000000003</c:v>
                </c:pt>
                <c:pt idx="3673">
                  <c:v>8.9395200000000017</c:v>
                </c:pt>
                <c:pt idx="3674">
                  <c:v>8.7775200000000027</c:v>
                </c:pt>
                <c:pt idx="3675">
                  <c:v>8.7775200000000027</c:v>
                </c:pt>
                <c:pt idx="3676">
                  <c:v>8.291520000000002</c:v>
                </c:pt>
                <c:pt idx="3677">
                  <c:v>8.9395200000000017</c:v>
                </c:pt>
                <c:pt idx="3678">
                  <c:v>8.291520000000002</c:v>
                </c:pt>
                <c:pt idx="3679">
                  <c:v>8.291520000000002</c:v>
                </c:pt>
                <c:pt idx="3680">
                  <c:v>8.129520000000003</c:v>
                </c:pt>
                <c:pt idx="3681">
                  <c:v>8.9395200000000017</c:v>
                </c:pt>
                <c:pt idx="3682">
                  <c:v>8.7775200000000027</c:v>
                </c:pt>
                <c:pt idx="3683">
                  <c:v>8.7775200000000027</c:v>
                </c:pt>
                <c:pt idx="3684">
                  <c:v>8.291520000000002</c:v>
                </c:pt>
                <c:pt idx="3685">
                  <c:v>8.9395200000000017</c:v>
                </c:pt>
                <c:pt idx="3686">
                  <c:v>8.291520000000002</c:v>
                </c:pt>
                <c:pt idx="3687">
                  <c:v>8.291520000000002</c:v>
                </c:pt>
                <c:pt idx="3688">
                  <c:v>8.129520000000003</c:v>
                </c:pt>
                <c:pt idx="3689">
                  <c:v>8.9395200000000017</c:v>
                </c:pt>
                <c:pt idx="3690">
                  <c:v>8.7775200000000027</c:v>
                </c:pt>
                <c:pt idx="3691">
                  <c:v>8.7775200000000027</c:v>
                </c:pt>
                <c:pt idx="3692">
                  <c:v>8.291520000000002</c:v>
                </c:pt>
                <c:pt idx="3693">
                  <c:v>8.9395200000000017</c:v>
                </c:pt>
                <c:pt idx="3694">
                  <c:v>8.291520000000002</c:v>
                </c:pt>
                <c:pt idx="3695">
                  <c:v>8.291520000000002</c:v>
                </c:pt>
                <c:pt idx="3696">
                  <c:v>8.129520000000003</c:v>
                </c:pt>
                <c:pt idx="3697">
                  <c:v>8.9395200000000017</c:v>
                </c:pt>
                <c:pt idx="3698">
                  <c:v>8.7775200000000027</c:v>
                </c:pt>
                <c:pt idx="3699">
                  <c:v>8.7775200000000027</c:v>
                </c:pt>
                <c:pt idx="3700">
                  <c:v>8.291520000000002</c:v>
                </c:pt>
                <c:pt idx="3701">
                  <c:v>8.9395200000000017</c:v>
                </c:pt>
                <c:pt idx="3702">
                  <c:v>8.291520000000002</c:v>
                </c:pt>
                <c:pt idx="3703">
                  <c:v>8.291520000000002</c:v>
                </c:pt>
                <c:pt idx="3704">
                  <c:v>8.129520000000003</c:v>
                </c:pt>
                <c:pt idx="3705">
                  <c:v>8.9395200000000017</c:v>
                </c:pt>
                <c:pt idx="3706">
                  <c:v>8.7775200000000027</c:v>
                </c:pt>
                <c:pt idx="3707">
                  <c:v>8.7775200000000027</c:v>
                </c:pt>
                <c:pt idx="3708">
                  <c:v>8.291520000000002</c:v>
                </c:pt>
                <c:pt idx="3709">
                  <c:v>8.9395200000000017</c:v>
                </c:pt>
                <c:pt idx="3710">
                  <c:v>8.291520000000002</c:v>
                </c:pt>
                <c:pt idx="3711">
                  <c:v>8.291520000000002</c:v>
                </c:pt>
                <c:pt idx="3712">
                  <c:v>8.129520000000003</c:v>
                </c:pt>
                <c:pt idx="3713">
                  <c:v>8.9395200000000017</c:v>
                </c:pt>
                <c:pt idx="3714">
                  <c:v>8.7775200000000027</c:v>
                </c:pt>
                <c:pt idx="3715">
                  <c:v>8.7775200000000027</c:v>
                </c:pt>
                <c:pt idx="3716">
                  <c:v>8.291520000000002</c:v>
                </c:pt>
                <c:pt idx="3717">
                  <c:v>8.9395200000000017</c:v>
                </c:pt>
                <c:pt idx="3718">
                  <c:v>8.291520000000002</c:v>
                </c:pt>
                <c:pt idx="3719">
                  <c:v>8.291520000000002</c:v>
                </c:pt>
                <c:pt idx="3720">
                  <c:v>8.129520000000003</c:v>
                </c:pt>
                <c:pt idx="3721">
                  <c:v>8.9395200000000017</c:v>
                </c:pt>
                <c:pt idx="3722">
                  <c:v>8.7775200000000027</c:v>
                </c:pt>
                <c:pt idx="3723">
                  <c:v>8.7775200000000027</c:v>
                </c:pt>
                <c:pt idx="3724">
                  <c:v>8.291520000000002</c:v>
                </c:pt>
                <c:pt idx="3725">
                  <c:v>8.9395200000000017</c:v>
                </c:pt>
                <c:pt idx="3726">
                  <c:v>8.291520000000002</c:v>
                </c:pt>
                <c:pt idx="3727">
                  <c:v>8.291520000000002</c:v>
                </c:pt>
                <c:pt idx="3728">
                  <c:v>8.129520000000003</c:v>
                </c:pt>
                <c:pt idx="3729">
                  <c:v>8.9395200000000017</c:v>
                </c:pt>
                <c:pt idx="3730">
                  <c:v>8.7775200000000027</c:v>
                </c:pt>
                <c:pt idx="3731">
                  <c:v>8.7775200000000027</c:v>
                </c:pt>
                <c:pt idx="3732">
                  <c:v>8.291520000000002</c:v>
                </c:pt>
                <c:pt idx="3733">
                  <c:v>8.9395200000000017</c:v>
                </c:pt>
                <c:pt idx="3734">
                  <c:v>8.291520000000002</c:v>
                </c:pt>
                <c:pt idx="3735">
                  <c:v>8.291520000000002</c:v>
                </c:pt>
                <c:pt idx="3736">
                  <c:v>8.129520000000003</c:v>
                </c:pt>
                <c:pt idx="3737">
                  <c:v>8.9395200000000017</c:v>
                </c:pt>
                <c:pt idx="3738">
                  <c:v>8.7775200000000027</c:v>
                </c:pt>
                <c:pt idx="3739">
                  <c:v>8.7775200000000027</c:v>
                </c:pt>
                <c:pt idx="3740">
                  <c:v>8.291520000000002</c:v>
                </c:pt>
                <c:pt idx="3741">
                  <c:v>8.9395200000000017</c:v>
                </c:pt>
                <c:pt idx="3742">
                  <c:v>8.291520000000002</c:v>
                </c:pt>
                <c:pt idx="3743">
                  <c:v>8.291520000000002</c:v>
                </c:pt>
                <c:pt idx="3744">
                  <c:v>8.129520000000003</c:v>
                </c:pt>
                <c:pt idx="3745">
                  <c:v>8.9395200000000017</c:v>
                </c:pt>
                <c:pt idx="3746">
                  <c:v>8.7775200000000027</c:v>
                </c:pt>
                <c:pt idx="3747">
                  <c:v>8.7775200000000027</c:v>
                </c:pt>
                <c:pt idx="3748">
                  <c:v>8.291520000000002</c:v>
                </c:pt>
                <c:pt idx="3749">
                  <c:v>8.9395200000000017</c:v>
                </c:pt>
                <c:pt idx="3750">
                  <c:v>8.291520000000002</c:v>
                </c:pt>
                <c:pt idx="3751">
                  <c:v>8.291520000000002</c:v>
                </c:pt>
                <c:pt idx="3752">
                  <c:v>8.129520000000003</c:v>
                </c:pt>
                <c:pt idx="3753">
                  <c:v>8.9395200000000017</c:v>
                </c:pt>
                <c:pt idx="3754">
                  <c:v>8.7775200000000027</c:v>
                </c:pt>
                <c:pt idx="3755">
                  <c:v>8.7775200000000027</c:v>
                </c:pt>
                <c:pt idx="3756">
                  <c:v>8.291520000000002</c:v>
                </c:pt>
                <c:pt idx="3757">
                  <c:v>8.9395200000000017</c:v>
                </c:pt>
                <c:pt idx="3758">
                  <c:v>8.291520000000002</c:v>
                </c:pt>
                <c:pt idx="3759">
                  <c:v>8.291520000000002</c:v>
                </c:pt>
                <c:pt idx="3760">
                  <c:v>8.129520000000003</c:v>
                </c:pt>
                <c:pt idx="3761">
                  <c:v>8.9395200000000017</c:v>
                </c:pt>
                <c:pt idx="3762">
                  <c:v>8.7775200000000027</c:v>
                </c:pt>
                <c:pt idx="3763">
                  <c:v>8.7775200000000027</c:v>
                </c:pt>
                <c:pt idx="3764">
                  <c:v>8.291520000000002</c:v>
                </c:pt>
                <c:pt idx="3765">
                  <c:v>8.9395200000000017</c:v>
                </c:pt>
                <c:pt idx="3766">
                  <c:v>8.291520000000002</c:v>
                </c:pt>
                <c:pt idx="3767">
                  <c:v>8.291520000000002</c:v>
                </c:pt>
                <c:pt idx="3768">
                  <c:v>8.129520000000003</c:v>
                </c:pt>
                <c:pt idx="3769">
                  <c:v>8.9395200000000017</c:v>
                </c:pt>
                <c:pt idx="3770">
                  <c:v>8.7775200000000027</c:v>
                </c:pt>
                <c:pt idx="3771">
                  <c:v>8.7775200000000027</c:v>
                </c:pt>
                <c:pt idx="3772">
                  <c:v>8.291520000000002</c:v>
                </c:pt>
                <c:pt idx="3773">
                  <c:v>8.9395200000000017</c:v>
                </c:pt>
                <c:pt idx="3774">
                  <c:v>8.291520000000002</c:v>
                </c:pt>
                <c:pt idx="3775">
                  <c:v>8.291520000000002</c:v>
                </c:pt>
                <c:pt idx="3776">
                  <c:v>8.129520000000003</c:v>
                </c:pt>
                <c:pt idx="3777">
                  <c:v>8.9395200000000017</c:v>
                </c:pt>
                <c:pt idx="3778">
                  <c:v>8.7775200000000027</c:v>
                </c:pt>
                <c:pt idx="3779">
                  <c:v>8.7775200000000027</c:v>
                </c:pt>
                <c:pt idx="3780">
                  <c:v>8.291520000000002</c:v>
                </c:pt>
                <c:pt idx="3781">
                  <c:v>8.9395200000000017</c:v>
                </c:pt>
                <c:pt idx="3782">
                  <c:v>8.291520000000002</c:v>
                </c:pt>
                <c:pt idx="3783">
                  <c:v>8.291520000000002</c:v>
                </c:pt>
                <c:pt idx="3784">
                  <c:v>8.129520000000003</c:v>
                </c:pt>
                <c:pt idx="3785">
                  <c:v>8.9395200000000017</c:v>
                </c:pt>
                <c:pt idx="3786">
                  <c:v>8.7775200000000027</c:v>
                </c:pt>
                <c:pt idx="3787">
                  <c:v>8.7775200000000027</c:v>
                </c:pt>
                <c:pt idx="3788">
                  <c:v>8.291520000000002</c:v>
                </c:pt>
                <c:pt idx="3789">
                  <c:v>8.9395200000000017</c:v>
                </c:pt>
                <c:pt idx="3790">
                  <c:v>8.291520000000002</c:v>
                </c:pt>
                <c:pt idx="3791">
                  <c:v>8.291520000000002</c:v>
                </c:pt>
                <c:pt idx="3792">
                  <c:v>8.129520000000003</c:v>
                </c:pt>
                <c:pt idx="3793">
                  <c:v>8.9395200000000017</c:v>
                </c:pt>
                <c:pt idx="3794">
                  <c:v>8.7775200000000027</c:v>
                </c:pt>
                <c:pt idx="3795">
                  <c:v>8.7775200000000027</c:v>
                </c:pt>
                <c:pt idx="3796">
                  <c:v>8.291520000000002</c:v>
                </c:pt>
                <c:pt idx="3797">
                  <c:v>8.9395200000000017</c:v>
                </c:pt>
                <c:pt idx="3798">
                  <c:v>8.291520000000002</c:v>
                </c:pt>
                <c:pt idx="3799">
                  <c:v>8.291520000000002</c:v>
                </c:pt>
                <c:pt idx="3800">
                  <c:v>8.129520000000003</c:v>
                </c:pt>
                <c:pt idx="3801">
                  <c:v>8.9395200000000017</c:v>
                </c:pt>
                <c:pt idx="3802">
                  <c:v>8.7775200000000027</c:v>
                </c:pt>
                <c:pt idx="3803">
                  <c:v>8.7775200000000027</c:v>
                </c:pt>
                <c:pt idx="3804">
                  <c:v>8.291520000000002</c:v>
                </c:pt>
                <c:pt idx="3805">
                  <c:v>8.9395200000000017</c:v>
                </c:pt>
                <c:pt idx="3806">
                  <c:v>8.291520000000002</c:v>
                </c:pt>
                <c:pt idx="3807">
                  <c:v>8.291520000000002</c:v>
                </c:pt>
                <c:pt idx="3808">
                  <c:v>8.129520000000003</c:v>
                </c:pt>
                <c:pt idx="3809">
                  <c:v>8.9395200000000017</c:v>
                </c:pt>
                <c:pt idx="3810">
                  <c:v>8.7775200000000027</c:v>
                </c:pt>
                <c:pt idx="3811">
                  <c:v>8.7775200000000027</c:v>
                </c:pt>
                <c:pt idx="3812">
                  <c:v>8.291520000000002</c:v>
                </c:pt>
                <c:pt idx="3813">
                  <c:v>8.9395200000000017</c:v>
                </c:pt>
                <c:pt idx="3814">
                  <c:v>8.291520000000002</c:v>
                </c:pt>
                <c:pt idx="3815">
                  <c:v>8.291520000000002</c:v>
                </c:pt>
                <c:pt idx="3816">
                  <c:v>8.129520000000003</c:v>
                </c:pt>
                <c:pt idx="3817">
                  <c:v>8.9395200000000017</c:v>
                </c:pt>
                <c:pt idx="3818">
                  <c:v>8.7775200000000027</c:v>
                </c:pt>
                <c:pt idx="3819">
                  <c:v>8.7775200000000027</c:v>
                </c:pt>
                <c:pt idx="3820">
                  <c:v>8.291520000000002</c:v>
                </c:pt>
                <c:pt idx="3821">
                  <c:v>8.9395200000000017</c:v>
                </c:pt>
                <c:pt idx="3822">
                  <c:v>8.291520000000002</c:v>
                </c:pt>
                <c:pt idx="3823">
                  <c:v>8.291520000000002</c:v>
                </c:pt>
                <c:pt idx="3824">
                  <c:v>8.129520000000003</c:v>
                </c:pt>
                <c:pt idx="3825">
                  <c:v>8.9395200000000017</c:v>
                </c:pt>
                <c:pt idx="3826">
                  <c:v>8.7775200000000027</c:v>
                </c:pt>
                <c:pt idx="3827">
                  <c:v>8.7775200000000027</c:v>
                </c:pt>
                <c:pt idx="3828">
                  <c:v>8.291520000000002</c:v>
                </c:pt>
                <c:pt idx="3829">
                  <c:v>8.9395200000000017</c:v>
                </c:pt>
                <c:pt idx="3830">
                  <c:v>8.291520000000002</c:v>
                </c:pt>
                <c:pt idx="3831">
                  <c:v>8.291520000000002</c:v>
                </c:pt>
                <c:pt idx="3832">
                  <c:v>8.129520000000003</c:v>
                </c:pt>
                <c:pt idx="3833">
                  <c:v>8.9395200000000017</c:v>
                </c:pt>
                <c:pt idx="3834">
                  <c:v>8.7775200000000027</c:v>
                </c:pt>
                <c:pt idx="3835">
                  <c:v>8.7775200000000027</c:v>
                </c:pt>
                <c:pt idx="3836">
                  <c:v>8.291520000000002</c:v>
                </c:pt>
                <c:pt idx="3837">
                  <c:v>8.9395200000000017</c:v>
                </c:pt>
                <c:pt idx="3838">
                  <c:v>8.291520000000002</c:v>
                </c:pt>
                <c:pt idx="3839">
                  <c:v>8.291520000000002</c:v>
                </c:pt>
                <c:pt idx="3840">
                  <c:v>8.129520000000003</c:v>
                </c:pt>
                <c:pt idx="3841">
                  <c:v>8.9395200000000017</c:v>
                </c:pt>
                <c:pt idx="3842">
                  <c:v>8.7775200000000027</c:v>
                </c:pt>
                <c:pt idx="3843">
                  <c:v>8.7775200000000027</c:v>
                </c:pt>
                <c:pt idx="3844">
                  <c:v>8.291520000000002</c:v>
                </c:pt>
                <c:pt idx="3845">
                  <c:v>8.9395200000000017</c:v>
                </c:pt>
                <c:pt idx="3846">
                  <c:v>8.291520000000002</c:v>
                </c:pt>
                <c:pt idx="3847">
                  <c:v>8.291520000000002</c:v>
                </c:pt>
                <c:pt idx="3848">
                  <c:v>8.129520000000003</c:v>
                </c:pt>
                <c:pt idx="3849">
                  <c:v>8.9395200000000017</c:v>
                </c:pt>
                <c:pt idx="3850">
                  <c:v>8.7775200000000027</c:v>
                </c:pt>
                <c:pt idx="3851">
                  <c:v>8.7775200000000027</c:v>
                </c:pt>
                <c:pt idx="3852">
                  <c:v>8.291520000000002</c:v>
                </c:pt>
                <c:pt idx="3853">
                  <c:v>8.9395200000000017</c:v>
                </c:pt>
                <c:pt idx="3854">
                  <c:v>8.9395200000000017</c:v>
                </c:pt>
                <c:pt idx="3855">
                  <c:v>-11.310479999999998</c:v>
                </c:pt>
                <c:pt idx="3856">
                  <c:v>-11.148479999999999</c:v>
                </c:pt>
                <c:pt idx="3857">
                  <c:v>-11.148479999999999</c:v>
                </c:pt>
                <c:pt idx="3858">
                  <c:v>-11.310479999999998</c:v>
                </c:pt>
                <c:pt idx="3859">
                  <c:v>-10.500479999999998</c:v>
                </c:pt>
                <c:pt idx="3860">
                  <c:v>-10.662479999999999</c:v>
                </c:pt>
                <c:pt idx="3861">
                  <c:v>-10.662479999999999</c:v>
                </c:pt>
                <c:pt idx="3862">
                  <c:v>-11.148479999999999</c:v>
                </c:pt>
                <c:pt idx="3863">
                  <c:v>-10.500479999999998</c:v>
                </c:pt>
                <c:pt idx="3864">
                  <c:v>-10.338479999999997</c:v>
                </c:pt>
                <c:pt idx="3865">
                  <c:v>-10.338479999999997</c:v>
                </c:pt>
                <c:pt idx="3866">
                  <c:v>-10.500479999999998</c:v>
                </c:pt>
                <c:pt idx="3867">
                  <c:v>-9.6904799999999973</c:v>
                </c:pt>
                <c:pt idx="3868">
                  <c:v>-9.8524799999999981</c:v>
                </c:pt>
                <c:pt idx="3869">
                  <c:v>-9.8524799999999981</c:v>
                </c:pt>
                <c:pt idx="3870">
                  <c:v>-10.338479999999997</c:v>
                </c:pt>
                <c:pt idx="3871">
                  <c:v>-9.6904799999999973</c:v>
                </c:pt>
                <c:pt idx="3872">
                  <c:v>-9.5284799999999965</c:v>
                </c:pt>
                <c:pt idx="3873">
                  <c:v>-9.5284799999999965</c:v>
                </c:pt>
                <c:pt idx="3874">
                  <c:v>-9.6904799999999973</c:v>
                </c:pt>
                <c:pt idx="3875">
                  <c:v>-8.8804799999999968</c:v>
                </c:pt>
                <c:pt idx="3876">
                  <c:v>-9.0424799999999976</c:v>
                </c:pt>
                <c:pt idx="3877">
                  <c:v>-9.0424799999999976</c:v>
                </c:pt>
                <c:pt idx="3878">
                  <c:v>-9.5284799999999965</c:v>
                </c:pt>
                <c:pt idx="3879">
                  <c:v>-8.8804799999999968</c:v>
                </c:pt>
                <c:pt idx="3880">
                  <c:v>-8.7184799999999978</c:v>
                </c:pt>
                <c:pt idx="3881">
                  <c:v>-8.7184799999999978</c:v>
                </c:pt>
                <c:pt idx="3882">
                  <c:v>-8.8804799999999986</c:v>
                </c:pt>
                <c:pt idx="3883">
                  <c:v>-8.0704799999999981</c:v>
                </c:pt>
                <c:pt idx="3884">
                  <c:v>-8.2324799999999989</c:v>
                </c:pt>
                <c:pt idx="3885">
                  <c:v>-8.2324799999999989</c:v>
                </c:pt>
                <c:pt idx="3886">
                  <c:v>-8.7184799999999978</c:v>
                </c:pt>
                <c:pt idx="3887">
                  <c:v>-8.0704799999999981</c:v>
                </c:pt>
                <c:pt idx="3888">
                  <c:v>-7.9084799999999973</c:v>
                </c:pt>
                <c:pt idx="3889">
                  <c:v>-7.9084799999999973</c:v>
                </c:pt>
                <c:pt idx="3890">
                  <c:v>-8.0704799999999981</c:v>
                </c:pt>
                <c:pt idx="3891">
                  <c:v>-7.2604799999999976</c:v>
                </c:pt>
                <c:pt idx="3892">
                  <c:v>-7.4224799999999984</c:v>
                </c:pt>
                <c:pt idx="3893">
                  <c:v>-7.4224799999999984</c:v>
                </c:pt>
                <c:pt idx="3894">
                  <c:v>-7.9084799999999973</c:v>
                </c:pt>
                <c:pt idx="3895">
                  <c:v>-7.2604799999999976</c:v>
                </c:pt>
                <c:pt idx="3896">
                  <c:v>-7.0984799999999968</c:v>
                </c:pt>
                <c:pt idx="3897">
                  <c:v>-7.0984799999999968</c:v>
                </c:pt>
                <c:pt idx="3898">
                  <c:v>-7.2604799999999976</c:v>
                </c:pt>
                <c:pt idx="3899">
                  <c:v>-6.4504799999999971</c:v>
                </c:pt>
                <c:pt idx="3900">
                  <c:v>-6.6124799999999979</c:v>
                </c:pt>
                <c:pt idx="3901">
                  <c:v>-6.6124799999999979</c:v>
                </c:pt>
                <c:pt idx="3902">
                  <c:v>-7.0984799999999968</c:v>
                </c:pt>
                <c:pt idx="3903">
                  <c:v>-6.4504799999999971</c:v>
                </c:pt>
                <c:pt idx="3904">
                  <c:v>-6.2884799999999981</c:v>
                </c:pt>
                <c:pt idx="3905">
                  <c:v>-6.2884799999999981</c:v>
                </c:pt>
                <c:pt idx="3906">
                  <c:v>-6.4504799999999989</c:v>
                </c:pt>
                <c:pt idx="3907">
                  <c:v>-5.6404799999999984</c:v>
                </c:pt>
                <c:pt idx="3908">
                  <c:v>-5.8024799999999992</c:v>
                </c:pt>
                <c:pt idx="3909">
                  <c:v>-5.8024799999999992</c:v>
                </c:pt>
                <c:pt idx="3910">
                  <c:v>-6.2884799999999981</c:v>
                </c:pt>
                <c:pt idx="3911">
                  <c:v>-5.6404799999999984</c:v>
                </c:pt>
                <c:pt idx="3912">
                  <c:v>-5.4784799999999976</c:v>
                </c:pt>
                <c:pt idx="3913">
                  <c:v>-5.4784799999999976</c:v>
                </c:pt>
                <c:pt idx="3914">
                  <c:v>-5.6404799999999984</c:v>
                </c:pt>
                <c:pt idx="3915">
                  <c:v>-4.8304799999999979</c:v>
                </c:pt>
                <c:pt idx="3916">
                  <c:v>-4.9924799999999987</c:v>
                </c:pt>
                <c:pt idx="3917">
                  <c:v>-4.9924799999999987</c:v>
                </c:pt>
                <c:pt idx="3918">
                  <c:v>-5.4784799999999976</c:v>
                </c:pt>
                <c:pt idx="3919">
                  <c:v>-4.8304799999999979</c:v>
                </c:pt>
                <c:pt idx="3920">
                  <c:v>-4.6684799999999971</c:v>
                </c:pt>
                <c:pt idx="3921">
                  <c:v>-4.6684799999999971</c:v>
                </c:pt>
                <c:pt idx="3922">
                  <c:v>-4.8304799999999979</c:v>
                </c:pt>
                <c:pt idx="3923">
                  <c:v>-4.0204799999999974</c:v>
                </c:pt>
                <c:pt idx="3924">
                  <c:v>-4.1824799999999982</c:v>
                </c:pt>
                <c:pt idx="3925">
                  <c:v>-4.1824799999999982</c:v>
                </c:pt>
                <c:pt idx="3926">
                  <c:v>-4.6684799999999971</c:v>
                </c:pt>
                <c:pt idx="3927">
                  <c:v>-4.0204799999999974</c:v>
                </c:pt>
                <c:pt idx="3928">
                  <c:v>-3.8584799999999966</c:v>
                </c:pt>
                <c:pt idx="3929">
                  <c:v>-3.8584799999999966</c:v>
                </c:pt>
                <c:pt idx="3930">
                  <c:v>-4.0204799999999974</c:v>
                </c:pt>
                <c:pt idx="3931">
                  <c:v>-3.2104799999999969</c:v>
                </c:pt>
                <c:pt idx="3932">
                  <c:v>-3.3724799999999977</c:v>
                </c:pt>
                <c:pt idx="3933">
                  <c:v>-3.3724799999999977</c:v>
                </c:pt>
                <c:pt idx="3934">
                  <c:v>-3.8584799999999966</c:v>
                </c:pt>
                <c:pt idx="3935">
                  <c:v>-3.2104799999999969</c:v>
                </c:pt>
                <c:pt idx="3936">
                  <c:v>-3.0484799999999961</c:v>
                </c:pt>
                <c:pt idx="3937">
                  <c:v>-3.0484799999999961</c:v>
                </c:pt>
                <c:pt idx="3938">
                  <c:v>-3.2104799999999969</c:v>
                </c:pt>
                <c:pt idx="3939">
                  <c:v>-2.4004799999999964</c:v>
                </c:pt>
                <c:pt idx="3940">
                  <c:v>-2.5624799999999972</c:v>
                </c:pt>
                <c:pt idx="3941">
                  <c:v>-2.5624799999999972</c:v>
                </c:pt>
                <c:pt idx="3942">
                  <c:v>-3.0484799999999961</c:v>
                </c:pt>
                <c:pt idx="3943">
                  <c:v>-2.4004799999999964</c:v>
                </c:pt>
                <c:pt idx="3944">
                  <c:v>-2.2384799999999974</c:v>
                </c:pt>
                <c:pt idx="3945">
                  <c:v>-2.2384799999999974</c:v>
                </c:pt>
                <c:pt idx="3946">
                  <c:v>-2.4004799999999982</c:v>
                </c:pt>
                <c:pt idx="3947">
                  <c:v>-1.5904799999999994</c:v>
                </c:pt>
                <c:pt idx="3948">
                  <c:v>-1.7524799999999985</c:v>
                </c:pt>
                <c:pt idx="3949">
                  <c:v>-1.7524799999999985</c:v>
                </c:pt>
                <c:pt idx="3950">
                  <c:v>-2.2384799999999974</c:v>
                </c:pt>
                <c:pt idx="3951">
                  <c:v>-1.5904799999999994</c:v>
                </c:pt>
                <c:pt idx="3952">
                  <c:v>-1.4284800000000004</c:v>
                </c:pt>
                <c:pt idx="3953">
                  <c:v>-1.4284800000000004</c:v>
                </c:pt>
                <c:pt idx="3954">
                  <c:v>-1.5904799999999994</c:v>
                </c:pt>
                <c:pt idx="3955">
                  <c:v>-0.78048000000000073</c:v>
                </c:pt>
                <c:pt idx="3956">
                  <c:v>-0.94247999999999976</c:v>
                </c:pt>
                <c:pt idx="3957">
                  <c:v>-0.94247999999999976</c:v>
                </c:pt>
                <c:pt idx="3958">
                  <c:v>-1.4284800000000004</c:v>
                </c:pt>
                <c:pt idx="3959">
                  <c:v>-0.78048000000000073</c:v>
                </c:pt>
                <c:pt idx="3960">
                  <c:v>-0.61847999999999814</c:v>
                </c:pt>
                <c:pt idx="3961">
                  <c:v>-0.61847999999999814</c:v>
                </c:pt>
                <c:pt idx="3962">
                  <c:v>-0.78047999999999718</c:v>
                </c:pt>
                <c:pt idx="3963">
                  <c:v>2.9520000000001545E-2</c:v>
                </c:pt>
                <c:pt idx="3964">
                  <c:v>-0.13247999999999749</c:v>
                </c:pt>
                <c:pt idx="3965">
                  <c:v>-0.13247999999999749</c:v>
                </c:pt>
                <c:pt idx="3966">
                  <c:v>-0.61847999999999814</c:v>
                </c:pt>
                <c:pt idx="3967">
                  <c:v>2.9520000000001545E-2</c:v>
                </c:pt>
                <c:pt idx="3968">
                  <c:v>0.19152000000000058</c:v>
                </c:pt>
                <c:pt idx="3969">
                  <c:v>0.19152000000000058</c:v>
                </c:pt>
                <c:pt idx="3970">
                  <c:v>2.9520000000001545E-2</c:v>
                </c:pt>
                <c:pt idx="3971">
                  <c:v>0.83952000000000027</c:v>
                </c:pt>
                <c:pt idx="3972">
                  <c:v>0.67752000000000123</c:v>
                </c:pt>
                <c:pt idx="3973">
                  <c:v>0.67752000000000123</c:v>
                </c:pt>
                <c:pt idx="3974">
                  <c:v>0.19152000000000058</c:v>
                </c:pt>
                <c:pt idx="3975">
                  <c:v>0.83952000000000027</c:v>
                </c:pt>
                <c:pt idx="3976">
                  <c:v>1.0015199999999993</c:v>
                </c:pt>
                <c:pt idx="3977">
                  <c:v>1.0015199999999993</c:v>
                </c:pt>
                <c:pt idx="3978">
                  <c:v>0.83952000000000027</c:v>
                </c:pt>
                <c:pt idx="3979">
                  <c:v>1.649519999999999</c:v>
                </c:pt>
                <c:pt idx="3980">
                  <c:v>1.48752</c:v>
                </c:pt>
                <c:pt idx="3981">
                  <c:v>1.48752</c:v>
                </c:pt>
                <c:pt idx="3982">
                  <c:v>1.0015199999999993</c:v>
                </c:pt>
                <c:pt idx="3983">
                  <c:v>1.649519999999999</c:v>
                </c:pt>
                <c:pt idx="3984">
                  <c:v>1.8115200000000016</c:v>
                </c:pt>
                <c:pt idx="3985">
                  <c:v>1.8115200000000016</c:v>
                </c:pt>
                <c:pt idx="3986">
                  <c:v>1.6495200000000025</c:v>
                </c:pt>
                <c:pt idx="3987">
                  <c:v>2.4595200000000013</c:v>
                </c:pt>
                <c:pt idx="3988">
                  <c:v>2.2975200000000022</c:v>
                </c:pt>
                <c:pt idx="3989">
                  <c:v>2.2975200000000022</c:v>
                </c:pt>
                <c:pt idx="3990">
                  <c:v>1.8115200000000016</c:v>
                </c:pt>
                <c:pt idx="3991">
                  <c:v>2.4595200000000013</c:v>
                </c:pt>
                <c:pt idx="3992">
                  <c:v>2.6215200000000038</c:v>
                </c:pt>
                <c:pt idx="3993">
                  <c:v>2.6215200000000038</c:v>
                </c:pt>
                <c:pt idx="3994">
                  <c:v>2.4595200000000048</c:v>
                </c:pt>
                <c:pt idx="3995">
                  <c:v>3.2695200000000035</c:v>
                </c:pt>
                <c:pt idx="3996">
                  <c:v>3.1075200000000045</c:v>
                </c:pt>
                <c:pt idx="3997">
                  <c:v>3.1075200000000045</c:v>
                </c:pt>
                <c:pt idx="3998">
                  <c:v>2.6215200000000038</c:v>
                </c:pt>
                <c:pt idx="3999">
                  <c:v>3.2695200000000035</c:v>
                </c:pt>
                <c:pt idx="4000">
                  <c:v>3.4315200000000026</c:v>
                </c:pt>
                <c:pt idx="4001">
                  <c:v>3.4315200000000026</c:v>
                </c:pt>
                <c:pt idx="4002">
                  <c:v>3.2695200000000035</c:v>
                </c:pt>
                <c:pt idx="4003">
                  <c:v>4.0795200000000023</c:v>
                </c:pt>
                <c:pt idx="4004">
                  <c:v>3.9175200000000032</c:v>
                </c:pt>
                <c:pt idx="4005">
                  <c:v>3.9175200000000032</c:v>
                </c:pt>
                <c:pt idx="4006">
                  <c:v>3.4315200000000026</c:v>
                </c:pt>
                <c:pt idx="4007">
                  <c:v>4.0795200000000023</c:v>
                </c:pt>
                <c:pt idx="4008">
                  <c:v>4.2415200000000013</c:v>
                </c:pt>
                <c:pt idx="4009">
                  <c:v>4.2415200000000013</c:v>
                </c:pt>
                <c:pt idx="4010">
                  <c:v>4.0795200000000023</c:v>
                </c:pt>
                <c:pt idx="4011">
                  <c:v>4.889520000000001</c:v>
                </c:pt>
                <c:pt idx="4012">
                  <c:v>4.7275200000000019</c:v>
                </c:pt>
                <c:pt idx="4013">
                  <c:v>4.7275200000000019</c:v>
                </c:pt>
                <c:pt idx="4014">
                  <c:v>4.2415200000000013</c:v>
                </c:pt>
                <c:pt idx="4015">
                  <c:v>4.889520000000001</c:v>
                </c:pt>
                <c:pt idx="4016">
                  <c:v>5.0515200000000036</c:v>
                </c:pt>
                <c:pt idx="4017">
                  <c:v>5.0515200000000036</c:v>
                </c:pt>
                <c:pt idx="4018">
                  <c:v>4.8895200000000045</c:v>
                </c:pt>
                <c:pt idx="4019">
                  <c:v>5.6995200000000033</c:v>
                </c:pt>
                <c:pt idx="4020">
                  <c:v>5.5375200000000042</c:v>
                </c:pt>
                <c:pt idx="4021">
                  <c:v>5.5375200000000042</c:v>
                </c:pt>
                <c:pt idx="4022">
                  <c:v>5.0515200000000036</c:v>
                </c:pt>
                <c:pt idx="4023">
                  <c:v>5.6995200000000033</c:v>
                </c:pt>
                <c:pt idx="4024">
                  <c:v>5.8615200000000023</c:v>
                </c:pt>
                <c:pt idx="4025">
                  <c:v>5.8615200000000023</c:v>
                </c:pt>
                <c:pt idx="4026">
                  <c:v>5.6995200000000033</c:v>
                </c:pt>
                <c:pt idx="4027">
                  <c:v>6.509520000000002</c:v>
                </c:pt>
                <c:pt idx="4028">
                  <c:v>6.3475200000000029</c:v>
                </c:pt>
                <c:pt idx="4029">
                  <c:v>6.3475200000000029</c:v>
                </c:pt>
                <c:pt idx="4030">
                  <c:v>5.8615200000000023</c:v>
                </c:pt>
                <c:pt idx="4031">
                  <c:v>6.509520000000002</c:v>
                </c:pt>
                <c:pt idx="4032">
                  <c:v>6.671520000000001</c:v>
                </c:pt>
                <c:pt idx="4033">
                  <c:v>6.671520000000001</c:v>
                </c:pt>
                <c:pt idx="4034">
                  <c:v>6.509520000000002</c:v>
                </c:pt>
                <c:pt idx="4035">
                  <c:v>7.3195200000000007</c:v>
                </c:pt>
                <c:pt idx="4036">
                  <c:v>7.1575200000000017</c:v>
                </c:pt>
                <c:pt idx="4037">
                  <c:v>7.1575200000000017</c:v>
                </c:pt>
                <c:pt idx="4038">
                  <c:v>6.671520000000001</c:v>
                </c:pt>
                <c:pt idx="4039">
                  <c:v>7.3195200000000007</c:v>
                </c:pt>
                <c:pt idx="4040">
                  <c:v>7.4815200000000033</c:v>
                </c:pt>
                <c:pt idx="4041">
                  <c:v>7.4815200000000033</c:v>
                </c:pt>
                <c:pt idx="4042">
                  <c:v>7.3195200000000042</c:v>
                </c:pt>
                <c:pt idx="4043">
                  <c:v>8.129520000000003</c:v>
                </c:pt>
                <c:pt idx="4044">
                  <c:v>7.9675200000000039</c:v>
                </c:pt>
                <c:pt idx="4045">
                  <c:v>7.9675200000000039</c:v>
                </c:pt>
                <c:pt idx="4046">
                  <c:v>7.4815200000000033</c:v>
                </c:pt>
                <c:pt idx="4047">
                  <c:v>8.129520000000003</c:v>
                </c:pt>
                <c:pt idx="4048">
                  <c:v>8.291520000000002</c:v>
                </c:pt>
                <c:pt idx="4049">
                  <c:v>8.291520000000002</c:v>
                </c:pt>
                <c:pt idx="4050">
                  <c:v>8.129520000000003</c:v>
                </c:pt>
                <c:pt idx="4051">
                  <c:v>8.9395200000000017</c:v>
                </c:pt>
                <c:pt idx="4052">
                  <c:v>8.7775200000000027</c:v>
                </c:pt>
                <c:pt idx="4053">
                  <c:v>8.7775200000000027</c:v>
                </c:pt>
                <c:pt idx="4054">
                  <c:v>8.291520000000002</c:v>
                </c:pt>
                <c:pt idx="4055">
                  <c:v>8.9395200000000017</c:v>
                </c:pt>
                <c:pt idx="4056">
                  <c:v>8.291520000000002</c:v>
                </c:pt>
                <c:pt idx="4057">
                  <c:v>8.291520000000002</c:v>
                </c:pt>
                <c:pt idx="4058">
                  <c:v>8.129520000000003</c:v>
                </c:pt>
                <c:pt idx="4059">
                  <c:v>8.9395200000000017</c:v>
                </c:pt>
                <c:pt idx="4060">
                  <c:v>8.7775200000000027</c:v>
                </c:pt>
                <c:pt idx="4061">
                  <c:v>8.7775200000000027</c:v>
                </c:pt>
                <c:pt idx="4062">
                  <c:v>8.291520000000002</c:v>
                </c:pt>
                <c:pt idx="4063">
                  <c:v>8.9395200000000017</c:v>
                </c:pt>
                <c:pt idx="4064">
                  <c:v>8.291520000000002</c:v>
                </c:pt>
                <c:pt idx="4065">
                  <c:v>8.291520000000002</c:v>
                </c:pt>
                <c:pt idx="4066">
                  <c:v>8.129520000000003</c:v>
                </c:pt>
                <c:pt idx="4067">
                  <c:v>8.9395200000000017</c:v>
                </c:pt>
                <c:pt idx="4068">
                  <c:v>8.7775200000000027</c:v>
                </c:pt>
                <c:pt idx="4069">
                  <c:v>8.7775200000000027</c:v>
                </c:pt>
                <c:pt idx="4070">
                  <c:v>8.291520000000002</c:v>
                </c:pt>
                <c:pt idx="4071">
                  <c:v>8.9395200000000017</c:v>
                </c:pt>
                <c:pt idx="4072">
                  <c:v>8.291520000000002</c:v>
                </c:pt>
                <c:pt idx="4073">
                  <c:v>8.291520000000002</c:v>
                </c:pt>
                <c:pt idx="4074">
                  <c:v>8.129520000000003</c:v>
                </c:pt>
                <c:pt idx="4075">
                  <c:v>8.9395200000000017</c:v>
                </c:pt>
                <c:pt idx="4076">
                  <c:v>8.7775200000000027</c:v>
                </c:pt>
                <c:pt idx="4077">
                  <c:v>8.7775200000000027</c:v>
                </c:pt>
                <c:pt idx="4078">
                  <c:v>8.291520000000002</c:v>
                </c:pt>
                <c:pt idx="4079">
                  <c:v>8.9395200000000017</c:v>
                </c:pt>
                <c:pt idx="4080">
                  <c:v>8.291520000000002</c:v>
                </c:pt>
                <c:pt idx="4081">
                  <c:v>8.291520000000002</c:v>
                </c:pt>
                <c:pt idx="4082">
                  <c:v>8.129520000000003</c:v>
                </c:pt>
                <c:pt idx="4083">
                  <c:v>8.9395200000000017</c:v>
                </c:pt>
                <c:pt idx="4084">
                  <c:v>8.7775200000000027</c:v>
                </c:pt>
                <c:pt idx="4085">
                  <c:v>8.7775200000000027</c:v>
                </c:pt>
                <c:pt idx="4086">
                  <c:v>8.291520000000002</c:v>
                </c:pt>
                <c:pt idx="4087">
                  <c:v>8.9395200000000017</c:v>
                </c:pt>
                <c:pt idx="4088">
                  <c:v>8.291520000000002</c:v>
                </c:pt>
                <c:pt idx="4089">
                  <c:v>8.291520000000002</c:v>
                </c:pt>
                <c:pt idx="4090">
                  <c:v>8.129520000000003</c:v>
                </c:pt>
                <c:pt idx="4091">
                  <c:v>8.9395200000000017</c:v>
                </c:pt>
                <c:pt idx="4092">
                  <c:v>8.7775200000000027</c:v>
                </c:pt>
                <c:pt idx="4093">
                  <c:v>8.7775200000000027</c:v>
                </c:pt>
                <c:pt idx="4094">
                  <c:v>8.291520000000002</c:v>
                </c:pt>
                <c:pt idx="4095">
                  <c:v>8.9395200000000017</c:v>
                </c:pt>
                <c:pt idx="4096">
                  <c:v>8.291520000000002</c:v>
                </c:pt>
                <c:pt idx="4097">
                  <c:v>8.291520000000002</c:v>
                </c:pt>
                <c:pt idx="4098">
                  <c:v>8.129520000000003</c:v>
                </c:pt>
                <c:pt idx="4099">
                  <c:v>8.9395200000000017</c:v>
                </c:pt>
                <c:pt idx="4100">
                  <c:v>8.7775200000000027</c:v>
                </c:pt>
                <c:pt idx="4101">
                  <c:v>8.7775200000000027</c:v>
                </c:pt>
                <c:pt idx="4102">
                  <c:v>8.291520000000002</c:v>
                </c:pt>
                <c:pt idx="4103">
                  <c:v>8.9395200000000017</c:v>
                </c:pt>
                <c:pt idx="4104">
                  <c:v>8.291520000000002</c:v>
                </c:pt>
                <c:pt idx="4105">
                  <c:v>8.291520000000002</c:v>
                </c:pt>
                <c:pt idx="4106">
                  <c:v>8.129520000000003</c:v>
                </c:pt>
                <c:pt idx="4107">
                  <c:v>8.9395200000000017</c:v>
                </c:pt>
                <c:pt idx="4108">
                  <c:v>8.7775200000000027</c:v>
                </c:pt>
                <c:pt idx="4109">
                  <c:v>8.7775200000000027</c:v>
                </c:pt>
                <c:pt idx="4110">
                  <c:v>8.291520000000002</c:v>
                </c:pt>
                <c:pt idx="4111">
                  <c:v>8.9395200000000017</c:v>
                </c:pt>
                <c:pt idx="4112">
                  <c:v>8.291520000000002</c:v>
                </c:pt>
                <c:pt idx="4113">
                  <c:v>8.291520000000002</c:v>
                </c:pt>
                <c:pt idx="4114">
                  <c:v>8.129520000000003</c:v>
                </c:pt>
                <c:pt idx="4115">
                  <c:v>8.9395200000000017</c:v>
                </c:pt>
                <c:pt idx="4116">
                  <c:v>8.7775200000000027</c:v>
                </c:pt>
                <c:pt idx="4117">
                  <c:v>8.7775200000000027</c:v>
                </c:pt>
                <c:pt idx="4118">
                  <c:v>8.291520000000002</c:v>
                </c:pt>
                <c:pt idx="4119">
                  <c:v>8.9395200000000017</c:v>
                </c:pt>
                <c:pt idx="4120">
                  <c:v>8.291520000000002</c:v>
                </c:pt>
                <c:pt idx="4121">
                  <c:v>8.291520000000002</c:v>
                </c:pt>
                <c:pt idx="4122">
                  <c:v>8.129520000000003</c:v>
                </c:pt>
                <c:pt idx="4123">
                  <c:v>8.9395200000000017</c:v>
                </c:pt>
                <c:pt idx="4124">
                  <c:v>8.7775200000000027</c:v>
                </c:pt>
                <c:pt idx="4125">
                  <c:v>8.7775200000000027</c:v>
                </c:pt>
                <c:pt idx="4126">
                  <c:v>8.291520000000002</c:v>
                </c:pt>
                <c:pt idx="4127">
                  <c:v>8.9395200000000017</c:v>
                </c:pt>
                <c:pt idx="4128">
                  <c:v>8.291520000000002</c:v>
                </c:pt>
                <c:pt idx="4129">
                  <c:v>8.291520000000002</c:v>
                </c:pt>
                <c:pt idx="4130">
                  <c:v>8.129520000000003</c:v>
                </c:pt>
                <c:pt idx="4131">
                  <c:v>8.9395200000000017</c:v>
                </c:pt>
                <c:pt idx="4132">
                  <c:v>8.7775200000000027</c:v>
                </c:pt>
                <c:pt idx="4133">
                  <c:v>8.7775200000000027</c:v>
                </c:pt>
                <c:pt idx="4134">
                  <c:v>8.291520000000002</c:v>
                </c:pt>
                <c:pt idx="4135">
                  <c:v>8.9395200000000017</c:v>
                </c:pt>
                <c:pt idx="4136">
                  <c:v>8.291520000000002</c:v>
                </c:pt>
                <c:pt idx="4137">
                  <c:v>8.291520000000002</c:v>
                </c:pt>
                <c:pt idx="4138">
                  <c:v>8.129520000000003</c:v>
                </c:pt>
                <c:pt idx="4139">
                  <c:v>8.9395200000000017</c:v>
                </c:pt>
                <c:pt idx="4140">
                  <c:v>8.7775200000000027</c:v>
                </c:pt>
                <c:pt idx="4141">
                  <c:v>8.7775200000000027</c:v>
                </c:pt>
                <c:pt idx="4142">
                  <c:v>8.291520000000002</c:v>
                </c:pt>
                <c:pt idx="4143">
                  <c:v>8.9395200000000017</c:v>
                </c:pt>
                <c:pt idx="4144">
                  <c:v>8.291520000000002</c:v>
                </c:pt>
                <c:pt idx="4145">
                  <c:v>8.291520000000002</c:v>
                </c:pt>
                <c:pt idx="4146">
                  <c:v>8.129520000000003</c:v>
                </c:pt>
                <c:pt idx="4147">
                  <c:v>8.9395200000000017</c:v>
                </c:pt>
                <c:pt idx="4148">
                  <c:v>8.7775200000000027</c:v>
                </c:pt>
                <c:pt idx="4149">
                  <c:v>8.7775200000000027</c:v>
                </c:pt>
                <c:pt idx="4150">
                  <c:v>8.291520000000002</c:v>
                </c:pt>
                <c:pt idx="4151">
                  <c:v>8.9395200000000017</c:v>
                </c:pt>
                <c:pt idx="4152">
                  <c:v>8.291520000000002</c:v>
                </c:pt>
                <c:pt idx="4153">
                  <c:v>8.291520000000002</c:v>
                </c:pt>
                <c:pt idx="4154">
                  <c:v>8.129520000000003</c:v>
                </c:pt>
                <c:pt idx="4155">
                  <c:v>8.9395200000000017</c:v>
                </c:pt>
                <c:pt idx="4156">
                  <c:v>8.7775200000000027</c:v>
                </c:pt>
                <c:pt idx="4157">
                  <c:v>8.7775200000000027</c:v>
                </c:pt>
                <c:pt idx="4158">
                  <c:v>8.291520000000002</c:v>
                </c:pt>
                <c:pt idx="4159">
                  <c:v>8.9395200000000017</c:v>
                </c:pt>
                <c:pt idx="4160">
                  <c:v>8.291520000000002</c:v>
                </c:pt>
                <c:pt idx="4161">
                  <c:v>8.291520000000002</c:v>
                </c:pt>
                <c:pt idx="4162">
                  <c:v>8.129520000000003</c:v>
                </c:pt>
                <c:pt idx="4163">
                  <c:v>8.9395200000000017</c:v>
                </c:pt>
                <c:pt idx="4164">
                  <c:v>8.7775200000000027</c:v>
                </c:pt>
                <c:pt idx="4165">
                  <c:v>8.7775200000000027</c:v>
                </c:pt>
                <c:pt idx="4166">
                  <c:v>8.291520000000002</c:v>
                </c:pt>
                <c:pt idx="4167">
                  <c:v>8.9395200000000017</c:v>
                </c:pt>
                <c:pt idx="4168">
                  <c:v>8.291520000000002</c:v>
                </c:pt>
                <c:pt idx="4169">
                  <c:v>8.291520000000002</c:v>
                </c:pt>
                <c:pt idx="4170">
                  <c:v>8.129520000000003</c:v>
                </c:pt>
                <c:pt idx="4171">
                  <c:v>8.9395200000000017</c:v>
                </c:pt>
                <c:pt idx="4172">
                  <c:v>8.7775200000000027</c:v>
                </c:pt>
                <c:pt idx="4173">
                  <c:v>8.7775200000000027</c:v>
                </c:pt>
                <c:pt idx="4174">
                  <c:v>8.291520000000002</c:v>
                </c:pt>
                <c:pt idx="4175">
                  <c:v>8.9395200000000017</c:v>
                </c:pt>
                <c:pt idx="4176">
                  <c:v>8.291520000000002</c:v>
                </c:pt>
                <c:pt idx="4177">
                  <c:v>8.291520000000002</c:v>
                </c:pt>
                <c:pt idx="4178">
                  <c:v>8.129520000000003</c:v>
                </c:pt>
                <c:pt idx="4179">
                  <c:v>8.9395200000000017</c:v>
                </c:pt>
                <c:pt idx="4180">
                  <c:v>8.7775200000000027</c:v>
                </c:pt>
                <c:pt idx="4181">
                  <c:v>8.7775200000000027</c:v>
                </c:pt>
                <c:pt idx="4182">
                  <c:v>8.291520000000002</c:v>
                </c:pt>
                <c:pt idx="4183">
                  <c:v>8.9395200000000017</c:v>
                </c:pt>
                <c:pt idx="4184">
                  <c:v>8.291520000000002</c:v>
                </c:pt>
                <c:pt idx="4185">
                  <c:v>8.291520000000002</c:v>
                </c:pt>
                <c:pt idx="4186">
                  <c:v>8.129520000000003</c:v>
                </c:pt>
                <c:pt idx="4187">
                  <c:v>8.9395200000000017</c:v>
                </c:pt>
                <c:pt idx="4188">
                  <c:v>8.7775200000000027</c:v>
                </c:pt>
                <c:pt idx="4189">
                  <c:v>8.7775200000000027</c:v>
                </c:pt>
                <c:pt idx="4190">
                  <c:v>8.291520000000002</c:v>
                </c:pt>
                <c:pt idx="4191">
                  <c:v>8.9395200000000017</c:v>
                </c:pt>
                <c:pt idx="4192">
                  <c:v>8.291520000000002</c:v>
                </c:pt>
                <c:pt idx="4193">
                  <c:v>8.291520000000002</c:v>
                </c:pt>
                <c:pt idx="4194">
                  <c:v>8.129520000000003</c:v>
                </c:pt>
                <c:pt idx="4195">
                  <c:v>8.9395200000000017</c:v>
                </c:pt>
                <c:pt idx="4196">
                  <c:v>8.7775200000000027</c:v>
                </c:pt>
                <c:pt idx="4197">
                  <c:v>8.7775200000000027</c:v>
                </c:pt>
                <c:pt idx="4198">
                  <c:v>8.291520000000002</c:v>
                </c:pt>
                <c:pt idx="4199">
                  <c:v>8.9395200000000017</c:v>
                </c:pt>
                <c:pt idx="4200">
                  <c:v>8.291520000000002</c:v>
                </c:pt>
                <c:pt idx="4201">
                  <c:v>8.291520000000002</c:v>
                </c:pt>
                <c:pt idx="4202">
                  <c:v>8.129520000000003</c:v>
                </c:pt>
                <c:pt idx="4203">
                  <c:v>8.9395200000000017</c:v>
                </c:pt>
                <c:pt idx="4204">
                  <c:v>8.7775200000000027</c:v>
                </c:pt>
                <c:pt idx="4205">
                  <c:v>8.7775200000000027</c:v>
                </c:pt>
                <c:pt idx="4206">
                  <c:v>8.291520000000002</c:v>
                </c:pt>
                <c:pt idx="4207">
                  <c:v>8.9395200000000017</c:v>
                </c:pt>
                <c:pt idx="4208">
                  <c:v>8.291520000000002</c:v>
                </c:pt>
                <c:pt idx="4209">
                  <c:v>8.291520000000002</c:v>
                </c:pt>
                <c:pt idx="4210">
                  <c:v>8.129520000000003</c:v>
                </c:pt>
                <c:pt idx="4211">
                  <c:v>8.9395200000000017</c:v>
                </c:pt>
                <c:pt idx="4212">
                  <c:v>8.7775200000000027</c:v>
                </c:pt>
                <c:pt idx="4213">
                  <c:v>8.7775200000000027</c:v>
                </c:pt>
                <c:pt idx="4214">
                  <c:v>8.291520000000002</c:v>
                </c:pt>
                <c:pt idx="4215">
                  <c:v>8.9395200000000017</c:v>
                </c:pt>
                <c:pt idx="4216">
                  <c:v>8.291520000000002</c:v>
                </c:pt>
                <c:pt idx="4217">
                  <c:v>8.291520000000002</c:v>
                </c:pt>
                <c:pt idx="4218">
                  <c:v>8.129520000000003</c:v>
                </c:pt>
                <c:pt idx="4219">
                  <c:v>8.9395200000000017</c:v>
                </c:pt>
                <c:pt idx="4220">
                  <c:v>8.7775200000000027</c:v>
                </c:pt>
                <c:pt idx="4221">
                  <c:v>8.7775200000000027</c:v>
                </c:pt>
                <c:pt idx="4222">
                  <c:v>8.291520000000002</c:v>
                </c:pt>
                <c:pt idx="4223">
                  <c:v>8.9395200000000017</c:v>
                </c:pt>
                <c:pt idx="4224">
                  <c:v>8.291520000000002</c:v>
                </c:pt>
                <c:pt idx="4225">
                  <c:v>8.291520000000002</c:v>
                </c:pt>
                <c:pt idx="4226">
                  <c:v>8.129520000000003</c:v>
                </c:pt>
                <c:pt idx="4227">
                  <c:v>8.9395200000000017</c:v>
                </c:pt>
                <c:pt idx="4228">
                  <c:v>8.7775200000000027</c:v>
                </c:pt>
                <c:pt idx="4229">
                  <c:v>8.7775200000000027</c:v>
                </c:pt>
                <c:pt idx="4230">
                  <c:v>8.291520000000002</c:v>
                </c:pt>
                <c:pt idx="4231">
                  <c:v>8.9395200000000017</c:v>
                </c:pt>
                <c:pt idx="4232">
                  <c:v>8.291520000000002</c:v>
                </c:pt>
                <c:pt idx="4233">
                  <c:v>8.291520000000002</c:v>
                </c:pt>
                <c:pt idx="4234">
                  <c:v>8.129520000000003</c:v>
                </c:pt>
                <c:pt idx="4235">
                  <c:v>8.9395200000000017</c:v>
                </c:pt>
                <c:pt idx="4236">
                  <c:v>8.7775200000000027</c:v>
                </c:pt>
                <c:pt idx="4237">
                  <c:v>8.7775200000000027</c:v>
                </c:pt>
                <c:pt idx="4238">
                  <c:v>8.291520000000002</c:v>
                </c:pt>
                <c:pt idx="4239">
                  <c:v>8.9395200000000017</c:v>
                </c:pt>
                <c:pt idx="4240">
                  <c:v>8.291520000000002</c:v>
                </c:pt>
                <c:pt idx="4241">
                  <c:v>8.291520000000002</c:v>
                </c:pt>
                <c:pt idx="4242">
                  <c:v>8.129520000000003</c:v>
                </c:pt>
                <c:pt idx="4243">
                  <c:v>8.9395200000000017</c:v>
                </c:pt>
                <c:pt idx="4244">
                  <c:v>8.7775200000000027</c:v>
                </c:pt>
                <c:pt idx="4245">
                  <c:v>8.7775200000000027</c:v>
                </c:pt>
                <c:pt idx="4246">
                  <c:v>8.291520000000002</c:v>
                </c:pt>
                <c:pt idx="4247">
                  <c:v>8.9395200000000017</c:v>
                </c:pt>
                <c:pt idx="4248">
                  <c:v>8.291520000000002</c:v>
                </c:pt>
                <c:pt idx="4249">
                  <c:v>8.291520000000002</c:v>
                </c:pt>
                <c:pt idx="4250">
                  <c:v>8.129520000000003</c:v>
                </c:pt>
                <c:pt idx="4251">
                  <c:v>8.9395200000000017</c:v>
                </c:pt>
                <c:pt idx="4252">
                  <c:v>8.7775200000000027</c:v>
                </c:pt>
                <c:pt idx="4253">
                  <c:v>8.7775200000000027</c:v>
                </c:pt>
                <c:pt idx="4254">
                  <c:v>8.291520000000002</c:v>
                </c:pt>
                <c:pt idx="4255">
                  <c:v>8.9395200000000017</c:v>
                </c:pt>
                <c:pt idx="4256">
                  <c:v>8.291520000000002</c:v>
                </c:pt>
                <c:pt idx="4257">
                  <c:v>8.291520000000002</c:v>
                </c:pt>
                <c:pt idx="4258">
                  <c:v>8.129520000000003</c:v>
                </c:pt>
                <c:pt idx="4259">
                  <c:v>8.9395200000000017</c:v>
                </c:pt>
                <c:pt idx="4260">
                  <c:v>8.7775200000000027</c:v>
                </c:pt>
                <c:pt idx="4261">
                  <c:v>8.7775200000000027</c:v>
                </c:pt>
                <c:pt idx="4262">
                  <c:v>8.291520000000002</c:v>
                </c:pt>
                <c:pt idx="4263">
                  <c:v>8.9395200000000017</c:v>
                </c:pt>
                <c:pt idx="4264">
                  <c:v>8.291520000000002</c:v>
                </c:pt>
                <c:pt idx="4265">
                  <c:v>8.291520000000002</c:v>
                </c:pt>
                <c:pt idx="4266">
                  <c:v>8.129520000000003</c:v>
                </c:pt>
                <c:pt idx="4267">
                  <c:v>8.9395200000000017</c:v>
                </c:pt>
                <c:pt idx="4268">
                  <c:v>8.7775200000000027</c:v>
                </c:pt>
                <c:pt idx="4269">
                  <c:v>8.7775200000000027</c:v>
                </c:pt>
                <c:pt idx="4270">
                  <c:v>8.291520000000002</c:v>
                </c:pt>
                <c:pt idx="4271">
                  <c:v>8.9395200000000017</c:v>
                </c:pt>
                <c:pt idx="4272">
                  <c:v>8.291520000000002</c:v>
                </c:pt>
                <c:pt idx="4273">
                  <c:v>8.291520000000002</c:v>
                </c:pt>
                <c:pt idx="4274">
                  <c:v>8.129520000000003</c:v>
                </c:pt>
                <c:pt idx="4275">
                  <c:v>8.9395200000000017</c:v>
                </c:pt>
                <c:pt idx="4276">
                  <c:v>8.7775200000000027</c:v>
                </c:pt>
                <c:pt idx="4277">
                  <c:v>8.7775200000000027</c:v>
                </c:pt>
                <c:pt idx="4278">
                  <c:v>8.291520000000002</c:v>
                </c:pt>
                <c:pt idx="4279">
                  <c:v>8.9395200000000017</c:v>
                </c:pt>
                <c:pt idx="4280">
                  <c:v>8.291520000000002</c:v>
                </c:pt>
                <c:pt idx="4281">
                  <c:v>8.291520000000002</c:v>
                </c:pt>
                <c:pt idx="4282">
                  <c:v>8.129520000000003</c:v>
                </c:pt>
                <c:pt idx="4283">
                  <c:v>8.9395200000000017</c:v>
                </c:pt>
                <c:pt idx="4284">
                  <c:v>8.7775200000000027</c:v>
                </c:pt>
                <c:pt idx="4285">
                  <c:v>8.7775200000000027</c:v>
                </c:pt>
                <c:pt idx="4286">
                  <c:v>8.291520000000002</c:v>
                </c:pt>
                <c:pt idx="4287">
                  <c:v>8.9395200000000017</c:v>
                </c:pt>
                <c:pt idx="4288">
                  <c:v>8.291520000000002</c:v>
                </c:pt>
                <c:pt idx="4289">
                  <c:v>8.291520000000002</c:v>
                </c:pt>
                <c:pt idx="4290">
                  <c:v>8.129520000000003</c:v>
                </c:pt>
                <c:pt idx="4291">
                  <c:v>8.9395200000000017</c:v>
                </c:pt>
                <c:pt idx="4292">
                  <c:v>8.7775200000000027</c:v>
                </c:pt>
                <c:pt idx="4293">
                  <c:v>8.7775200000000027</c:v>
                </c:pt>
                <c:pt idx="4294">
                  <c:v>8.291520000000002</c:v>
                </c:pt>
                <c:pt idx="4295">
                  <c:v>8.9395200000000017</c:v>
                </c:pt>
                <c:pt idx="4296">
                  <c:v>8.291520000000002</c:v>
                </c:pt>
                <c:pt idx="4297">
                  <c:v>8.291520000000002</c:v>
                </c:pt>
                <c:pt idx="4298">
                  <c:v>8.129520000000003</c:v>
                </c:pt>
                <c:pt idx="4299">
                  <c:v>8.9395200000000017</c:v>
                </c:pt>
                <c:pt idx="4300">
                  <c:v>8.7775200000000027</c:v>
                </c:pt>
                <c:pt idx="4301">
                  <c:v>8.7775200000000027</c:v>
                </c:pt>
                <c:pt idx="4302">
                  <c:v>8.291520000000002</c:v>
                </c:pt>
                <c:pt idx="4303">
                  <c:v>8.9395200000000017</c:v>
                </c:pt>
                <c:pt idx="4304">
                  <c:v>8.291520000000002</c:v>
                </c:pt>
                <c:pt idx="4305">
                  <c:v>8.291520000000002</c:v>
                </c:pt>
                <c:pt idx="4306">
                  <c:v>8.129520000000003</c:v>
                </c:pt>
                <c:pt idx="4307">
                  <c:v>8.9395200000000017</c:v>
                </c:pt>
                <c:pt idx="4308">
                  <c:v>8.7775200000000027</c:v>
                </c:pt>
                <c:pt idx="4309">
                  <c:v>8.7775200000000027</c:v>
                </c:pt>
                <c:pt idx="4310">
                  <c:v>8.291520000000002</c:v>
                </c:pt>
                <c:pt idx="4311">
                  <c:v>8.9395200000000017</c:v>
                </c:pt>
                <c:pt idx="4312">
                  <c:v>8.291520000000002</c:v>
                </c:pt>
                <c:pt idx="4313">
                  <c:v>8.291520000000002</c:v>
                </c:pt>
                <c:pt idx="4314">
                  <c:v>8.129520000000003</c:v>
                </c:pt>
                <c:pt idx="4315">
                  <c:v>8.9395200000000017</c:v>
                </c:pt>
                <c:pt idx="4316">
                  <c:v>8.7775200000000027</c:v>
                </c:pt>
                <c:pt idx="4317">
                  <c:v>8.7775200000000027</c:v>
                </c:pt>
                <c:pt idx="4318">
                  <c:v>8.291520000000002</c:v>
                </c:pt>
                <c:pt idx="4319">
                  <c:v>8.9395200000000017</c:v>
                </c:pt>
                <c:pt idx="4320">
                  <c:v>8.291520000000002</c:v>
                </c:pt>
                <c:pt idx="4321">
                  <c:v>8.291520000000002</c:v>
                </c:pt>
                <c:pt idx="4322">
                  <c:v>8.129520000000003</c:v>
                </c:pt>
                <c:pt idx="4323">
                  <c:v>8.9395200000000017</c:v>
                </c:pt>
                <c:pt idx="4324">
                  <c:v>8.7775200000000027</c:v>
                </c:pt>
                <c:pt idx="4325">
                  <c:v>8.7775200000000027</c:v>
                </c:pt>
                <c:pt idx="4326">
                  <c:v>8.291520000000002</c:v>
                </c:pt>
                <c:pt idx="4327">
                  <c:v>8.9395200000000017</c:v>
                </c:pt>
                <c:pt idx="4328">
                  <c:v>8.291520000000002</c:v>
                </c:pt>
                <c:pt idx="4329">
                  <c:v>8.291520000000002</c:v>
                </c:pt>
                <c:pt idx="4330">
                  <c:v>8.129520000000003</c:v>
                </c:pt>
                <c:pt idx="4331">
                  <c:v>8.9395200000000017</c:v>
                </c:pt>
                <c:pt idx="4332">
                  <c:v>8.7775200000000027</c:v>
                </c:pt>
                <c:pt idx="4333">
                  <c:v>8.7775200000000027</c:v>
                </c:pt>
                <c:pt idx="4334">
                  <c:v>8.291520000000002</c:v>
                </c:pt>
                <c:pt idx="4335">
                  <c:v>8.9395200000000017</c:v>
                </c:pt>
                <c:pt idx="4336">
                  <c:v>8.9395200000000017</c:v>
                </c:pt>
                <c:pt idx="4337">
                  <c:v>-11.310479999999998</c:v>
                </c:pt>
                <c:pt idx="4338">
                  <c:v>-11.148479999999999</c:v>
                </c:pt>
                <c:pt idx="4339">
                  <c:v>-11.148479999999999</c:v>
                </c:pt>
                <c:pt idx="4340">
                  <c:v>-11.310479999999998</c:v>
                </c:pt>
                <c:pt idx="4341">
                  <c:v>-10.500479999999998</c:v>
                </c:pt>
                <c:pt idx="4342">
                  <c:v>-10.662479999999999</c:v>
                </c:pt>
                <c:pt idx="4343">
                  <c:v>-10.662479999999999</c:v>
                </c:pt>
                <c:pt idx="4344">
                  <c:v>-11.148479999999999</c:v>
                </c:pt>
                <c:pt idx="4345">
                  <c:v>-10.500479999999998</c:v>
                </c:pt>
                <c:pt idx="4346">
                  <c:v>-10.338479999999997</c:v>
                </c:pt>
                <c:pt idx="4347">
                  <c:v>-10.338479999999997</c:v>
                </c:pt>
                <c:pt idx="4348">
                  <c:v>-10.500479999999998</c:v>
                </c:pt>
                <c:pt idx="4349">
                  <c:v>-9.6904799999999973</c:v>
                </c:pt>
                <c:pt idx="4350">
                  <c:v>-9.8524799999999981</c:v>
                </c:pt>
                <c:pt idx="4351">
                  <c:v>-9.8524799999999981</c:v>
                </c:pt>
                <c:pt idx="4352">
                  <c:v>-10.338479999999997</c:v>
                </c:pt>
                <c:pt idx="4353">
                  <c:v>-9.6904799999999973</c:v>
                </c:pt>
                <c:pt idx="4354">
                  <c:v>-9.5284799999999965</c:v>
                </c:pt>
                <c:pt idx="4355">
                  <c:v>-9.5284799999999965</c:v>
                </c:pt>
                <c:pt idx="4356">
                  <c:v>-9.6904799999999973</c:v>
                </c:pt>
                <c:pt idx="4357">
                  <c:v>-8.8804799999999968</c:v>
                </c:pt>
                <c:pt idx="4358">
                  <c:v>-9.0424799999999976</c:v>
                </c:pt>
                <c:pt idx="4359">
                  <c:v>-9.0424799999999976</c:v>
                </c:pt>
                <c:pt idx="4360">
                  <c:v>-9.5284799999999965</c:v>
                </c:pt>
                <c:pt idx="4361">
                  <c:v>-8.8804799999999968</c:v>
                </c:pt>
                <c:pt idx="4362">
                  <c:v>-8.7184799999999978</c:v>
                </c:pt>
                <c:pt idx="4363">
                  <c:v>-8.7184799999999978</c:v>
                </c:pt>
                <c:pt idx="4364">
                  <c:v>-8.8804799999999986</c:v>
                </c:pt>
                <c:pt idx="4365">
                  <c:v>-8.0704799999999981</c:v>
                </c:pt>
                <c:pt idx="4366">
                  <c:v>-8.2324799999999989</c:v>
                </c:pt>
                <c:pt idx="4367">
                  <c:v>-8.2324799999999989</c:v>
                </c:pt>
                <c:pt idx="4368">
                  <c:v>-8.7184799999999978</c:v>
                </c:pt>
                <c:pt idx="4369">
                  <c:v>-8.0704799999999981</c:v>
                </c:pt>
                <c:pt idx="4370">
                  <c:v>-7.9084799999999973</c:v>
                </c:pt>
                <c:pt idx="4371">
                  <c:v>-7.9084799999999973</c:v>
                </c:pt>
                <c:pt idx="4372">
                  <c:v>-8.0704799999999981</c:v>
                </c:pt>
                <c:pt idx="4373">
                  <c:v>-7.2604799999999976</c:v>
                </c:pt>
                <c:pt idx="4374">
                  <c:v>-7.4224799999999984</c:v>
                </c:pt>
                <c:pt idx="4375">
                  <c:v>-7.4224799999999984</c:v>
                </c:pt>
                <c:pt idx="4376">
                  <c:v>-7.9084799999999973</c:v>
                </c:pt>
                <c:pt idx="4377">
                  <c:v>-7.2604799999999976</c:v>
                </c:pt>
                <c:pt idx="4378">
                  <c:v>-7.0984799999999968</c:v>
                </c:pt>
                <c:pt idx="4379">
                  <c:v>-7.0984799999999968</c:v>
                </c:pt>
                <c:pt idx="4380">
                  <c:v>-7.2604799999999976</c:v>
                </c:pt>
                <c:pt idx="4381">
                  <c:v>-6.4504799999999971</c:v>
                </c:pt>
                <c:pt idx="4382">
                  <c:v>-6.6124799999999979</c:v>
                </c:pt>
                <c:pt idx="4383">
                  <c:v>-6.6124799999999979</c:v>
                </c:pt>
                <c:pt idx="4384">
                  <c:v>-7.0984799999999968</c:v>
                </c:pt>
                <c:pt idx="4385">
                  <c:v>-6.4504799999999971</c:v>
                </c:pt>
                <c:pt idx="4386">
                  <c:v>-6.2884799999999981</c:v>
                </c:pt>
                <c:pt idx="4387">
                  <c:v>-6.2884799999999981</c:v>
                </c:pt>
                <c:pt idx="4388">
                  <c:v>-6.4504799999999989</c:v>
                </c:pt>
                <c:pt idx="4389">
                  <c:v>-5.6404799999999984</c:v>
                </c:pt>
                <c:pt idx="4390">
                  <c:v>-5.8024799999999992</c:v>
                </c:pt>
                <c:pt idx="4391">
                  <c:v>-5.8024799999999992</c:v>
                </c:pt>
                <c:pt idx="4392">
                  <c:v>-6.2884799999999981</c:v>
                </c:pt>
                <c:pt idx="4393">
                  <c:v>-5.6404799999999984</c:v>
                </c:pt>
                <c:pt idx="4394">
                  <c:v>-5.4784799999999976</c:v>
                </c:pt>
                <c:pt idx="4395">
                  <c:v>-5.4784799999999976</c:v>
                </c:pt>
                <c:pt idx="4396">
                  <c:v>-5.6404799999999984</c:v>
                </c:pt>
                <c:pt idx="4397">
                  <c:v>-4.8304799999999979</c:v>
                </c:pt>
                <c:pt idx="4398">
                  <c:v>-4.9924799999999987</c:v>
                </c:pt>
                <c:pt idx="4399">
                  <c:v>-4.9924799999999987</c:v>
                </c:pt>
                <c:pt idx="4400">
                  <c:v>-5.4784799999999976</c:v>
                </c:pt>
                <c:pt idx="4401">
                  <c:v>-4.8304799999999979</c:v>
                </c:pt>
                <c:pt idx="4402">
                  <c:v>-4.6684799999999971</c:v>
                </c:pt>
                <c:pt idx="4403">
                  <c:v>-4.6684799999999971</c:v>
                </c:pt>
                <c:pt idx="4404">
                  <c:v>-4.8304799999999979</c:v>
                </c:pt>
                <c:pt idx="4405">
                  <c:v>-4.0204799999999974</c:v>
                </c:pt>
                <c:pt idx="4406">
                  <c:v>-4.1824799999999982</c:v>
                </c:pt>
                <c:pt idx="4407">
                  <c:v>-4.1824799999999982</c:v>
                </c:pt>
                <c:pt idx="4408">
                  <c:v>-4.6684799999999971</c:v>
                </c:pt>
                <c:pt idx="4409">
                  <c:v>-4.0204799999999974</c:v>
                </c:pt>
                <c:pt idx="4410">
                  <c:v>-3.8584799999999966</c:v>
                </c:pt>
                <c:pt idx="4411">
                  <c:v>-3.8584799999999966</c:v>
                </c:pt>
                <c:pt idx="4412">
                  <c:v>-4.0204799999999974</c:v>
                </c:pt>
                <c:pt idx="4413">
                  <c:v>-3.2104799999999969</c:v>
                </c:pt>
                <c:pt idx="4414">
                  <c:v>-3.3724799999999977</c:v>
                </c:pt>
                <c:pt idx="4415">
                  <c:v>-3.3724799999999977</c:v>
                </c:pt>
                <c:pt idx="4416">
                  <c:v>-3.8584799999999966</c:v>
                </c:pt>
                <c:pt idx="4417">
                  <c:v>-3.2104799999999969</c:v>
                </c:pt>
                <c:pt idx="4418">
                  <c:v>-3.0484799999999961</c:v>
                </c:pt>
                <c:pt idx="4419">
                  <c:v>-3.0484799999999961</c:v>
                </c:pt>
                <c:pt idx="4420">
                  <c:v>-3.2104799999999969</c:v>
                </c:pt>
                <c:pt idx="4421">
                  <c:v>-2.4004799999999964</c:v>
                </c:pt>
                <c:pt idx="4422">
                  <c:v>-2.5624799999999972</c:v>
                </c:pt>
                <c:pt idx="4423">
                  <c:v>-2.5624799999999972</c:v>
                </c:pt>
                <c:pt idx="4424">
                  <c:v>-3.0484799999999961</c:v>
                </c:pt>
                <c:pt idx="4425">
                  <c:v>-2.4004799999999964</c:v>
                </c:pt>
                <c:pt idx="4426">
                  <c:v>-2.2384799999999974</c:v>
                </c:pt>
                <c:pt idx="4427">
                  <c:v>-2.2384799999999974</c:v>
                </c:pt>
                <c:pt idx="4428">
                  <c:v>-2.4004799999999982</c:v>
                </c:pt>
                <c:pt idx="4429">
                  <c:v>-1.5904799999999994</c:v>
                </c:pt>
                <c:pt idx="4430">
                  <c:v>-1.7524799999999985</c:v>
                </c:pt>
                <c:pt idx="4431">
                  <c:v>-1.7524799999999985</c:v>
                </c:pt>
                <c:pt idx="4432">
                  <c:v>-2.2384799999999974</c:v>
                </c:pt>
                <c:pt idx="4433">
                  <c:v>-1.5904799999999994</c:v>
                </c:pt>
                <c:pt idx="4434">
                  <c:v>-1.4284800000000004</c:v>
                </c:pt>
                <c:pt idx="4435">
                  <c:v>-1.4284800000000004</c:v>
                </c:pt>
                <c:pt idx="4436">
                  <c:v>-1.5904799999999994</c:v>
                </c:pt>
                <c:pt idx="4437">
                  <c:v>-0.78048000000000073</c:v>
                </c:pt>
                <c:pt idx="4438">
                  <c:v>-0.94247999999999976</c:v>
                </c:pt>
                <c:pt idx="4439">
                  <c:v>-0.94247999999999976</c:v>
                </c:pt>
                <c:pt idx="4440">
                  <c:v>-1.4284800000000004</c:v>
                </c:pt>
                <c:pt idx="4441">
                  <c:v>-0.78048000000000073</c:v>
                </c:pt>
                <c:pt idx="4442">
                  <c:v>-0.61847999999999814</c:v>
                </c:pt>
                <c:pt idx="4443">
                  <c:v>-0.61847999999999814</c:v>
                </c:pt>
                <c:pt idx="4444">
                  <c:v>-0.78047999999999718</c:v>
                </c:pt>
                <c:pt idx="4445">
                  <c:v>2.9520000000001545E-2</c:v>
                </c:pt>
                <c:pt idx="4446">
                  <c:v>-0.13247999999999749</c:v>
                </c:pt>
                <c:pt idx="4447">
                  <c:v>-0.13247999999999749</c:v>
                </c:pt>
                <c:pt idx="4448">
                  <c:v>-0.61847999999999814</c:v>
                </c:pt>
                <c:pt idx="4449">
                  <c:v>2.9520000000001545E-2</c:v>
                </c:pt>
                <c:pt idx="4450">
                  <c:v>0.19152000000000058</c:v>
                </c:pt>
                <c:pt idx="4451">
                  <c:v>0.19152000000000058</c:v>
                </c:pt>
                <c:pt idx="4452">
                  <c:v>2.9520000000001545E-2</c:v>
                </c:pt>
                <c:pt idx="4453">
                  <c:v>0.83952000000000027</c:v>
                </c:pt>
                <c:pt idx="4454">
                  <c:v>0.67752000000000123</c:v>
                </c:pt>
                <c:pt idx="4455">
                  <c:v>0.67752000000000123</c:v>
                </c:pt>
                <c:pt idx="4456">
                  <c:v>0.19152000000000058</c:v>
                </c:pt>
                <c:pt idx="4457">
                  <c:v>0.83952000000000027</c:v>
                </c:pt>
                <c:pt idx="4458">
                  <c:v>1.0015199999999993</c:v>
                </c:pt>
                <c:pt idx="4459">
                  <c:v>1.0015199999999993</c:v>
                </c:pt>
                <c:pt idx="4460">
                  <c:v>0.83952000000000027</c:v>
                </c:pt>
                <c:pt idx="4461">
                  <c:v>1.649519999999999</c:v>
                </c:pt>
                <c:pt idx="4462">
                  <c:v>1.48752</c:v>
                </c:pt>
                <c:pt idx="4463">
                  <c:v>1.48752</c:v>
                </c:pt>
                <c:pt idx="4464">
                  <c:v>1.0015199999999993</c:v>
                </c:pt>
                <c:pt idx="4465">
                  <c:v>1.649519999999999</c:v>
                </c:pt>
                <c:pt idx="4466">
                  <c:v>1.8115200000000016</c:v>
                </c:pt>
                <c:pt idx="4467">
                  <c:v>1.8115200000000016</c:v>
                </c:pt>
                <c:pt idx="4468">
                  <c:v>1.6495200000000025</c:v>
                </c:pt>
                <c:pt idx="4469">
                  <c:v>2.4595200000000013</c:v>
                </c:pt>
                <c:pt idx="4470">
                  <c:v>2.2975200000000022</c:v>
                </c:pt>
                <c:pt idx="4471">
                  <c:v>2.2975200000000022</c:v>
                </c:pt>
                <c:pt idx="4472">
                  <c:v>1.8115200000000016</c:v>
                </c:pt>
                <c:pt idx="4473">
                  <c:v>2.4595200000000013</c:v>
                </c:pt>
                <c:pt idx="4474">
                  <c:v>2.6215200000000038</c:v>
                </c:pt>
                <c:pt idx="4475">
                  <c:v>2.6215200000000038</c:v>
                </c:pt>
                <c:pt idx="4476">
                  <c:v>2.4595200000000048</c:v>
                </c:pt>
                <c:pt idx="4477">
                  <c:v>3.2695200000000035</c:v>
                </c:pt>
                <c:pt idx="4478">
                  <c:v>3.1075200000000045</c:v>
                </c:pt>
                <c:pt idx="4479">
                  <c:v>3.1075200000000045</c:v>
                </c:pt>
                <c:pt idx="4480">
                  <c:v>2.6215200000000038</c:v>
                </c:pt>
                <c:pt idx="4481">
                  <c:v>3.2695200000000035</c:v>
                </c:pt>
                <c:pt idx="4482">
                  <c:v>3.4315200000000026</c:v>
                </c:pt>
                <c:pt idx="4483">
                  <c:v>3.4315200000000026</c:v>
                </c:pt>
                <c:pt idx="4484">
                  <c:v>3.2695200000000035</c:v>
                </c:pt>
                <c:pt idx="4485">
                  <c:v>4.0795200000000023</c:v>
                </c:pt>
                <c:pt idx="4486">
                  <c:v>3.9175200000000032</c:v>
                </c:pt>
                <c:pt idx="4487">
                  <c:v>3.9175200000000032</c:v>
                </c:pt>
                <c:pt idx="4488">
                  <c:v>3.4315200000000026</c:v>
                </c:pt>
                <c:pt idx="4489">
                  <c:v>4.0795200000000023</c:v>
                </c:pt>
                <c:pt idx="4490">
                  <c:v>4.2415200000000013</c:v>
                </c:pt>
                <c:pt idx="4491">
                  <c:v>4.2415200000000013</c:v>
                </c:pt>
                <c:pt idx="4492">
                  <c:v>4.0795200000000023</c:v>
                </c:pt>
                <c:pt idx="4493">
                  <c:v>4.889520000000001</c:v>
                </c:pt>
                <c:pt idx="4494">
                  <c:v>4.7275200000000019</c:v>
                </c:pt>
                <c:pt idx="4495">
                  <c:v>4.7275200000000019</c:v>
                </c:pt>
                <c:pt idx="4496">
                  <c:v>4.2415200000000013</c:v>
                </c:pt>
                <c:pt idx="4497">
                  <c:v>4.889520000000001</c:v>
                </c:pt>
                <c:pt idx="4498">
                  <c:v>5.0515200000000036</c:v>
                </c:pt>
                <c:pt idx="4499">
                  <c:v>5.0515200000000036</c:v>
                </c:pt>
                <c:pt idx="4500">
                  <c:v>4.8895200000000045</c:v>
                </c:pt>
                <c:pt idx="4501">
                  <c:v>5.6995200000000033</c:v>
                </c:pt>
                <c:pt idx="4502">
                  <c:v>5.5375200000000042</c:v>
                </c:pt>
                <c:pt idx="4503">
                  <c:v>5.5375200000000042</c:v>
                </c:pt>
                <c:pt idx="4504">
                  <c:v>5.0515200000000036</c:v>
                </c:pt>
                <c:pt idx="4505">
                  <c:v>5.6995200000000033</c:v>
                </c:pt>
                <c:pt idx="4506">
                  <c:v>5.8615200000000023</c:v>
                </c:pt>
                <c:pt idx="4507">
                  <c:v>5.8615200000000023</c:v>
                </c:pt>
                <c:pt idx="4508">
                  <c:v>5.6995200000000033</c:v>
                </c:pt>
                <c:pt idx="4509">
                  <c:v>6.509520000000002</c:v>
                </c:pt>
                <c:pt idx="4510">
                  <c:v>6.3475200000000029</c:v>
                </c:pt>
                <c:pt idx="4511">
                  <c:v>6.3475200000000029</c:v>
                </c:pt>
                <c:pt idx="4512">
                  <c:v>5.8615200000000023</c:v>
                </c:pt>
                <c:pt idx="4513">
                  <c:v>6.509520000000002</c:v>
                </c:pt>
                <c:pt idx="4514">
                  <c:v>6.671520000000001</c:v>
                </c:pt>
                <c:pt idx="4515">
                  <c:v>6.671520000000001</c:v>
                </c:pt>
                <c:pt idx="4516">
                  <c:v>6.509520000000002</c:v>
                </c:pt>
                <c:pt idx="4517">
                  <c:v>7.3195200000000007</c:v>
                </c:pt>
                <c:pt idx="4518">
                  <c:v>7.1575200000000017</c:v>
                </c:pt>
                <c:pt idx="4519">
                  <c:v>7.1575200000000017</c:v>
                </c:pt>
                <c:pt idx="4520">
                  <c:v>6.671520000000001</c:v>
                </c:pt>
                <c:pt idx="4521">
                  <c:v>7.3195200000000007</c:v>
                </c:pt>
                <c:pt idx="4522">
                  <c:v>7.4815200000000033</c:v>
                </c:pt>
                <c:pt idx="4523">
                  <c:v>7.4815200000000033</c:v>
                </c:pt>
                <c:pt idx="4524">
                  <c:v>7.3195200000000042</c:v>
                </c:pt>
                <c:pt idx="4525">
                  <c:v>8.129520000000003</c:v>
                </c:pt>
                <c:pt idx="4526">
                  <c:v>7.9675200000000039</c:v>
                </c:pt>
                <c:pt idx="4527">
                  <c:v>7.9675200000000039</c:v>
                </c:pt>
                <c:pt idx="4528">
                  <c:v>7.4815200000000033</c:v>
                </c:pt>
                <c:pt idx="4529">
                  <c:v>8.129520000000003</c:v>
                </c:pt>
                <c:pt idx="4530">
                  <c:v>8.291520000000002</c:v>
                </c:pt>
                <c:pt idx="4531">
                  <c:v>8.291520000000002</c:v>
                </c:pt>
                <c:pt idx="4532">
                  <c:v>8.129520000000003</c:v>
                </c:pt>
                <c:pt idx="4533">
                  <c:v>8.9395200000000017</c:v>
                </c:pt>
                <c:pt idx="4534">
                  <c:v>8.7775200000000027</c:v>
                </c:pt>
                <c:pt idx="4535">
                  <c:v>8.7775200000000027</c:v>
                </c:pt>
                <c:pt idx="4536">
                  <c:v>8.291520000000002</c:v>
                </c:pt>
                <c:pt idx="4537">
                  <c:v>8.9395200000000017</c:v>
                </c:pt>
                <c:pt idx="4538">
                  <c:v>8.291520000000002</c:v>
                </c:pt>
                <c:pt idx="4539">
                  <c:v>8.291520000000002</c:v>
                </c:pt>
                <c:pt idx="4540">
                  <c:v>8.129520000000003</c:v>
                </c:pt>
                <c:pt idx="4541">
                  <c:v>8.9395200000000017</c:v>
                </c:pt>
                <c:pt idx="4542">
                  <c:v>8.7775200000000027</c:v>
                </c:pt>
                <c:pt idx="4543">
                  <c:v>8.7775200000000027</c:v>
                </c:pt>
                <c:pt idx="4544">
                  <c:v>8.291520000000002</c:v>
                </c:pt>
                <c:pt idx="4545">
                  <c:v>8.9395200000000017</c:v>
                </c:pt>
                <c:pt idx="4546">
                  <c:v>8.291520000000002</c:v>
                </c:pt>
                <c:pt idx="4547">
                  <c:v>8.291520000000002</c:v>
                </c:pt>
                <c:pt idx="4548">
                  <c:v>8.129520000000003</c:v>
                </c:pt>
                <c:pt idx="4549">
                  <c:v>8.9395200000000017</c:v>
                </c:pt>
                <c:pt idx="4550">
                  <c:v>8.7775200000000027</c:v>
                </c:pt>
                <c:pt idx="4551">
                  <c:v>8.7775200000000027</c:v>
                </c:pt>
                <c:pt idx="4552">
                  <c:v>8.291520000000002</c:v>
                </c:pt>
                <c:pt idx="4553">
                  <c:v>8.9395200000000017</c:v>
                </c:pt>
                <c:pt idx="4554">
                  <c:v>8.291520000000002</c:v>
                </c:pt>
                <c:pt idx="4555">
                  <c:v>8.291520000000002</c:v>
                </c:pt>
                <c:pt idx="4556">
                  <c:v>8.129520000000003</c:v>
                </c:pt>
                <c:pt idx="4557">
                  <c:v>8.9395200000000017</c:v>
                </c:pt>
                <c:pt idx="4558">
                  <c:v>8.7775200000000027</c:v>
                </c:pt>
                <c:pt idx="4559">
                  <c:v>8.7775200000000027</c:v>
                </c:pt>
                <c:pt idx="4560">
                  <c:v>8.291520000000002</c:v>
                </c:pt>
                <c:pt idx="4561">
                  <c:v>8.9395200000000017</c:v>
                </c:pt>
                <c:pt idx="4562">
                  <c:v>8.291520000000002</c:v>
                </c:pt>
                <c:pt idx="4563">
                  <c:v>8.291520000000002</c:v>
                </c:pt>
                <c:pt idx="4564">
                  <c:v>8.129520000000003</c:v>
                </c:pt>
                <c:pt idx="4565">
                  <c:v>8.9395200000000017</c:v>
                </c:pt>
                <c:pt idx="4566">
                  <c:v>8.7775200000000027</c:v>
                </c:pt>
                <c:pt idx="4567">
                  <c:v>8.7775200000000027</c:v>
                </c:pt>
                <c:pt idx="4568">
                  <c:v>8.291520000000002</c:v>
                </c:pt>
                <c:pt idx="4569">
                  <c:v>8.9395200000000017</c:v>
                </c:pt>
                <c:pt idx="4570">
                  <c:v>8.291520000000002</c:v>
                </c:pt>
                <c:pt idx="4571">
                  <c:v>8.291520000000002</c:v>
                </c:pt>
                <c:pt idx="4572">
                  <c:v>8.129520000000003</c:v>
                </c:pt>
                <c:pt idx="4573">
                  <c:v>8.9395200000000017</c:v>
                </c:pt>
                <c:pt idx="4574">
                  <c:v>8.7775200000000027</c:v>
                </c:pt>
                <c:pt idx="4575">
                  <c:v>8.7775200000000027</c:v>
                </c:pt>
                <c:pt idx="4576">
                  <c:v>8.291520000000002</c:v>
                </c:pt>
                <c:pt idx="4577">
                  <c:v>8.9395200000000017</c:v>
                </c:pt>
                <c:pt idx="4578">
                  <c:v>8.291520000000002</c:v>
                </c:pt>
                <c:pt idx="4579">
                  <c:v>8.291520000000002</c:v>
                </c:pt>
                <c:pt idx="4580">
                  <c:v>8.129520000000003</c:v>
                </c:pt>
                <c:pt idx="4581">
                  <c:v>8.9395200000000017</c:v>
                </c:pt>
                <c:pt idx="4582">
                  <c:v>8.7775200000000027</c:v>
                </c:pt>
                <c:pt idx="4583">
                  <c:v>8.7775200000000027</c:v>
                </c:pt>
                <c:pt idx="4584">
                  <c:v>8.291520000000002</c:v>
                </c:pt>
                <c:pt idx="4585">
                  <c:v>8.9395200000000017</c:v>
                </c:pt>
                <c:pt idx="4586">
                  <c:v>8.291520000000002</c:v>
                </c:pt>
                <c:pt idx="4587">
                  <c:v>8.291520000000002</c:v>
                </c:pt>
                <c:pt idx="4588">
                  <c:v>8.129520000000003</c:v>
                </c:pt>
                <c:pt idx="4589">
                  <c:v>8.9395200000000017</c:v>
                </c:pt>
                <c:pt idx="4590">
                  <c:v>8.7775200000000027</c:v>
                </c:pt>
                <c:pt idx="4591">
                  <c:v>8.7775200000000027</c:v>
                </c:pt>
                <c:pt idx="4592">
                  <c:v>8.291520000000002</c:v>
                </c:pt>
                <c:pt idx="4593">
                  <c:v>8.9395200000000017</c:v>
                </c:pt>
                <c:pt idx="4594">
                  <c:v>8.291520000000002</c:v>
                </c:pt>
                <c:pt idx="4595">
                  <c:v>8.291520000000002</c:v>
                </c:pt>
                <c:pt idx="4596">
                  <c:v>8.129520000000003</c:v>
                </c:pt>
                <c:pt idx="4597">
                  <c:v>8.9395200000000017</c:v>
                </c:pt>
                <c:pt idx="4598">
                  <c:v>8.7775200000000027</c:v>
                </c:pt>
                <c:pt idx="4599">
                  <c:v>8.7775200000000027</c:v>
                </c:pt>
                <c:pt idx="4600">
                  <c:v>8.291520000000002</c:v>
                </c:pt>
                <c:pt idx="4601">
                  <c:v>8.9395200000000017</c:v>
                </c:pt>
                <c:pt idx="4602">
                  <c:v>8.291520000000002</c:v>
                </c:pt>
                <c:pt idx="4603">
                  <c:v>8.291520000000002</c:v>
                </c:pt>
                <c:pt idx="4604">
                  <c:v>8.129520000000003</c:v>
                </c:pt>
                <c:pt idx="4605">
                  <c:v>8.9395200000000017</c:v>
                </c:pt>
                <c:pt idx="4606">
                  <c:v>8.7775200000000027</c:v>
                </c:pt>
                <c:pt idx="4607">
                  <c:v>8.7775200000000027</c:v>
                </c:pt>
                <c:pt idx="4608">
                  <c:v>8.291520000000002</c:v>
                </c:pt>
                <c:pt idx="4609">
                  <c:v>8.9395200000000017</c:v>
                </c:pt>
                <c:pt idx="4610">
                  <c:v>8.291520000000002</c:v>
                </c:pt>
                <c:pt idx="4611">
                  <c:v>8.291520000000002</c:v>
                </c:pt>
                <c:pt idx="4612">
                  <c:v>8.129520000000003</c:v>
                </c:pt>
                <c:pt idx="4613">
                  <c:v>8.9395200000000017</c:v>
                </c:pt>
                <c:pt idx="4614">
                  <c:v>8.7775200000000027</c:v>
                </c:pt>
                <c:pt idx="4615">
                  <c:v>8.7775200000000027</c:v>
                </c:pt>
                <c:pt idx="4616">
                  <c:v>8.291520000000002</c:v>
                </c:pt>
                <c:pt idx="4617">
                  <c:v>8.9395200000000017</c:v>
                </c:pt>
                <c:pt idx="4618">
                  <c:v>8.291520000000002</c:v>
                </c:pt>
                <c:pt idx="4619">
                  <c:v>8.291520000000002</c:v>
                </c:pt>
                <c:pt idx="4620">
                  <c:v>8.129520000000003</c:v>
                </c:pt>
                <c:pt idx="4621">
                  <c:v>8.9395200000000017</c:v>
                </c:pt>
                <c:pt idx="4622">
                  <c:v>8.7775200000000027</c:v>
                </c:pt>
                <c:pt idx="4623">
                  <c:v>8.7775200000000027</c:v>
                </c:pt>
                <c:pt idx="4624">
                  <c:v>8.291520000000002</c:v>
                </c:pt>
                <c:pt idx="4625">
                  <c:v>8.9395200000000017</c:v>
                </c:pt>
                <c:pt idx="4626">
                  <c:v>8.291520000000002</c:v>
                </c:pt>
                <c:pt idx="4627">
                  <c:v>8.291520000000002</c:v>
                </c:pt>
                <c:pt idx="4628">
                  <c:v>8.129520000000003</c:v>
                </c:pt>
                <c:pt idx="4629">
                  <c:v>8.9395200000000017</c:v>
                </c:pt>
                <c:pt idx="4630">
                  <c:v>8.7775200000000027</c:v>
                </c:pt>
                <c:pt idx="4631">
                  <c:v>8.7775200000000027</c:v>
                </c:pt>
                <c:pt idx="4632">
                  <c:v>8.291520000000002</c:v>
                </c:pt>
                <c:pt idx="4633">
                  <c:v>8.9395200000000017</c:v>
                </c:pt>
                <c:pt idx="4634">
                  <c:v>8.291520000000002</c:v>
                </c:pt>
                <c:pt idx="4635">
                  <c:v>8.291520000000002</c:v>
                </c:pt>
                <c:pt idx="4636">
                  <c:v>8.129520000000003</c:v>
                </c:pt>
                <c:pt idx="4637">
                  <c:v>8.9395200000000017</c:v>
                </c:pt>
                <c:pt idx="4638">
                  <c:v>8.7775200000000027</c:v>
                </c:pt>
                <c:pt idx="4639">
                  <c:v>8.7775200000000027</c:v>
                </c:pt>
                <c:pt idx="4640">
                  <c:v>8.291520000000002</c:v>
                </c:pt>
                <c:pt idx="4641">
                  <c:v>8.9395200000000017</c:v>
                </c:pt>
                <c:pt idx="4642">
                  <c:v>8.291520000000002</c:v>
                </c:pt>
                <c:pt idx="4643">
                  <c:v>8.291520000000002</c:v>
                </c:pt>
                <c:pt idx="4644">
                  <c:v>8.129520000000003</c:v>
                </c:pt>
                <c:pt idx="4645">
                  <c:v>8.9395200000000017</c:v>
                </c:pt>
                <c:pt idx="4646">
                  <c:v>8.7775200000000027</c:v>
                </c:pt>
                <c:pt idx="4647">
                  <c:v>8.7775200000000027</c:v>
                </c:pt>
                <c:pt idx="4648">
                  <c:v>8.291520000000002</c:v>
                </c:pt>
                <c:pt idx="4649">
                  <c:v>8.9395200000000017</c:v>
                </c:pt>
                <c:pt idx="4650">
                  <c:v>8.291520000000002</c:v>
                </c:pt>
                <c:pt idx="4651">
                  <c:v>8.291520000000002</c:v>
                </c:pt>
                <c:pt idx="4652">
                  <c:v>8.129520000000003</c:v>
                </c:pt>
                <c:pt idx="4653">
                  <c:v>8.9395200000000017</c:v>
                </c:pt>
                <c:pt idx="4654">
                  <c:v>8.7775200000000027</c:v>
                </c:pt>
                <c:pt idx="4655">
                  <c:v>8.7775200000000027</c:v>
                </c:pt>
                <c:pt idx="4656">
                  <c:v>8.291520000000002</c:v>
                </c:pt>
                <c:pt idx="4657">
                  <c:v>8.9395200000000017</c:v>
                </c:pt>
                <c:pt idx="4658">
                  <c:v>8.291520000000002</c:v>
                </c:pt>
                <c:pt idx="4659">
                  <c:v>8.291520000000002</c:v>
                </c:pt>
                <c:pt idx="4660">
                  <c:v>8.129520000000003</c:v>
                </c:pt>
                <c:pt idx="4661">
                  <c:v>8.9395200000000017</c:v>
                </c:pt>
                <c:pt idx="4662">
                  <c:v>8.7775200000000027</c:v>
                </c:pt>
                <c:pt idx="4663">
                  <c:v>8.7775200000000027</c:v>
                </c:pt>
                <c:pt idx="4664">
                  <c:v>8.291520000000002</c:v>
                </c:pt>
                <c:pt idx="4665">
                  <c:v>8.9395200000000017</c:v>
                </c:pt>
                <c:pt idx="4666">
                  <c:v>8.291520000000002</c:v>
                </c:pt>
                <c:pt idx="4667">
                  <c:v>8.291520000000002</c:v>
                </c:pt>
                <c:pt idx="4668">
                  <c:v>8.129520000000003</c:v>
                </c:pt>
                <c:pt idx="4669">
                  <c:v>8.9395200000000017</c:v>
                </c:pt>
                <c:pt idx="4670">
                  <c:v>8.7775200000000027</c:v>
                </c:pt>
                <c:pt idx="4671">
                  <c:v>8.7775200000000027</c:v>
                </c:pt>
                <c:pt idx="4672">
                  <c:v>8.291520000000002</c:v>
                </c:pt>
                <c:pt idx="4673">
                  <c:v>8.9395200000000017</c:v>
                </c:pt>
                <c:pt idx="4674">
                  <c:v>8.291520000000002</c:v>
                </c:pt>
                <c:pt idx="4675">
                  <c:v>8.291520000000002</c:v>
                </c:pt>
                <c:pt idx="4676">
                  <c:v>8.129520000000003</c:v>
                </c:pt>
                <c:pt idx="4677">
                  <c:v>8.9395200000000017</c:v>
                </c:pt>
                <c:pt idx="4678">
                  <c:v>8.7775200000000027</c:v>
                </c:pt>
                <c:pt idx="4679">
                  <c:v>8.7775200000000027</c:v>
                </c:pt>
                <c:pt idx="4680">
                  <c:v>8.291520000000002</c:v>
                </c:pt>
                <c:pt idx="4681">
                  <c:v>8.9395200000000017</c:v>
                </c:pt>
                <c:pt idx="4682">
                  <c:v>8.291520000000002</c:v>
                </c:pt>
                <c:pt idx="4683">
                  <c:v>8.291520000000002</c:v>
                </c:pt>
                <c:pt idx="4684">
                  <c:v>8.129520000000003</c:v>
                </c:pt>
                <c:pt idx="4685">
                  <c:v>8.9395200000000017</c:v>
                </c:pt>
                <c:pt idx="4686">
                  <c:v>8.7775200000000027</c:v>
                </c:pt>
                <c:pt idx="4687">
                  <c:v>8.7775200000000027</c:v>
                </c:pt>
                <c:pt idx="4688">
                  <c:v>8.291520000000002</c:v>
                </c:pt>
                <c:pt idx="4689">
                  <c:v>8.9395200000000017</c:v>
                </c:pt>
                <c:pt idx="4690">
                  <c:v>8.291520000000002</c:v>
                </c:pt>
                <c:pt idx="4691">
                  <c:v>8.291520000000002</c:v>
                </c:pt>
                <c:pt idx="4692">
                  <c:v>8.129520000000003</c:v>
                </c:pt>
                <c:pt idx="4693">
                  <c:v>8.9395200000000017</c:v>
                </c:pt>
                <c:pt idx="4694">
                  <c:v>8.7775200000000027</c:v>
                </c:pt>
                <c:pt idx="4695">
                  <c:v>8.7775200000000027</c:v>
                </c:pt>
                <c:pt idx="4696">
                  <c:v>8.291520000000002</c:v>
                </c:pt>
                <c:pt idx="4697">
                  <c:v>8.9395200000000017</c:v>
                </c:pt>
                <c:pt idx="4698">
                  <c:v>8.291520000000002</c:v>
                </c:pt>
                <c:pt idx="4699">
                  <c:v>8.291520000000002</c:v>
                </c:pt>
                <c:pt idx="4700">
                  <c:v>8.129520000000003</c:v>
                </c:pt>
                <c:pt idx="4701">
                  <c:v>8.9395200000000017</c:v>
                </c:pt>
                <c:pt idx="4702">
                  <c:v>8.7775200000000027</c:v>
                </c:pt>
                <c:pt idx="4703">
                  <c:v>8.7775200000000027</c:v>
                </c:pt>
                <c:pt idx="4704">
                  <c:v>8.291520000000002</c:v>
                </c:pt>
                <c:pt idx="4705">
                  <c:v>8.9395200000000017</c:v>
                </c:pt>
                <c:pt idx="4706">
                  <c:v>8.291520000000002</c:v>
                </c:pt>
                <c:pt idx="4707">
                  <c:v>8.291520000000002</c:v>
                </c:pt>
                <c:pt idx="4708">
                  <c:v>8.129520000000003</c:v>
                </c:pt>
                <c:pt idx="4709">
                  <c:v>8.9395200000000017</c:v>
                </c:pt>
                <c:pt idx="4710">
                  <c:v>8.7775200000000027</c:v>
                </c:pt>
                <c:pt idx="4711">
                  <c:v>8.7775200000000027</c:v>
                </c:pt>
                <c:pt idx="4712">
                  <c:v>8.291520000000002</c:v>
                </c:pt>
                <c:pt idx="4713">
                  <c:v>8.9395200000000017</c:v>
                </c:pt>
                <c:pt idx="4714">
                  <c:v>8.291520000000002</c:v>
                </c:pt>
                <c:pt idx="4715">
                  <c:v>8.291520000000002</c:v>
                </c:pt>
                <c:pt idx="4716">
                  <c:v>8.129520000000003</c:v>
                </c:pt>
                <c:pt idx="4717">
                  <c:v>8.9395200000000017</c:v>
                </c:pt>
                <c:pt idx="4718">
                  <c:v>8.7775200000000027</c:v>
                </c:pt>
                <c:pt idx="4719">
                  <c:v>8.7775200000000027</c:v>
                </c:pt>
                <c:pt idx="4720">
                  <c:v>8.291520000000002</c:v>
                </c:pt>
                <c:pt idx="4721">
                  <c:v>8.9395200000000017</c:v>
                </c:pt>
                <c:pt idx="4722">
                  <c:v>8.291520000000002</c:v>
                </c:pt>
                <c:pt idx="4723">
                  <c:v>8.291520000000002</c:v>
                </c:pt>
                <c:pt idx="4724">
                  <c:v>8.129520000000003</c:v>
                </c:pt>
                <c:pt idx="4725">
                  <c:v>8.9395200000000017</c:v>
                </c:pt>
                <c:pt idx="4726">
                  <c:v>8.7775200000000027</c:v>
                </c:pt>
                <c:pt idx="4727">
                  <c:v>8.7775200000000027</c:v>
                </c:pt>
                <c:pt idx="4728">
                  <c:v>8.291520000000002</c:v>
                </c:pt>
                <c:pt idx="4729">
                  <c:v>8.9395200000000017</c:v>
                </c:pt>
                <c:pt idx="4730">
                  <c:v>8.291520000000002</c:v>
                </c:pt>
                <c:pt idx="4731">
                  <c:v>8.291520000000002</c:v>
                </c:pt>
                <c:pt idx="4732">
                  <c:v>8.129520000000003</c:v>
                </c:pt>
                <c:pt idx="4733">
                  <c:v>8.9395200000000017</c:v>
                </c:pt>
                <c:pt idx="4734">
                  <c:v>8.7775200000000027</c:v>
                </c:pt>
                <c:pt idx="4735">
                  <c:v>8.7775200000000027</c:v>
                </c:pt>
                <c:pt idx="4736">
                  <c:v>8.291520000000002</c:v>
                </c:pt>
                <c:pt idx="4737">
                  <c:v>8.9395200000000017</c:v>
                </c:pt>
                <c:pt idx="4738">
                  <c:v>8.291520000000002</c:v>
                </c:pt>
                <c:pt idx="4739">
                  <c:v>8.291520000000002</c:v>
                </c:pt>
                <c:pt idx="4740">
                  <c:v>8.129520000000003</c:v>
                </c:pt>
                <c:pt idx="4741">
                  <c:v>8.9395200000000017</c:v>
                </c:pt>
                <c:pt idx="4742">
                  <c:v>8.7775200000000027</c:v>
                </c:pt>
                <c:pt idx="4743">
                  <c:v>8.7775200000000027</c:v>
                </c:pt>
                <c:pt idx="4744">
                  <c:v>8.291520000000002</c:v>
                </c:pt>
                <c:pt idx="4745">
                  <c:v>8.9395200000000017</c:v>
                </c:pt>
                <c:pt idx="4746">
                  <c:v>8.291520000000002</c:v>
                </c:pt>
                <c:pt idx="4747">
                  <c:v>8.291520000000002</c:v>
                </c:pt>
                <c:pt idx="4748">
                  <c:v>8.129520000000003</c:v>
                </c:pt>
                <c:pt idx="4749">
                  <c:v>8.9395200000000017</c:v>
                </c:pt>
                <c:pt idx="4750">
                  <c:v>8.7775200000000027</c:v>
                </c:pt>
                <c:pt idx="4751">
                  <c:v>8.7775200000000027</c:v>
                </c:pt>
                <c:pt idx="4752">
                  <c:v>8.291520000000002</c:v>
                </c:pt>
                <c:pt idx="4753">
                  <c:v>8.9395200000000017</c:v>
                </c:pt>
                <c:pt idx="4754">
                  <c:v>8.291520000000002</c:v>
                </c:pt>
                <c:pt idx="4755">
                  <c:v>8.291520000000002</c:v>
                </c:pt>
                <c:pt idx="4756">
                  <c:v>8.129520000000003</c:v>
                </c:pt>
                <c:pt idx="4757">
                  <c:v>8.9395200000000017</c:v>
                </c:pt>
                <c:pt idx="4758">
                  <c:v>8.7775200000000027</c:v>
                </c:pt>
                <c:pt idx="4759">
                  <c:v>8.7775200000000027</c:v>
                </c:pt>
                <c:pt idx="4760">
                  <c:v>8.291520000000002</c:v>
                </c:pt>
                <c:pt idx="4761">
                  <c:v>8.9395200000000017</c:v>
                </c:pt>
                <c:pt idx="4762">
                  <c:v>8.291520000000002</c:v>
                </c:pt>
                <c:pt idx="4763">
                  <c:v>8.291520000000002</c:v>
                </c:pt>
                <c:pt idx="4764">
                  <c:v>8.129520000000003</c:v>
                </c:pt>
                <c:pt idx="4765">
                  <c:v>8.9395200000000017</c:v>
                </c:pt>
                <c:pt idx="4766">
                  <c:v>8.7775200000000027</c:v>
                </c:pt>
                <c:pt idx="4767">
                  <c:v>8.7775200000000027</c:v>
                </c:pt>
                <c:pt idx="4768">
                  <c:v>8.291520000000002</c:v>
                </c:pt>
                <c:pt idx="4769">
                  <c:v>8.9395200000000017</c:v>
                </c:pt>
                <c:pt idx="4770">
                  <c:v>8.291520000000002</c:v>
                </c:pt>
                <c:pt idx="4771">
                  <c:v>8.291520000000002</c:v>
                </c:pt>
                <c:pt idx="4772">
                  <c:v>8.129520000000003</c:v>
                </c:pt>
                <c:pt idx="4773">
                  <c:v>8.9395200000000017</c:v>
                </c:pt>
                <c:pt idx="4774">
                  <c:v>8.7775200000000027</c:v>
                </c:pt>
                <c:pt idx="4775">
                  <c:v>8.7775200000000027</c:v>
                </c:pt>
                <c:pt idx="4776">
                  <c:v>8.291520000000002</c:v>
                </c:pt>
                <c:pt idx="4777">
                  <c:v>8.9395200000000017</c:v>
                </c:pt>
                <c:pt idx="4778">
                  <c:v>8.291520000000002</c:v>
                </c:pt>
                <c:pt idx="4779">
                  <c:v>8.291520000000002</c:v>
                </c:pt>
                <c:pt idx="4780">
                  <c:v>8.129520000000003</c:v>
                </c:pt>
                <c:pt idx="4781">
                  <c:v>8.9395200000000017</c:v>
                </c:pt>
                <c:pt idx="4782">
                  <c:v>8.7775200000000027</c:v>
                </c:pt>
                <c:pt idx="4783">
                  <c:v>8.7775200000000027</c:v>
                </c:pt>
                <c:pt idx="4784">
                  <c:v>8.291520000000002</c:v>
                </c:pt>
                <c:pt idx="4785">
                  <c:v>8.9395200000000017</c:v>
                </c:pt>
                <c:pt idx="4786">
                  <c:v>8.291520000000002</c:v>
                </c:pt>
                <c:pt idx="4787">
                  <c:v>8.291520000000002</c:v>
                </c:pt>
                <c:pt idx="4788">
                  <c:v>8.129520000000003</c:v>
                </c:pt>
                <c:pt idx="4789">
                  <c:v>8.9395200000000017</c:v>
                </c:pt>
                <c:pt idx="4790">
                  <c:v>8.7775200000000027</c:v>
                </c:pt>
                <c:pt idx="4791">
                  <c:v>8.7775200000000027</c:v>
                </c:pt>
                <c:pt idx="4792">
                  <c:v>8.291520000000002</c:v>
                </c:pt>
                <c:pt idx="4793">
                  <c:v>8.9395200000000017</c:v>
                </c:pt>
                <c:pt idx="4794">
                  <c:v>8.291520000000002</c:v>
                </c:pt>
                <c:pt idx="4795">
                  <c:v>8.291520000000002</c:v>
                </c:pt>
                <c:pt idx="4796">
                  <c:v>8.129520000000003</c:v>
                </c:pt>
                <c:pt idx="4797">
                  <c:v>8.9395200000000017</c:v>
                </c:pt>
                <c:pt idx="4798">
                  <c:v>8.7775200000000027</c:v>
                </c:pt>
                <c:pt idx="4799">
                  <c:v>8.7775200000000027</c:v>
                </c:pt>
                <c:pt idx="4800">
                  <c:v>8.291520000000002</c:v>
                </c:pt>
                <c:pt idx="4801">
                  <c:v>8.9395200000000017</c:v>
                </c:pt>
                <c:pt idx="4802">
                  <c:v>8.291520000000002</c:v>
                </c:pt>
                <c:pt idx="4803">
                  <c:v>8.291520000000002</c:v>
                </c:pt>
                <c:pt idx="4804">
                  <c:v>8.129520000000003</c:v>
                </c:pt>
                <c:pt idx="4805">
                  <c:v>8.9395200000000017</c:v>
                </c:pt>
                <c:pt idx="4806">
                  <c:v>8.7775200000000027</c:v>
                </c:pt>
                <c:pt idx="4807">
                  <c:v>8.7775200000000027</c:v>
                </c:pt>
                <c:pt idx="4808">
                  <c:v>8.291520000000002</c:v>
                </c:pt>
                <c:pt idx="4809">
                  <c:v>8.9395200000000017</c:v>
                </c:pt>
                <c:pt idx="4810">
                  <c:v>8.291520000000002</c:v>
                </c:pt>
                <c:pt idx="4811">
                  <c:v>8.291520000000002</c:v>
                </c:pt>
                <c:pt idx="4812">
                  <c:v>8.129520000000003</c:v>
                </c:pt>
                <c:pt idx="4813">
                  <c:v>8.9395200000000017</c:v>
                </c:pt>
                <c:pt idx="4814">
                  <c:v>8.7775200000000027</c:v>
                </c:pt>
                <c:pt idx="4815">
                  <c:v>8.7775200000000027</c:v>
                </c:pt>
                <c:pt idx="4816">
                  <c:v>8.291520000000002</c:v>
                </c:pt>
                <c:pt idx="4817">
                  <c:v>8.9395200000000017</c:v>
                </c:pt>
              </c:numCache>
            </c:numRef>
          </c:xVal>
          <c:yVal>
            <c:numRef>
              <c:f>Plot_Data!$BN$5:$BN$4822</c:f>
              <c:numCache>
                <c:formatCode>0.000</c:formatCode>
                <c:ptCount val="4818"/>
                <c:pt idx="0">
                  <c:v>-1.84</c:v>
                </c:pt>
                <c:pt idx="1">
                  <c:v>-1.31</c:v>
                </c:pt>
                <c:pt idx="2">
                  <c:v>-1.31</c:v>
                </c:pt>
                <c:pt idx="3">
                  <c:v>-1.31</c:v>
                </c:pt>
                <c:pt idx="4">
                  <c:v>-1.31</c:v>
                </c:pt>
                <c:pt idx="5">
                  <c:v>-1.84</c:v>
                </c:pt>
                <c:pt idx="6">
                  <c:v>-1.84</c:v>
                </c:pt>
                <c:pt idx="7">
                  <c:v>-1.84</c:v>
                </c:pt>
                <c:pt idx="8">
                  <c:v>-1.84</c:v>
                </c:pt>
                <c:pt idx="9">
                  <c:v>-1.31</c:v>
                </c:pt>
                <c:pt idx="10">
                  <c:v>-1.31</c:v>
                </c:pt>
                <c:pt idx="11">
                  <c:v>-1.31</c:v>
                </c:pt>
                <c:pt idx="12">
                  <c:v>-1.31</c:v>
                </c:pt>
                <c:pt idx="13">
                  <c:v>-1.84</c:v>
                </c:pt>
                <c:pt idx="14">
                  <c:v>-1.84</c:v>
                </c:pt>
                <c:pt idx="15">
                  <c:v>-1.84</c:v>
                </c:pt>
                <c:pt idx="16">
                  <c:v>-1.84</c:v>
                </c:pt>
                <c:pt idx="17">
                  <c:v>-1.31</c:v>
                </c:pt>
                <c:pt idx="18">
                  <c:v>-1.31</c:v>
                </c:pt>
                <c:pt idx="19">
                  <c:v>-1.31</c:v>
                </c:pt>
                <c:pt idx="20">
                  <c:v>-1.31</c:v>
                </c:pt>
                <c:pt idx="21">
                  <c:v>-1.84</c:v>
                </c:pt>
                <c:pt idx="22">
                  <c:v>-1.84</c:v>
                </c:pt>
                <c:pt idx="23">
                  <c:v>-1.84</c:v>
                </c:pt>
                <c:pt idx="24">
                  <c:v>-1.84</c:v>
                </c:pt>
                <c:pt idx="25">
                  <c:v>-1.31</c:v>
                </c:pt>
                <c:pt idx="26">
                  <c:v>-1.31</c:v>
                </c:pt>
                <c:pt idx="27">
                  <c:v>-1.31</c:v>
                </c:pt>
                <c:pt idx="28">
                  <c:v>-1.31</c:v>
                </c:pt>
                <c:pt idx="29">
                  <c:v>-1.84</c:v>
                </c:pt>
                <c:pt idx="30">
                  <c:v>-1.84</c:v>
                </c:pt>
                <c:pt idx="31">
                  <c:v>-1.84</c:v>
                </c:pt>
                <c:pt idx="32">
                  <c:v>-1.84</c:v>
                </c:pt>
                <c:pt idx="33">
                  <c:v>-1.31</c:v>
                </c:pt>
                <c:pt idx="34">
                  <c:v>-1.31</c:v>
                </c:pt>
                <c:pt idx="35">
                  <c:v>-1.31</c:v>
                </c:pt>
                <c:pt idx="36">
                  <c:v>-1.31</c:v>
                </c:pt>
                <c:pt idx="37">
                  <c:v>-1.84</c:v>
                </c:pt>
                <c:pt idx="38">
                  <c:v>-1.84</c:v>
                </c:pt>
                <c:pt idx="39">
                  <c:v>-1.84</c:v>
                </c:pt>
                <c:pt idx="40">
                  <c:v>-1.84</c:v>
                </c:pt>
                <c:pt idx="41">
                  <c:v>-1.31</c:v>
                </c:pt>
                <c:pt idx="42">
                  <c:v>-1.31</c:v>
                </c:pt>
                <c:pt idx="43">
                  <c:v>-1.31</c:v>
                </c:pt>
                <c:pt idx="44">
                  <c:v>-1.31</c:v>
                </c:pt>
                <c:pt idx="45">
                  <c:v>-1.84</c:v>
                </c:pt>
                <c:pt idx="46">
                  <c:v>-1.84</c:v>
                </c:pt>
                <c:pt idx="47">
                  <c:v>-1.84</c:v>
                </c:pt>
                <c:pt idx="48">
                  <c:v>-1.84</c:v>
                </c:pt>
                <c:pt idx="49">
                  <c:v>-1.31</c:v>
                </c:pt>
                <c:pt idx="50">
                  <c:v>-1.31</c:v>
                </c:pt>
                <c:pt idx="51">
                  <c:v>-1.31</c:v>
                </c:pt>
                <c:pt idx="52">
                  <c:v>-1.31</c:v>
                </c:pt>
                <c:pt idx="53">
                  <c:v>-1.84</c:v>
                </c:pt>
                <c:pt idx="54">
                  <c:v>-1.84</c:v>
                </c:pt>
                <c:pt idx="55">
                  <c:v>-1.84</c:v>
                </c:pt>
                <c:pt idx="56">
                  <c:v>-1.84</c:v>
                </c:pt>
                <c:pt idx="57">
                  <c:v>-1.31</c:v>
                </c:pt>
                <c:pt idx="58">
                  <c:v>-1.31</c:v>
                </c:pt>
                <c:pt idx="59">
                  <c:v>-1.31</c:v>
                </c:pt>
                <c:pt idx="60">
                  <c:v>-1.31</c:v>
                </c:pt>
                <c:pt idx="61">
                  <c:v>-1.84</c:v>
                </c:pt>
                <c:pt idx="62">
                  <c:v>-1.84</c:v>
                </c:pt>
                <c:pt idx="63">
                  <c:v>-1.84</c:v>
                </c:pt>
                <c:pt idx="64">
                  <c:v>-1.84</c:v>
                </c:pt>
                <c:pt idx="65">
                  <c:v>-1.31</c:v>
                </c:pt>
                <c:pt idx="66">
                  <c:v>-1.31</c:v>
                </c:pt>
                <c:pt idx="67">
                  <c:v>-1.31</c:v>
                </c:pt>
                <c:pt idx="68">
                  <c:v>-1.31</c:v>
                </c:pt>
                <c:pt idx="69">
                  <c:v>-1.84</c:v>
                </c:pt>
                <c:pt idx="70">
                  <c:v>-1.84</c:v>
                </c:pt>
                <c:pt idx="71">
                  <c:v>-1.84</c:v>
                </c:pt>
                <c:pt idx="72">
                  <c:v>-1.84</c:v>
                </c:pt>
                <c:pt idx="73">
                  <c:v>-1.31</c:v>
                </c:pt>
                <c:pt idx="74">
                  <c:v>-1.31</c:v>
                </c:pt>
                <c:pt idx="75">
                  <c:v>-1.31</c:v>
                </c:pt>
                <c:pt idx="76">
                  <c:v>-1.31</c:v>
                </c:pt>
                <c:pt idx="77">
                  <c:v>-1.84</c:v>
                </c:pt>
                <c:pt idx="78">
                  <c:v>-1.84</c:v>
                </c:pt>
                <c:pt idx="79">
                  <c:v>-1.84</c:v>
                </c:pt>
                <c:pt idx="80">
                  <c:v>-1.84</c:v>
                </c:pt>
                <c:pt idx="81">
                  <c:v>-1.31</c:v>
                </c:pt>
                <c:pt idx="82">
                  <c:v>-1.31</c:v>
                </c:pt>
                <c:pt idx="83">
                  <c:v>-1.31</c:v>
                </c:pt>
                <c:pt idx="84">
                  <c:v>-1.31</c:v>
                </c:pt>
                <c:pt idx="85">
                  <c:v>-1.84</c:v>
                </c:pt>
                <c:pt idx="86">
                  <c:v>-1.84</c:v>
                </c:pt>
                <c:pt idx="87">
                  <c:v>-1.84</c:v>
                </c:pt>
                <c:pt idx="88">
                  <c:v>-1.84</c:v>
                </c:pt>
                <c:pt idx="89">
                  <c:v>-1.31</c:v>
                </c:pt>
                <c:pt idx="90">
                  <c:v>-1.31</c:v>
                </c:pt>
                <c:pt idx="91">
                  <c:v>-1.31</c:v>
                </c:pt>
                <c:pt idx="92">
                  <c:v>-1.31</c:v>
                </c:pt>
                <c:pt idx="93">
                  <c:v>-1.84</c:v>
                </c:pt>
                <c:pt idx="94">
                  <c:v>-1.84</c:v>
                </c:pt>
                <c:pt idx="95">
                  <c:v>-1.84</c:v>
                </c:pt>
                <c:pt idx="96">
                  <c:v>-1.84</c:v>
                </c:pt>
                <c:pt idx="97">
                  <c:v>-1.31</c:v>
                </c:pt>
                <c:pt idx="98">
                  <c:v>-1.31</c:v>
                </c:pt>
                <c:pt idx="99">
                  <c:v>-1.31</c:v>
                </c:pt>
                <c:pt idx="100">
                  <c:v>-1.31</c:v>
                </c:pt>
                <c:pt idx="101">
                  <c:v>-1.84</c:v>
                </c:pt>
                <c:pt idx="102">
                  <c:v>-1.84</c:v>
                </c:pt>
                <c:pt idx="103">
                  <c:v>-1.84</c:v>
                </c:pt>
                <c:pt idx="104">
                  <c:v>-1.84</c:v>
                </c:pt>
                <c:pt idx="105">
                  <c:v>-1.31</c:v>
                </c:pt>
                <c:pt idx="106">
                  <c:v>-1.31</c:v>
                </c:pt>
                <c:pt idx="107">
                  <c:v>-1.31</c:v>
                </c:pt>
                <c:pt idx="108">
                  <c:v>-1.31</c:v>
                </c:pt>
                <c:pt idx="109">
                  <c:v>-1.84</c:v>
                </c:pt>
                <c:pt idx="110">
                  <c:v>-1.84</c:v>
                </c:pt>
                <c:pt idx="111">
                  <c:v>-1.84</c:v>
                </c:pt>
                <c:pt idx="112">
                  <c:v>-1.84</c:v>
                </c:pt>
                <c:pt idx="113">
                  <c:v>-1.31</c:v>
                </c:pt>
                <c:pt idx="114">
                  <c:v>-1.31</c:v>
                </c:pt>
                <c:pt idx="115">
                  <c:v>-1.31</c:v>
                </c:pt>
                <c:pt idx="116">
                  <c:v>-1.31</c:v>
                </c:pt>
                <c:pt idx="117">
                  <c:v>-1.84</c:v>
                </c:pt>
                <c:pt idx="118">
                  <c:v>-1.84</c:v>
                </c:pt>
                <c:pt idx="119">
                  <c:v>-1.84</c:v>
                </c:pt>
                <c:pt idx="120">
                  <c:v>-1.84</c:v>
                </c:pt>
                <c:pt idx="121">
                  <c:v>-1.31</c:v>
                </c:pt>
                <c:pt idx="122">
                  <c:v>-1.31</c:v>
                </c:pt>
                <c:pt idx="123">
                  <c:v>-1.31</c:v>
                </c:pt>
                <c:pt idx="124">
                  <c:v>-1.31</c:v>
                </c:pt>
                <c:pt idx="125">
                  <c:v>-1.84</c:v>
                </c:pt>
                <c:pt idx="126">
                  <c:v>-1.84</c:v>
                </c:pt>
                <c:pt idx="127">
                  <c:v>-1.84</c:v>
                </c:pt>
                <c:pt idx="128">
                  <c:v>-1.84</c:v>
                </c:pt>
                <c:pt idx="129">
                  <c:v>-1.31</c:v>
                </c:pt>
                <c:pt idx="130">
                  <c:v>-1.31</c:v>
                </c:pt>
                <c:pt idx="131">
                  <c:v>-1.31</c:v>
                </c:pt>
                <c:pt idx="132">
                  <c:v>-1.31</c:v>
                </c:pt>
                <c:pt idx="133">
                  <c:v>-1.84</c:v>
                </c:pt>
                <c:pt idx="134">
                  <c:v>-1.84</c:v>
                </c:pt>
                <c:pt idx="135">
                  <c:v>-1.84</c:v>
                </c:pt>
                <c:pt idx="136">
                  <c:v>-1.84</c:v>
                </c:pt>
                <c:pt idx="137">
                  <c:v>-1.31</c:v>
                </c:pt>
                <c:pt idx="138">
                  <c:v>-1.31</c:v>
                </c:pt>
                <c:pt idx="139">
                  <c:v>-1.31</c:v>
                </c:pt>
                <c:pt idx="140">
                  <c:v>-1.31</c:v>
                </c:pt>
                <c:pt idx="141">
                  <c:v>-1.84</c:v>
                </c:pt>
                <c:pt idx="142">
                  <c:v>-1.84</c:v>
                </c:pt>
                <c:pt idx="143">
                  <c:v>-1.84</c:v>
                </c:pt>
                <c:pt idx="144">
                  <c:v>-1.84</c:v>
                </c:pt>
                <c:pt idx="145">
                  <c:v>-1.31</c:v>
                </c:pt>
                <c:pt idx="146">
                  <c:v>-1.31</c:v>
                </c:pt>
                <c:pt idx="147">
                  <c:v>-1.31</c:v>
                </c:pt>
                <c:pt idx="148">
                  <c:v>-1.31</c:v>
                </c:pt>
                <c:pt idx="149">
                  <c:v>-1.84</c:v>
                </c:pt>
                <c:pt idx="150">
                  <c:v>-1.84</c:v>
                </c:pt>
                <c:pt idx="151">
                  <c:v>-1.84</c:v>
                </c:pt>
                <c:pt idx="152">
                  <c:v>-1.84</c:v>
                </c:pt>
                <c:pt idx="153">
                  <c:v>-1.31</c:v>
                </c:pt>
                <c:pt idx="154">
                  <c:v>-1.31</c:v>
                </c:pt>
                <c:pt idx="155">
                  <c:v>-1.31</c:v>
                </c:pt>
                <c:pt idx="156">
                  <c:v>-1.31</c:v>
                </c:pt>
                <c:pt idx="157">
                  <c:v>-1.84</c:v>
                </c:pt>
                <c:pt idx="158">
                  <c:v>-1.84</c:v>
                </c:pt>
                <c:pt idx="159">
                  <c:v>-1.84</c:v>
                </c:pt>
                <c:pt idx="160">
                  <c:v>-1.84</c:v>
                </c:pt>
                <c:pt idx="161">
                  <c:v>-1.31</c:v>
                </c:pt>
                <c:pt idx="162">
                  <c:v>-1.31</c:v>
                </c:pt>
                <c:pt idx="163">
                  <c:v>-1.31</c:v>
                </c:pt>
                <c:pt idx="164">
                  <c:v>-1.31</c:v>
                </c:pt>
                <c:pt idx="165">
                  <c:v>-1.84</c:v>
                </c:pt>
                <c:pt idx="166">
                  <c:v>-1.84</c:v>
                </c:pt>
                <c:pt idx="167">
                  <c:v>-1.84</c:v>
                </c:pt>
                <c:pt idx="168">
                  <c:v>-1.84</c:v>
                </c:pt>
                <c:pt idx="169">
                  <c:v>-1.31</c:v>
                </c:pt>
                <c:pt idx="170">
                  <c:v>-1.31</c:v>
                </c:pt>
                <c:pt idx="171">
                  <c:v>-1.31</c:v>
                </c:pt>
                <c:pt idx="172">
                  <c:v>-1.31</c:v>
                </c:pt>
                <c:pt idx="173">
                  <c:v>-1.84</c:v>
                </c:pt>
                <c:pt idx="174">
                  <c:v>-1.84</c:v>
                </c:pt>
                <c:pt idx="175">
                  <c:v>-1.84</c:v>
                </c:pt>
                <c:pt idx="176">
                  <c:v>-1.84</c:v>
                </c:pt>
                <c:pt idx="177">
                  <c:v>-1.31</c:v>
                </c:pt>
                <c:pt idx="178">
                  <c:v>-1.31</c:v>
                </c:pt>
                <c:pt idx="179">
                  <c:v>-1.31</c:v>
                </c:pt>
                <c:pt idx="180">
                  <c:v>-1.31</c:v>
                </c:pt>
                <c:pt idx="181">
                  <c:v>-1.84</c:v>
                </c:pt>
                <c:pt idx="182">
                  <c:v>-1.84</c:v>
                </c:pt>
                <c:pt idx="183">
                  <c:v>-1.84</c:v>
                </c:pt>
                <c:pt idx="184">
                  <c:v>-1.84</c:v>
                </c:pt>
                <c:pt idx="185">
                  <c:v>-1.31</c:v>
                </c:pt>
                <c:pt idx="186">
                  <c:v>-1.31</c:v>
                </c:pt>
                <c:pt idx="187">
                  <c:v>-1.31</c:v>
                </c:pt>
                <c:pt idx="188">
                  <c:v>-1.31</c:v>
                </c:pt>
                <c:pt idx="189">
                  <c:v>-1.84</c:v>
                </c:pt>
                <c:pt idx="190">
                  <c:v>-1.84</c:v>
                </c:pt>
                <c:pt idx="191">
                  <c:v>-1.84</c:v>
                </c:pt>
                <c:pt idx="192">
                  <c:v>-1.84</c:v>
                </c:pt>
                <c:pt idx="193">
                  <c:v>-1.31</c:v>
                </c:pt>
                <c:pt idx="194">
                  <c:v>-1.31</c:v>
                </c:pt>
                <c:pt idx="195">
                  <c:v>-1.31</c:v>
                </c:pt>
                <c:pt idx="196">
                  <c:v>-1.31</c:v>
                </c:pt>
                <c:pt idx="197">
                  <c:v>-1.84</c:v>
                </c:pt>
                <c:pt idx="198">
                  <c:v>-1.84</c:v>
                </c:pt>
                <c:pt idx="199">
                  <c:v>-1.84</c:v>
                </c:pt>
                <c:pt idx="200">
                  <c:v>-1.84</c:v>
                </c:pt>
                <c:pt idx="201">
                  <c:v>-1.31</c:v>
                </c:pt>
                <c:pt idx="202">
                  <c:v>-1.31</c:v>
                </c:pt>
                <c:pt idx="203">
                  <c:v>-1.31</c:v>
                </c:pt>
                <c:pt idx="204">
                  <c:v>-1.31</c:v>
                </c:pt>
                <c:pt idx="205">
                  <c:v>-1.84</c:v>
                </c:pt>
                <c:pt idx="206">
                  <c:v>-1.84</c:v>
                </c:pt>
                <c:pt idx="207">
                  <c:v>-1.84</c:v>
                </c:pt>
                <c:pt idx="208">
                  <c:v>-1.84</c:v>
                </c:pt>
                <c:pt idx="209">
                  <c:v>-1.31</c:v>
                </c:pt>
                <c:pt idx="210">
                  <c:v>-1.31</c:v>
                </c:pt>
                <c:pt idx="211">
                  <c:v>-1.31</c:v>
                </c:pt>
                <c:pt idx="212">
                  <c:v>-1.31</c:v>
                </c:pt>
                <c:pt idx="213">
                  <c:v>-1.84</c:v>
                </c:pt>
                <c:pt idx="214">
                  <c:v>-1.84</c:v>
                </c:pt>
                <c:pt idx="215">
                  <c:v>-1.84</c:v>
                </c:pt>
                <c:pt idx="216">
                  <c:v>-1.84</c:v>
                </c:pt>
                <c:pt idx="217">
                  <c:v>-1.31</c:v>
                </c:pt>
                <c:pt idx="218">
                  <c:v>-1.31</c:v>
                </c:pt>
                <c:pt idx="219">
                  <c:v>-1.31</c:v>
                </c:pt>
                <c:pt idx="220">
                  <c:v>-1.31</c:v>
                </c:pt>
                <c:pt idx="221">
                  <c:v>-1.84</c:v>
                </c:pt>
                <c:pt idx="222">
                  <c:v>-1.84</c:v>
                </c:pt>
                <c:pt idx="223">
                  <c:v>-1.84</c:v>
                </c:pt>
                <c:pt idx="224">
                  <c:v>-1.84</c:v>
                </c:pt>
                <c:pt idx="225">
                  <c:v>-1.31</c:v>
                </c:pt>
                <c:pt idx="226">
                  <c:v>-1.31</c:v>
                </c:pt>
                <c:pt idx="227">
                  <c:v>-1.31</c:v>
                </c:pt>
                <c:pt idx="228">
                  <c:v>-1.31</c:v>
                </c:pt>
                <c:pt idx="229">
                  <c:v>-1.84</c:v>
                </c:pt>
                <c:pt idx="230">
                  <c:v>-1.84</c:v>
                </c:pt>
                <c:pt idx="231">
                  <c:v>-1.84</c:v>
                </c:pt>
                <c:pt idx="232">
                  <c:v>-1.84</c:v>
                </c:pt>
                <c:pt idx="233">
                  <c:v>-1.31</c:v>
                </c:pt>
                <c:pt idx="234">
                  <c:v>-1.31</c:v>
                </c:pt>
                <c:pt idx="235">
                  <c:v>-1.31</c:v>
                </c:pt>
                <c:pt idx="236">
                  <c:v>-1.31</c:v>
                </c:pt>
                <c:pt idx="237">
                  <c:v>-1.84</c:v>
                </c:pt>
                <c:pt idx="238">
                  <c:v>-1.84</c:v>
                </c:pt>
                <c:pt idx="239">
                  <c:v>-1.84</c:v>
                </c:pt>
                <c:pt idx="240">
                  <c:v>-1.84</c:v>
                </c:pt>
                <c:pt idx="241">
                  <c:v>-1.31</c:v>
                </c:pt>
                <c:pt idx="242">
                  <c:v>-1.31</c:v>
                </c:pt>
                <c:pt idx="243">
                  <c:v>-1.31</c:v>
                </c:pt>
                <c:pt idx="244">
                  <c:v>-1.31</c:v>
                </c:pt>
                <c:pt idx="245">
                  <c:v>-1.84</c:v>
                </c:pt>
                <c:pt idx="246">
                  <c:v>-1.84</c:v>
                </c:pt>
                <c:pt idx="247">
                  <c:v>-1.84</c:v>
                </c:pt>
                <c:pt idx="248">
                  <c:v>-1.84</c:v>
                </c:pt>
                <c:pt idx="249">
                  <c:v>-1.31</c:v>
                </c:pt>
                <c:pt idx="250">
                  <c:v>-1.31</c:v>
                </c:pt>
                <c:pt idx="251">
                  <c:v>-1.31</c:v>
                </c:pt>
                <c:pt idx="252">
                  <c:v>-1.31</c:v>
                </c:pt>
                <c:pt idx="253">
                  <c:v>-1.84</c:v>
                </c:pt>
                <c:pt idx="254">
                  <c:v>-1.84</c:v>
                </c:pt>
                <c:pt idx="255">
                  <c:v>-1.84</c:v>
                </c:pt>
                <c:pt idx="256">
                  <c:v>-1.84</c:v>
                </c:pt>
                <c:pt idx="257">
                  <c:v>-1.31</c:v>
                </c:pt>
                <c:pt idx="258">
                  <c:v>-1.31</c:v>
                </c:pt>
                <c:pt idx="259">
                  <c:v>-1.31</c:v>
                </c:pt>
                <c:pt idx="260">
                  <c:v>-1.31</c:v>
                </c:pt>
                <c:pt idx="261">
                  <c:v>-1.84</c:v>
                </c:pt>
                <c:pt idx="262">
                  <c:v>-1.84</c:v>
                </c:pt>
                <c:pt idx="263">
                  <c:v>-1.84</c:v>
                </c:pt>
                <c:pt idx="264">
                  <c:v>-1.84</c:v>
                </c:pt>
                <c:pt idx="265">
                  <c:v>-1.31</c:v>
                </c:pt>
                <c:pt idx="266">
                  <c:v>-1.31</c:v>
                </c:pt>
                <c:pt idx="267">
                  <c:v>-1.31</c:v>
                </c:pt>
                <c:pt idx="268">
                  <c:v>-1.31</c:v>
                </c:pt>
                <c:pt idx="269">
                  <c:v>-1.84</c:v>
                </c:pt>
                <c:pt idx="270">
                  <c:v>-1.84</c:v>
                </c:pt>
                <c:pt idx="271">
                  <c:v>-1.84</c:v>
                </c:pt>
                <c:pt idx="272">
                  <c:v>-1.84</c:v>
                </c:pt>
                <c:pt idx="273">
                  <c:v>-1.31</c:v>
                </c:pt>
                <c:pt idx="274">
                  <c:v>-1.31</c:v>
                </c:pt>
                <c:pt idx="275">
                  <c:v>-1.31</c:v>
                </c:pt>
                <c:pt idx="276">
                  <c:v>-1.31</c:v>
                </c:pt>
                <c:pt idx="277">
                  <c:v>-1.84</c:v>
                </c:pt>
                <c:pt idx="278">
                  <c:v>-1.84</c:v>
                </c:pt>
                <c:pt idx="279">
                  <c:v>-1.84</c:v>
                </c:pt>
                <c:pt idx="280">
                  <c:v>-1.84</c:v>
                </c:pt>
                <c:pt idx="281">
                  <c:v>-1.31</c:v>
                </c:pt>
                <c:pt idx="282">
                  <c:v>-1.31</c:v>
                </c:pt>
                <c:pt idx="283">
                  <c:v>-1.31</c:v>
                </c:pt>
                <c:pt idx="284">
                  <c:v>-1.31</c:v>
                </c:pt>
                <c:pt idx="285">
                  <c:v>-1.84</c:v>
                </c:pt>
                <c:pt idx="286">
                  <c:v>-1.84</c:v>
                </c:pt>
                <c:pt idx="287">
                  <c:v>-1.84</c:v>
                </c:pt>
                <c:pt idx="288">
                  <c:v>-1.84</c:v>
                </c:pt>
                <c:pt idx="289">
                  <c:v>-1.31</c:v>
                </c:pt>
                <c:pt idx="290">
                  <c:v>-1.31</c:v>
                </c:pt>
                <c:pt idx="291">
                  <c:v>-1.31</c:v>
                </c:pt>
                <c:pt idx="292">
                  <c:v>-1.31</c:v>
                </c:pt>
                <c:pt idx="293">
                  <c:v>-1.84</c:v>
                </c:pt>
                <c:pt idx="294">
                  <c:v>-1.84</c:v>
                </c:pt>
                <c:pt idx="295">
                  <c:v>-1.84</c:v>
                </c:pt>
                <c:pt idx="296">
                  <c:v>-1.84</c:v>
                </c:pt>
                <c:pt idx="297">
                  <c:v>-1.31</c:v>
                </c:pt>
                <c:pt idx="298">
                  <c:v>-1.31</c:v>
                </c:pt>
                <c:pt idx="299">
                  <c:v>-1.31</c:v>
                </c:pt>
                <c:pt idx="300">
                  <c:v>-1.31</c:v>
                </c:pt>
                <c:pt idx="301">
                  <c:v>-1.84</c:v>
                </c:pt>
                <c:pt idx="302">
                  <c:v>-1.84</c:v>
                </c:pt>
                <c:pt idx="303">
                  <c:v>-1.84</c:v>
                </c:pt>
                <c:pt idx="304">
                  <c:v>-1.84</c:v>
                </c:pt>
                <c:pt idx="305">
                  <c:v>-1.31</c:v>
                </c:pt>
                <c:pt idx="306">
                  <c:v>-1.31</c:v>
                </c:pt>
                <c:pt idx="307">
                  <c:v>-1.31</c:v>
                </c:pt>
                <c:pt idx="308">
                  <c:v>-1.31</c:v>
                </c:pt>
                <c:pt idx="309">
                  <c:v>-1.84</c:v>
                </c:pt>
                <c:pt idx="310">
                  <c:v>-1.84</c:v>
                </c:pt>
                <c:pt idx="311">
                  <c:v>-1.84</c:v>
                </c:pt>
                <c:pt idx="312">
                  <c:v>-1.84</c:v>
                </c:pt>
                <c:pt idx="313">
                  <c:v>-1.31</c:v>
                </c:pt>
                <c:pt idx="314">
                  <c:v>-1.31</c:v>
                </c:pt>
                <c:pt idx="315">
                  <c:v>-1.31</c:v>
                </c:pt>
                <c:pt idx="316">
                  <c:v>-1.31</c:v>
                </c:pt>
                <c:pt idx="317">
                  <c:v>-1.84</c:v>
                </c:pt>
                <c:pt idx="318">
                  <c:v>-1.84</c:v>
                </c:pt>
                <c:pt idx="319">
                  <c:v>-1.84</c:v>
                </c:pt>
                <c:pt idx="320">
                  <c:v>-1.84</c:v>
                </c:pt>
                <c:pt idx="321">
                  <c:v>-1.31</c:v>
                </c:pt>
                <c:pt idx="322">
                  <c:v>-1.31</c:v>
                </c:pt>
                <c:pt idx="323">
                  <c:v>-1.31</c:v>
                </c:pt>
                <c:pt idx="324">
                  <c:v>-1.31</c:v>
                </c:pt>
                <c:pt idx="325">
                  <c:v>-1.84</c:v>
                </c:pt>
                <c:pt idx="326">
                  <c:v>-1.84</c:v>
                </c:pt>
                <c:pt idx="327">
                  <c:v>-1.84</c:v>
                </c:pt>
                <c:pt idx="328">
                  <c:v>-1.84</c:v>
                </c:pt>
                <c:pt idx="329">
                  <c:v>-1.31</c:v>
                </c:pt>
                <c:pt idx="330">
                  <c:v>-1.31</c:v>
                </c:pt>
                <c:pt idx="331">
                  <c:v>-1.31</c:v>
                </c:pt>
                <c:pt idx="332">
                  <c:v>-1.31</c:v>
                </c:pt>
                <c:pt idx="333">
                  <c:v>-1.84</c:v>
                </c:pt>
                <c:pt idx="334">
                  <c:v>-1.84</c:v>
                </c:pt>
                <c:pt idx="335">
                  <c:v>-1.84</c:v>
                </c:pt>
                <c:pt idx="336">
                  <c:v>-1.84</c:v>
                </c:pt>
                <c:pt idx="337">
                  <c:v>-1.31</c:v>
                </c:pt>
                <c:pt idx="338">
                  <c:v>-1.31</c:v>
                </c:pt>
                <c:pt idx="339">
                  <c:v>-1.31</c:v>
                </c:pt>
                <c:pt idx="340">
                  <c:v>-1.31</c:v>
                </c:pt>
                <c:pt idx="341">
                  <c:v>-1.84</c:v>
                </c:pt>
                <c:pt idx="342">
                  <c:v>-1.84</c:v>
                </c:pt>
                <c:pt idx="343">
                  <c:v>-1.84</c:v>
                </c:pt>
                <c:pt idx="344">
                  <c:v>-1.84</c:v>
                </c:pt>
                <c:pt idx="345">
                  <c:v>-1.31</c:v>
                </c:pt>
                <c:pt idx="346">
                  <c:v>-1.31</c:v>
                </c:pt>
                <c:pt idx="347">
                  <c:v>-1.31</c:v>
                </c:pt>
                <c:pt idx="348">
                  <c:v>-1.31</c:v>
                </c:pt>
                <c:pt idx="349">
                  <c:v>-1.84</c:v>
                </c:pt>
                <c:pt idx="350">
                  <c:v>-1.84</c:v>
                </c:pt>
                <c:pt idx="351">
                  <c:v>-1.84</c:v>
                </c:pt>
                <c:pt idx="352">
                  <c:v>-1.84</c:v>
                </c:pt>
                <c:pt idx="353">
                  <c:v>-1.31</c:v>
                </c:pt>
                <c:pt idx="354">
                  <c:v>-1.31</c:v>
                </c:pt>
                <c:pt idx="355">
                  <c:v>-1.31</c:v>
                </c:pt>
                <c:pt idx="356">
                  <c:v>-1.31</c:v>
                </c:pt>
                <c:pt idx="357">
                  <c:v>-1.84</c:v>
                </c:pt>
                <c:pt idx="358">
                  <c:v>-1.84</c:v>
                </c:pt>
                <c:pt idx="359">
                  <c:v>-1.84</c:v>
                </c:pt>
                <c:pt idx="360">
                  <c:v>-1.84</c:v>
                </c:pt>
                <c:pt idx="361">
                  <c:v>-1.31</c:v>
                </c:pt>
                <c:pt idx="362">
                  <c:v>-1.31</c:v>
                </c:pt>
                <c:pt idx="363">
                  <c:v>-1.31</c:v>
                </c:pt>
                <c:pt idx="364">
                  <c:v>-1.31</c:v>
                </c:pt>
                <c:pt idx="365">
                  <c:v>-1.84</c:v>
                </c:pt>
                <c:pt idx="366">
                  <c:v>-1.84</c:v>
                </c:pt>
                <c:pt idx="367">
                  <c:v>-1.84</c:v>
                </c:pt>
                <c:pt idx="368">
                  <c:v>-1.84</c:v>
                </c:pt>
                <c:pt idx="369">
                  <c:v>-1.31</c:v>
                </c:pt>
                <c:pt idx="370">
                  <c:v>-1.31</c:v>
                </c:pt>
                <c:pt idx="371">
                  <c:v>-1.31</c:v>
                </c:pt>
                <c:pt idx="372">
                  <c:v>-1.31</c:v>
                </c:pt>
                <c:pt idx="373">
                  <c:v>-1.84</c:v>
                </c:pt>
                <c:pt idx="374">
                  <c:v>-1.84</c:v>
                </c:pt>
                <c:pt idx="375">
                  <c:v>-1.84</c:v>
                </c:pt>
                <c:pt idx="376">
                  <c:v>-1.84</c:v>
                </c:pt>
                <c:pt idx="377">
                  <c:v>-1.31</c:v>
                </c:pt>
                <c:pt idx="378">
                  <c:v>-1.31</c:v>
                </c:pt>
                <c:pt idx="379">
                  <c:v>-1.31</c:v>
                </c:pt>
                <c:pt idx="380">
                  <c:v>-1.31</c:v>
                </c:pt>
                <c:pt idx="381">
                  <c:v>-1.84</c:v>
                </c:pt>
                <c:pt idx="382">
                  <c:v>-1.84</c:v>
                </c:pt>
                <c:pt idx="383">
                  <c:v>-1.84</c:v>
                </c:pt>
                <c:pt idx="384">
                  <c:v>-1.84</c:v>
                </c:pt>
                <c:pt idx="385">
                  <c:v>-1.31</c:v>
                </c:pt>
                <c:pt idx="386">
                  <c:v>-1.31</c:v>
                </c:pt>
                <c:pt idx="387">
                  <c:v>-1.31</c:v>
                </c:pt>
                <c:pt idx="388">
                  <c:v>-1.31</c:v>
                </c:pt>
                <c:pt idx="389">
                  <c:v>-1.84</c:v>
                </c:pt>
                <c:pt idx="390">
                  <c:v>-1.84</c:v>
                </c:pt>
                <c:pt idx="391">
                  <c:v>-1.84</c:v>
                </c:pt>
                <c:pt idx="392">
                  <c:v>-1.84</c:v>
                </c:pt>
                <c:pt idx="393">
                  <c:v>-1.31</c:v>
                </c:pt>
                <c:pt idx="394">
                  <c:v>-1.31</c:v>
                </c:pt>
                <c:pt idx="395">
                  <c:v>-1.31</c:v>
                </c:pt>
                <c:pt idx="396">
                  <c:v>-1.31</c:v>
                </c:pt>
                <c:pt idx="397">
                  <c:v>-1.84</c:v>
                </c:pt>
                <c:pt idx="398">
                  <c:v>-1.84</c:v>
                </c:pt>
                <c:pt idx="399">
                  <c:v>-1.84</c:v>
                </c:pt>
                <c:pt idx="400">
                  <c:v>-1.84</c:v>
                </c:pt>
                <c:pt idx="401">
                  <c:v>-1.31</c:v>
                </c:pt>
                <c:pt idx="402">
                  <c:v>-1.31</c:v>
                </c:pt>
                <c:pt idx="403">
                  <c:v>-1.31</c:v>
                </c:pt>
                <c:pt idx="404">
                  <c:v>-1.31</c:v>
                </c:pt>
                <c:pt idx="405">
                  <c:v>-1.84</c:v>
                </c:pt>
                <c:pt idx="406">
                  <c:v>-1.84</c:v>
                </c:pt>
                <c:pt idx="407">
                  <c:v>-1.84</c:v>
                </c:pt>
                <c:pt idx="408">
                  <c:v>-1.84</c:v>
                </c:pt>
                <c:pt idx="409">
                  <c:v>-1.31</c:v>
                </c:pt>
                <c:pt idx="410">
                  <c:v>-1.31</c:v>
                </c:pt>
                <c:pt idx="411">
                  <c:v>-1.31</c:v>
                </c:pt>
                <c:pt idx="412">
                  <c:v>-1.31</c:v>
                </c:pt>
                <c:pt idx="413">
                  <c:v>-1.84</c:v>
                </c:pt>
                <c:pt idx="414">
                  <c:v>-1.84</c:v>
                </c:pt>
                <c:pt idx="415">
                  <c:v>-1.84</c:v>
                </c:pt>
                <c:pt idx="416">
                  <c:v>-1.84</c:v>
                </c:pt>
                <c:pt idx="417">
                  <c:v>-1.31</c:v>
                </c:pt>
                <c:pt idx="418">
                  <c:v>-1.31</c:v>
                </c:pt>
                <c:pt idx="419">
                  <c:v>-1.31</c:v>
                </c:pt>
                <c:pt idx="420">
                  <c:v>-1.31</c:v>
                </c:pt>
                <c:pt idx="421">
                  <c:v>-1.84</c:v>
                </c:pt>
                <c:pt idx="422">
                  <c:v>-1.84</c:v>
                </c:pt>
                <c:pt idx="423">
                  <c:v>-1.84</c:v>
                </c:pt>
                <c:pt idx="424">
                  <c:v>-1.84</c:v>
                </c:pt>
                <c:pt idx="425">
                  <c:v>-1.31</c:v>
                </c:pt>
                <c:pt idx="426">
                  <c:v>-1.31</c:v>
                </c:pt>
                <c:pt idx="427">
                  <c:v>-1.31</c:v>
                </c:pt>
                <c:pt idx="428">
                  <c:v>-1.31</c:v>
                </c:pt>
                <c:pt idx="429">
                  <c:v>-1.84</c:v>
                </c:pt>
                <c:pt idx="430">
                  <c:v>-1.84</c:v>
                </c:pt>
                <c:pt idx="431">
                  <c:v>-1.84</c:v>
                </c:pt>
                <c:pt idx="432">
                  <c:v>-1.84</c:v>
                </c:pt>
                <c:pt idx="433">
                  <c:v>-1.31</c:v>
                </c:pt>
                <c:pt idx="434">
                  <c:v>-1.31</c:v>
                </c:pt>
                <c:pt idx="435">
                  <c:v>-1.31</c:v>
                </c:pt>
                <c:pt idx="436">
                  <c:v>-1.31</c:v>
                </c:pt>
                <c:pt idx="437">
                  <c:v>-1.84</c:v>
                </c:pt>
                <c:pt idx="438">
                  <c:v>-1.84</c:v>
                </c:pt>
                <c:pt idx="439">
                  <c:v>-1.84</c:v>
                </c:pt>
                <c:pt idx="440">
                  <c:v>-1.84</c:v>
                </c:pt>
                <c:pt idx="441">
                  <c:v>-1.31</c:v>
                </c:pt>
                <c:pt idx="442">
                  <c:v>-1.31</c:v>
                </c:pt>
                <c:pt idx="443">
                  <c:v>-1.31</c:v>
                </c:pt>
                <c:pt idx="444">
                  <c:v>-1.31</c:v>
                </c:pt>
                <c:pt idx="445">
                  <c:v>-1.84</c:v>
                </c:pt>
                <c:pt idx="446">
                  <c:v>-1.84</c:v>
                </c:pt>
                <c:pt idx="447">
                  <c:v>-1.84</c:v>
                </c:pt>
                <c:pt idx="448">
                  <c:v>-1.84</c:v>
                </c:pt>
                <c:pt idx="449">
                  <c:v>-1.31</c:v>
                </c:pt>
                <c:pt idx="450">
                  <c:v>-1.31</c:v>
                </c:pt>
                <c:pt idx="451">
                  <c:v>-1.31</c:v>
                </c:pt>
                <c:pt idx="452">
                  <c:v>-1.31</c:v>
                </c:pt>
                <c:pt idx="453">
                  <c:v>-1.84</c:v>
                </c:pt>
                <c:pt idx="454">
                  <c:v>-1.84</c:v>
                </c:pt>
                <c:pt idx="455">
                  <c:v>-1.84</c:v>
                </c:pt>
                <c:pt idx="456">
                  <c:v>-1.84</c:v>
                </c:pt>
                <c:pt idx="457">
                  <c:v>-1.31</c:v>
                </c:pt>
                <c:pt idx="458">
                  <c:v>-1.31</c:v>
                </c:pt>
                <c:pt idx="459">
                  <c:v>-1.31</c:v>
                </c:pt>
                <c:pt idx="460">
                  <c:v>-1.31</c:v>
                </c:pt>
                <c:pt idx="461">
                  <c:v>-1.84</c:v>
                </c:pt>
                <c:pt idx="462">
                  <c:v>-1.84</c:v>
                </c:pt>
                <c:pt idx="463">
                  <c:v>-1.84</c:v>
                </c:pt>
                <c:pt idx="464">
                  <c:v>-1.84</c:v>
                </c:pt>
                <c:pt idx="465">
                  <c:v>-1.31</c:v>
                </c:pt>
                <c:pt idx="466">
                  <c:v>-1.31</c:v>
                </c:pt>
                <c:pt idx="467">
                  <c:v>-1.31</c:v>
                </c:pt>
                <c:pt idx="468">
                  <c:v>-1.31</c:v>
                </c:pt>
                <c:pt idx="469">
                  <c:v>-1.84</c:v>
                </c:pt>
                <c:pt idx="470">
                  <c:v>-1.84</c:v>
                </c:pt>
                <c:pt idx="471">
                  <c:v>-1.84</c:v>
                </c:pt>
                <c:pt idx="472">
                  <c:v>-1.84</c:v>
                </c:pt>
                <c:pt idx="473">
                  <c:v>-1.31</c:v>
                </c:pt>
                <c:pt idx="474">
                  <c:v>-1.31</c:v>
                </c:pt>
                <c:pt idx="475">
                  <c:v>-1.31</c:v>
                </c:pt>
                <c:pt idx="476">
                  <c:v>-1.31</c:v>
                </c:pt>
                <c:pt idx="477">
                  <c:v>-1.84</c:v>
                </c:pt>
                <c:pt idx="478">
                  <c:v>-1.84</c:v>
                </c:pt>
                <c:pt idx="479">
                  <c:v>-1.84</c:v>
                </c:pt>
                <c:pt idx="480">
                  <c:v>-1.31</c:v>
                </c:pt>
                <c:pt idx="481">
                  <c:v>-1.31</c:v>
                </c:pt>
                <c:pt idx="482">
                  <c:v>-1.31</c:v>
                </c:pt>
                <c:pt idx="483">
                  <c:v>-0.78</c:v>
                </c:pt>
                <c:pt idx="484">
                  <c:v>-0.78</c:v>
                </c:pt>
                <c:pt idx="485">
                  <c:v>-0.78</c:v>
                </c:pt>
                <c:pt idx="486">
                  <c:v>-0.78</c:v>
                </c:pt>
                <c:pt idx="487">
                  <c:v>-1.31</c:v>
                </c:pt>
                <c:pt idx="488">
                  <c:v>-1.31</c:v>
                </c:pt>
                <c:pt idx="489">
                  <c:v>-1.31</c:v>
                </c:pt>
                <c:pt idx="490">
                  <c:v>-1.31</c:v>
                </c:pt>
                <c:pt idx="491">
                  <c:v>-0.78</c:v>
                </c:pt>
                <c:pt idx="492">
                  <c:v>-0.78</c:v>
                </c:pt>
                <c:pt idx="493">
                  <c:v>-0.78</c:v>
                </c:pt>
                <c:pt idx="494">
                  <c:v>-0.78</c:v>
                </c:pt>
                <c:pt idx="495">
                  <c:v>-1.31</c:v>
                </c:pt>
                <c:pt idx="496">
                  <c:v>-1.31</c:v>
                </c:pt>
                <c:pt idx="497">
                  <c:v>-1.31</c:v>
                </c:pt>
                <c:pt idx="498">
                  <c:v>-1.31</c:v>
                </c:pt>
                <c:pt idx="499">
                  <c:v>-0.78</c:v>
                </c:pt>
                <c:pt idx="500">
                  <c:v>-0.78</c:v>
                </c:pt>
                <c:pt idx="501">
                  <c:v>-0.78</c:v>
                </c:pt>
                <c:pt idx="502">
                  <c:v>-0.78</c:v>
                </c:pt>
                <c:pt idx="503">
                  <c:v>-1.31</c:v>
                </c:pt>
                <c:pt idx="504">
                  <c:v>-1.31</c:v>
                </c:pt>
                <c:pt idx="505">
                  <c:v>-1.31</c:v>
                </c:pt>
                <c:pt idx="506">
                  <c:v>-1.31</c:v>
                </c:pt>
                <c:pt idx="507">
                  <c:v>-0.78</c:v>
                </c:pt>
                <c:pt idx="508">
                  <c:v>-0.78</c:v>
                </c:pt>
                <c:pt idx="509">
                  <c:v>-0.78</c:v>
                </c:pt>
                <c:pt idx="510">
                  <c:v>-0.78</c:v>
                </c:pt>
                <c:pt idx="511">
                  <c:v>-1.31</c:v>
                </c:pt>
                <c:pt idx="512">
                  <c:v>-1.31</c:v>
                </c:pt>
                <c:pt idx="513">
                  <c:v>-1.31</c:v>
                </c:pt>
                <c:pt idx="514">
                  <c:v>-1.31</c:v>
                </c:pt>
                <c:pt idx="515">
                  <c:v>-0.78</c:v>
                </c:pt>
                <c:pt idx="516">
                  <c:v>-0.78</c:v>
                </c:pt>
                <c:pt idx="517">
                  <c:v>-0.78</c:v>
                </c:pt>
                <c:pt idx="518">
                  <c:v>-0.78</c:v>
                </c:pt>
                <c:pt idx="519">
                  <c:v>-1.31</c:v>
                </c:pt>
                <c:pt idx="520">
                  <c:v>-1.31</c:v>
                </c:pt>
                <c:pt idx="521">
                  <c:v>-1.31</c:v>
                </c:pt>
                <c:pt idx="522">
                  <c:v>-1.31</c:v>
                </c:pt>
                <c:pt idx="523">
                  <c:v>-0.78</c:v>
                </c:pt>
                <c:pt idx="524">
                  <c:v>-0.78</c:v>
                </c:pt>
                <c:pt idx="525">
                  <c:v>-0.78</c:v>
                </c:pt>
                <c:pt idx="526">
                  <c:v>-0.78</c:v>
                </c:pt>
                <c:pt idx="527">
                  <c:v>-1.31</c:v>
                </c:pt>
                <c:pt idx="528">
                  <c:v>-1.31</c:v>
                </c:pt>
                <c:pt idx="529">
                  <c:v>-1.31</c:v>
                </c:pt>
                <c:pt idx="530">
                  <c:v>-1.31</c:v>
                </c:pt>
                <c:pt idx="531">
                  <c:v>-0.78</c:v>
                </c:pt>
                <c:pt idx="532">
                  <c:v>-0.78</c:v>
                </c:pt>
                <c:pt idx="533">
                  <c:v>-0.78</c:v>
                </c:pt>
                <c:pt idx="534">
                  <c:v>-0.78</c:v>
                </c:pt>
                <c:pt idx="535">
                  <c:v>-1.31</c:v>
                </c:pt>
                <c:pt idx="536">
                  <c:v>-1.31</c:v>
                </c:pt>
                <c:pt idx="537">
                  <c:v>-1.31</c:v>
                </c:pt>
                <c:pt idx="538">
                  <c:v>-1.31</c:v>
                </c:pt>
                <c:pt idx="539">
                  <c:v>-0.78</c:v>
                </c:pt>
                <c:pt idx="540">
                  <c:v>-0.78</c:v>
                </c:pt>
                <c:pt idx="541">
                  <c:v>-0.78</c:v>
                </c:pt>
                <c:pt idx="542">
                  <c:v>-0.78</c:v>
                </c:pt>
                <c:pt idx="543">
                  <c:v>-1.31</c:v>
                </c:pt>
                <c:pt idx="544">
                  <c:v>-1.31</c:v>
                </c:pt>
                <c:pt idx="545">
                  <c:v>-1.31</c:v>
                </c:pt>
                <c:pt idx="546">
                  <c:v>-1.31</c:v>
                </c:pt>
                <c:pt idx="547">
                  <c:v>-0.78</c:v>
                </c:pt>
                <c:pt idx="548">
                  <c:v>-0.78</c:v>
                </c:pt>
                <c:pt idx="549">
                  <c:v>-0.78</c:v>
                </c:pt>
                <c:pt idx="550">
                  <c:v>-0.78</c:v>
                </c:pt>
                <c:pt idx="551">
                  <c:v>-1.31</c:v>
                </c:pt>
                <c:pt idx="552">
                  <c:v>-1.31</c:v>
                </c:pt>
                <c:pt idx="553">
                  <c:v>-1.31</c:v>
                </c:pt>
                <c:pt idx="554">
                  <c:v>-1.31</c:v>
                </c:pt>
                <c:pt idx="555">
                  <c:v>-0.78</c:v>
                </c:pt>
                <c:pt idx="556">
                  <c:v>-0.78</c:v>
                </c:pt>
                <c:pt idx="557">
                  <c:v>-0.78</c:v>
                </c:pt>
                <c:pt idx="558">
                  <c:v>-0.78</c:v>
                </c:pt>
                <c:pt idx="559">
                  <c:v>-1.31</c:v>
                </c:pt>
                <c:pt idx="560">
                  <c:v>-1.31</c:v>
                </c:pt>
                <c:pt idx="561">
                  <c:v>-1.31</c:v>
                </c:pt>
                <c:pt idx="562">
                  <c:v>-1.31</c:v>
                </c:pt>
                <c:pt idx="563">
                  <c:v>-0.78</c:v>
                </c:pt>
                <c:pt idx="564">
                  <c:v>-0.78</c:v>
                </c:pt>
                <c:pt idx="565">
                  <c:v>-0.78</c:v>
                </c:pt>
                <c:pt idx="566">
                  <c:v>-0.78</c:v>
                </c:pt>
                <c:pt idx="567">
                  <c:v>-1.31</c:v>
                </c:pt>
                <c:pt idx="568">
                  <c:v>-1.31</c:v>
                </c:pt>
                <c:pt idx="569">
                  <c:v>-1.31</c:v>
                </c:pt>
                <c:pt idx="570">
                  <c:v>-1.31</c:v>
                </c:pt>
                <c:pt idx="571">
                  <c:v>-0.78</c:v>
                </c:pt>
                <c:pt idx="572">
                  <c:v>-0.78</c:v>
                </c:pt>
                <c:pt idx="573">
                  <c:v>-0.78</c:v>
                </c:pt>
                <c:pt idx="574">
                  <c:v>-0.78</c:v>
                </c:pt>
                <c:pt idx="575">
                  <c:v>-1.31</c:v>
                </c:pt>
                <c:pt idx="576">
                  <c:v>-1.31</c:v>
                </c:pt>
                <c:pt idx="577">
                  <c:v>-1.31</c:v>
                </c:pt>
                <c:pt idx="578">
                  <c:v>-1.31</c:v>
                </c:pt>
                <c:pt idx="579">
                  <c:v>-0.78</c:v>
                </c:pt>
                <c:pt idx="580">
                  <c:v>-0.78</c:v>
                </c:pt>
                <c:pt idx="581">
                  <c:v>-0.78</c:v>
                </c:pt>
                <c:pt idx="582">
                  <c:v>-0.78</c:v>
                </c:pt>
                <c:pt idx="583">
                  <c:v>-1.31</c:v>
                </c:pt>
                <c:pt idx="584">
                  <c:v>-1.31</c:v>
                </c:pt>
                <c:pt idx="585">
                  <c:v>-1.31</c:v>
                </c:pt>
                <c:pt idx="586">
                  <c:v>-1.31</c:v>
                </c:pt>
                <c:pt idx="587">
                  <c:v>-0.78</c:v>
                </c:pt>
                <c:pt idx="588">
                  <c:v>-0.78</c:v>
                </c:pt>
                <c:pt idx="589">
                  <c:v>-0.78</c:v>
                </c:pt>
                <c:pt idx="590">
                  <c:v>-0.78</c:v>
                </c:pt>
                <c:pt idx="591">
                  <c:v>-1.31</c:v>
                </c:pt>
                <c:pt idx="592">
                  <c:v>-1.31</c:v>
                </c:pt>
                <c:pt idx="593">
                  <c:v>-1.31</c:v>
                </c:pt>
                <c:pt idx="594">
                  <c:v>-1.31</c:v>
                </c:pt>
                <c:pt idx="595">
                  <c:v>-0.78</c:v>
                </c:pt>
                <c:pt idx="596">
                  <c:v>-0.78</c:v>
                </c:pt>
                <c:pt idx="597">
                  <c:v>-0.78</c:v>
                </c:pt>
                <c:pt idx="598">
                  <c:v>-0.78</c:v>
                </c:pt>
                <c:pt idx="599">
                  <c:v>-1.31</c:v>
                </c:pt>
                <c:pt idx="600">
                  <c:v>-1.31</c:v>
                </c:pt>
                <c:pt idx="601">
                  <c:v>-1.31</c:v>
                </c:pt>
                <c:pt idx="602">
                  <c:v>-1.31</c:v>
                </c:pt>
                <c:pt idx="603">
                  <c:v>-0.78</c:v>
                </c:pt>
                <c:pt idx="604">
                  <c:v>-0.78</c:v>
                </c:pt>
                <c:pt idx="605">
                  <c:v>-0.78</c:v>
                </c:pt>
                <c:pt idx="606">
                  <c:v>-0.78</c:v>
                </c:pt>
                <c:pt idx="607">
                  <c:v>-1.31</c:v>
                </c:pt>
                <c:pt idx="608">
                  <c:v>-1.31</c:v>
                </c:pt>
                <c:pt idx="609">
                  <c:v>-1.31</c:v>
                </c:pt>
                <c:pt idx="610">
                  <c:v>-1.31</c:v>
                </c:pt>
                <c:pt idx="611">
                  <c:v>-0.78</c:v>
                </c:pt>
                <c:pt idx="612">
                  <c:v>-0.78</c:v>
                </c:pt>
                <c:pt idx="613">
                  <c:v>-0.78</c:v>
                </c:pt>
                <c:pt idx="614">
                  <c:v>-0.78</c:v>
                </c:pt>
                <c:pt idx="615">
                  <c:v>-1.31</c:v>
                </c:pt>
                <c:pt idx="616">
                  <c:v>-1.31</c:v>
                </c:pt>
                <c:pt idx="617">
                  <c:v>-1.31</c:v>
                </c:pt>
                <c:pt idx="618">
                  <c:v>-1.31</c:v>
                </c:pt>
                <c:pt idx="619">
                  <c:v>-0.78</c:v>
                </c:pt>
                <c:pt idx="620">
                  <c:v>-0.78</c:v>
                </c:pt>
                <c:pt idx="621">
                  <c:v>-0.78</c:v>
                </c:pt>
                <c:pt idx="622">
                  <c:v>-0.78</c:v>
                </c:pt>
                <c:pt idx="623">
                  <c:v>-1.31</c:v>
                </c:pt>
                <c:pt idx="624">
                  <c:v>-1.31</c:v>
                </c:pt>
                <c:pt idx="625">
                  <c:v>-1.31</c:v>
                </c:pt>
                <c:pt idx="626">
                  <c:v>-1.31</c:v>
                </c:pt>
                <c:pt idx="627">
                  <c:v>-0.78</c:v>
                </c:pt>
                <c:pt idx="628">
                  <c:v>-0.78</c:v>
                </c:pt>
                <c:pt idx="629">
                  <c:v>-0.78</c:v>
                </c:pt>
                <c:pt idx="630">
                  <c:v>-0.78</c:v>
                </c:pt>
                <c:pt idx="631">
                  <c:v>-1.31</c:v>
                </c:pt>
                <c:pt idx="632">
                  <c:v>-1.31</c:v>
                </c:pt>
                <c:pt idx="633">
                  <c:v>-1.31</c:v>
                </c:pt>
                <c:pt idx="634">
                  <c:v>-1.31</c:v>
                </c:pt>
                <c:pt idx="635">
                  <c:v>-0.78</c:v>
                </c:pt>
                <c:pt idx="636">
                  <c:v>-0.78</c:v>
                </c:pt>
                <c:pt idx="637">
                  <c:v>-0.78</c:v>
                </c:pt>
                <c:pt idx="638">
                  <c:v>-0.78</c:v>
                </c:pt>
                <c:pt idx="639">
                  <c:v>-1.31</c:v>
                </c:pt>
                <c:pt idx="640">
                  <c:v>-1.31</c:v>
                </c:pt>
                <c:pt idx="641">
                  <c:v>-1.31</c:v>
                </c:pt>
                <c:pt idx="642">
                  <c:v>-1.31</c:v>
                </c:pt>
                <c:pt idx="643">
                  <c:v>-0.78</c:v>
                </c:pt>
                <c:pt idx="644">
                  <c:v>-0.78</c:v>
                </c:pt>
                <c:pt idx="645">
                  <c:v>-0.78</c:v>
                </c:pt>
                <c:pt idx="646">
                  <c:v>-0.78</c:v>
                </c:pt>
                <c:pt idx="647">
                  <c:v>-1.31</c:v>
                </c:pt>
                <c:pt idx="648">
                  <c:v>-1.31</c:v>
                </c:pt>
                <c:pt idx="649">
                  <c:v>-1.31</c:v>
                </c:pt>
                <c:pt idx="650">
                  <c:v>-1.31</c:v>
                </c:pt>
                <c:pt idx="651">
                  <c:v>-0.78</c:v>
                </c:pt>
                <c:pt idx="652">
                  <c:v>-0.78</c:v>
                </c:pt>
                <c:pt idx="653">
                  <c:v>-0.78</c:v>
                </c:pt>
                <c:pt idx="654">
                  <c:v>-0.78</c:v>
                </c:pt>
                <c:pt idx="655">
                  <c:v>-1.31</c:v>
                </c:pt>
                <c:pt idx="656">
                  <c:v>-1.31</c:v>
                </c:pt>
                <c:pt idx="657">
                  <c:v>-1.31</c:v>
                </c:pt>
                <c:pt idx="658">
                  <c:v>-1.31</c:v>
                </c:pt>
                <c:pt idx="659">
                  <c:v>-0.78</c:v>
                </c:pt>
                <c:pt idx="660">
                  <c:v>-0.78</c:v>
                </c:pt>
                <c:pt idx="661">
                  <c:v>-0.78</c:v>
                </c:pt>
                <c:pt idx="662">
                  <c:v>-0.78</c:v>
                </c:pt>
                <c:pt idx="663">
                  <c:v>-1.31</c:v>
                </c:pt>
                <c:pt idx="664">
                  <c:v>-1.31</c:v>
                </c:pt>
                <c:pt idx="665">
                  <c:v>-1.31</c:v>
                </c:pt>
                <c:pt idx="666">
                  <c:v>-1.31</c:v>
                </c:pt>
                <c:pt idx="667">
                  <c:v>-0.78</c:v>
                </c:pt>
                <c:pt idx="668">
                  <c:v>-0.78</c:v>
                </c:pt>
                <c:pt idx="669">
                  <c:v>-0.78</c:v>
                </c:pt>
                <c:pt idx="670">
                  <c:v>-0.78</c:v>
                </c:pt>
                <c:pt idx="671">
                  <c:v>-1.31</c:v>
                </c:pt>
                <c:pt idx="672">
                  <c:v>-1.31</c:v>
                </c:pt>
                <c:pt idx="673">
                  <c:v>-1.31</c:v>
                </c:pt>
                <c:pt idx="674">
                  <c:v>-1.31</c:v>
                </c:pt>
                <c:pt idx="675">
                  <c:v>-0.78</c:v>
                </c:pt>
                <c:pt idx="676">
                  <c:v>-0.78</c:v>
                </c:pt>
                <c:pt idx="677">
                  <c:v>-0.78</c:v>
                </c:pt>
                <c:pt idx="678">
                  <c:v>-0.78</c:v>
                </c:pt>
                <c:pt idx="679">
                  <c:v>-1.31</c:v>
                </c:pt>
                <c:pt idx="680">
                  <c:v>-1.31</c:v>
                </c:pt>
                <c:pt idx="681">
                  <c:v>-1.31</c:v>
                </c:pt>
                <c:pt idx="682">
                  <c:v>-1.31</c:v>
                </c:pt>
                <c:pt idx="683">
                  <c:v>-0.78</c:v>
                </c:pt>
                <c:pt idx="684">
                  <c:v>-0.78</c:v>
                </c:pt>
                <c:pt idx="685">
                  <c:v>-0.78</c:v>
                </c:pt>
                <c:pt idx="686">
                  <c:v>-0.78</c:v>
                </c:pt>
                <c:pt idx="687">
                  <c:v>-1.31</c:v>
                </c:pt>
                <c:pt idx="688">
                  <c:v>-1.31</c:v>
                </c:pt>
                <c:pt idx="689">
                  <c:v>-1.31</c:v>
                </c:pt>
                <c:pt idx="690">
                  <c:v>-1.31</c:v>
                </c:pt>
                <c:pt idx="691">
                  <c:v>-0.78</c:v>
                </c:pt>
                <c:pt idx="692">
                  <c:v>-0.78</c:v>
                </c:pt>
                <c:pt idx="693">
                  <c:v>-0.78</c:v>
                </c:pt>
                <c:pt idx="694">
                  <c:v>-0.78</c:v>
                </c:pt>
                <c:pt idx="695">
                  <c:v>-1.31</c:v>
                </c:pt>
                <c:pt idx="696">
                  <c:v>-1.31</c:v>
                </c:pt>
                <c:pt idx="697">
                  <c:v>-1.31</c:v>
                </c:pt>
                <c:pt idx="698">
                  <c:v>-1.31</c:v>
                </c:pt>
                <c:pt idx="699">
                  <c:v>-0.78</c:v>
                </c:pt>
                <c:pt idx="700">
                  <c:v>-0.78</c:v>
                </c:pt>
                <c:pt idx="701">
                  <c:v>-0.78</c:v>
                </c:pt>
                <c:pt idx="702">
                  <c:v>-0.78</c:v>
                </c:pt>
                <c:pt idx="703">
                  <c:v>-1.31</c:v>
                </c:pt>
                <c:pt idx="704">
                  <c:v>-1.31</c:v>
                </c:pt>
                <c:pt idx="705">
                  <c:v>-1.31</c:v>
                </c:pt>
                <c:pt idx="706">
                  <c:v>-1.31</c:v>
                </c:pt>
                <c:pt idx="707">
                  <c:v>-0.78</c:v>
                </c:pt>
                <c:pt idx="708">
                  <c:v>-0.78</c:v>
                </c:pt>
                <c:pt idx="709">
                  <c:v>-0.78</c:v>
                </c:pt>
                <c:pt idx="710">
                  <c:v>-0.78</c:v>
                </c:pt>
                <c:pt idx="711">
                  <c:v>-1.31</c:v>
                </c:pt>
                <c:pt idx="712">
                  <c:v>-1.31</c:v>
                </c:pt>
                <c:pt idx="713">
                  <c:v>-1.31</c:v>
                </c:pt>
                <c:pt idx="714">
                  <c:v>-1.31</c:v>
                </c:pt>
                <c:pt idx="715">
                  <c:v>-0.78</c:v>
                </c:pt>
                <c:pt idx="716">
                  <c:v>-0.78</c:v>
                </c:pt>
                <c:pt idx="717">
                  <c:v>-0.78</c:v>
                </c:pt>
                <c:pt idx="718">
                  <c:v>-0.78</c:v>
                </c:pt>
                <c:pt idx="719">
                  <c:v>-1.31</c:v>
                </c:pt>
                <c:pt idx="720">
                  <c:v>-1.31</c:v>
                </c:pt>
                <c:pt idx="721">
                  <c:v>-1.31</c:v>
                </c:pt>
                <c:pt idx="722">
                  <c:v>-1.31</c:v>
                </c:pt>
                <c:pt idx="723">
                  <c:v>-0.78</c:v>
                </c:pt>
                <c:pt idx="724">
                  <c:v>-0.78</c:v>
                </c:pt>
                <c:pt idx="725">
                  <c:v>-0.78</c:v>
                </c:pt>
                <c:pt idx="726">
                  <c:v>-0.78</c:v>
                </c:pt>
                <c:pt idx="727">
                  <c:v>-1.31</c:v>
                </c:pt>
                <c:pt idx="728">
                  <c:v>-1.31</c:v>
                </c:pt>
                <c:pt idx="729">
                  <c:v>-1.31</c:v>
                </c:pt>
                <c:pt idx="730">
                  <c:v>-1.31</c:v>
                </c:pt>
                <c:pt idx="731">
                  <c:v>-0.78</c:v>
                </c:pt>
                <c:pt idx="732">
                  <c:v>-0.78</c:v>
                </c:pt>
                <c:pt idx="733">
                  <c:v>-0.78</c:v>
                </c:pt>
                <c:pt idx="734">
                  <c:v>-0.78</c:v>
                </c:pt>
                <c:pt idx="735">
                  <c:v>-1.31</c:v>
                </c:pt>
                <c:pt idx="736">
                  <c:v>-1.31</c:v>
                </c:pt>
                <c:pt idx="737">
                  <c:v>-1.31</c:v>
                </c:pt>
                <c:pt idx="738">
                  <c:v>-1.31</c:v>
                </c:pt>
                <c:pt idx="739">
                  <c:v>-0.78</c:v>
                </c:pt>
                <c:pt idx="740">
                  <c:v>-0.78</c:v>
                </c:pt>
                <c:pt idx="741">
                  <c:v>-0.78</c:v>
                </c:pt>
                <c:pt idx="742">
                  <c:v>-0.78</c:v>
                </c:pt>
                <c:pt idx="743">
                  <c:v>-1.31</c:v>
                </c:pt>
                <c:pt idx="744">
                  <c:v>-1.31</c:v>
                </c:pt>
                <c:pt idx="745">
                  <c:v>-1.31</c:v>
                </c:pt>
                <c:pt idx="746">
                  <c:v>-1.31</c:v>
                </c:pt>
                <c:pt idx="747">
                  <c:v>-0.78</c:v>
                </c:pt>
                <c:pt idx="748">
                  <c:v>-0.78</c:v>
                </c:pt>
                <c:pt idx="749">
                  <c:v>-0.78</c:v>
                </c:pt>
                <c:pt idx="750">
                  <c:v>-0.78</c:v>
                </c:pt>
                <c:pt idx="751">
                  <c:v>-1.31</c:v>
                </c:pt>
                <c:pt idx="752">
                  <c:v>-1.31</c:v>
                </c:pt>
                <c:pt idx="753">
                  <c:v>-1.31</c:v>
                </c:pt>
                <c:pt idx="754">
                  <c:v>-1.31</c:v>
                </c:pt>
                <c:pt idx="755">
                  <c:v>-0.78</c:v>
                </c:pt>
                <c:pt idx="756">
                  <c:v>-0.78</c:v>
                </c:pt>
                <c:pt idx="757">
                  <c:v>-0.78</c:v>
                </c:pt>
                <c:pt idx="758">
                  <c:v>-0.78</c:v>
                </c:pt>
                <c:pt idx="759">
                  <c:v>-1.31</c:v>
                </c:pt>
                <c:pt idx="760">
                  <c:v>-1.31</c:v>
                </c:pt>
                <c:pt idx="761">
                  <c:v>-1.31</c:v>
                </c:pt>
                <c:pt idx="762">
                  <c:v>-1.31</c:v>
                </c:pt>
                <c:pt idx="763">
                  <c:v>-0.78</c:v>
                </c:pt>
                <c:pt idx="764">
                  <c:v>-0.78</c:v>
                </c:pt>
                <c:pt idx="765">
                  <c:v>-0.78</c:v>
                </c:pt>
                <c:pt idx="766">
                  <c:v>-0.78</c:v>
                </c:pt>
                <c:pt idx="767">
                  <c:v>-1.31</c:v>
                </c:pt>
                <c:pt idx="768">
                  <c:v>-1.31</c:v>
                </c:pt>
                <c:pt idx="769">
                  <c:v>-1.31</c:v>
                </c:pt>
                <c:pt idx="770">
                  <c:v>-1.31</c:v>
                </c:pt>
                <c:pt idx="771">
                  <c:v>-0.78</c:v>
                </c:pt>
                <c:pt idx="772">
                  <c:v>-0.78</c:v>
                </c:pt>
                <c:pt idx="773">
                  <c:v>-0.78</c:v>
                </c:pt>
                <c:pt idx="774">
                  <c:v>-0.78</c:v>
                </c:pt>
                <c:pt idx="775">
                  <c:v>-1.31</c:v>
                </c:pt>
                <c:pt idx="776">
                  <c:v>-1.31</c:v>
                </c:pt>
                <c:pt idx="777">
                  <c:v>-1.31</c:v>
                </c:pt>
                <c:pt idx="778">
                  <c:v>-1.31</c:v>
                </c:pt>
                <c:pt idx="779">
                  <c:v>-0.78</c:v>
                </c:pt>
                <c:pt idx="780">
                  <c:v>-0.78</c:v>
                </c:pt>
                <c:pt idx="781">
                  <c:v>-0.78</c:v>
                </c:pt>
                <c:pt idx="782">
                  <c:v>-0.78</c:v>
                </c:pt>
                <c:pt idx="783">
                  <c:v>-1.31</c:v>
                </c:pt>
                <c:pt idx="784">
                  <c:v>-1.31</c:v>
                </c:pt>
                <c:pt idx="785">
                  <c:v>-1.31</c:v>
                </c:pt>
                <c:pt idx="786">
                  <c:v>-1.31</c:v>
                </c:pt>
                <c:pt idx="787">
                  <c:v>-0.78</c:v>
                </c:pt>
                <c:pt idx="788">
                  <c:v>-0.78</c:v>
                </c:pt>
                <c:pt idx="789">
                  <c:v>-0.78</c:v>
                </c:pt>
                <c:pt idx="790">
                  <c:v>-0.78</c:v>
                </c:pt>
                <c:pt idx="791">
                  <c:v>-1.31</c:v>
                </c:pt>
                <c:pt idx="792">
                  <c:v>-1.31</c:v>
                </c:pt>
                <c:pt idx="793">
                  <c:v>-1.31</c:v>
                </c:pt>
                <c:pt idx="794">
                  <c:v>-1.31</c:v>
                </c:pt>
                <c:pt idx="795">
                  <c:v>-0.78</c:v>
                </c:pt>
                <c:pt idx="796">
                  <c:v>-0.78</c:v>
                </c:pt>
                <c:pt idx="797">
                  <c:v>-0.78</c:v>
                </c:pt>
                <c:pt idx="798">
                  <c:v>-0.78</c:v>
                </c:pt>
                <c:pt idx="799">
                  <c:v>-1.31</c:v>
                </c:pt>
                <c:pt idx="800">
                  <c:v>-1.31</c:v>
                </c:pt>
                <c:pt idx="801">
                  <c:v>-1.31</c:v>
                </c:pt>
                <c:pt idx="802">
                  <c:v>-1.31</c:v>
                </c:pt>
                <c:pt idx="803">
                  <c:v>-0.78</c:v>
                </c:pt>
                <c:pt idx="804">
                  <c:v>-0.78</c:v>
                </c:pt>
                <c:pt idx="805">
                  <c:v>-0.78</c:v>
                </c:pt>
                <c:pt idx="806">
                  <c:v>-0.78</c:v>
                </c:pt>
                <c:pt idx="807">
                  <c:v>-1.31</c:v>
                </c:pt>
                <c:pt idx="808">
                  <c:v>-1.31</c:v>
                </c:pt>
                <c:pt idx="809">
                  <c:v>-1.31</c:v>
                </c:pt>
                <c:pt idx="810">
                  <c:v>-1.31</c:v>
                </c:pt>
                <c:pt idx="811">
                  <c:v>-0.78</c:v>
                </c:pt>
                <c:pt idx="812">
                  <c:v>-0.78</c:v>
                </c:pt>
                <c:pt idx="813">
                  <c:v>-0.78</c:v>
                </c:pt>
                <c:pt idx="814">
                  <c:v>-0.78</c:v>
                </c:pt>
                <c:pt idx="815">
                  <c:v>-1.31</c:v>
                </c:pt>
                <c:pt idx="816">
                  <c:v>-1.31</c:v>
                </c:pt>
                <c:pt idx="817">
                  <c:v>-1.31</c:v>
                </c:pt>
                <c:pt idx="818">
                  <c:v>-1.31</c:v>
                </c:pt>
                <c:pt idx="819">
                  <c:v>-0.78</c:v>
                </c:pt>
                <c:pt idx="820">
                  <c:v>-0.78</c:v>
                </c:pt>
                <c:pt idx="821">
                  <c:v>-0.78</c:v>
                </c:pt>
                <c:pt idx="822">
                  <c:v>-0.78</c:v>
                </c:pt>
                <c:pt idx="823">
                  <c:v>-1.31</c:v>
                </c:pt>
                <c:pt idx="824">
                  <c:v>-1.31</c:v>
                </c:pt>
                <c:pt idx="825">
                  <c:v>-1.31</c:v>
                </c:pt>
                <c:pt idx="826">
                  <c:v>-1.31</c:v>
                </c:pt>
                <c:pt idx="827">
                  <c:v>-0.78</c:v>
                </c:pt>
                <c:pt idx="828">
                  <c:v>-0.78</c:v>
                </c:pt>
                <c:pt idx="829">
                  <c:v>-0.78</c:v>
                </c:pt>
                <c:pt idx="830">
                  <c:v>-0.78</c:v>
                </c:pt>
                <c:pt idx="831">
                  <c:v>-1.31</c:v>
                </c:pt>
                <c:pt idx="832">
                  <c:v>-1.31</c:v>
                </c:pt>
                <c:pt idx="833">
                  <c:v>-1.31</c:v>
                </c:pt>
                <c:pt idx="834">
                  <c:v>-1.31</c:v>
                </c:pt>
                <c:pt idx="835">
                  <c:v>-0.78</c:v>
                </c:pt>
                <c:pt idx="836">
                  <c:v>-0.78</c:v>
                </c:pt>
                <c:pt idx="837">
                  <c:v>-0.78</c:v>
                </c:pt>
                <c:pt idx="838">
                  <c:v>-0.78</c:v>
                </c:pt>
                <c:pt idx="839">
                  <c:v>-1.31</c:v>
                </c:pt>
                <c:pt idx="840">
                  <c:v>-1.31</c:v>
                </c:pt>
                <c:pt idx="841">
                  <c:v>-1.31</c:v>
                </c:pt>
                <c:pt idx="842">
                  <c:v>-1.31</c:v>
                </c:pt>
                <c:pt idx="843">
                  <c:v>-0.78</c:v>
                </c:pt>
                <c:pt idx="844">
                  <c:v>-0.78</c:v>
                </c:pt>
                <c:pt idx="845">
                  <c:v>-0.78</c:v>
                </c:pt>
                <c:pt idx="846">
                  <c:v>-0.78</c:v>
                </c:pt>
                <c:pt idx="847">
                  <c:v>-1.31</c:v>
                </c:pt>
                <c:pt idx="848">
                  <c:v>-1.31</c:v>
                </c:pt>
                <c:pt idx="849">
                  <c:v>-1.31</c:v>
                </c:pt>
                <c:pt idx="850">
                  <c:v>-1.31</c:v>
                </c:pt>
                <c:pt idx="851">
                  <c:v>-0.78</c:v>
                </c:pt>
                <c:pt idx="852">
                  <c:v>-0.78</c:v>
                </c:pt>
                <c:pt idx="853">
                  <c:v>-0.78</c:v>
                </c:pt>
                <c:pt idx="854">
                  <c:v>-0.78</c:v>
                </c:pt>
                <c:pt idx="855">
                  <c:v>-1.31</c:v>
                </c:pt>
                <c:pt idx="856">
                  <c:v>-1.31</c:v>
                </c:pt>
                <c:pt idx="857">
                  <c:v>-1.31</c:v>
                </c:pt>
                <c:pt idx="858">
                  <c:v>-1.31</c:v>
                </c:pt>
                <c:pt idx="859">
                  <c:v>-0.78</c:v>
                </c:pt>
                <c:pt idx="860">
                  <c:v>-0.78</c:v>
                </c:pt>
                <c:pt idx="861">
                  <c:v>-0.78</c:v>
                </c:pt>
                <c:pt idx="862">
                  <c:v>-0.78</c:v>
                </c:pt>
                <c:pt idx="863">
                  <c:v>-1.31</c:v>
                </c:pt>
                <c:pt idx="864">
                  <c:v>-1.31</c:v>
                </c:pt>
                <c:pt idx="865">
                  <c:v>-1.31</c:v>
                </c:pt>
                <c:pt idx="866">
                  <c:v>-1.31</c:v>
                </c:pt>
                <c:pt idx="867">
                  <c:v>-0.78</c:v>
                </c:pt>
                <c:pt idx="868">
                  <c:v>-0.78</c:v>
                </c:pt>
                <c:pt idx="869">
                  <c:v>-0.78</c:v>
                </c:pt>
                <c:pt idx="870">
                  <c:v>-0.78</c:v>
                </c:pt>
                <c:pt idx="871">
                  <c:v>-1.31</c:v>
                </c:pt>
                <c:pt idx="872">
                  <c:v>-1.31</c:v>
                </c:pt>
                <c:pt idx="873">
                  <c:v>-1.31</c:v>
                </c:pt>
                <c:pt idx="874">
                  <c:v>-1.31</c:v>
                </c:pt>
                <c:pt idx="875">
                  <c:v>-0.78</c:v>
                </c:pt>
                <c:pt idx="876">
                  <c:v>-0.78</c:v>
                </c:pt>
                <c:pt idx="877">
                  <c:v>-0.78</c:v>
                </c:pt>
                <c:pt idx="878">
                  <c:v>-0.78</c:v>
                </c:pt>
                <c:pt idx="879">
                  <c:v>-1.31</c:v>
                </c:pt>
                <c:pt idx="880">
                  <c:v>-1.31</c:v>
                </c:pt>
                <c:pt idx="881">
                  <c:v>-1.31</c:v>
                </c:pt>
                <c:pt idx="882">
                  <c:v>-1.31</c:v>
                </c:pt>
                <c:pt idx="883">
                  <c:v>-0.78</c:v>
                </c:pt>
                <c:pt idx="884">
                  <c:v>-0.78</c:v>
                </c:pt>
                <c:pt idx="885">
                  <c:v>-0.78</c:v>
                </c:pt>
                <c:pt idx="886">
                  <c:v>-0.78</c:v>
                </c:pt>
                <c:pt idx="887">
                  <c:v>-1.31</c:v>
                </c:pt>
                <c:pt idx="888">
                  <c:v>-1.31</c:v>
                </c:pt>
                <c:pt idx="889">
                  <c:v>-1.31</c:v>
                </c:pt>
                <c:pt idx="890">
                  <c:v>-1.31</c:v>
                </c:pt>
                <c:pt idx="891">
                  <c:v>-0.78</c:v>
                </c:pt>
                <c:pt idx="892">
                  <c:v>-0.78</c:v>
                </c:pt>
                <c:pt idx="893">
                  <c:v>-0.78</c:v>
                </c:pt>
                <c:pt idx="894">
                  <c:v>-0.78</c:v>
                </c:pt>
                <c:pt idx="895">
                  <c:v>-1.31</c:v>
                </c:pt>
                <c:pt idx="896">
                  <c:v>-1.31</c:v>
                </c:pt>
                <c:pt idx="897">
                  <c:v>-1.31</c:v>
                </c:pt>
                <c:pt idx="898">
                  <c:v>-1.31</c:v>
                </c:pt>
                <c:pt idx="899">
                  <c:v>-0.78</c:v>
                </c:pt>
                <c:pt idx="900">
                  <c:v>-0.78</c:v>
                </c:pt>
                <c:pt idx="901">
                  <c:v>-0.78</c:v>
                </c:pt>
                <c:pt idx="902">
                  <c:v>-0.78</c:v>
                </c:pt>
                <c:pt idx="903">
                  <c:v>-1.31</c:v>
                </c:pt>
                <c:pt idx="904">
                  <c:v>-1.31</c:v>
                </c:pt>
                <c:pt idx="905">
                  <c:v>-1.31</c:v>
                </c:pt>
                <c:pt idx="906">
                  <c:v>-1.31</c:v>
                </c:pt>
                <c:pt idx="907">
                  <c:v>-0.78</c:v>
                </c:pt>
                <c:pt idx="908">
                  <c:v>-0.78</c:v>
                </c:pt>
                <c:pt idx="909">
                  <c:v>-0.78</c:v>
                </c:pt>
                <c:pt idx="910">
                  <c:v>-0.78</c:v>
                </c:pt>
                <c:pt idx="911">
                  <c:v>-1.31</c:v>
                </c:pt>
                <c:pt idx="912">
                  <c:v>-1.31</c:v>
                </c:pt>
                <c:pt idx="913">
                  <c:v>-1.31</c:v>
                </c:pt>
                <c:pt idx="914">
                  <c:v>-1.31</c:v>
                </c:pt>
                <c:pt idx="915">
                  <c:v>-0.78</c:v>
                </c:pt>
                <c:pt idx="916">
                  <c:v>-0.78</c:v>
                </c:pt>
                <c:pt idx="917">
                  <c:v>-0.78</c:v>
                </c:pt>
                <c:pt idx="918">
                  <c:v>-0.78</c:v>
                </c:pt>
                <c:pt idx="919">
                  <c:v>-1.31</c:v>
                </c:pt>
                <c:pt idx="920">
                  <c:v>-1.31</c:v>
                </c:pt>
                <c:pt idx="921">
                  <c:v>-1.31</c:v>
                </c:pt>
                <c:pt idx="922">
                  <c:v>-1.31</c:v>
                </c:pt>
                <c:pt idx="923">
                  <c:v>-0.78</c:v>
                </c:pt>
                <c:pt idx="924">
                  <c:v>-0.78</c:v>
                </c:pt>
                <c:pt idx="925">
                  <c:v>-0.78</c:v>
                </c:pt>
                <c:pt idx="926">
                  <c:v>-0.78</c:v>
                </c:pt>
                <c:pt idx="927">
                  <c:v>-1.31</c:v>
                </c:pt>
                <c:pt idx="928">
                  <c:v>-1.31</c:v>
                </c:pt>
                <c:pt idx="929">
                  <c:v>-1.31</c:v>
                </c:pt>
                <c:pt idx="930">
                  <c:v>-1.31</c:v>
                </c:pt>
                <c:pt idx="931">
                  <c:v>-0.78</c:v>
                </c:pt>
                <c:pt idx="932">
                  <c:v>-0.78</c:v>
                </c:pt>
                <c:pt idx="933">
                  <c:v>-0.78</c:v>
                </c:pt>
                <c:pt idx="934">
                  <c:v>-0.78</c:v>
                </c:pt>
                <c:pt idx="935">
                  <c:v>-1.31</c:v>
                </c:pt>
                <c:pt idx="936">
                  <c:v>-1.31</c:v>
                </c:pt>
                <c:pt idx="937">
                  <c:v>-1.31</c:v>
                </c:pt>
                <c:pt idx="938">
                  <c:v>-1.31</c:v>
                </c:pt>
                <c:pt idx="939">
                  <c:v>-0.78</c:v>
                </c:pt>
                <c:pt idx="940">
                  <c:v>-0.78</c:v>
                </c:pt>
                <c:pt idx="941">
                  <c:v>-0.78</c:v>
                </c:pt>
                <c:pt idx="942">
                  <c:v>-0.78</c:v>
                </c:pt>
                <c:pt idx="943">
                  <c:v>-1.31</c:v>
                </c:pt>
                <c:pt idx="944">
                  <c:v>-1.31</c:v>
                </c:pt>
                <c:pt idx="945">
                  <c:v>-1.31</c:v>
                </c:pt>
                <c:pt idx="946">
                  <c:v>-1.31</c:v>
                </c:pt>
                <c:pt idx="947">
                  <c:v>-0.78</c:v>
                </c:pt>
                <c:pt idx="948">
                  <c:v>-0.78</c:v>
                </c:pt>
                <c:pt idx="949">
                  <c:v>-0.78</c:v>
                </c:pt>
                <c:pt idx="950">
                  <c:v>-0.78</c:v>
                </c:pt>
                <c:pt idx="951">
                  <c:v>-1.31</c:v>
                </c:pt>
                <c:pt idx="952">
                  <c:v>-1.31</c:v>
                </c:pt>
                <c:pt idx="953">
                  <c:v>-1.31</c:v>
                </c:pt>
                <c:pt idx="954">
                  <c:v>-1.31</c:v>
                </c:pt>
                <c:pt idx="955">
                  <c:v>-0.78</c:v>
                </c:pt>
                <c:pt idx="956">
                  <c:v>-0.78</c:v>
                </c:pt>
                <c:pt idx="957">
                  <c:v>-0.78</c:v>
                </c:pt>
                <c:pt idx="958">
                  <c:v>-0.78</c:v>
                </c:pt>
                <c:pt idx="959">
                  <c:v>-1.31</c:v>
                </c:pt>
                <c:pt idx="960">
                  <c:v>-1.31</c:v>
                </c:pt>
                <c:pt idx="961">
                  <c:v>-1.31</c:v>
                </c:pt>
                <c:pt idx="962">
                  <c:v>-0.78</c:v>
                </c:pt>
                <c:pt idx="963">
                  <c:v>-0.78</c:v>
                </c:pt>
                <c:pt idx="964">
                  <c:v>-0.78</c:v>
                </c:pt>
                <c:pt idx="965">
                  <c:v>-0.25</c:v>
                </c:pt>
                <c:pt idx="966">
                  <c:v>-0.25</c:v>
                </c:pt>
                <c:pt idx="967">
                  <c:v>-0.25</c:v>
                </c:pt>
                <c:pt idx="968">
                  <c:v>-0.25</c:v>
                </c:pt>
                <c:pt idx="969">
                  <c:v>-0.78</c:v>
                </c:pt>
                <c:pt idx="970">
                  <c:v>-0.78</c:v>
                </c:pt>
                <c:pt idx="971">
                  <c:v>-0.78</c:v>
                </c:pt>
                <c:pt idx="972">
                  <c:v>-0.78</c:v>
                </c:pt>
                <c:pt idx="973">
                  <c:v>-0.25</c:v>
                </c:pt>
                <c:pt idx="974">
                  <c:v>-0.25</c:v>
                </c:pt>
                <c:pt idx="975">
                  <c:v>-0.25</c:v>
                </c:pt>
                <c:pt idx="976">
                  <c:v>-0.25</c:v>
                </c:pt>
                <c:pt idx="977">
                  <c:v>-0.78</c:v>
                </c:pt>
                <c:pt idx="978">
                  <c:v>-0.78</c:v>
                </c:pt>
                <c:pt idx="979">
                  <c:v>-0.78</c:v>
                </c:pt>
                <c:pt idx="980">
                  <c:v>-0.78</c:v>
                </c:pt>
                <c:pt idx="981">
                  <c:v>-0.25</c:v>
                </c:pt>
                <c:pt idx="982">
                  <c:v>-0.25</c:v>
                </c:pt>
                <c:pt idx="983">
                  <c:v>-0.25</c:v>
                </c:pt>
                <c:pt idx="984">
                  <c:v>-0.25</c:v>
                </c:pt>
                <c:pt idx="985">
                  <c:v>-0.78</c:v>
                </c:pt>
                <c:pt idx="986">
                  <c:v>-0.78</c:v>
                </c:pt>
                <c:pt idx="987">
                  <c:v>-0.78</c:v>
                </c:pt>
                <c:pt idx="988">
                  <c:v>-0.78</c:v>
                </c:pt>
                <c:pt idx="989">
                  <c:v>-0.25</c:v>
                </c:pt>
                <c:pt idx="990">
                  <c:v>-0.25</c:v>
                </c:pt>
                <c:pt idx="991">
                  <c:v>-0.25</c:v>
                </c:pt>
                <c:pt idx="992">
                  <c:v>-0.25</c:v>
                </c:pt>
                <c:pt idx="993">
                  <c:v>-0.78</c:v>
                </c:pt>
                <c:pt idx="994">
                  <c:v>-0.78</c:v>
                </c:pt>
                <c:pt idx="995">
                  <c:v>-0.78</c:v>
                </c:pt>
                <c:pt idx="996">
                  <c:v>-0.78</c:v>
                </c:pt>
                <c:pt idx="997">
                  <c:v>-0.25</c:v>
                </c:pt>
                <c:pt idx="998">
                  <c:v>-0.25</c:v>
                </c:pt>
                <c:pt idx="999">
                  <c:v>-0.25</c:v>
                </c:pt>
                <c:pt idx="1000">
                  <c:v>-0.25</c:v>
                </c:pt>
                <c:pt idx="1001">
                  <c:v>-0.78</c:v>
                </c:pt>
                <c:pt idx="1002">
                  <c:v>-0.78</c:v>
                </c:pt>
                <c:pt idx="1003">
                  <c:v>-0.78</c:v>
                </c:pt>
                <c:pt idx="1004">
                  <c:v>-0.78</c:v>
                </c:pt>
                <c:pt idx="1005">
                  <c:v>-0.25</c:v>
                </c:pt>
                <c:pt idx="1006">
                  <c:v>-0.25</c:v>
                </c:pt>
                <c:pt idx="1007">
                  <c:v>-0.25</c:v>
                </c:pt>
                <c:pt idx="1008">
                  <c:v>-0.25</c:v>
                </c:pt>
                <c:pt idx="1009">
                  <c:v>-0.78</c:v>
                </c:pt>
                <c:pt idx="1010">
                  <c:v>-0.78</c:v>
                </c:pt>
                <c:pt idx="1011">
                  <c:v>-0.78</c:v>
                </c:pt>
                <c:pt idx="1012">
                  <c:v>-0.78</c:v>
                </c:pt>
                <c:pt idx="1013">
                  <c:v>-0.25</c:v>
                </c:pt>
                <c:pt idx="1014">
                  <c:v>-0.25</c:v>
                </c:pt>
                <c:pt idx="1015">
                  <c:v>-0.25</c:v>
                </c:pt>
                <c:pt idx="1016">
                  <c:v>-0.25</c:v>
                </c:pt>
                <c:pt idx="1017">
                  <c:v>-0.78</c:v>
                </c:pt>
                <c:pt idx="1018">
                  <c:v>-0.78</c:v>
                </c:pt>
                <c:pt idx="1019">
                  <c:v>-0.78</c:v>
                </c:pt>
                <c:pt idx="1020">
                  <c:v>-0.78</c:v>
                </c:pt>
                <c:pt idx="1021">
                  <c:v>-0.25</c:v>
                </c:pt>
                <c:pt idx="1022">
                  <c:v>-0.25</c:v>
                </c:pt>
                <c:pt idx="1023">
                  <c:v>-0.25</c:v>
                </c:pt>
                <c:pt idx="1024">
                  <c:v>-0.25</c:v>
                </c:pt>
                <c:pt idx="1025">
                  <c:v>-0.78</c:v>
                </c:pt>
                <c:pt idx="1026">
                  <c:v>-0.78</c:v>
                </c:pt>
                <c:pt idx="1027">
                  <c:v>-0.78</c:v>
                </c:pt>
                <c:pt idx="1028">
                  <c:v>-0.78</c:v>
                </c:pt>
                <c:pt idx="1029">
                  <c:v>-0.25</c:v>
                </c:pt>
                <c:pt idx="1030">
                  <c:v>-0.25</c:v>
                </c:pt>
                <c:pt idx="1031">
                  <c:v>-0.25</c:v>
                </c:pt>
                <c:pt idx="1032">
                  <c:v>-0.25</c:v>
                </c:pt>
                <c:pt idx="1033">
                  <c:v>-0.78</c:v>
                </c:pt>
                <c:pt idx="1034">
                  <c:v>-0.78</c:v>
                </c:pt>
                <c:pt idx="1035">
                  <c:v>-0.78</c:v>
                </c:pt>
                <c:pt idx="1036">
                  <c:v>-0.78</c:v>
                </c:pt>
                <c:pt idx="1037">
                  <c:v>-0.25</c:v>
                </c:pt>
                <c:pt idx="1038">
                  <c:v>-0.25</c:v>
                </c:pt>
                <c:pt idx="1039">
                  <c:v>-0.25</c:v>
                </c:pt>
                <c:pt idx="1040">
                  <c:v>-0.25</c:v>
                </c:pt>
                <c:pt idx="1041">
                  <c:v>-0.78</c:v>
                </c:pt>
                <c:pt idx="1042">
                  <c:v>-0.78</c:v>
                </c:pt>
                <c:pt idx="1043">
                  <c:v>-0.78</c:v>
                </c:pt>
                <c:pt idx="1044">
                  <c:v>-0.78</c:v>
                </c:pt>
                <c:pt idx="1045">
                  <c:v>-0.25</c:v>
                </c:pt>
                <c:pt idx="1046">
                  <c:v>-0.25</c:v>
                </c:pt>
                <c:pt idx="1047">
                  <c:v>-0.25</c:v>
                </c:pt>
                <c:pt idx="1048">
                  <c:v>-0.25</c:v>
                </c:pt>
                <c:pt idx="1049">
                  <c:v>-0.78</c:v>
                </c:pt>
                <c:pt idx="1050">
                  <c:v>-0.78</c:v>
                </c:pt>
                <c:pt idx="1051">
                  <c:v>-0.78</c:v>
                </c:pt>
                <c:pt idx="1052">
                  <c:v>-0.78</c:v>
                </c:pt>
                <c:pt idx="1053">
                  <c:v>-0.25</c:v>
                </c:pt>
                <c:pt idx="1054">
                  <c:v>-0.25</c:v>
                </c:pt>
                <c:pt idx="1055">
                  <c:v>-0.25</c:v>
                </c:pt>
                <c:pt idx="1056">
                  <c:v>-0.25</c:v>
                </c:pt>
                <c:pt idx="1057">
                  <c:v>-0.78</c:v>
                </c:pt>
                <c:pt idx="1058">
                  <c:v>-0.78</c:v>
                </c:pt>
                <c:pt idx="1059">
                  <c:v>-0.78</c:v>
                </c:pt>
                <c:pt idx="1060">
                  <c:v>-0.78</c:v>
                </c:pt>
                <c:pt idx="1061">
                  <c:v>-0.25</c:v>
                </c:pt>
                <c:pt idx="1062">
                  <c:v>-0.25</c:v>
                </c:pt>
                <c:pt idx="1063">
                  <c:v>-0.25</c:v>
                </c:pt>
                <c:pt idx="1064">
                  <c:v>-0.25</c:v>
                </c:pt>
                <c:pt idx="1065">
                  <c:v>-0.78</c:v>
                </c:pt>
                <c:pt idx="1066">
                  <c:v>-0.78</c:v>
                </c:pt>
                <c:pt idx="1067">
                  <c:v>-0.78</c:v>
                </c:pt>
                <c:pt idx="1068">
                  <c:v>-0.78</c:v>
                </c:pt>
                <c:pt idx="1069">
                  <c:v>-0.25</c:v>
                </c:pt>
                <c:pt idx="1070">
                  <c:v>-0.25</c:v>
                </c:pt>
                <c:pt idx="1071">
                  <c:v>-0.25</c:v>
                </c:pt>
                <c:pt idx="1072">
                  <c:v>-0.25</c:v>
                </c:pt>
                <c:pt idx="1073">
                  <c:v>-0.78</c:v>
                </c:pt>
                <c:pt idx="1074">
                  <c:v>-0.78</c:v>
                </c:pt>
                <c:pt idx="1075">
                  <c:v>-0.78</c:v>
                </c:pt>
                <c:pt idx="1076">
                  <c:v>-0.78</c:v>
                </c:pt>
                <c:pt idx="1077">
                  <c:v>-0.25</c:v>
                </c:pt>
                <c:pt idx="1078">
                  <c:v>-0.25</c:v>
                </c:pt>
                <c:pt idx="1079">
                  <c:v>-0.25</c:v>
                </c:pt>
                <c:pt idx="1080">
                  <c:v>-0.25</c:v>
                </c:pt>
                <c:pt idx="1081">
                  <c:v>-0.78</c:v>
                </c:pt>
                <c:pt idx="1082">
                  <c:v>-0.78</c:v>
                </c:pt>
                <c:pt idx="1083">
                  <c:v>-0.78</c:v>
                </c:pt>
                <c:pt idx="1084">
                  <c:v>-0.78</c:v>
                </c:pt>
                <c:pt idx="1085">
                  <c:v>-0.25</c:v>
                </c:pt>
                <c:pt idx="1086">
                  <c:v>-0.25</c:v>
                </c:pt>
                <c:pt idx="1087">
                  <c:v>-0.25</c:v>
                </c:pt>
                <c:pt idx="1088">
                  <c:v>-0.25</c:v>
                </c:pt>
                <c:pt idx="1089">
                  <c:v>-0.78</c:v>
                </c:pt>
                <c:pt idx="1090">
                  <c:v>-0.78</c:v>
                </c:pt>
                <c:pt idx="1091">
                  <c:v>-0.78</c:v>
                </c:pt>
                <c:pt idx="1092">
                  <c:v>-0.78</c:v>
                </c:pt>
                <c:pt idx="1093">
                  <c:v>-0.25</c:v>
                </c:pt>
                <c:pt idx="1094">
                  <c:v>-0.25</c:v>
                </c:pt>
                <c:pt idx="1095">
                  <c:v>-0.25</c:v>
                </c:pt>
                <c:pt idx="1096">
                  <c:v>-0.25</c:v>
                </c:pt>
                <c:pt idx="1097">
                  <c:v>-0.78</c:v>
                </c:pt>
                <c:pt idx="1098">
                  <c:v>-0.78</c:v>
                </c:pt>
                <c:pt idx="1099">
                  <c:v>-0.78</c:v>
                </c:pt>
                <c:pt idx="1100">
                  <c:v>-0.78</c:v>
                </c:pt>
                <c:pt idx="1101">
                  <c:v>-0.25</c:v>
                </c:pt>
                <c:pt idx="1102">
                  <c:v>-0.25</c:v>
                </c:pt>
                <c:pt idx="1103">
                  <c:v>-0.25</c:v>
                </c:pt>
                <c:pt idx="1104">
                  <c:v>-0.25</c:v>
                </c:pt>
                <c:pt idx="1105">
                  <c:v>-0.78</c:v>
                </c:pt>
                <c:pt idx="1106">
                  <c:v>-0.78</c:v>
                </c:pt>
                <c:pt idx="1107">
                  <c:v>-0.78</c:v>
                </c:pt>
                <c:pt idx="1108">
                  <c:v>-0.78</c:v>
                </c:pt>
                <c:pt idx="1109">
                  <c:v>-0.25</c:v>
                </c:pt>
                <c:pt idx="1110">
                  <c:v>-0.25</c:v>
                </c:pt>
                <c:pt idx="1111">
                  <c:v>-0.25</c:v>
                </c:pt>
                <c:pt idx="1112">
                  <c:v>-0.25</c:v>
                </c:pt>
                <c:pt idx="1113">
                  <c:v>-0.78</c:v>
                </c:pt>
                <c:pt idx="1114">
                  <c:v>-0.78</c:v>
                </c:pt>
                <c:pt idx="1115">
                  <c:v>-0.78</c:v>
                </c:pt>
                <c:pt idx="1116">
                  <c:v>-0.78</c:v>
                </c:pt>
                <c:pt idx="1117">
                  <c:v>-0.25</c:v>
                </c:pt>
                <c:pt idx="1118">
                  <c:v>-0.25</c:v>
                </c:pt>
                <c:pt idx="1119">
                  <c:v>-0.25</c:v>
                </c:pt>
                <c:pt idx="1120">
                  <c:v>-0.25</c:v>
                </c:pt>
                <c:pt idx="1121">
                  <c:v>-0.78</c:v>
                </c:pt>
                <c:pt idx="1122">
                  <c:v>-0.78</c:v>
                </c:pt>
                <c:pt idx="1123">
                  <c:v>-0.78</c:v>
                </c:pt>
                <c:pt idx="1124">
                  <c:v>-0.78</c:v>
                </c:pt>
                <c:pt idx="1125">
                  <c:v>-0.25</c:v>
                </c:pt>
                <c:pt idx="1126">
                  <c:v>-0.25</c:v>
                </c:pt>
                <c:pt idx="1127">
                  <c:v>-0.25</c:v>
                </c:pt>
                <c:pt idx="1128">
                  <c:v>-0.25</c:v>
                </c:pt>
                <c:pt idx="1129">
                  <c:v>-0.78</c:v>
                </c:pt>
                <c:pt idx="1130">
                  <c:v>-0.78</c:v>
                </c:pt>
                <c:pt idx="1131">
                  <c:v>-0.78</c:v>
                </c:pt>
                <c:pt idx="1132">
                  <c:v>-0.78</c:v>
                </c:pt>
                <c:pt idx="1133">
                  <c:v>-0.25</c:v>
                </c:pt>
                <c:pt idx="1134">
                  <c:v>-0.25</c:v>
                </c:pt>
                <c:pt idx="1135">
                  <c:v>-0.25</c:v>
                </c:pt>
                <c:pt idx="1136">
                  <c:v>-0.25</c:v>
                </c:pt>
                <c:pt idx="1137">
                  <c:v>-0.78</c:v>
                </c:pt>
                <c:pt idx="1138">
                  <c:v>-0.78</c:v>
                </c:pt>
                <c:pt idx="1139">
                  <c:v>-0.78</c:v>
                </c:pt>
                <c:pt idx="1140">
                  <c:v>-0.78</c:v>
                </c:pt>
                <c:pt idx="1141">
                  <c:v>-0.25</c:v>
                </c:pt>
                <c:pt idx="1142">
                  <c:v>-0.25</c:v>
                </c:pt>
                <c:pt idx="1143">
                  <c:v>-0.25</c:v>
                </c:pt>
                <c:pt idx="1144">
                  <c:v>-0.25</c:v>
                </c:pt>
                <c:pt idx="1145">
                  <c:v>-0.78</c:v>
                </c:pt>
                <c:pt idx="1146">
                  <c:v>-0.78</c:v>
                </c:pt>
                <c:pt idx="1147">
                  <c:v>-0.78</c:v>
                </c:pt>
                <c:pt idx="1148">
                  <c:v>-0.78</c:v>
                </c:pt>
                <c:pt idx="1149">
                  <c:v>-0.25</c:v>
                </c:pt>
                <c:pt idx="1150">
                  <c:v>-0.25</c:v>
                </c:pt>
                <c:pt idx="1151">
                  <c:v>-0.25</c:v>
                </c:pt>
                <c:pt idx="1152">
                  <c:v>-0.25</c:v>
                </c:pt>
                <c:pt idx="1153">
                  <c:v>-0.78</c:v>
                </c:pt>
                <c:pt idx="1154">
                  <c:v>-0.78</c:v>
                </c:pt>
                <c:pt idx="1155">
                  <c:v>-0.78</c:v>
                </c:pt>
                <c:pt idx="1156">
                  <c:v>-0.78</c:v>
                </c:pt>
                <c:pt idx="1157">
                  <c:v>-0.25</c:v>
                </c:pt>
                <c:pt idx="1158">
                  <c:v>-0.25</c:v>
                </c:pt>
                <c:pt idx="1159">
                  <c:v>-0.25</c:v>
                </c:pt>
                <c:pt idx="1160">
                  <c:v>-0.25</c:v>
                </c:pt>
                <c:pt idx="1161">
                  <c:v>-0.78</c:v>
                </c:pt>
                <c:pt idx="1162">
                  <c:v>-0.78</c:v>
                </c:pt>
                <c:pt idx="1163">
                  <c:v>-0.78</c:v>
                </c:pt>
                <c:pt idx="1164">
                  <c:v>-0.78</c:v>
                </c:pt>
                <c:pt idx="1165">
                  <c:v>-0.25</c:v>
                </c:pt>
                <c:pt idx="1166">
                  <c:v>-0.25</c:v>
                </c:pt>
                <c:pt idx="1167">
                  <c:v>-0.25</c:v>
                </c:pt>
                <c:pt idx="1168">
                  <c:v>-0.25</c:v>
                </c:pt>
                <c:pt idx="1169">
                  <c:v>-0.78</c:v>
                </c:pt>
                <c:pt idx="1170">
                  <c:v>-0.78</c:v>
                </c:pt>
                <c:pt idx="1171">
                  <c:v>-0.78</c:v>
                </c:pt>
                <c:pt idx="1172">
                  <c:v>-0.78</c:v>
                </c:pt>
                <c:pt idx="1173">
                  <c:v>-0.25</c:v>
                </c:pt>
                <c:pt idx="1174">
                  <c:v>-0.25</c:v>
                </c:pt>
                <c:pt idx="1175">
                  <c:v>-0.25</c:v>
                </c:pt>
                <c:pt idx="1176">
                  <c:v>-0.25</c:v>
                </c:pt>
                <c:pt idx="1177">
                  <c:v>-0.78</c:v>
                </c:pt>
                <c:pt idx="1178">
                  <c:v>-0.78</c:v>
                </c:pt>
                <c:pt idx="1179">
                  <c:v>-0.78</c:v>
                </c:pt>
                <c:pt idx="1180">
                  <c:v>-0.78</c:v>
                </c:pt>
                <c:pt idx="1181">
                  <c:v>-0.25</c:v>
                </c:pt>
                <c:pt idx="1182">
                  <c:v>-0.25</c:v>
                </c:pt>
                <c:pt idx="1183">
                  <c:v>-0.25</c:v>
                </c:pt>
                <c:pt idx="1184">
                  <c:v>-0.25</c:v>
                </c:pt>
                <c:pt idx="1185">
                  <c:v>-0.78</c:v>
                </c:pt>
                <c:pt idx="1186">
                  <c:v>-0.78</c:v>
                </c:pt>
                <c:pt idx="1187">
                  <c:v>-0.78</c:v>
                </c:pt>
                <c:pt idx="1188">
                  <c:v>-0.78</c:v>
                </c:pt>
                <c:pt idx="1189">
                  <c:v>-0.25</c:v>
                </c:pt>
                <c:pt idx="1190">
                  <c:v>-0.25</c:v>
                </c:pt>
                <c:pt idx="1191">
                  <c:v>-0.25</c:v>
                </c:pt>
                <c:pt idx="1192">
                  <c:v>-0.25</c:v>
                </c:pt>
                <c:pt idx="1193">
                  <c:v>-0.78</c:v>
                </c:pt>
                <c:pt idx="1194">
                  <c:v>-0.78</c:v>
                </c:pt>
                <c:pt idx="1195">
                  <c:v>-0.78</c:v>
                </c:pt>
                <c:pt idx="1196">
                  <c:v>-0.78</c:v>
                </c:pt>
                <c:pt idx="1197">
                  <c:v>-0.25</c:v>
                </c:pt>
                <c:pt idx="1198">
                  <c:v>-0.25</c:v>
                </c:pt>
                <c:pt idx="1199">
                  <c:v>-0.25</c:v>
                </c:pt>
                <c:pt idx="1200">
                  <c:v>-0.25</c:v>
                </c:pt>
                <c:pt idx="1201">
                  <c:v>-0.78</c:v>
                </c:pt>
                <c:pt idx="1202">
                  <c:v>-0.78</c:v>
                </c:pt>
                <c:pt idx="1203">
                  <c:v>-0.78</c:v>
                </c:pt>
                <c:pt idx="1204">
                  <c:v>-0.78</c:v>
                </c:pt>
                <c:pt idx="1205">
                  <c:v>-0.25</c:v>
                </c:pt>
                <c:pt idx="1206">
                  <c:v>-0.25</c:v>
                </c:pt>
                <c:pt idx="1207">
                  <c:v>-0.25</c:v>
                </c:pt>
                <c:pt idx="1208">
                  <c:v>-0.25</c:v>
                </c:pt>
                <c:pt idx="1209">
                  <c:v>-0.78</c:v>
                </c:pt>
                <c:pt idx="1210">
                  <c:v>-0.78</c:v>
                </c:pt>
                <c:pt idx="1211">
                  <c:v>-0.78</c:v>
                </c:pt>
                <c:pt idx="1212">
                  <c:v>-0.78</c:v>
                </c:pt>
                <c:pt idx="1213">
                  <c:v>-0.25</c:v>
                </c:pt>
                <c:pt idx="1214">
                  <c:v>-0.25</c:v>
                </c:pt>
                <c:pt idx="1215">
                  <c:v>-0.25</c:v>
                </c:pt>
                <c:pt idx="1216">
                  <c:v>-0.25</c:v>
                </c:pt>
                <c:pt idx="1217">
                  <c:v>-0.78</c:v>
                </c:pt>
                <c:pt idx="1218">
                  <c:v>-0.78</c:v>
                </c:pt>
                <c:pt idx="1219">
                  <c:v>-0.78</c:v>
                </c:pt>
                <c:pt idx="1220">
                  <c:v>-0.78</c:v>
                </c:pt>
                <c:pt idx="1221">
                  <c:v>-0.25</c:v>
                </c:pt>
                <c:pt idx="1222">
                  <c:v>-0.25</c:v>
                </c:pt>
                <c:pt idx="1223">
                  <c:v>-0.25</c:v>
                </c:pt>
                <c:pt idx="1224">
                  <c:v>-0.25</c:v>
                </c:pt>
                <c:pt idx="1225">
                  <c:v>-0.78</c:v>
                </c:pt>
                <c:pt idx="1226">
                  <c:v>-0.78</c:v>
                </c:pt>
                <c:pt idx="1227">
                  <c:v>-0.78</c:v>
                </c:pt>
                <c:pt idx="1228">
                  <c:v>-0.78</c:v>
                </c:pt>
                <c:pt idx="1229">
                  <c:v>-0.25</c:v>
                </c:pt>
                <c:pt idx="1230">
                  <c:v>-0.25</c:v>
                </c:pt>
                <c:pt idx="1231">
                  <c:v>-0.25</c:v>
                </c:pt>
                <c:pt idx="1232">
                  <c:v>-0.25</c:v>
                </c:pt>
                <c:pt idx="1233">
                  <c:v>-0.78</c:v>
                </c:pt>
                <c:pt idx="1234">
                  <c:v>-0.78</c:v>
                </c:pt>
                <c:pt idx="1235">
                  <c:v>-0.78</c:v>
                </c:pt>
                <c:pt idx="1236">
                  <c:v>-0.78</c:v>
                </c:pt>
                <c:pt idx="1237">
                  <c:v>-0.25</c:v>
                </c:pt>
                <c:pt idx="1238">
                  <c:v>-0.25</c:v>
                </c:pt>
                <c:pt idx="1239">
                  <c:v>-0.25</c:v>
                </c:pt>
                <c:pt idx="1240">
                  <c:v>-0.25</c:v>
                </c:pt>
                <c:pt idx="1241">
                  <c:v>-0.78</c:v>
                </c:pt>
                <c:pt idx="1242">
                  <c:v>-0.78</c:v>
                </c:pt>
                <c:pt idx="1243">
                  <c:v>-0.78</c:v>
                </c:pt>
                <c:pt idx="1244">
                  <c:v>-0.78</c:v>
                </c:pt>
                <c:pt idx="1245">
                  <c:v>-0.25</c:v>
                </c:pt>
                <c:pt idx="1246">
                  <c:v>-0.25</c:v>
                </c:pt>
                <c:pt idx="1247">
                  <c:v>-0.25</c:v>
                </c:pt>
                <c:pt idx="1248">
                  <c:v>-0.25</c:v>
                </c:pt>
                <c:pt idx="1249">
                  <c:v>-0.78</c:v>
                </c:pt>
                <c:pt idx="1250">
                  <c:v>-0.78</c:v>
                </c:pt>
                <c:pt idx="1251">
                  <c:v>-0.78</c:v>
                </c:pt>
                <c:pt idx="1252">
                  <c:v>-0.78</c:v>
                </c:pt>
                <c:pt idx="1253">
                  <c:v>-0.25</c:v>
                </c:pt>
                <c:pt idx="1254">
                  <c:v>-0.25</c:v>
                </c:pt>
                <c:pt idx="1255">
                  <c:v>-0.25</c:v>
                </c:pt>
                <c:pt idx="1256">
                  <c:v>-0.25</c:v>
                </c:pt>
                <c:pt idx="1257">
                  <c:v>-0.78</c:v>
                </c:pt>
                <c:pt idx="1258">
                  <c:v>-0.78</c:v>
                </c:pt>
                <c:pt idx="1259">
                  <c:v>-0.78</c:v>
                </c:pt>
                <c:pt idx="1260">
                  <c:v>-0.78</c:v>
                </c:pt>
                <c:pt idx="1261">
                  <c:v>-0.25</c:v>
                </c:pt>
                <c:pt idx="1262">
                  <c:v>-0.25</c:v>
                </c:pt>
                <c:pt idx="1263">
                  <c:v>-0.25</c:v>
                </c:pt>
                <c:pt idx="1264">
                  <c:v>-0.25</c:v>
                </c:pt>
                <c:pt idx="1265">
                  <c:v>-0.78</c:v>
                </c:pt>
                <c:pt idx="1266">
                  <c:v>-0.78</c:v>
                </c:pt>
                <c:pt idx="1267">
                  <c:v>-0.78</c:v>
                </c:pt>
                <c:pt idx="1268">
                  <c:v>-0.78</c:v>
                </c:pt>
                <c:pt idx="1269">
                  <c:v>-0.25</c:v>
                </c:pt>
                <c:pt idx="1270">
                  <c:v>-0.25</c:v>
                </c:pt>
                <c:pt idx="1271">
                  <c:v>-0.25</c:v>
                </c:pt>
                <c:pt idx="1272">
                  <c:v>-0.25</c:v>
                </c:pt>
                <c:pt idx="1273">
                  <c:v>-0.78</c:v>
                </c:pt>
                <c:pt idx="1274">
                  <c:v>-0.78</c:v>
                </c:pt>
                <c:pt idx="1275">
                  <c:v>-0.78</c:v>
                </c:pt>
                <c:pt idx="1276">
                  <c:v>-0.78</c:v>
                </c:pt>
                <c:pt idx="1277">
                  <c:v>-0.25</c:v>
                </c:pt>
                <c:pt idx="1278">
                  <c:v>-0.25</c:v>
                </c:pt>
                <c:pt idx="1279">
                  <c:v>-0.25</c:v>
                </c:pt>
                <c:pt idx="1280">
                  <c:v>-0.25</c:v>
                </c:pt>
                <c:pt idx="1281">
                  <c:v>-0.78</c:v>
                </c:pt>
                <c:pt idx="1282">
                  <c:v>-0.78</c:v>
                </c:pt>
                <c:pt idx="1283">
                  <c:v>-0.78</c:v>
                </c:pt>
                <c:pt idx="1284">
                  <c:v>-0.78</c:v>
                </c:pt>
                <c:pt idx="1285">
                  <c:v>-0.25</c:v>
                </c:pt>
                <c:pt idx="1286">
                  <c:v>-0.25</c:v>
                </c:pt>
                <c:pt idx="1287">
                  <c:v>-0.25</c:v>
                </c:pt>
                <c:pt idx="1288">
                  <c:v>-0.25</c:v>
                </c:pt>
                <c:pt idx="1289">
                  <c:v>-0.78</c:v>
                </c:pt>
                <c:pt idx="1290">
                  <c:v>-0.78</c:v>
                </c:pt>
                <c:pt idx="1291">
                  <c:v>-0.78</c:v>
                </c:pt>
                <c:pt idx="1292">
                  <c:v>-0.78</c:v>
                </c:pt>
                <c:pt idx="1293">
                  <c:v>-0.25</c:v>
                </c:pt>
                <c:pt idx="1294">
                  <c:v>-0.25</c:v>
                </c:pt>
                <c:pt idx="1295">
                  <c:v>-0.25</c:v>
                </c:pt>
                <c:pt idx="1296">
                  <c:v>-0.25</c:v>
                </c:pt>
                <c:pt idx="1297">
                  <c:v>-0.78</c:v>
                </c:pt>
                <c:pt idx="1298">
                  <c:v>-0.78</c:v>
                </c:pt>
                <c:pt idx="1299">
                  <c:v>-0.78</c:v>
                </c:pt>
                <c:pt idx="1300">
                  <c:v>-0.78</c:v>
                </c:pt>
                <c:pt idx="1301">
                  <c:v>-0.25</c:v>
                </c:pt>
                <c:pt idx="1302">
                  <c:v>-0.25</c:v>
                </c:pt>
                <c:pt idx="1303">
                  <c:v>-0.25</c:v>
                </c:pt>
                <c:pt idx="1304">
                  <c:v>-0.25</c:v>
                </c:pt>
                <c:pt idx="1305">
                  <c:v>-0.78</c:v>
                </c:pt>
                <c:pt idx="1306">
                  <c:v>-0.78</c:v>
                </c:pt>
                <c:pt idx="1307">
                  <c:v>-0.78</c:v>
                </c:pt>
                <c:pt idx="1308">
                  <c:v>-0.78</c:v>
                </c:pt>
                <c:pt idx="1309">
                  <c:v>-0.25</c:v>
                </c:pt>
                <c:pt idx="1310">
                  <c:v>-0.25</c:v>
                </c:pt>
                <c:pt idx="1311">
                  <c:v>-0.25</c:v>
                </c:pt>
                <c:pt idx="1312">
                  <c:v>-0.25</c:v>
                </c:pt>
                <c:pt idx="1313">
                  <c:v>-0.78</c:v>
                </c:pt>
                <c:pt idx="1314">
                  <c:v>-0.78</c:v>
                </c:pt>
                <c:pt idx="1315">
                  <c:v>-0.78</c:v>
                </c:pt>
                <c:pt idx="1316">
                  <c:v>-0.78</c:v>
                </c:pt>
                <c:pt idx="1317">
                  <c:v>-0.25</c:v>
                </c:pt>
                <c:pt idx="1318">
                  <c:v>-0.25</c:v>
                </c:pt>
                <c:pt idx="1319">
                  <c:v>-0.25</c:v>
                </c:pt>
                <c:pt idx="1320">
                  <c:v>-0.25</c:v>
                </c:pt>
                <c:pt idx="1321">
                  <c:v>-0.78</c:v>
                </c:pt>
                <c:pt idx="1322">
                  <c:v>-0.78</c:v>
                </c:pt>
                <c:pt idx="1323">
                  <c:v>-0.78</c:v>
                </c:pt>
                <c:pt idx="1324">
                  <c:v>-0.78</c:v>
                </c:pt>
                <c:pt idx="1325">
                  <c:v>-0.25</c:v>
                </c:pt>
                <c:pt idx="1326">
                  <c:v>-0.25</c:v>
                </c:pt>
                <c:pt idx="1327">
                  <c:v>-0.25</c:v>
                </c:pt>
                <c:pt idx="1328">
                  <c:v>-0.25</c:v>
                </c:pt>
                <c:pt idx="1329">
                  <c:v>-0.78</c:v>
                </c:pt>
                <c:pt idx="1330">
                  <c:v>-0.78</c:v>
                </c:pt>
                <c:pt idx="1331">
                  <c:v>-0.78</c:v>
                </c:pt>
                <c:pt idx="1332">
                  <c:v>-0.78</c:v>
                </c:pt>
                <c:pt idx="1333">
                  <c:v>-0.25</c:v>
                </c:pt>
                <c:pt idx="1334">
                  <c:v>-0.25</c:v>
                </c:pt>
                <c:pt idx="1335">
                  <c:v>-0.25</c:v>
                </c:pt>
                <c:pt idx="1336">
                  <c:v>-0.25</c:v>
                </c:pt>
                <c:pt idx="1337">
                  <c:v>-0.78</c:v>
                </c:pt>
                <c:pt idx="1338">
                  <c:v>-0.78</c:v>
                </c:pt>
                <c:pt idx="1339">
                  <c:v>-0.78</c:v>
                </c:pt>
                <c:pt idx="1340">
                  <c:v>-0.78</c:v>
                </c:pt>
                <c:pt idx="1341">
                  <c:v>-0.25</c:v>
                </c:pt>
                <c:pt idx="1342">
                  <c:v>-0.25</c:v>
                </c:pt>
                <c:pt idx="1343">
                  <c:v>-0.25</c:v>
                </c:pt>
                <c:pt idx="1344">
                  <c:v>-0.25</c:v>
                </c:pt>
                <c:pt idx="1345">
                  <c:v>-0.78</c:v>
                </c:pt>
                <c:pt idx="1346">
                  <c:v>-0.78</c:v>
                </c:pt>
                <c:pt idx="1347">
                  <c:v>-0.78</c:v>
                </c:pt>
                <c:pt idx="1348">
                  <c:v>-0.78</c:v>
                </c:pt>
                <c:pt idx="1349">
                  <c:v>-0.25</c:v>
                </c:pt>
                <c:pt idx="1350">
                  <c:v>-0.25</c:v>
                </c:pt>
                <c:pt idx="1351">
                  <c:v>-0.25</c:v>
                </c:pt>
                <c:pt idx="1352">
                  <c:v>-0.25</c:v>
                </c:pt>
                <c:pt idx="1353">
                  <c:v>-0.78</c:v>
                </c:pt>
                <c:pt idx="1354">
                  <c:v>-0.78</c:v>
                </c:pt>
                <c:pt idx="1355">
                  <c:v>-0.78</c:v>
                </c:pt>
                <c:pt idx="1356">
                  <c:v>-0.78</c:v>
                </c:pt>
                <c:pt idx="1357">
                  <c:v>-0.25</c:v>
                </c:pt>
                <c:pt idx="1358">
                  <c:v>-0.25</c:v>
                </c:pt>
                <c:pt idx="1359">
                  <c:v>-0.25</c:v>
                </c:pt>
                <c:pt idx="1360">
                  <c:v>-0.25</c:v>
                </c:pt>
                <c:pt idx="1361">
                  <c:v>-0.78</c:v>
                </c:pt>
                <c:pt idx="1362">
                  <c:v>-0.78</c:v>
                </c:pt>
                <c:pt idx="1363">
                  <c:v>-0.78</c:v>
                </c:pt>
                <c:pt idx="1364">
                  <c:v>-0.78</c:v>
                </c:pt>
                <c:pt idx="1365">
                  <c:v>-0.25</c:v>
                </c:pt>
                <c:pt idx="1366">
                  <c:v>-0.25</c:v>
                </c:pt>
                <c:pt idx="1367">
                  <c:v>-0.25</c:v>
                </c:pt>
                <c:pt idx="1368">
                  <c:v>-0.25</c:v>
                </c:pt>
                <c:pt idx="1369">
                  <c:v>-0.78</c:v>
                </c:pt>
                <c:pt idx="1370">
                  <c:v>-0.78</c:v>
                </c:pt>
                <c:pt idx="1371">
                  <c:v>-0.78</c:v>
                </c:pt>
                <c:pt idx="1372">
                  <c:v>-0.78</c:v>
                </c:pt>
                <c:pt idx="1373">
                  <c:v>-0.25</c:v>
                </c:pt>
                <c:pt idx="1374">
                  <c:v>-0.25</c:v>
                </c:pt>
                <c:pt idx="1375">
                  <c:v>-0.25</c:v>
                </c:pt>
                <c:pt idx="1376">
                  <c:v>-0.25</c:v>
                </c:pt>
                <c:pt idx="1377">
                  <c:v>-0.78</c:v>
                </c:pt>
                <c:pt idx="1378">
                  <c:v>-0.78</c:v>
                </c:pt>
                <c:pt idx="1379">
                  <c:v>-0.78</c:v>
                </c:pt>
                <c:pt idx="1380">
                  <c:v>-0.78</c:v>
                </c:pt>
                <c:pt idx="1381">
                  <c:v>-0.25</c:v>
                </c:pt>
                <c:pt idx="1382">
                  <c:v>-0.25</c:v>
                </c:pt>
                <c:pt idx="1383">
                  <c:v>-0.25</c:v>
                </c:pt>
                <c:pt idx="1384">
                  <c:v>-0.25</c:v>
                </c:pt>
                <c:pt idx="1385">
                  <c:v>-0.78</c:v>
                </c:pt>
                <c:pt idx="1386">
                  <c:v>-0.78</c:v>
                </c:pt>
                <c:pt idx="1387">
                  <c:v>-0.78</c:v>
                </c:pt>
                <c:pt idx="1388">
                  <c:v>-0.78</c:v>
                </c:pt>
                <c:pt idx="1389">
                  <c:v>-0.25</c:v>
                </c:pt>
                <c:pt idx="1390">
                  <c:v>-0.25</c:v>
                </c:pt>
                <c:pt idx="1391">
                  <c:v>-0.25</c:v>
                </c:pt>
                <c:pt idx="1392">
                  <c:v>-0.25</c:v>
                </c:pt>
                <c:pt idx="1393">
                  <c:v>-0.78</c:v>
                </c:pt>
                <c:pt idx="1394">
                  <c:v>-0.78</c:v>
                </c:pt>
                <c:pt idx="1395">
                  <c:v>-0.78</c:v>
                </c:pt>
                <c:pt idx="1396">
                  <c:v>-0.78</c:v>
                </c:pt>
                <c:pt idx="1397">
                  <c:v>-0.25</c:v>
                </c:pt>
                <c:pt idx="1398">
                  <c:v>-0.25</c:v>
                </c:pt>
                <c:pt idx="1399">
                  <c:v>-0.25</c:v>
                </c:pt>
                <c:pt idx="1400">
                  <c:v>-0.25</c:v>
                </c:pt>
                <c:pt idx="1401">
                  <c:v>-0.78</c:v>
                </c:pt>
                <c:pt idx="1402">
                  <c:v>-0.78</c:v>
                </c:pt>
                <c:pt idx="1403">
                  <c:v>-0.78</c:v>
                </c:pt>
                <c:pt idx="1404">
                  <c:v>-0.78</c:v>
                </c:pt>
                <c:pt idx="1405">
                  <c:v>-0.25</c:v>
                </c:pt>
                <c:pt idx="1406">
                  <c:v>-0.25</c:v>
                </c:pt>
                <c:pt idx="1407">
                  <c:v>-0.25</c:v>
                </c:pt>
                <c:pt idx="1408">
                  <c:v>-0.25</c:v>
                </c:pt>
                <c:pt idx="1409">
                  <c:v>-0.78</c:v>
                </c:pt>
                <c:pt idx="1410">
                  <c:v>-0.78</c:v>
                </c:pt>
                <c:pt idx="1411">
                  <c:v>-0.78</c:v>
                </c:pt>
                <c:pt idx="1412">
                  <c:v>-0.78</c:v>
                </c:pt>
                <c:pt idx="1413">
                  <c:v>-0.25</c:v>
                </c:pt>
                <c:pt idx="1414">
                  <c:v>-0.25</c:v>
                </c:pt>
                <c:pt idx="1415">
                  <c:v>-0.25</c:v>
                </c:pt>
                <c:pt idx="1416">
                  <c:v>-0.25</c:v>
                </c:pt>
                <c:pt idx="1417">
                  <c:v>-0.78</c:v>
                </c:pt>
                <c:pt idx="1418">
                  <c:v>-0.78</c:v>
                </c:pt>
                <c:pt idx="1419">
                  <c:v>-0.78</c:v>
                </c:pt>
                <c:pt idx="1420">
                  <c:v>-0.78</c:v>
                </c:pt>
                <c:pt idx="1421">
                  <c:v>-0.25</c:v>
                </c:pt>
                <c:pt idx="1422">
                  <c:v>-0.25</c:v>
                </c:pt>
                <c:pt idx="1423">
                  <c:v>-0.25</c:v>
                </c:pt>
                <c:pt idx="1424">
                  <c:v>-0.25</c:v>
                </c:pt>
                <c:pt idx="1425">
                  <c:v>-0.78</c:v>
                </c:pt>
                <c:pt idx="1426">
                  <c:v>-0.78</c:v>
                </c:pt>
                <c:pt idx="1427">
                  <c:v>-0.78</c:v>
                </c:pt>
                <c:pt idx="1428">
                  <c:v>-0.78</c:v>
                </c:pt>
                <c:pt idx="1429">
                  <c:v>-0.25</c:v>
                </c:pt>
                <c:pt idx="1430">
                  <c:v>-0.25</c:v>
                </c:pt>
                <c:pt idx="1431">
                  <c:v>-0.25</c:v>
                </c:pt>
                <c:pt idx="1432">
                  <c:v>-0.25</c:v>
                </c:pt>
                <c:pt idx="1433">
                  <c:v>-0.78</c:v>
                </c:pt>
                <c:pt idx="1434">
                  <c:v>-0.78</c:v>
                </c:pt>
                <c:pt idx="1435">
                  <c:v>-0.78</c:v>
                </c:pt>
                <c:pt idx="1436">
                  <c:v>-0.78</c:v>
                </c:pt>
                <c:pt idx="1437">
                  <c:v>-0.25</c:v>
                </c:pt>
                <c:pt idx="1438">
                  <c:v>-0.25</c:v>
                </c:pt>
                <c:pt idx="1439">
                  <c:v>-0.25</c:v>
                </c:pt>
                <c:pt idx="1440">
                  <c:v>-0.25</c:v>
                </c:pt>
                <c:pt idx="1441">
                  <c:v>-0.78</c:v>
                </c:pt>
                <c:pt idx="1442">
                  <c:v>-0.78</c:v>
                </c:pt>
                <c:pt idx="1443">
                  <c:v>-0.78</c:v>
                </c:pt>
                <c:pt idx="1444">
                  <c:v>0.24999999999999978</c:v>
                </c:pt>
                <c:pt idx="1445">
                  <c:v>0.24999999999999978</c:v>
                </c:pt>
                <c:pt idx="1446">
                  <c:v>0.24999999999999978</c:v>
                </c:pt>
                <c:pt idx="1447">
                  <c:v>0.7799999999999998</c:v>
                </c:pt>
                <c:pt idx="1448">
                  <c:v>0.7799999999999998</c:v>
                </c:pt>
                <c:pt idx="1449">
                  <c:v>0.7799999999999998</c:v>
                </c:pt>
                <c:pt idx="1450">
                  <c:v>0.7799999999999998</c:v>
                </c:pt>
                <c:pt idx="1451">
                  <c:v>0.24999999999999978</c:v>
                </c:pt>
                <c:pt idx="1452">
                  <c:v>0.24999999999999978</c:v>
                </c:pt>
                <c:pt idx="1453">
                  <c:v>0.24999999999999978</c:v>
                </c:pt>
                <c:pt idx="1454">
                  <c:v>0.24999999999999978</c:v>
                </c:pt>
                <c:pt idx="1455">
                  <c:v>0.7799999999999998</c:v>
                </c:pt>
                <c:pt idx="1456">
                  <c:v>0.7799999999999998</c:v>
                </c:pt>
                <c:pt idx="1457">
                  <c:v>0.7799999999999998</c:v>
                </c:pt>
                <c:pt idx="1458">
                  <c:v>0.7799999999999998</c:v>
                </c:pt>
                <c:pt idx="1459">
                  <c:v>0.24999999999999978</c:v>
                </c:pt>
                <c:pt idx="1460">
                  <c:v>0.24999999999999978</c:v>
                </c:pt>
                <c:pt idx="1461">
                  <c:v>0.24999999999999978</c:v>
                </c:pt>
                <c:pt idx="1462">
                  <c:v>0.24999999999999978</c:v>
                </c:pt>
                <c:pt idx="1463">
                  <c:v>0.7799999999999998</c:v>
                </c:pt>
                <c:pt idx="1464">
                  <c:v>0.7799999999999998</c:v>
                </c:pt>
                <c:pt idx="1465">
                  <c:v>0.7799999999999998</c:v>
                </c:pt>
                <c:pt idx="1466">
                  <c:v>0.7799999999999998</c:v>
                </c:pt>
                <c:pt idx="1467">
                  <c:v>0.24999999999999978</c:v>
                </c:pt>
                <c:pt idx="1468">
                  <c:v>0.24999999999999978</c:v>
                </c:pt>
                <c:pt idx="1469">
                  <c:v>0.24999999999999978</c:v>
                </c:pt>
                <c:pt idx="1470">
                  <c:v>0.24999999999999978</c:v>
                </c:pt>
                <c:pt idx="1471">
                  <c:v>0.7799999999999998</c:v>
                </c:pt>
                <c:pt idx="1472">
                  <c:v>0.7799999999999998</c:v>
                </c:pt>
                <c:pt idx="1473">
                  <c:v>0.7799999999999998</c:v>
                </c:pt>
                <c:pt idx="1474">
                  <c:v>0.7799999999999998</c:v>
                </c:pt>
                <c:pt idx="1475">
                  <c:v>0.24999999999999978</c:v>
                </c:pt>
                <c:pt idx="1476">
                  <c:v>0.24999999999999978</c:v>
                </c:pt>
                <c:pt idx="1477">
                  <c:v>0.24999999999999978</c:v>
                </c:pt>
                <c:pt idx="1478">
                  <c:v>0.24999999999999978</c:v>
                </c:pt>
                <c:pt idx="1479">
                  <c:v>0.7799999999999998</c:v>
                </c:pt>
                <c:pt idx="1480">
                  <c:v>0.7799999999999998</c:v>
                </c:pt>
                <c:pt idx="1481">
                  <c:v>0.7799999999999998</c:v>
                </c:pt>
                <c:pt idx="1482">
                  <c:v>0.7799999999999998</c:v>
                </c:pt>
                <c:pt idx="1483">
                  <c:v>0.24999999999999978</c:v>
                </c:pt>
                <c:pt idx="1484">
                  <c:v>0.24999999999999978</c:v>
                </c:pt>
                <c:pt idx="1485">
                  <c:v>0.24999999999999978</c:v>
                </c:pt>
                <c:pt idx="1486">
                  <c:v>0.24999999999999978</c:v>
                </c:pt>
                <c:pt idx="1487">
                  <c:v>0.7799999999999998</c:v>
                </c:pt>
                <c:pt idx="1488">
                  <c:v>0.7799999999999998</c:v>
                </c:pt>
                <c:pt idx="1489">
                  <c:v>0.7799999999999998</c:v>
                </c:pt>
                <c:pt idx="1490">
                  <c:v>0.7799999999999998</c:v>
                </c:pt>
                <c:pt idx="1491">
                  <c:v>0.24999999999999978</c:v>
                </c:pt>
                <c:pt idx="1492">
                  <c:v>0.24999999999999978</c:v>
                </c:pt>
                <c:pt idx="1493">
                  <c:v>0.24999999999999978</c:v>
                </c:pt>
                <c:pt idx="1494">
                  <c:v>0.24999999999999978</c:v>
                </c:pt>
                <c:pt idx="1495">
                  <c:v>0.7799999999999998</c:v>
                </c:pt>
                <c:pt idx="1496">
                  <c:v>0.7799999999999998</c:v>
                </c:pt>
                <c:pt idx="1497">
                  <c:v>0.7799999999999998</c:v>
                </c:pt>
                <c:pt idx="1498">
                  <c:v>0.7799999999999998</c:v>
                </c:pt>
                <c:pt idx="1499">
                  <c:v>0.24999999999999978</c:v>
                </c:pt>
                <c:pt idx="1500">
                  <c:v>0.24999999999999978</c:v>
                </c:pt>
                <c:pt idx="1501">
                  <c:v>0.24999999999999978</c:v>
                </c:pt>
                <c:pt idx="1502">
                  <c:v>0.24999999999999978</c:v>
                </c:pt>
                <c:pt idx="1503">
                  <c:v>0.7799999999999998</c:v>
                </c:pt>
                <c:pt idx="1504">
                  <c:v>0.7799999999999998</c:v>
                </c:pt>
                <c:pt idx="1505">
                  <c:v>0.7799999999999998</c:v>
                </c:pt>
                <c:pt idx="1506">
                  <c:v>0.7799999999999998</c:v>
                </c:pt>
                <c:pt idx="1507">
                  <c:v>0.24999999999999978</c:v>
                </c:pt>
                <c:pt idx="1508">
                  <c:v>0.24999999999999978</c:v>
                </c:pt>
                <c:pt idx="1509">
                  <c:v>0.24999999999999978</c:v>
                </c:pt>
                <c:pt idx="1510">
                  <c:v>0.24999999999999978</c:v>
                </c:pt>
                <c:pt idx="1511">
                  <c:v>0.7799999999999998</c:v>
                </c:pt>
                <c:pt idx="1512">
                  <c:v>0.7799999999999998</c:v>
                </c:pt>
                <c:pt idx="1513">
                  <c:v>0.7799999999999998</c:v>
                </c:pt>
                <c:pt idx="1514">
                  <c:v>0.7799999999999998</c:v>
                </c:pt>
                <c:pt idx="1515">
                  <c:v>0.24999999999999978</c:v>
                </c:pt>
                <c:pt idx="1516">
                  <c:v>0.24999999999999978</c:v>
                </c:pt>
                <c:pt idx="1517">
                  <c:v>0.24999999999999978</c:v>
                </c:pt>
                <c:pt idx="1518">
                  <c:v>0.24999999999999978</c:v>
                </c:pt>
                <c:pt idx="1519">
                  <c:v>0.7799999999999998</c:v>
                </c:pt>
                <c:pt idx="1520">
                  <c:v>0.7799999999999998</c:v>
                </c:pt>
                <c:pt idx="1521">
                  <c:v>0.7799999999999998</c:v>
                </c:pt>
                <c:pt idx="1522">
                  <c:v>0.7799999999999998</c:v>
                </c:pt>
                <c:pt idx="1523">
                  <c:v>0.24999999999999978</c:v>
                </c:pt>
                <c:pt idx="1524">
                  <c:v>0.24999999999999978</c:v>
                </c:pt>
                <c:pt idx="1525">
                  <c:v>0.24999999999999978</c:v>
                </c:pt>
                <c:pt idx="1526">
                  <c:v>0.24999999999999978</c:v>
                </c:pt>
                <c:pt idx="1527">
                  <c:v>0.7799999999999998</c:v>
                </c:pt>
                <c:pt idx="1528">
                  <c:v>0.7799999999999998</c:v>
                </c:pt>
                <c:pt idx="1529">
                  <c:v>0.7799999999999998</c:v>
                </c:pt>
                <c:pt idx="1530">
                  <c:v>0.7799999999999998</c:v>
                </c:pt>
                <c:pt idx="1531">
                  <c:v>0.24999999999999978</c:v>
                </c:pt>
                <c:pt idx="1532">
                  <c:v>0.24999999999999978</c:v>
                </c:pt>
                <c:pt idx="1533">
                  <c:v>0.24999999999999978</c:v>
                </c:pt>
                <c:pt idx="1534">
                  <c:v>0.24999999999999978</c:v>
                </c:pt>
                <c:pt idx="1535">
                  <c:v>0.7799999999999998</c:v>
                </c:pt>
                <c:pt idx="1536">
                  <c:v>0.7799999999999998</c:v>
                </c:pt>
                <c:pt idx="1537">
                  <c:v>0.7799999999999998</c:v>
                </c:pt>
                <c:pt idx="1538">
                  <c:v>0.7799999999999998</c:v>
                </c:pt>
                <c:pt idx="1539">
                  <c:v>0.24999999999999978</c:v>
                </c:pt>
                <c:pt idx="1540">
                  <c:v>0.24999999999999978</c:v>
                </c:pt>
                <c:pt idx="1541">
                  <c:v>0.24999999999999978</c:v>
                </c:pt>
                <c:pt idx="1542">
                  <c:v>0.24999999999999978</c:v>
                </c:pt>
                <c:pt idx="1543">
                  <c:v>0.7799999999999998</c:v>
                </c:pt>
                <c:pt idx="1544">
                  <c:v>0.7799999999999998</c:v>
                </c:pt>
                <c:pt idx="1545">
                  <c:v>0.7799999999999998</c:v>
                </c:pt>
                <c:pt idx="1546">
                  <c:v>0.7799999999999998</c:v>
                </c:pt>
                <c:pt idx="1547">
                  <c:v>0.24999999999999978</c:v>
                </c:pt>
                <c:pt idx="1548">
                  <c:v>0.24999999999999978</c:v>
                </c:pt>
                <c:pt idx="1549">
                  <c:v>0.24999999999999978</c:v>
                </c:pt>
                <c:pt idx="1550">
                  <c:v>0.24999999999999978</c:v>
                </c:pt>
                <c:pt idx="1551">
                  <c:v>0.7799999999999998</c:v>
                </c:pt>
                <c:pt idx="1552">
                  <c:v>0.7799999999999998</c:v>
                </c:pt>
                <c:pt idx="1553">
                  <c:v>0.7799999999999998</c:v>
                </c:pt>
                <c:pt idx="1554">
                  <c:v>0.7799999999999998</c:v>
                </c:pt>
                <c:pt idx="1555">
                  <c:v>0.24999999999999978</c:v>
                </c:pt>
                <c:pt idx="1556">
                  <c:v>0.24999999999999978</c:v>
                </c:pt>
                <c:pt idx="1557">
                  <c:v>0.24999999999999978</c:v>
                </c:pt>
                <c:pt idx="1558">
                  <c:v>0.24999999999999978</c:v>
                </c:pt>
                <c:pt idx="1559">
                  <c:v>0.7799999999999998</c:v>
                </c:pt>
                <c:pt idx="1560">
                  <c:v>0.7799999999999998</c:v>
                </c:pt>
                <c:pt idx="1561">
                  <c:v>0.7799999999999998</c:v>
                </c:pt>
                <c:pt idx="1562">
                  <c:v>0.7799999999999998</c:v>
                </c:pt>
                <c:pt idx="1563">
                  <c:v>0.24999999999999978</c:v>
                </c:pt>
                <c:pt idx="1564">
                  <c:v>0.24999999999999978</c:v>
                </c:pt>
                <c:pt idx="1565">
                  <c:v>0.24999999999999978</c:v>
                </c:pt>
                <c:pt idx="1566">
                  <c:v>0.24999999999999978</c:v>
                </c:pt>
                <c:pt idx="1567">
                  <c:v>0.7799999999999998</c:v>
                </c:pt>
                <c:pt idx="1568">
                  <c:v>0.7799999999999998</c:v>
                </c:pt>
                <c:pt idx="1569">
                  <c:v>0.7799999999999998</c:v>
                </c:pt>
                <c:pt idx="1570">
                  <c:v>0.7799999999999998</c:v>
                </c:pt>
                <c:pt idx="1571">
                  <c:v>0.24999999999999978</c:v>
                </c:pt>
                <c:pt idx="1572">
                  <c:v>0.24999999999999978</c:v>
                </c:pt>
                <c:pt idx="1573">
                  <c:v>0.24999999999999978</c:v>
                </c:pt>
                <c:pt idx="1574">
                  <c:v>0.24999999999999978</c:v>
                </c:pt>
                <c:pt idx="1575">
                  <c:v>0.7799999999999998</c:v>
                </c:pt>
                <c:pt idx="1576">
                  <c:v>0.7799999999999998</c:v>
                </c:pt>
                <c:pt idx="1577">
                  <c:v>0.7799999999999998</c:v>
                </c:pt>
                <c:pt idx="1578">
                  <c:v>0.7799999999999998</c:v>
                </c:pt>
                <c:pt idx="1579">
                  <c:v>0.24999999999999978</c:v>
                </c:pt>
                <c:pt idx="1580">
                  <c:v>0.24999999999999978</c:v>
                </c:pt>
                <c:pt idx="1581">
                  <c:v>0.24999999999999978</c:v>
                </c:pt>
                <c:pt idx="1582">
                  <c:v>0.24999999999999978</c:v>
                </c:pt>
                <c:pt idx="1583">
                  <c:v>0.7799999999999998</c:v>
                </c:pt>
                <c:pt idx="1584">
                  <c:v>0.7799999999999998</c:v>
                </c:pt>
                <c:pt idx="1585">
                  <c:v>0.7799999999999998</c:v>
                </c:pt>
                <c:pt idx="1586">
                  <c:v>0.7799999999999998</c:v>
                </c:pt>
                <c:pt idx="1587">
                  <c:v>0.24999999999999978</c:v>
                </c:pt>
                <c:pt idx="1588">
                  <c:v>0.24999999999999978</c:v>
                </c:pt>
                <c:pt idx="1589">
                  <c:v>0.24999999999999978</c:v>
                </c:pt>
                <c:pt idx="1590">
                  <c:v>0.24999999999999978</c:v>
                </c:pt>
                <c:pt idx="1591">
                  <c:v>0.7799999999999998</c:v>
                </c:pt>
                <c:pt idx="1592">
                  <c:v>0.7799999999999998</c:v>
                </c:pt>
                <c:pt idx="1593">
                  <c:v>0.7799999999999998</c:v>
                </c:pt>
                <c:pt idx="1594">
                  <c:v>0.7799999999999998</c:v>
                </c:pt>
                <c:pt idx="1595">
                  <c:v>0.24999999999999978</c:v>
                </c:pt>
                <c:pt idx="1596">
                  <c:v>0.24999999999999978</c:v>
                </c:pt>
                <c:pt idx="1597">
                  <c:v>0.24999999999999978</c:v>
                </c:pt>
                <c:pt idx="1598">
                  <c:v>0.24999999999999978</c:v>
                </c:pt>
                <c:pt idx="1599">
                  <c:v>0.7799999999999998</c:v>
                </c:pt>
                <c:pt idx="1600">
                  <c:v>0.7799999999999998</c:v>
                </c:pt>
                <c:pt idx="1601">
                  <c:v>0.7799999999999998</c:v>
                </c:pt>
                <c:pt idx="1602">
                  <c:v>0.7799999999999998</c:v>
                </c:pt>
                <c:pt idx="1603">
                  <c:v>0.24999999999999978</c:v>
                </c:pt>
                <c:pt idx="1604">
                  <c:v>0.24999999999999978</c:v>
                </c:pt>
                <c:pt idx="1605">
                  <c:v>0.24999999999999978</c:v>
                </c:pt>
                <c:pt idx="1606">
                  <c:v>0.24999999999999978</c:v>
                </c:pt>
                <c:pt idx="1607">
                  <c:v>0.7799999999999998</c:v>
                </c:pt>
                <c:pt idx="1608">
                  <c:v>0.7799999999999998</c:v>
                </c:pt>
                <c:pt idx="1609">
                  <c:v>0.7799999999999998</c:v>
                </c:pt>
                <c:pt idx="1610">
                  <c:v>0.7799999999999998</c:v>
                </c:pt>
                <c:pt idx="1611">
                  <c:v>0.24999999999999978</c:v>
                </c:pt>
                <c:pt idx="1612">
                  <c:v>0.24999999999999978</c:v>
                </c:pt>
                <c:pt idx="1613">
                  <c:v>0.24999999999999978</c:v>
                </c:pt>
                <c:pt idx="1614">
                  <c:v>0.24999999999999978</c:v>
                </c:pt>
                <c:pt idx="1615">
                  <c:v>0.7799999999999998</c:v>
                </c:pt>
                <c:pt idx="1616">
                  <c:v>0.7799999999999998</c:v>
                </c:pt>
                <c:pt idx="1617">
                  <c:v>0.7799999999999998</c:v>
                </c:pt>
                <c:pt idx="1618">
                  <c:v>0.7799999999999998</c:v>
                </c:pt>
                <c:pt idx="1619">
                  <c:v>0.24999999999999978</c:v>
                </c:pt>
                <c:pt idx="1620">
                  <c:v>0.24999999999999978</c:v>
                </c:pt>
                <c:pt idx="1621">
                  <c:v>0.24999999999999978</c:v>
                </c:pt>
                <c:pt idx="1622">
                  <c:v>0.24999999999999978</c:v>
                </c:pt>
                <c:pt idx="1623">
                  <c:v>0.7799999999999998</c:v>
                </c:pt>
                <c:pt idx="1624">
                  <c:v>0.7799999999999998</c:v>
                </c:pt>
                <c:pt idx="1625">
                  <c:v>0.7799999999999998</c:v>
                </c:pt>
                <c:pt idx="1626">
                  <c:v>0.7799999999999998</c:v>
                </c:pt>
                <c:pt idx="1627">
                  <c:v>0.24999999999999978</c:v>
                </c:pt>
                <c:pt idx="1628">
                  <c:v>0.24999999999999978</c:v>
                </c:pt>
                <c:pt idx="1629">
                  <c:v>0.24999999999999978</c:v>
                </c:pt>
                <c:pt idx="1630">
                  <c:v>0.24999999999999978</c:v>
                </c:pt>
                <c:pt idx="1631">
                  <c:v>0.7799999999999998</c:v>
                </c:pt>
                <c:pt idx="1632">
                  <c:v>0.7799999999999998</c:v>
                </c:pt>
                <c:pt idx="1633">
                  <c:v>0.7799999999999998</c:v>
                </c:pt>
                <c:pt idx="1634">
                  <c:v>0.7799999999999998</c:v>
                </c:pt>
                <c:pt idx="1635">
                  <c:v>0.24999999999999978</c:v>
                </c:pt>
                <c:pt idx="1636">
                  <c:v>0.24999999999999978</c:v>
                </c:pt>
                <c:pt idx="1637">
                  <c:v>0.24999999999999978</c:v>
                </c:pt>
                <c:pt idx="1638">
                  <c:v>0.24999999999999978</c:v>
                </c:pt>
                <c:pt idx="1639">
                  <c:v>0.7799999999999998</c:v>
                </c:pt>
                <c:pt idx="1640">
                  <c:v>0.7799999999999998</c:v>
                </c:pt>
                <c:pt idx="1641">
                  <c:v>0.7799999999999998</c:v>
                </c:pt>
                <c:pt idx="1642">
                  <c:v>0.7799999999999998</c:v>
                </c:pt>
                <c:pt idx="1643">
                  <c:v>0.24999999999999978</c:v>
                </c:pt>
                <c:pt idx="1644">
                  <c:v>0.24999999999999978</c:v>
                </c:pt>
                <c:pt idx="1645">
                  <c:v>0.24999999999999978</c:v>
                </c:pt>
                <c:pt idx="1646">
                  <c:v>0.24999999999999978</c:v>
                </c:pt>
                <c:pt idx="1647">
                  <c:v>0.7799999999999998</c:v>
                </c:pt>
                <c:pt idx="1648">
                  <c:v>0.7799999999999998</c:v>
                </c:pt>
                <c:pt idx="1649">
                  <c:v>0.7799999999999998</c:v>
                </c:pt>
                <c:pt idx="1650">
                  <c:v>0.7799999999999998</c:v>
                </c:pt>
                <c:pt idx="1651">
                  <c:v>0.24999999999999978</c:v>
                </c:pt>
                <c:pt idx="1652">
                  <c:v>0.24999999999999978</c:v>
                </c:pt>
                <c:pt idx="1653">
                  <c:v>0.24999999999999978</c:v>
                </c:pt>
                <c:pt idx="1654">
                  <c:v>0.24999999999999978</c:v>
                </c:pt>
                <c:pt idx="1655">
                  <c:v>0.7799999999999998</c:v>
                </c:pt>
                <c:pt idx="1656">
                  <c:v>0.7799999999999998</c:v>
                </c:pt>
                <c:pt idx="1657">
                  <c:v>0.7799999999999998</c:v>
                </c:pt>
                <c:pt idx="1658">
                  <c:v>0.7799999999999998</c:v>
                </c:pt>
                <c:pt idx="1659">
                  <c:v>0.24999999999999978</c:v>
                </c:pt>
                <c:pt idx="1660">
                  <c:v>0.24999999999999978</c:v>
                </c:pt>
                <c:pt idx="1661">
                  <c:v>0.24999999999999978</c:v>
                </c:pt>
                <c:pt idx="1662">
                  <c:v>0.24999999999999978</c:v>
                </c:pt>
                <c:pt idx="1663">
                  <c:v>0.7799999999999998</c:v>
                </c:pt>
                <c:pt idx="1664">
                  <c:v>0.7799999999999998</c:v>
                </c:pt>
                <c:pt idx="1665">
                  <c:v>0.7799999999999998</c:v>
                </c:pt>
                <c:pt idx="1666">
                  <c:v>0.7799999999999998</c:v>
                </c:pt>
                <c:pt idx="1667">
                  <c:v>0.24999999999999978</c:v>
                </c:pt>
                <c:pt idx="1668">
                  <c:v>0.24999999999999978</c:v>
                </c:pt>
                <c:pt idx="1669">
                  <c:v>0.24999999999999978</c:v>
                </c:pt>
                <c:pt idx="1670">
                  <c:v>0.24999999999999978</c:v>
                </c:pt>
                <c:pt idx="1671">
                  <c:v>0.7799999999999998</c:v>
                </c:pt>
                <c:pt idx="1672">
                  <c:v>0.7799999999999998</c:v>
                </c:pt>
                <c:pt idx="1673">
                  <c:v>0.7799999999999998</c:v>
                </c:pt>
                <c:pt idx="1674">
                  <c:v>0.7799999999999998</c:v>
                </c:pt>
                <c:pt idx="1675">
                  <c:v>0.24999999999999978</c:v>
                </c:pt>
                <c:pt idx="1676">
                  <c:v>0.24999999999999978</c:v>
                </c:pt>
                <c:pt idx="1677">
                  <c:v>0.24999999999999978</c:v>
                </c:pt>
                <c:pt idx="1678">
                  <c:v>0.24999999999999978</c:v>
                </c:pt>
                <c:pt idx="1679">
                  <c:v>0.7799999999999998</c:v>
                </c:pt>
                <c:pt idx="1680">
                  <c:v>0.7799999999999998</c:v>
                </c:pt>
                <c:pt idx="1681">
                  <c:v>0.7799999999999998</c:v>
                </c:pt>
                <c:pt idx="1682">
                  <c:v>0.7799999999999998</c:v>
                </c:pt>
                <c:pt idx="1683">
                  <c:v>0.24999999999999978</c:v>
                </c:pt>
                <c:pt idx="1684">
                  <c:v>0.24999999999999978</c:v>
                </c:pt>
                <c:pt idx="1685">
                  <c:v>0.24999999999999978</c:v>
                </c:pt>
                <c:pt idx="1686">
                  <c:v>0.24999999999999978</c:v>
                </c:pt>
                <c:pt idx="1687">
                  <c:v>0.7799999999999998</c:v>
                </c:pt>
                <c:pt idx="1688">
                  <c:v>0.7799999999999998</c:v>
                </c:pt>
                <c:pt idx="1689">
                  <c:v>0.7799999999999998</c:v>
                </c:pt>
                <c:pt idx="1690">
                  <c:v>0.7799999999999998</c:v>
                </c:pt>
                <c:pt idx="1691">
                  <c:v>0.24999999999999978</c:v>
                </c:pt>
                <c:pt idx="1692">
                  <c:v>0.24999999999999978</c:v>
                </c:pt>
                <c:pt idx="1693">
                  <c:v>0.24999999999999978</c:v>
                </c:pt>
                <c:pt idx="1694">
                  <c:v>0.24999999999999978</c:v>
                </c:pt>
                <c:pt idx="1695">
                  <c:v>0.7799999999999998</c:v>
                </c:pt>
                <c:pt idx="1696">
                  <c:v>0.7799999999999998</c:v>
                </c:pt>
                <c:pt idx="1697">
                  <c:v>0.7799999999999998</c:v>
                </c:pt>
                <c:pt idx="1698">
                  <c:v>0.7799999999999998</c:v>
                </c:pt>
                <c:pt idx="1699">
                  <c:v>0.24999999999999978</c:v>
                </c:pt>
                <c:pt idx="1700">
                  <c:v>0.24999999999999978</c:v>
                </c:pt>
                <c:pt idx="1701">
                  <c:v>0.24999999999999978</c:v>
                </c:pt>
                <c:pt idx="1702">
                  <c:v>0.24999999999999978</c:v>
                </c:pt>
                <c:pt idx="1703">
                  <c:v>0.7799999999999998</c:v>
                </c:pt>
                <c:pt idx="1704">
                  <c:v>0.7799999999999998</c:v>
                </c:pt>
                <c:pt idx="1705">
                  <c:v>0.7799999999999998</c:v>
                </c:pt>
                <c:pt idx="1706">
                  <c:v>0.7799999999999998</c:v>
                </c:pt>
                <c:pt idx="1707">
                  <c:v>0.24999999999999978</c:v>
                </c:pt>
                <c:pt idx="1708">
                  <c:v>0.24999999999999978</c:v>
                </c:pt>
                <c:pt idx="1709">
                  <c:v>0.24999999999999978</c:v>
                </c:pt>
                <c:pt idx="1710">
                  <c:v>0.24999999999999978</c:v>
                </c:pt>
                <c:pt idx="1711">
                  <c:v>0.7799999999999998</c:v>
                </c:pt>
                <c:pt idx="1712">
                  <c:v>0.7799999999999998</c:v>
                </c:pt>
                <c:pt idx="1713">
                  <c:v>0.7799999999999998</c:v>
                </c:pt>
                <c:pt idx="1714">
                  <c:v>0.7799999999999998</c:v>
                </c:pt>
                <c:pt idx="1715">
                  <c:v>0.24999999999999978</c:v>
                </c:pt>
                <c:pt idx="1716">
                  <c:v>0.24999999999999978</c:v>
                </c:pt>
                <c:pt idx="1717">
                  <c:v>0.24999999999999978</c:v>
                </c:pt>
                <c:pt idx="1718">
                  <c:v>0.24999999999999978</c:v>
                </c:pt>
                <c:pt idx="1719">
                  <c:v>0.7799999999999998</c:v>
                </c:pt>
                <c:pt idx="1720">
                  <c:v>0.7799999999999998</c:v>
                </c:pt>
                <c:pt idx="1721">
                  <c:v>0.7799999999999998</c:v>
                </c:pt>
                <c:pt idx="1722">
                  <c:v>0.7799999999999998</c:v>
                </c:pt>
                <c:pt idx="1723">
                  <c:v>0.24999999999999978</c:v>
                </c:pt>
                <c:pt idx="1724">
                  <c:v>0.24999999999999978</c:v>
                </c:pt>
                <c:pt idx="1725">
                  <c:v>0.24999999999999978</c:v>
                </c:pt>
                <c:pt idx="1726">
                  <c:v>0.24999999999999978</c:v>
                </c:pt>
                <c:pt idx="1727">
                  <c:v>0.7799999999999998</c:v>
                </c:pt>
                <c:pt idx="1728">
                  <c:v>0.7799999999999998</c:v>
                </c:pt>
                <c:pt idx="1729">
                  <c:v>0.7799999999999998</c:v>
                </c:pt>
                <c:pt idx="1730">
                  <c:v>0.7799999999999998</c:v>
                </c:pt>
                <c:pt idx="1731">
                  <c:v>0.24999999999999978</c:v>
                </c:pt>
                <c:pt idx="1732">
                  <c:v>0.24999999999999978</c:v>
                </c:pt>
                <c:pt idx="1733">
                  <c:v>0.24999999999999978</c:v>
                </c:pt>
                <c:pt idx="1734">
                  <c:v>0.24999999999999978</c:v>
                </c:pt>
                <c:pt idx="1735">
                  <c:v>0.7799999999999998</c:v>
                </c:pt>
                <c:pt idx="1736">
                  <c:v>0.7799999999999998</c:v>
                </c:pt>
                <c:pt idx="1737">
                  <c:v>0.7799999999999998</c:v>
                </c:pt>
                <c:pt idx="1738">
                  <c:v>0.7799999999999998</c:v>
                </c:pt>
                <c:pt idx="1739">
                  <c:v>0.24999999999999978</c:v>
                </c:pt>
                <c:pt idx="1740">
                  <c:v>0.24999999999999978</c:v>
                </c:pt>
                <c:pt idx="1741">
                  <c:v>0.24999999999999978</c:v>
                </c:pt>
                <c:pt idx="1742">
                  <c:v>0.24999999999999978</c:v>
                </c:pt>
                <c:pt idx="1743">
                  <c:v>0.7799999999999998</c:v>
                </c:pt>
                <c:pt idx="1744">
                  <c:v>0.7799999999999998</c:v>
                </c:pt>
                <c:pt idx="1745">
                  <c:v>0.7799999999999998</c:v>
                </c:pt>
                <c:pt idx="1746">
                  <c:v>0.7799999999999998</c:v>
                </c:pt>
                <c:pt idx="1747">
                  <c:v>0.24999999999999978</c:v>
                </c:pt>
                <c:pt idx="1748">
                  <c:v>0.24999999999999978</c:v>
                </c:pt>
                <c:pt idx="1749">
                  <c:v>0.24999999999999978</c:v>
                </c:pt>
                <c:pt idx="1750">
                  <c:v>0.24999999999999978</c:v>
                </c:pt>
                <c:pt idx="1751">
                  <c:v>0.7799999999999998</c:v>
                </c:pt>
                <c:pt idx="1752">
                  <c:v>0.7799999999999998</c:v>
                </c:pt>
                <c:pt idx="1753">
                  <c:v>0.7799999999999998</c:v>
                </c:pt>
                <c:pt idx="1754">
                  <c:v>0.7799999999999998</c:v>
                </c:pt>
                <c:pt idx="1755">
                  <c:v>0.24999999999999978</c:v>
                </c:pt>
                <c:pt idx="1756">
                  <c:v>0.24999999999999978</c:v>
                </c:pt>
                <c:pt idx="1757">
                  <c:v>0.24999999999999978</c:v>
                </c:pt>
                <c:pt idx="1758">
                  <c:v>0.24999999999999978</c:v>
                </c:pt>
                <c:pt idx="1759">
                  <c:v>0.7799999999999998</c:v>
                </c:pt>
                <c:pt idx="1760">
                  <c:v>0.7799999999999998</c:v>
                </c:pt>
                <c:pt idx="1761">
                  <c:v>0.7799999999999998</c:v>
                </c:pt>
                <c:pt idx="1762">
                  <c:v>0.7799999999999998</c:v>
                </c:pt>
                <c:pt idx="1763">
                  <c:v>0.24999999999999978</c:v>
                </c:pt>
                <c:pt idx="1764">
                  <c:v>0.24999999999999978</c:v>
                </c:pt>
                <c:pt idx="1765">
                  <c:v>0.24999999999999978</c:v>
                </c:pt>
                <c:pt idx="1766">
                  <c:v>0.24999999999999978</c:v>
                </c:pt>
                <c:pt idx="1767">
                  <c:v>0.7799999999999998</c:v>
                </c:pt>
                <c:pt idx="1768">
                  <c:v>0.7799999999999998</c:v>
                </c:pt>
                <c:pt idx="1769">
                  <c:v>0.7799999999999998</c:v>
                </c:pt>
                <c:pt idx="1770">
                  <c:v>0.7799999999999998</c:v>
                </c:pt>
                <c:pt idx="1771">
                  <c:v>0.24999999999999978</c:v>
                </c:pt>
                <c:pt idx="1772">
                  <c:v>0.24999999999999978</c:v>
                </c:pt>
                <c:pt idx="1773">
                  <c:v>0.24999999999999978</c:v>
                </c:pt>
                <c:pt idx="1774">
                  <c:v>0.24999999999999978</c:v>
                </c:pt>
                <c:pt idx="1775">
                  <c:v>0.7799999999999998</c:v>
                </c:pt>
                <c:pt idx="1776">
                  <c:v>0.7799999999999998</c:v>
                </c:pt>
                <c:pt idx="1777">
                  <c:v>0.7799999999999998</c:v>
                </c:pt>
                <c:pt idx="1778">
                  <c:v>0.7799999999999998</c:v>
                </c:pt>
                <c:pt idx="1779">
                  <c:v>0.24999999999999978</c:v>
                </c:pt>
                <c:pt idx="1780">
                  <c:v>0.24999999999999978</c:v>
                </c:pt>
                <c:pt idx="1781">
                  <c:v>0.24999999999999978</c:v>
                </c:pt>
                <c:pt idx="1782">
                  <c:v>0.24999999999999978</c:v>
                </c:pt>
                <c:pt idx="1783">
                  <c:v>0.7799999999999998</c:v>
                </c:pt>
                <c:pt idx="1784">
                  <c:v>0.7799999999999998</c:v>
                </c:pt>
                <c:pt idx="1785">
                  <c:v>0.7799999999999998</c:v>
                </c:pt>
                <c:pt idx="1786">
                  <c:v>0.7799999999999998</c:v>
                </c:pt>
                <c:pt idx="1787">
                  <c:v>0.24999999999999978</c:v>
                </c:pt>
                <c:pt idx="1788">
                  <c:v>0.24999999999999978</c:v>
                </c:pt>
                <c:pt idx="1789">
                  <c:v>0.24999999999999978</c:v>
                </c:pt>
                <c:pt idx="1790">
                  <c:v>0.24999999999999978</c:v>
                </c:pt>
                <c:pt idx="1791">
                  <c:v>0.7799999999999998</c:v>
                </c:pt>
                <c:pt idx="1792">
                  <c:v>0.7799999999999998</c:v>
                </c:pt>
                <c:pt idx="1793">
                  <c:v>0.7799999999999998</c:v>
                </c:pt>
                <c:pt idx="1794">
                  <c:v>0.7799999999999998</c:v>
                </c:pt>
                <c:pt idx="1795">
                  <c:v>0.24999999999999978</c:v>
                </c:pt>
                <c:pt idx="1796">
                  <c:v>0.24999999999999978</c:v>
                </c:pt>
                <c:pt idx="1797">
                  <c:v>0.24999999999999978</c:v>
                </c:pt>
                <c:pt idx="1798">
                  <c:v>0.24999999999999978</c:v>
                </c:pt>
                <c:pt idx="1799">
                  <c:v>0.7799999999999998</c:v>
                </c:pt>
                <c:pt idx="1800">
                  <c:v>0.7799999999999998</c:v>
                </c:pt>
                <c:pt idx="1801">
                  <c:v>0.7799999999999998</c:v>
                </c:pt>
                <c:pt idx="1802">
                  <c:v>0.7799999999999998</c:v>
                </c:pt>
                <c:pt idx="1803">
                  <c:v>0.24999999999999978</c:v>
                </c:pt>
                <c:pt idx="1804">
                  <c:v>0.24999999999999978</c:v>
                </c:pt>
                <c:pt idx="1805">
                  <c:v>0.24999999999999978</c:v>
                </c:pt>
                <c:pt idx="1806">
                  <c:v>0.24999999999999978</c:v>
                </c:pt>
                <c:pt idx="1807">
                  <c:v>0.7799999999999998</c:v>
                </c:pt>
                <c:pt idx="1808">
                  <c:v>0.7799999999999998</c:v>
                </c:pt>
                <c:pt idx="1809">
                  <c:v>0.7799999999999998</c:v>
                </c:pt>
                <c:pt idx="1810">
                  <c:v>0.7799999999999998</c:v>
                </c:pt>
                <c:pt idx="1811">
                  <c:v>0.24999999999999978</c:v>
                </c:pt>
                <c:pt idx="1812">
                  <c:v>0.24999999999999978</c:v>
                </c:pt>
                <c:pt idx="1813">
                  <c:v>0.24999999999999978</c:v>
                </c:pt>
                <c:pt idx="1814">
                  <c:v>0.24999999999999978</c:v>
                </c:pt>
                <c:pt idx="1815">
                  <c:v>0.7799999999999998</c:v>
                </c:pt>
                <c:pt idx="1816">
                  <c:v>0.7799999999999998</c:v>
                </c:pt>
                <c:pt idx="1817">
                  <c:v>0.7799999999999998</c:v>
                </c:pt>
                <c:pt idx="1818">
                  <c:v>0.7799999999999998</c:v>
                </c:pt>
                <c:pt idx="1819">
                  <c:v>0.24999999999999978</c:v>
                </c:pt>
                <c:pt idx="1820">
                  <c:v>0.24999999999999978</c:v>
                </c:pt>
                <c:pt idx="1821">
                  <c:v>0.24999999999999978</c:v>
                </c:pt>
                <c:pt idx="1822">
                  <c:v>0.24999999999999978</c:v>
                </c:pt>
                <c:pt idx="1823">
                  <c:v>0.7799999999999998</c:v>
                </c:pt>
                <c:pt idx="1824">
                  <c:v>0.7799999999999998</c:v>
                </c:pt>
                <c:pt idx="1825">
                  <c:v>0.7799999999999998</c:v>
                </c:pt>
                <c:pt idx="1826">
                  <c:v>0.7799999999999998</c:v>
                </c:pt>
                <c:pt idx="1827">
                  <c:v>0.24999999999999978</c:v>
                </c:pt>
                <c:pt idx="1828">
                  <c:v>0.24999999999999978</c:v>
                </c:pt>
                <c:pt idx="1829">
                  <c:v>0.24999999999999978</c:v>
                </c:pt>
                <c:pt idx="1830">
                  <c:v>0.24999999999999978</c:v>
                </c:pt>
                <c:pt idx="1831">
                  <c:v>0.7799999999999998</c:v>
                </c:pt>
                <c:pt idx="1832">
                  <c:v>0.7799999999999998</c:v>
                </c:pt>
                <c:pt idx="1833">
                  <c:v>0.7799999999999998</c:v>
                </c:pt>
                <c:pt idx="1834">
                  <c:v>0.7799999999999998</c:v>
                </c:pt>
                <c:pt idx="1835">
                  <c:v>0.24999999999999978</c:v>
                </c:pt>
                <c:pt idx="1836">
                  <c:v>0.24999999999999978</c:v>
                </c:pt>
                <c:pt idx="1837">
                  <c:v>0.24999999999999978</c:v>
                </c:pt>
                <c:pt idx="1838">
                  <c:v>0.24999999999999978</c:v>
                </c:pt>
                <c:pt idx="1839">
                  <c:v>0.7799999999999998</c:v>
                </c:pt>
                <c:pt idx="1840">
                  <c:v>0.7799999999999998</c:v>
                </c:pt>
                <c:pt idx="1841">
                  <c:v>0.7799999999999998</c:v>
                </c:pt>
                <c:pt idx="1842">
                  <c:v>0.7799999999999998</c:v>
                </c:pt>
                <c:pt idx="1843">
                  <c:v>0.24999999999999978</c:v>
                </c:pt>
                <c:pt idx="1844">
                  <c:v>0.24999999999999978</c:v>
                </c:pt>
                <c:pt idx="1845">
                  <c:v>0.24999999999999978</c:v>
                </c:pt>
                <c:pt idx="1846">
                  <c:v>0.24999999999999978</c:v>
                </c:pt>
                <c:pt idx="1847">
                  <c:v>0.7799999999999998</c:v>
                </c:pt>
                <c:pt idx="1848">
                  <c:v>0.7799999999999998</c:v>
                </c:pt>
                <c:pt idx="1849">
                  <c:v>0.7799999999999998</c:v>
                </c:pt>
                <c:pt idx="1850">
                  <c:v>0.7799999999999998</c:v>
                </c:pt>
                <c:pt idx="1851">
                  <c:v>0.24999999999999978</c:v>
                </c:pt>
                <c:pt idx="1852">
                  <c:v>0.24999999999999978</c:v>
                </c:pt>
                <c:pt idx="1853">
                  <c:v>0.24999999999999978</c:v>
                </c:pt>
                <c:pt idx="1854">
                  <c:v>0.24999999999999978</c:v>
                </c:pt>
                <c:pt idx="1855">
                  <c:v>0.7799999999999998</c:v>
                </c:pt>
                <c:pt idx="1856">
                  <c:v>0.7799999999999998</c:v>
                </c:pt>
                <c:pt idx="1857">
                  <c:v>0.7799999999999998</c:v>
                </c:pt>
                <c:pt idx="1858">
                  <c:v>0.7799999999999998</c:v>
                </c:pt>
                <c:pt idx="1859">
                  <c:v>0.24999999999999978</c:v>
                </c:pt>
                <c:pt idx="1860">
                  <c:v>0.24999999999999978</c:v>
                </c:pt>
                <c:pt idx="1861">
                  <c:v>0.24999999999999978</c:v>
                </c:pt>
                <c:pt idx="1862">
                  <c:v>0.24999999999999978</c:v>
                </c:pt>
                <c:pt idx="1863">
                  <c:v>0.7799999999999998</c:v>
                </c:pt>
                <c:pt idx="1864">
                  <c:v>0.7799999999999998</c:v>
                </c:pt>
                <c:pt idx="1865">
                  <c:v>0.7799999999999998</c:v>
                </c:pt>
                <c:pt idx="1866">
                  <c:v>0.7799999999999998</c:v>
                </c:pt>
                <c:pt idx="1867">
                  <c:v>0.24999999999999978</c:v>
                </c:pt>
                <c:pt idx="1868">
                  <c:v>0.24999999999999978</c:v>
                </c:pt>
                <c:pt idx="1869">
                  <c:v>0.24999999999999978</c:v>
                </c:pt>
                <c:pt idx="1870">
                  <c:v>0.24999999999999978</c:v>
                </c:pt>
                <c:pt idx="1871">
                  <c:v>0.7799999999999998</c:v>
                </c:pt>
                <c:pt idx="1872">
                  <c:v>0.7799999999999998</c:v>
                </c:pt>
                <c:pt idx="1873">
                  <c:v>0.7799999999999998</c:v>
                </c:pt>
                <c:pt idx="1874">
                  <c:v>0.7799999999999998</c:v>
                </c:pt>
                <c:pt idx="1875">
                  <c:v>0.24999999999999978</c:v>
                </c:pt>
                <c:pt idx="1876">
                  <c:v>0.24999999999999978</c:v>
                </c:pt>
                <c:pt idx="1877">
                  <c:v>0.24999999999999978</c:v>
                </c:pt>
                <c:pt idx="1878">
                  <c:v>0.24999999999999978</c:v>
                </c:pt>
                <c:pt idx="1879">
                  <c:v>0.7799999999999998</c:v>
                </c:pt>
                <c:pt idx="1880">
                  <c:v>0.7799999999999998</c:v>
                </c:pt>
                <c:pt idx="1881">
                  <c:v>0.7799999999999998</c:v>
                </c:pt>
                <c:pt idx="1882">
                  <c:v>0.7799999999999998</c:v>
                </c:pt>
                <c:pt idx="1883">
                  <c:v>0.24999999999999978</c:v>
                </c:pt>
                <c:pt idx="1884">
                  <c:v>0.24999999999999978</c:v>
                </c:pt>
                <c:pt idx="1885">
                  <c:v>0.24999999999999978</c:v>
                </c:pt>
                <c:pt idx="1886">
                  <c:v>0.24999999999999978</c:v>
                </c:pt>
                <c:pt idx="1887">
                  <c:v>0.7799999999999998</c:v>
                </c:pt>
                <c:pt idx="1888">
                  <c:v>0.7799999999999998</c:v>
                </c:pt>
                <c:pt idx="1889">
                  <c:v>0.7799999999999998</c:v>
                </c:pt>
                <c:pt idx="1890">
                  <c:v>0.7799999999999998</c:v>
                </c:pt>
                <c:pt idx="1891">
                  <c:v>0.24999999999999978</c:v>
                </c:pt>
                <c:pt idx="1892">
                  <c:v>0.24999999999999978</c:v>
                </c:pt>
                <c:pt idx="1893">
                  <c:v>0.24999999999999978</c:v>
                </c:pt>
                <c:pt idx="1894">
                  <c:v>0.24999999999999978</c:v>
                </c:pt>
                <c:pt idx="1895">
                  <c:v>0.7799999999999998</c:v>
                </c:pt>
                <c:pt idx="1896">
                  <c:v>0.7799999999999998</c:v>
                </c:pt>
                <c:pt idx="1897">
                  <c:v>0.7799999999999998</c:v>
                </c:pt>
                <c:pt idx="1898">
                  <c:v>0.7799999999999998</c:v>
                </c:pt>
                <c:pt idx="1899">
                  <c:v>0.24999999999999978</c:v>
                </c:pt>
                <c:pt idx="1900">
                  <c:v>0.24999999999999978</c:v>
                </c:pt>
                <c:pt idx="1901">
                  <c:v>0.24999999999999978</c:v>
                </c:pt>
                <c:pt idx="1902">
                  <c:v>0.24999999999999978</c:v>
                </c:pt>
                <c:pt idx="1903">
                  <c:v>0.7799999999999998</c:v>
                </c:pt>
                <c:pt idx="1904">
                  <c:v>0.7799999999999998</c:v>
                </c:pt>
                <c:pt idx="1905">
                  <c:v>0.7799999999999998</c:v>
                </c:pt>
                <c:pt idx="1906">
                  <c:v>0.7799999999999998</c:v>
                </c:pt>
                <c:pt idx="1907">
                  <c:v>0.24999999999999978</c:v>
                </c:pt>
                <c:pt idx="1908">
                  <c:v>0.24999999999999978</c:v>
                </c:pt>
                <c:pt idx="1909">
                  <c:v>0.24999999999999978</c:v>
                </c:pt>
                <c:pt idx="1910">
                  <c:v>0.24999999999999978</c:v>
                </c:pt>
                <c:pt idx="1911">
                  <c:v>0.7799999999999998</c:v>
                </c:pt>
                <c:pt idx="1912">
                  <c:v>0.7799999999999998</c:v>
                </c:pt>
                <c:pt idx="1913">
                  <c:v>0.7799999999999998</c:v>
                </c:pt>
                <c:pt idx="1914">
                  <c:v>0.7799999999999998</c:v>
                </c:pt>
                <c:pt idx="1915">
                  <c:v>0.24999999999999978</c:v>
                </c:pt>
                <c:pt idx="1916">
                  <c:v>0.24999999999999978</c:v>
                </c:pt>
                <c:pt idx="1917">
                  <c:v>0.24999999999999978</c:v>
                </c:pt>
                <c:pt idx="1918">
                  <c:v>0.24999999999999978</c:v>
                </c:pt>
                <c:pt idx="1919">
                  <c:v>0.7799999999999998</c:v>
                </c:pt>
                <c:pt idx="1920">
                  <c:v>0.7799999999999998</c:v>
                </c:pt>
                <c:pt idx="1921">
                  <c:v>0.7799999999999998</c:v>
                </c:pt>
                <c:pt idx="1922">
                  <c:v>0.7799999999999998</c:v>
                </c:pt>
                <c:pt idx="1923">
                  <c:v>0.24999999999999978</c:v>
                </c:pt>
                <c:pt idx="1924">
                  <c:v>0.24999999999999978</c:v>
                </c:pt>
                <c:pt idx="1925">
                  <c:v>0.24999999999999978</c:v>
                </c:pt>
                <c:pt idx="1926">
                  <c:v>0.78</c:v>
                </c:pt>
                <c:pt idx="1927">
                  <c:v>0.78</c:v>
                </c:pt>
                <c:pt idx="1928">
                  <c:v>0.78</c:v>
                </c:pt>
                <c:pt idx="1929">
                  <c:v>1.31</c:v>
                </c:pt>
                <c:pt idx="1930">
                  <c:v>1.31</c:v>
                </c:pt>
                <c:pt idx="1931">
                  <c:v>1.31</c:v>
                </c:pt>
                <c:pt idx="1932">
                  <c:v>1.31</c:v>
                </c:pt>
                <c:pt idx="1933">
                  <c:v>0.78</c:v>
                </c:pt>
                <c:pt idx="1934">
                  <c:v>0.78</c:v>
                </c:pt>
                <c:pt idx="1935">
                  <c:v>0.78</c:v>
                </c:pt>
                <c:pt idx="1936">
                  <c:v>0.78</c:v>
                </c:pt>
                <c:pt idx="1937">
                  <c:v>1.31</c:v>
                </c:pt>
                <c:pt idx="1938">
                  <c:v>1.31</c:v>
                </c:pt>
                <c:pt idx="1939">
                  <c:v>1.31</c:v>
                </c:pt>
                <c:pt idx="1940">
                  <c:v>1.31</c:v>
                </c:pt>
                <c:pt idx="1941">
                  <c:v>0.78</c:v>
                </c:pt>
                <c:pt idx="1942">
                  <c:v>0.78</c:v>
                </c:pt>
                <c:pt idx="1943">
                  <c:v>0.78</c:v>
                </c:pt>
                <c:pt idx="1944">
                  <c:v>0.78</c:v>
                </c:pt>
                <c:pt idx="1945">
                  <c:v>1.31</c:v>
                </c:pt>
                <c:pt idx="1946">
                  <c:v>1.31</c:v>
                </c:pt>
                <c:pt idx="1947">
                  <c:v>1.31</c:v>
                </c:pt>
                <c:pt idx="1948">
                  <c:v>1.31</c:v>
                </c:pt>
                <c:pt idx="1949">
                  <c:v>0.78</c:v>
                </c:pt>
                <c:pt idx="1950">
                  <c:v>0.78</c:v>
                </c:pt>
                <c:pt idx="1951">
                  <c:v>0.78</c:v>
                </c:pt>
                <c:pt idx="1952">
                  <c:v>0.78</c:v>
                </c:pt>
                <c:pt idx="1953">
                  <c:v>1.31</c:v>
                </c:pt>
                <c:pt idx="1954">
                  <c:v>1.31</c:v>
                </c:pt>
                <c:pt idx="1955">
                  <c:v>1.31</c:v>
                </c:pt>
                <c:pt idx="1956">
                  <c:v>1.31</c:v>
                </c:pt>
                <c:pt idx="1957">
                  <c:v>0.78</c:v>
                </c:pt>
                <c:pt idx="1958">
                  <c:v>0.78</c:v>
                </c:pt>
                <c:pt idx="1959">
                  <c:v>0.78</c:v>
                </c:pt>
                <c:pt idx="1960">
                  <c:v>0.78</c:v>
                </c:pt>
                <c:pt idx="1961">
                  <c:v>1.31</c:v>
                </c:pt>
                <c:pt idx="1962">
                  <c:v>1.31</c:v>
                </c:pt>
                <c:pt idx="1963">
                  <c:v>1.31</c:v>
                </c:pt>
                <c:pt idx="1964">
                  <c:v>1.31</c:v>
                </c:pt>
                <c:pt idx="1965">
                  <c:v>0.78</c:v>
                </c:pt>
                <c:pt idx="1966">
                  <c:v>0.78</c:v>
                </c:pt>
                <c:pt idx="1967">
                  <c:v>0.78</c:v>
                </c:pt>
                <c:pt idx="1968">
                  <c:v>0.78</c:v>
                </c:pt>
                <c:pt idx="1969">
                  <c:v>1.31</c:v>
                </c:pt>
                <c:pt idx="1970">
                  <c:v>1.31</c:v>
                </c:pt>
                <c:pt idx="1971">
                  <c:v>1.31</c:v>
                </c:pt>
                <c:pt idx="1972">
                  <c:v>1.31</c:v>
                </c:pt>
                <c:pt idx="1973">
                  <c:v>0.78</c:v>
                </c:pt>
                <c:pt idx="1974">
                  <c:v>0.78</c:v>
                </c:pt>
                <c:pt idx="1975">
                  <c:v>0.78</c:v>
                </c:pt>
                <c:pt idx="1976">
                  <c:v>0.78</c:v>
                </c:pt>
                <c:pt idx="1977">
                  <c:v>1.31</c:v>
                </c:pt>
                <c:pt idx="1978">
                  <c:v>1.31</c:v>
                </c:pt>
                <c:pt idx="1979">
                  <c:v>1.31</c:v>
                </c:pt>
                <c:pt idx="1980">
                  <c:v>1.31</c:v>
                </c:pt>
                <c:pt idx="1981">
                  <c:v>0.78</c:v>
                </c:pt>
                <c:pt idx="1982">
                  <c:v>0.78</c:v>
                </c:pt>
                <c:pt idx="1983">
                  <c:v>0.78</c:v>
                </c:pt>
                <c:pt idx="1984">
                  <c:v>0.78</c:v>
                </c:pt>
                <c:pt idx="1985">
                  <c:v>1.31</c:v>
                </c:pt>
                <c:pt idx="1986">
                  <c:v>1.31</c:v>
                </c:pt>
                <c:pt idx="1987">
                  <c:v>1.31</c:v>
                </c:pt>
                <c:pt idx="1988">
                  <c:v>1.31</c:v>
                </c:pt>
                <c:pt idx="1989">
                  <c:v>0.78</c:v>
                </c:pt>
                <c:pt idx="1990">
                  <c:v>0.78</c:v>
                </c:pt>
                <c:pt idx="1991">
                  <c:v>0.78</c:v>
                </c:pt>
                <c:pt idx="1992">
                  <c:v>0.78</c:v>
                </c:pt>
                <c:pt idx="1993">
                  <c:v>1.31</c:v>
                </c:pt>
                <c:pt idx="1994">
                  <c:v>1.31</c:v>
                </c:pt>
                <c:pt idx="1995">
                  <c:v>1.31</c:v>
                </c:pt>
                <c:pt idx="1996">
                  <c:v>1.31</c:v>
                </c:pt>
                <c:pt idx="1997">
                  <c:v>0.78</c:v>
                </c:pt>
                <c:pt idx="1998">
                  <c:v>0.78</c:v>
                </c:pt>
                <c:pt idx="1999">
                  <c:v>0.78</c:v>
                </c:pt>
                <c:pt idx="2000">
                  <c:v>0.78</c:v>
                </c:pt>
                <c:pt idx="2001">
                  <c:v>1.31</c:v>
                </c:pt>
                <c:pt idx="2002">
                  <c:v>1.31</c:v>
                </c:pt>
                <c:pt idx="2003">
                  <c:v>1.31</c:v>
                </c:pt>
                <c:pt idx="2004">
                  <c:v>1.31</c:v>
                </c:pt>
                <c:pt idx="2005">
                  <c:v>0.78</c:v>
                </c:pt>
                <c:pt idx="2006">
                  <c:v>0.78</c:v>
                </c:pt>
                <c:pt idx="2007">
                  <c:v>0.78</c:v>
                </c:pt>
                <c:pt idx="2008">
                  <c:v>0.78</c:v>
                </c:pt>
                <c:pt idx="2009">
                  <c:v>1.31</c:v>
                </c:pt>
                <c:pt idx="2010">
                  <c:v>1.31</c:v>
                </c:pt>
                <c:pt idx="2011">
                  <c:v>1.31</c:v>
                </c:pt>
                <c:pt idx="2012">
                  <c:v>1.31</c:v>
                </c:pt>
                <c:pt idx="2013">
                  <c:v>0.78</c:v>
                </c:pt>
                <c:pt idx="2014">
                  <c:v>0.78</c:v>
                </c:pt>
                <c:pt idx="2015">
                  <c:v>0.78</c:v>
                </c:pt>
                <c:pt idx="2016">
                  <c:v>0.78</c:v>
                </c:pt>
                <c:pt idx="2017">
                  <c:v>1.31</c:v>
                </c:pt>
                <c:pt idx="2018">
                  <c:v>1.31</c:v>
                </c:pt>
                <c:pt idx="2019">
                  <c:v>1.31</c:v>
                </c:pt>
                <c:pt idx="2020">
                  <c:v>1.31</c:v>
                </c:pt>
                <c:pt idx="2021">
                  <c:v>0.78</c:v>
                </c:pt>
                <c:pt idx="2022">
                  <c:v>0.78</c:v>
                </c:pt>
                <c:pt idx="2023">
                  <c:v>0.78</c:v>
                </c:pt>
                <c:pt idx="2024">
                  <c:v>0.78</c:v>
                </c:pt>
                <c:pt idx="2025">
                  <c:v>1.31</c:v>
                </c:pt>
                <c:pt idx="2026">
                  <c:v>1.31</c:v>
                </c:pt>
                <c:pt idx="2027">
                  <c:v>1.31</c:v>
                </c:pt>
                <c:pt idx="2028">
                  <c:v>1.31</c:v>
                </c:pt>
                <c:pt idx="2029">
                  <c:v>0.78</c:v>
                </c:pt>
                <c:pt idx="2030">
                  <c:v>0.78</c:v>
                </c:pt>
                <c:pt idx="2031">
                  <c:v>0.78</c:v>
                </c:pt>
                <c:pt idx="2032">
                  <c:v>0.78</c:v>
                </c:pt>
                <c:pt idx="2033">
                  <c:v>1.31</c:v>
                </c:pt>
                <c:pt idx="2034">
                  <c:v>1.31</c:v>
                </c:pt>
                <c:pt idx="2035">
                  <c:v>1.31</c:v>
                </c:pt>
                <c:pt idx="2036">
                  <c:v>1.31</c:v>
                </c:pt>
                <c:pt idx="2037">
                  <c:v>0.78</c:v>
                </c:pt>
                <c:pt idx="2038">
                  <c:v>0.78</c:v>
                </c:pt>
                <c:pt idx="2039">
                  <c:v>0.78</c:v>
                </c:pt>
                <c:pt idx="2040">
                  <c:v>0.78</c:v>
                </c:pt>
                <c:pt idx="2041">
                  <c:v>1.31</c:v>
                </c:pt>
                <c:pt idx="2042">
                  <c:v>1.31</c:v>
                </c:pt>
                <c:pt idx="2043">
                  <c:v>1.31</c:v>
                </c:pt>
                <c:pt idx="2044">
                  <c:v>1.31</c:v>
                </c:pt>
                <c:pt idx="2045">
                  <c:v>0.78</c:v>
                </c:pt>
                <c:pt idx="2046">
                  <c:v>0.78</c:v>
                </c:pt>
                <c:pt idx="2047">
                  <c:v>0.78</c:v>
                </c:pt>
                <c:pt idx="2048">
                  <c:v>0.78</c:v>
                </c:pt>
                <c:pt idx="2049">
                  <c:v>1.31</c:v>
                </c:pt>
                <c:pt idx="2050">
                  <c:v>1.31</c:v>
                </c:pt>
                <c:pt idx="2051">
                  <c:v>1.31</c:v>
                </c:pt>
                <c:pt idx="2052">
                  <c:v>1.31</c:v>
                </c:pt>
                <c:pt idx="2053">
                  <c:v>0.78</c:v>
                </c:pt>
                <c:pt idx="2054">
                  <c:v>0.78</c:v>
                </c:pt>
                <c:pt idx="2055">
                  <c:v>0.78</c:v>
                </c:pt>
                <c:pt idx="2056">
                  <c:v>0.78</c:v>
                </c:pt>
                <c:pt idx="2057">
                  <c:v>1.31</c:v>
                </c:pt>
                <c:pt idx="2058">
                  <c:v>1.31</c:v>
                </c:pt>
                <c:pt idx="2059">
                  <c:v>1.31</c:v>
                </c:pt>
                <c:pt idx="2060">
                  <c:v>1.31</c:v>
                </c:pt>
                <c:pt idx="2061">
                  <c:v>0.78</c:v>
                </c:pt>
                <c:pt idx="2062">
                  <c:v>0.78</c:v>
                </c:pt>
                <c:pt idx="2063">
                  <c:v>0.78</c:v>
                </c:pt>
                <c:pt idx="2064">
                  <c:v>0.78</c:v>
                </c:pt>
                <c:pt idx="2065">
                  <c:v>1.31</c:v>
                </c:pt>
                <c:pt idx="2066">
                  <c:v>1.31</c:v>
                </c:pt>
                <c:pt idx="2067">
                  <c:v>1.31</c:v>
                </c:pt>
                <c:pt idx="2068">
                  <c:v>1.31</c:v>
                </c:pt>
                <c:pt idx="2069">
                  <c:v>0.78</c:v>
                </c:pt>
                <c:pt idx="2070">
                  <c:v>0.78</c:v>
                </c:pt>
                <c:pt idx="2071">
                  <c:v>0.78</c:v>
                </c:pt>
                <c:pt idx="2072">
                  <c:v>0.78</c:v>
                </c:pt>
                <c:pt idx="2073">
                  <c:v>1.31</c:v>
                </c:pt>
                <c:pt idx="2074">
                  <c:v>1.31</c:v>
                </c:pt>
                <c:pt idx="2075">
                  <c:v>1.31</c:v>
                </c:pt>
                <c:pt idx="2076">
                  <c:v>1.31</c:v>
                </c:pt>
                <c:pt idx="2077">
                  <c:v>0.78</c:v>
                </c:pt>
                <c:pt idx="2078">
                  <c:v>0.78</c:v>
                </c:pt>
                <c:pt idx="2079">
                  <c:v>0.78</c:v>
                </c:pt>
                <c:pt idx="2080">
                  <c:v>0.78</c:v>
                </c:pt>
                <c:pt idx="2081">
                  <c:v>1.31</c:v>
                </c:pt>
                <c:pt idx="2082">
                  <c:v>1.31</c:v>
                </c:pt>
                <c:pt idx="2083">
                  <c:v>1.31</c:v>
                </c:pt>
                <c:pt idx="2084">
                  <c:v>1.31</c:v>
                </c:pt>
                <c:pt idx="2085">
                  <c:v>0.78</c:v>
                </c:pt>
                <c:pt idx="2086">
                  <c:v>0.78</c:v>
                </c:pt>
                <c:pt idx="2087">
                  <c:v>0.78</c:v>
                </c:pt>
                <c:pt idx="2088">
                  <c:v>0.78</c:v>
                </c:pt>
                <c:pt idx="2089">
                  <c:v>1.31</c:v>
                </c:pt>
                <c:pt idx="2090">
                  <c:v>1.31</c:v>
                </c:pt>
                <c:pt idx="2091">
                  <c:v>1.31</c:v>
                </c:pt>
                <c:pt idx="2092">
                  <c:v>1.31</c:v>
                </c:pt>
                <c:pt idx="2093">
                  <c:v>0.78</c:v>
                </c:pt>
                <c:pt idx="2094">
                  <c:v>0.78</c:v>
                </c:pt>
                <c:pt idx="2095">
                  <c:v>0.78</c:v>
                </c:pt>
                <c:pt idx="2096">
                  <c:v>0.78</c:v>
                </c:pt>
                <c:pt idx="2097">
                  <c:v>1.31</c:v>
                </c:pt>
                <c:pt idx="2098">
                  <c:v>1.31</c:v>
                </c:pt>
                <c:pt idx="2099">
                  <c:v>1.31</c:v>
                </c:pt>
                <c:pt idx="2100">
                  <c:v>1.31</c:v>
                </c:pt>
                <c:pt idx="2101">
                  <c:v>0.78</c:v>
                </c:pt>
                <c:pt idx="2102">
                  <c:v>0.78</c:v>
                </c:pt>
                <c:pt idx="2103">
                  <c:v>0.78</c:v>
                </c:pt>
                <c:pt idx="2104">
                  <c:v>0.78</c:v>
                </c:pt>
                <c:pt idx="2105">
                  <c:v>1.31</c:v>
                </c:pt>
                <c:pt idx="2106">
                  <c:v>1.31</c:v>
                </c:pt>
                <c:pt idx="2107">
                  <c:v>1.31</c:v>
                </c:pt>
                <c:pt idx="2108">
                  <c:v>1.31</c:v>
                </c:pt>
                <c:pt idx="2109">
                  <c:v>0.78</c:v>
                </c:pt>
                <c:pt idx="2110">
                  <c:v>0.78</c:v>
                </c:pt>
                <c:pt idx="2111">
                  <c:v>0.78</c:v>
                </c:pt>
                <c:pt idx="2112">
                  <c:v>0.78</c:v>
                </c:pt>
                <c:pt idx="2113">
                  <c:v>1.31</c:v>
                </c:pt>
                <c:pt idx="2114">
                  <c:v>1.31</c:v>
                </c:pt>
                <c:pt idx="2115">
                  <c:v>1.31</c:v>
                </c:pt>
                <c:pt idx="2116">
                  <c:v>1.31</c:v>
                </c:pt>
                <c:pt idx="2117">
                  <c:v>0.78</c:v>
                </c:pt>
                <c:pt idx="2118">
                  <c:v>0.78</c:v>
                </c:pt>
                <c:pt idx="2119">
                  <c:v>0.78</c:v>
                </c:pt>
                <c:pt idx="2120">
                  <c:v>0.78</c:v>
                </c:pt>
                <c:pt idx="2121">
                  <c:v>1.31</c:v>
                </c:pt>
                <c:pt idx="2122">
                  <c:v>1.31</c:v>
                </c:pt>
                <c:pt idx="2123">
                  <c:v>1.31</c:v>
                </c:pt>
                <c:pt idx="2124">
                  <c:v>1.31</c:v>
                </c:pt>
                <c:pt idx="2125">
                  <c:v>0.78</c:v>
                </c:pt>
                <c:pt idx="2126">
                  <c:v>0.78</c:v>
                </c:pt>
                <c:pt idx="2127">
                  <c:v>0.78</c:v>
                </c:pt>
                <c:pt idx="2128">
                  <c:v>0.78</c:v>
                </c:pt>
                <c:pt idx="2129">
                  <c:v>1.31</c:v>
                </c:pt>
                <c:pt idx="2130">
                  <c:v>1.31</c:v>
                </c:pt>
                <c:pt idx="2131">
                  <c:v>1.31</c:v>
                </c:pt>
                <c:pt idx="2132">
                  <c:v>1.31</c:v>
                </c:pt>
                <c:pt idx="2133">
                  <c:v>0.78</c:v>
                </c:pt>
                <c:pt idx="2134">
                  <c:v>0.78</c:v>
                </c:pt>
                <c:pt idx="2135">
                  <c:v>0.78</c:v>
                </c:pt>
                <c:pt idx="2136">
                  <c:v>0.78</c:v>
                </c:pt>
                <c:pt idx="2137">
                  <c:v>1.31</c:v>
                </c:pt>
                <c:pt idx="2138">
                  <c:v>1.31</c:v>
                </c:pt>
                <c:pt idx="2139">
                  <c:v>1.31</c:v>
                </c:pt>
                <c:pt idx="2140">
                  <c:v>1.31</c:v>
                </c:pt>
                <c:pt idx="2141">
                  <c:v>0.78</c:v>
                </c:pt>
                <c:pt idx="2142">
                  <c:v>0.78</c:v>
                </c:pt>
                <c:pt idx="2143">
                  <c:v>0.78</c:v>
                </c:pt>
                <c:pt idx="2144">
                  <c:v>0.78</c:v>
                </c:pt>
                <c:pt idx="2145">
                  <c:v>1.31</c:v>
                </c:pt>
                <c:pt idx="2146">
                  <c:v>1.31</c:v>
                </c:pt>
                <c:pt idx="2147">
                  <c:v>1.31</c:v>
                </c:pt>
                <c:pt idx="2148">
                  <c:v>1.31</c:v>
                </c:pt>
                <c:pt idx="2149">
                  <c:v>0.78</c:v>
                </c:pt>
                <c:pt idx="2150">
                  <c:v>0.78</c:v>
                </c:pt>
                <c:pt idx="2151">
                  <c:v>0.78</c:v>
                </c:pt>
                <c:pt idx="2152">
                  <c:v>0.78</c:v>
                </c:pt>
                <c:pt idx="2153">
                  <c:v>1.31</c:v>
                </c:pt>
                <c:pt idx="2154">
                  <c:v>1.31</c:v>
                </c:pt>
                <c:pt idx="2155">
                  <c:v>1.31</c:v>
                </c:pt>
                <c:pt idx="2156">
                  <c:v>1.31</c:v>
                </c:pt>
                <c:pt idx="2157">
                  <c:v>0.78</c:v>
                </c:pt>
                <c:pt idx="2158">
                  <c:v>0.78</c:v>
                </c:pt>
                <c:pt idx="2159">
                  <c:v>0.78</c:v>
                </c:pt>
                <c:pt idx="2160">
                  <c:v>0.78</c:v>
                </c:pt>
                <c:pt idx="2161">
                  <c:v>1.31</c:v>
                </c:pt>
                <c:pt idx="2162">
                  <c:v>1.31</c:v>
                </c:pt>
                <c:pt idx="2163">
                  <c:v>1.31</c:v>
                </c:pt>
                <c:pt idx="2164">
                  <c:v>1.31</c:v>
                </c:pt>
                <c:pt idx="2165">
                  <c:v>0.78</c:v>
                </c:pt>
                <c:pt idx="2166">
                  <c:v>0.78</c:v>
                </c:pt>
                <c:pt idx="2167">
                  <c:v>0.78</c:v>
                </c:pt>
                <c:pt idx="2168">
                  <c:v>0.78</c:v>
                </c:pt>
                <c:pt idx="2169">
                  <c:v>1.31</c:v>
                </c:pt>
                <c:pt idx="2170">
                  <c:v>1.31</c:v>
                </c:pt>
                <c:pt idx="2171">
                  <c:v>1.31</c:v>
                </c:pt>
                <c:pt idx="2172">
                  <c:v>1.31</c:v>
                </c:pt>
                <c:pt idx="2173">
                  <c:v>0.78</c:v>
                </c:pt>
                <c:pt idx="2174">
                  <c:v>0.78</c:v>
                </c:pt>
                <c:pt idx="2175">
                  <c:v>0.78</c:v>
                </c:pt>
                <c:pt idx="2176">
                  <c:v>0.78</c:v>
                </c:pt>
                <c:pt idx="2177">
                  <c:v>1.31</c:v>
                </c:pt>
                <c:pt idx="2178">
                  <c:v>1.31</c:v>
                </c:pt>
                <c:pt idx="2179">
                  <c:v>1.31</c:v>
                </c:pt>
                <c:pt idx="2180">
                  <c:v>1.31</c:v>
                </c:pt>
                <c:pt idx="2181">
                  <c:v>0.78</c:v>
                </c:pt>
                <c:pt idx="2182">
                  <c:v>0.78</c:v>
                </c:pt>
                <c:pt idx="2183">
                  <c:v>0.78</c:v>
                </c:pt>
                <c:pt idx="2184">
                  <c:v>0.78</c:v>
                </c:pt>
                <c:pt idx="2185">
                  <c:v>1.31</c:v>
                </c:pt>
                <c:pt idx="2186">
                  <c:v>1.31</c:v>
                </c:pt>
                <c:pt idx="2187">
                  <c:v>1.31</c:v>
                </c:pt>
                <c:pt idx="2188">
                  <c:v>1.31</c:v>
                </c:pt>
                <c:pt idx="2189">
                  <c:v>0.78</c:v>
                </c:pt>
                <c:pt idx="2190">
                  <c:v>0.78</c:v>
                </c:pt>
                <c:pt idx="2191">
                  <c:v>0.78</c:v>
                </c:pt>
                <c:pt idx="2192">
                  <c:v>0.78</c:v>
                </c:pt>
                <c:pt idx="2193">
                  <c:v>1.31</c:v>
                </c:pt>
                <c:pt idx="2194">
                  <c:v>1.31</c:v>
                </c:pt>
                <c:pt idx="2195">
                  <c:v>1.31</c:v>
                </c:pt>
                <c:pt idx="2196">
                  <c:v>1.31</c:v>
                </c:pt>
                <c:pt idx="2197">
                  <c:v>0.78</c:v>
                </c:pt>
                <c:pt idx="2198">
                  <c:v>0.78</c:v>
                </c:pt>
                <c:pt idx="2199">
                  <c:v>0.78</c:v>
                </c:pt>
                <c:pt idx="2200">
                  <c:v>0.78</c:v>
                </c:pt>
                <c:pt idx="2201">
                  <c:v>1.31</c:v>
                </c:pt>
                <c:pt idx="2202">
                  <c:v>1.31</c:v>
                </c:pt>
                <c:pt idx="2203">
                  <c:v>1.31</c:v>
                </c:pt>
                <c:pt idx="2204">
                  <c:v>1.31</c:v>
                </c:pt>
                <c:pt idx="2205">
                  <c:v>0.78</c:v>
                </c:pt>
                <c:pt idx="2206">
                  <c:v>0.78</c:v>
                </c:pt>
                <c:pt idx="2207">
                  <c:v>0.78</c:v>
                </c:pt>
                <c:pt idx="2208">
                  <c:v>0.78</c:v>
                </c:pt>
                <c:pt idx="2209">
                  <c:v>1.31</c:v>
                </c:pt>
                <c:pt idx="2210">
                  <c:v>1.31</c:v>
                </c:pt>
                <c:pt idx="2211">
                  <c:v>1.31</c:v>
                </c:pt>
                <c:pt idx="2212">
                  <c:v>1.31</c:v>
                </c:pt>
                <c:pt idx="2213">
                  <c:v>0.78</c:v>
                </c:pt>
                <c:pt idx="2214">
                  <c:v>0.78</c:v>
                </c:pt>
                <c:pt idx="2215">
                  <c:v>0.78</c:v>
                </c:pt>
                <c:pt idx="2216">
                  <c:v>0.78</c:v>
                </c:pt>
                <c:pt idx="2217">
                  <c:v>1.31</c:v>
                </c:pt>
                <c:pt idx="2218">
                  <c:v>1.31</c:v>
                </c:pt>
                <c:pt idx="2219">
                  <c:v>1.31</c:v>
                </c:pt>
                <c:pt idx="2220">
                  <c:v>1.31</c:v>
                </c:pt>
                <c:pt idx="2221">
                  <c:v>0.78</c:v>
                </c:pt>
                <c:pt idx="2222">
                  <c:v>0.78</c:v>
                </c:pt>
                <c:pt idx="2223">
                  <c:v>0.78</c:v>
                </c:pt>
                <c:pt idx="2224">
                  <c:v>0.78</c:v>
                </c:pt>
                <c:pt idx="2225">
                  <c:v>1.31</c:v>
                </c:pt>
                <c:pt idx="2226">
                  <c:v>1.31</c:v>
                </c:pt>
                <c:pt idx="2227">
                  <c:v>1.31</c:v>
                </c:pt>
                <c:pt idx="2228">
                  <c:v>1.31</c:v>
                </c:pt>
                <c:pt idx="2229">
                  <c:v>0.78</c:v>
                </c:pt>
                <c:pt idx="2230">
                  <c:v>0.78</c:v>
                </c:pt>
                <c:pt idx="2231">
                  <c:v>0.78</c:v>
                </c:pt>
                <c:pt idx="2232">
                  <c:v>0.78</c:v>
                </c:pt>
                <c:pt idx="2233">
                  <c:v>1.31</c:v>
                </c:pt>
                <c:pt idx="2234">
                  <c:v>1.31</c:v>
                </c:pt>
                <c:pt idx="2235">
                  <c:v>1.31</c:v>
                </c:pt>
                <c:pt idx="2236">
                  <c:v>1.31</c:v>
                </c:pt>
                <c:pt idx="2237">
                  <c:v>0.78</c:v>
                </c:pt>
                <c:pt idx="2238">
                  <c:v>0.78</c:v>
                </c:pt>
                <c:pt idx="2239">
                  <c:v>0.78</c:v>
                </c:pt>
                <c:pt idx="2240">
                  <c:v>0.78</c:v>
                </c:pt>
                <c:pt idx="2241">
                  <c:v>1.31</c:v>
                </c:pt>
                <c:pt idx="2242">
                  <c:v>1.31</c:v>
                </c:pt>
                <c:pt idx="2243">
                  <c:v>1.31</c:v>
                </c:pt>
                <c:pt idx="2244">
                  <c:v>1.31</c:v>
                </c:pt>
                <c:pt idx="2245">
                  <c:v>0.78</c:v>
                </c:pt>
                <c:pt idx="2246">
                  <c:v>0.78</c:v>
                </c:pt>
                <c:pt idx="2247">
                  <c:v>0.78</c:v>
                </c:pt>
                <c:pt idx="2248">
                  <c:v>0.78</c:v>
                </c:pt>
                <c:pt idx="2249">
                  <c:v>1.31</c:v>
                </c:pt>
                <c:pt idx="2250">
                  <c:v>1.31</c:v>
                </c:pt>
                <c:pt idx="2251">
                  <c:v>1.31</c:v>
                </c:pt>
                <c:pt idx="2252">
                  <c:v>1.31</c:v>
                </c:pt>
                <c:pt idx="2253">
                  <c:v>0.78</c:v>
                </c:pt>
                <c:pt idx="2254">
                  <c:v>0.78</c:v>
                </c:pt>
                <c:pt idx="2255">
                  <c:v>0.78</c:v>
                </c:pt>
                <c:pt idx="2256">
                  <c:v>0.78</c:v>
                </c:pt>
                <c:pt idx="2257">
                  <c:v>1.31</c:v>
                </c:pt>
                <c:pt idx="2258">
                  <c:v>1.31</c:v>
                </c:pt>
                <c:pt idx="2259">
                  <c:v>1.31</c:v>
                </c:pt>
                <c:pt idx="2260">
                  <c:v>1.31</c:v>
                </c:pt>
                <c:pt idx="2261">
                  <c:v>0.78</c:v>
                </c:pt>
                <c:pt idx="2262">
                  <c:v>0.78</c:v>
                </c:pt>
                <c:pt idx="2263">
                  <c:v>0.78</c:v>
                </c:pt>
                <c:pt idx="2264">
                  <c:v>0.78</c:v>
                </c:pt>
                <c:pt idx="2265">
                  <c:v>1.31</c:v>
                </c:pt>
                <c:pt idx="2266">
                  <c:v>1.31</c:v>
                </c:pt>
                <c:pt idx="2267">
                  <c:v>1.31</c:v>
                </c:pt>
                <c:pt idx="2268">
                  <c:v>1.31</c:v>
                </c:pt>
                <c:pt idx="2269">
                  <c:v>0.78</c:v>
                </c:pt>
                <c:pt idx="2270">
                  <c:v>0.78</c:v>
                </c:pt>
                <c:pt idx="2271">
                  <c:v>0.78</c:v>
                </c:pt>
                <c:pt idx="2272">
                  <c:v>0.78</c:v>
                </c:pt>
                <c:pt idx="2273">
                  <c:v>1.31</c:v>
                </c:pt>
                <c:pt idx="2274">
                  <c:v>1.31</c:v>
                </c:pt>
                <c:pt idx="2275">
                  <c:v>1.31</c:v>
                </c:pt>
                <c:pt idx="2276">
                  <c:v>1.31</c:v>
                </c:pt>
                <c:pt idx="2277">
                  <c:v>0.78</c:v>
                </c:pt>
                <c:pt idx="2278">
                  <c:v>0.78</c:v>
                </c:pt>
                <c:pt idx="2279">
                  <c:v>0.78</c:v>
                </c:pt>
                <c:pt idx="2280">
                  <c:v>0.78</c:v>
                </c:pt>
                <c:pt idx="2281">
                  <c:v>1.31</c:v>
                </c:pt>
                <c:pt idx="2282">
                  <c:v>1.31</c:v>
                </c:pt>
                <c:pt idx="2283">
                  <c:v>1.31</c:v>
                </c:pt>
                <c:pt idx="2284">
                  <c:v>1.31</c:v>
                </c:pt>
                <c:pt idx="2285">
                  <c:v>0.78</c:v>
                </c:pt>
                <c:pt idx="2286">
                  <c:v>0.78</c:v>
                </c:pt>
                <c:pt idx="2287">
                  <c:v>0.78</c:v>
                </c:pt>
                <c:pt idx="2288">
                  <c:v>0.78</c:v>
                </c:pt>
                <c:pt idx="2289">
                  <c:v>1.31</c:v>
                </c:pt>
                <c:pt idx="2290">
                  <c:v>1.31</c:v>
                </c:pt>
                <c:pt idx="2291">
                  <c:v>1.31</c:v>
                </c:pt>
                <c:pt idx="2292">
                  <c:v>1.31</c:v>
                </c:pt>
                <c:pt idx="2293">
                  <c:v>0.78</c:v>
                </c:pt>
                <c:pt idx="2294">
                  <c:v>0.78</c:v>
                </c:pt>
                <c:pt idx="2295">
                  <c:v>0.78</c:v>
                </c:pt>
                <c:pt idx="2296">
                  <c:v>0.78</c:v>
                </c:pt>
                <c:pt idx="2297">
                  <c:v>1.31</c:v>
                </c:pt>
                <c:pt idx="2298">
                  <c:v>1.31</c:v>
                </c:pt>
                <c:pt idx="2299">
                  <c:v>1.31</c:v>
                </c:pt>
                <c:pt idx="2300">
                  <c:v>1.31</c:v>
                </c:pt>
                <c:pt idx="2301">
                  <c:v>0.78</c:v>
                </c:pt>
                <c:pt idx="2302">
                  <c:v>0.78</c:v>
                </c:pt>
                <c:pt idx="2303">
                  <c:v>0.78</c:v>
                </c:pt>
                <c:pt idx="2304">
                  <c:v>0.78</c:v>
                </c:pt>
                <c:pt idx="2305">
                  <c:v>1.31</c:v>
                </c:pt>
                <c:pt idx="2306">
                  <c:v>1.31</c:v>
                </c:pt>
                <c:pt idx="2307">
                  <c:v>1.31</c:v>
                </c:pt>
                <c:pt idx="2308">
                  <c:v>1.31</c:v>
                </c:pt>
                <c:pt idx="2309">
                  <c:v>0.78</c:v>
                </c:pt>
                <c:pt idx="2310">
                  <c:v>0.78</c:v>
                </c:pt>
                <c:pt idx="2311">
                  <c:v>0.78</c:v>
                </c:pt>
                <c:pt idx="2312">
                  <c:v>0.78</c:v>
                </c:pt>
                <c:pt idx="2313">
                  <c:v>1.31</c:v>
                </c:pt>
                <c:pt idx="2314">
                  <c:v>1.31</c:v>
                </c:pt>
                <c:pt idx="2315">
                  <c:v>1.31</c:v>
                </c:pt>
                <c:pt idx="2316">
                  <c:v>1.31</c:v>
                </c:pt>
                <c:pt idx="2317">
                  <c:v>0.78</c:v>
                </c:pt>
                <c:pt idx="2318">
                  <c:v>0.78</c:v>
                </c:pt>
                <c:pt idx="2319">
                  <c:v>0.78</c:v>
                </c:pt>
                <c:pt idx="2320">
                  <c:v>0.78</c:v>
                </c:pt>
                <c:pt idx="2321">
                  <c:v>1.31</c:v>
                </c:pt>
                <c:pt idx="2322">
                  <c:v>1.31</c:v>
                </c:pt>
                <c:pt idx="2323">
                  <c:v>1.31</c:v>
                </c:pt>
                <c:pt idx="2324">
                  <c:v>1.31</c:v>
                </c:pt>
                <c:pt idx="2325">
                  <c:v>0.78</c:v>
                </c:pt>
                <c:pt idx="2326">
                  <c:v>0.78</c:v>
                </c:pt>
                <c:pt idx="2327">
                  <c:v>0.78</c:v>
                </c:pt>
                <c:pt idx="2328">
                  <c:v>0.78</c:v>
                </c:pt>
                <c:pt idx="2329">
                  <c:v>1.31</c:v>
                </c:pt>
                <c:pt idx="2330">
                  <c:v>1.31</c:v>
                </c:pt>
                <c:pt idx="2331">
                  <c:v>1.31</c:v>
                </c:pt>
                <c:pt idx="2332">
                  <c:v>1.31</c:v>
                </c:pt>
                <c:pt idx="2333">
                  <c:v>0.78</c:v>
                </c:pt>
                <c:pt idx="2334">
                  <c:v>0.78</c:v>
                </c:pt>
                <c:pt idx="2335">
                  <c:v>0.78</c:v>
                </c:pt>
                <c:pt idx="2336">
                  <c:v>0.78</c:v>
                </c:pt>
                <c:pt idx="2337">
                  <c:v>1.31</c:v>
                </c:pt>
                <c:pt idx="2338">
                  <c:v>1.31</c:v>
                </c:pt>
                <c:pt idx="2339">
                  <c:v>1.31</c:v>
                </c:pt>
                <c:pt idx="2340">
                  <c:v>1.31</c:v>
                </c:pt>
                <c:pt idx="2341">
                  <c:v>0.78</c:v>
                </c:pt>
                <c:pt idx="2342">
                  <c:v>0.78</c:v>
                </c:pt>
                <c:pt idx="2343">
                  <c:v>0.78</c:v>
                </c:pt>
                <c:pt idx="2344">
                  <c:v>0.78</c:v>
                </c:pt>
                <c:pt idx="2345">
                  <c:v>1.31</c:v>
                </c:pt>
                <c:pt idx="2346">
                  <c:v>1.31</c:v>
                </c:pt>
                <c:pt idx="2347">
                  <c:v>1.31</c:v>
                </c:pt>
                <c:pt idx="2348">
                  <c:v>1.31</c:v>
                </c:pt>
                <c:pt idx="2349">
                  <c:v>0.78</c:v>
                </c:pt>
                <c:pt idx="2350">
                  <c:v>0.78</c:v>
                </c:pt>
                <c:pt idx="2351">
                  <c:v>0.78</c:v>
                </c:pt>
                <c:pt idx="2352">
                  <c:v>0.78</c:v>
                </c:pt>
                <c:pt idx="2353">
                  <c:v>1.31</c:v>
                </c:pt>
                <c:pt idx="2354">
                  <c:v>1.31</c:v>
                </c:pt>
                <c:pt idx="2355">
                  <c:v>1.31</c:v>
                </c:pt>
                <c:pt idx="2356">
                  <c:v>1.31</c:v>
                </c:pt>
                <c:pt idx="2357">
                  <c:v>0.78</c:v>
                </c:pt>
                <c:pt idx="2358">
                  <c:v>0.78</c:v>
                </c:pt>
                <c:pt idx="2359">
                  <c:v>0.78</c:v>
                </c:pt>
                <c:pt idx="2360">
                  <c:v>0.78</c:v>
                </c:pt>
                <c:pt idx="2361">
                  <c:v>1.31</c:v>
                </c:pt>
                <c:pt idx="2362">
                  <c:v>1.31</c:v>
                </c:pt>
                <c:pt idx="2363">
                  <c:v>1.31</c:v>
                </c:pt>
                <c:pt idx="2364">
                  <c:v>1.31</c:v>
                </c:pt>
                <c:pt idx="2365">
                  <c:v>0.78</c:v>
                </c:pt>
                <c:pt idx="2366">
                  <c:v>0.78</c:v>
                </c:pt>
                <c:pt idx="2367">
                  <c:v>0.78</c:v>
                </c:pt>
                <c:pt idx="2368">
                  <c:v>0.78</c:v>
                </c:pt>
                <c:pt idx="2369">
                  <c:v>1.31</c:v>
                </c:pt>
                <c:pt idx="2370">
                  <c:v>1.31</c:v>
                </c:pt>
                <c:pt idx="2371">
                  <c:v>1.31</c:v>
                </c:pt>
                <c:pt idx="2372">
                  <c:v>1.31</c:v>
                </c:pt>
                <c:pt idx="2373">
                  <c:v>0.78</c:v>
                </c:pt>
                <c:pt idx="2374">
                  <c:v>0.78</c:v>
                </c:pt>
                <c:pt idx="2375">
                  <c:v>0.78</c:v>
                </c:pt>
                <c:pt idx="2376">
                  <c:v>0.78</c:v>
                </c:pt>
                <c:pt idx="2377">
                  <c:v>1.31</c:v>
                </c:pt>
                <c:pt idx="2378">
                  <c:v>1.31</c:v>
                </c:pt>
                <c:pt idx="2379">
                  <c:v>1.31</c:v>
                </c:pt>
                <c:pt idx="2380">
                  <c:v>1.31</c:v>
                </c:pt>
                <c:pt idx="2381">
                  <c:v>0.78</c:v>
                </c:pt>
                <c:pt idx="2382">
                  <c:v>0.78</c:v>
                </c:pt>
                <c:pt idx="2383">
                  <c:v>0.78</c:v>
                </c:pt>
                <c:pt idx="2384">
                  <c:v>0.78</c:v>
                </c:pt>
                <c:pt idx="2385">
                  <c:v>1.31</c:v>
                </c:pt>
                <c:pt idx="2386">
                  <c:v>1.31</c:v>
                </c:pt>
                <c:pt idx="2387">
                  <c:v>1.31</c:v>
                </c:pt>
                <c:pt idx="2388">
                  <c:v>1.31</c:v>
                </c:pt>
                <c:pt idx="2389">
                  <c:v>0.78</c:v>
                </c:pt>
                <c:pt idx="2390">
                  <c:v>0.78</c:v>
                </c:pt>
                <c:pt idx="2391">
                  <c:v>0.78</c:v>
                </c:pt>
                <c:pt idx="2392">
                  <c:v>0.78</c:v>
                </c:pt>
                <c:pt idx="2393">
                  <c:v>1.31</c:v>
                </c:pt>
                <c:pt idx="2394">
                  <c:v>1.31</c:v>
                </c:pt>
                <c:pt idx="2395">
                  <c:v>1.31</c:v>
                </c:pt>
                <c:pt idx="2396">
                  <c:v>1.31</c:v>
                </c:pt>
                <c:pt idx="2397">
                  <c:v>0.78</c:v>
                </c:pt>
                <c:pt idx="2398">
                  <c:v>0.78</c:v>
                </c:pt>
                <c:pt idx="2399">
                  <c:v>0.78</c:v>
                </c:pt>
                <c:pt idx="2400">
                  <c:v>0.78</c:v>
                </c:pt>
                <c:pt idx="2401">
                  <c:v>1.31</c:v>
                </c:pt>
                <c:pt idx="2402">
                  <c:v>1.31</c:v>
                </c:pt>
                <c:pt idx="2403">
                  <c:v>1.31</c:v>
                </c:pt>
                <c:pt idx="2404">
                  <c:v>1.31</c:v>
                </c:pt>
                <c:pt idx="2405">
                  <c:v>0.78</c:v>
                </c:pt>
                <c:pt idx="2406">
                  <c:v>0.78</c:v>
                </c:pt>
                <c:pt idx="2407">
                  <c:v>0.78</c:v>
                </c:pt>
                <c:pt idx="2408">
                  <c:v>1.3100000000000003</c:v>
                </c:pt>
                <c:pt idx="2409">
                  <c:v>1.3100000000000003</c:v>
                </c:pt>
                <c:pt idx="2410">
                  <c:v>1.3100000000000003</c:v>
                </c:pt>
                <c:pt idx="2411">
                  <c:v>1.8400000000000003</c:v>
                </c:pt>
                <c:pt idx="2412">
                  <c:v>1.8400000000000003</c:v>
                </c:pt>
                <c:pt idx="2413">
                  <c:v>1.8400000000000003</c:v>
                </c:pt>
                <c:pt idx="2414">
                  <c:v>1.8400000000000003</c:v>
                </c:pt>
                <c:pt idx="2415">
                  <c:v>1.3100000000000003</c:v>
                </c:pt>
                <c:pt idx="2416">
                  <c:v>1.3100000000000003</c:v>
                </c:pt>
                <c:pt idx="2417">
                  <c:v>1.3100000000000003</c:v>
                </c:pt>
                <c:pt idx="2418">
                  <c:v>1.3100000000000003</c:v>
                </c:pt>
                <c:pt idx="2419">
                  <c:v>1.8400000000000003</c:v>
                </c:pt>
                <c:pt idx="2420">
                  <c:v>1.8400000000000003</c:v>
                </c:pt>
                <c:pt idx="2421">
                  <c:v>1.8400000000000003</c:v>
                </c:pt>
                <c:pt idx="2422">
                  <c:v>1.8400000000000003</c:v>
                </c:pt>
                <c:pt idx="2423">
                  <c:v>1.3100000000000003</c:v>
                </c:pt>
                <c:pt idx="2424">
                  <c:v>1.3100000000000003</c:v>
                </c:pt>
                <c:pt idx="2425">
                  <c:v>1.3100000000000003</c:v>
                </c:pt>
                <c:pt idx="2426">
                  <c:v>1.3100000000000003</c:v>
                </c:pt>
                <c:pt idx="2427">
                  <c:v>1.8400000000000003</c:v>
                </c:pt>
                <c:pt idx="2428">
                  <c:v>1.8400000000000003</c:v>
                </c:pt>
                <c:pt idx="2429">
                  <c:v>1.8400000000000003</c:v>
                </c:pt>
                <c:pt idx="2430">
                  <c:v>1.8400000000000003</c:v>
                </c:pt>
                <c:pt idx="2431">
                  <c:v>1.3100000000000003</c:v>
                </c:pt>
                <c:pt idx="2432">
                  <c:v>1.3100000000000003</c:v>
                </c:pt>
                <c:pt idx="2433">
                  <c:v>1.3100000000000003</c:v>
                </c:pt>
                <c:pt idx="2434">
                  <c:v>1.3100000000000003</c:v>
                </c:pt>
                <c:pt idx="2435">
                  <c:v>1.8400000000000003</c:v>
                </c:pt>
                <c:pt idx="2436">
                  <c:v>1.8400000000000003</c:v>
                </c:pt>
                <c:pt idx="2437">
                  <c:v>1.8400000000000003</c:v>
                </c:pt>
                <c:pt idx="2438">
                  <c:v>1.8400000000000003</c:v>
                </c:pt>
                <c:pt idx="2439">
                  <c:v>1.3100000000000003</c:v>
                </c:pt>
                <c:pt idx="2440">
                  <c:v>1.3100000000000003</c:v>
                </c:pt>
                <c:pt idx="2441">
                  <c:v>1.3100000000000003</c:v>
                </c:pt>
                <c:pt idx="2442">
                  <c:v>1.3100000000000003</c:v>
                </c:pt>
                <c:pt idx="2443">
                  <c:v>1.8400000000000003</c:v>
                </c:pt>
                <c:pt idx="2444">
                  <c:v>1.8400000000000003</c:v>
                </c:pt>
                <c:pt idx="2445">
                  <c:v>1.8400000000000003</c:v>
                </c:pt>
                <c:pt idx="2446">
                  <c:v>1.8400000000000003</c:v>
                </c:pt>
                <c:pt idx="2447">
                  <c:v>1.3100000000000003</c:v>
                </c:pt>
                <c:pt idx="2448">
                  <c:v>1.3100000000000003</c:v>
                </c:pt>
                <c:pt idx="2449">
                  <c:v>1.3100000000000003</c:v>
                </c:pt>
                <c:pt idx="2450">
                  <c:v>1.3100000000000003</c:v>
                </c:pt>
                <c:pt idx="2451">
                  <c:v>1.8400000000000003</c:v>
                </c:pt>
                <c:pt idx="2452">
                  <c:v>1.8400000000000003</c:v>
                </c:pt>
                <c:pt idx="2453">
                  <c:v>1.8400000000000003</c:v>
                </c:pt>
                <c:pt idx="2454">
                  <c:v>1.8400000000000003</c:v>
                </c:pt>
                <c:pt idx="2455">
                  <c:v>1.3100000000000003</c:v>
                </c:pt>
                <c:pt idx="2456">
                  <c:v>1.3100000000000003</c:v>
                </c:pt>
                <c:pt idx="2457">
                  <c:v>1.3100000000000003</c:v>
                </c:pt>
                <c:pt idx="2458">
                  <c:v>1.3100000000000003</c:v>
                </c:pt>
                <c:pt idx="2459">
                  <c:v>1.8400000000000003</c:v>
                </c:pt>
                <c:pt idx="2460">
                  <c:v>1.8400000000000003</c:v>
                </c:pt>
                <c:pt idx="2461">
                  <c:v>1.8400000000000003</c:v>
                </c:pt>
                <c:pt idx="2462">
                  <c:v>1.8400000000000003</c:v>
                </c:pt>
                <c:pt idx="2463">
                  <c:v>1.3100000000000003</c:v>
                </c:pt>
                <c:pt idx="2464">
                  <c:v>1.3100000000000003</c:v>
                </c:pt>
                <c:pt idx="2465">
                  <c:v>1.3100000000000003</c:v>
                </c:pt>
                <c:pt idx="2466">
                  <c:v>1.3100000000000003</c:v>
                </c:pt>
                <c:pt idx="2467">
                  <c:v>1.8400000000000003</c:v>
                </c:pt>
                <c:pt idx="2468">
                  <c:v>1.8400000000000003</c:v>
                </c:pt>
                <c:pt idx="2469">
                  <c:v>1.8400000000000003</c:v>
                </c:pt>
                <c:pt idx="2470">
                  <c:v>1.8400000000000003</c:v>
                </c:pt>
                <c:pt idx="2471">
                  <c:v>1.3100000000000003</c:v>
                </c:pt>
                <c:pt idx="2472">
                  <c:v>1.3100000000000003</c:v>
                </c:pt>
                <c:pt idx="2473">
                  <c:v>1.3100000000000003</c:v>
                </c:pt>
                <c:pt idx="2474">
                  <c:v>1.3100000000000003</c:v>
                </c:pt>
                <c:pt idx="2475">
                  <c:v>1.8400000000000003</c:v>
                </c:pt>
                <c:pt idx="2476">
                  <c:v>1.8400000000000003</c:v>
                </c:pt>
                <c:pt idx="2477">
                  <c:v>1.8400000000000003</c:v>
                </c:pt>
                <c:pt idx="2478">
                  <c:v>1.8400000000000003</c:v>
                </c:pt>
                <c:pt idx="2479">
                  <c:v>1.3100000000000003</c:v>
                </c:pt>
                <c:pt idx="2480">
                  <c:v>1.3100000000000003</c:v>
                </c:pt>
                <c:pt idx="2481">
                  <c:v>1.3100000000000003</c:v>
                </c:pt>
                <c:pt idx="2482">
                  <c:v>1.3100000000000003</c:v>
                </c:pt>
                <c:pt idx="2483">
                  <c:v>1.8400000000000003</c:v>
                </c:pt>
                <c:pt idx="2484">
                  <c:v>1.8400000000000003</c:v>
                </c:pt>
                <c:pt idx="2485">
                  <c:v>1.8400000000000003</c:v>
                </c:pt>
                <c:pt idx="2486">
                  <c:v>1.8400000000000003</c:v>
                </c:pt>
                <c:pt idx="2487">
                  <c:v>1.3100000000000003</c:v>
                </c:pt>
                <c:pt idx="2488">
                  <c:v>1.3100000000000003</c:v>
                </c:pt>
                <c:pt idx="2489">
                  <c:v>1.3100000000000003</c:v>
                </c:pt>
                <c:pt idx="2490">
                  <c:v>1.3100000000000003</c:v>
                </c:pt>
                <c:pt idx="2491">
                  <c:v>1.8400000000000003</c:v>
                </c:pt>
                <c:pt idx="2492">
                  <c:v>1.8400000000000003</c:v>
                </c:pt>
                <c:pt idx="2493">
                  <c:v>1.8400000000000003</c:v>
                </c:pt>
                <c:pt idx="2494">
                  <c:v>1.8400000000000003</c:v>
                </c:pt>
                <c:pt idx="2495">
                  <c:v>1.3100000000000003</c:v>
                </c:pt>
                <c:pt idx="2496">
                  <c:v>1.3100000000000003</c:v>
                </c:pt>
                <c:pt idx="2497">
                  <c:v>1.3100000000000003</c:v>
                </c:pt>
                <c:pt idx="2498">
                  <c:v>1.3100000000000003</c:v>
                </c:pt>
                <c:pt idx="2499">
                  <c:v>1.8400000000000003</c:v>
                </c:pt>
                <c:pt idx="2500">
                  <c:v>1.8400000000000003</c:v>
                </c:pt>
                <c:pt idx="2501">
                  <c:v>1.8400000000000003</c:v>
                </c:pt>
                <c:pt idx="2502">
                  <c:v>1.8400000000000003</c:v>
                </c:pt>
                <c:pt idx="2503">
                  <c:v>1.3100000000000003</c:v>
                </c:pt>
                <c:pt idx="2504">
                  <c:v>1.3100000000000003</c:v>
                </c:pt>
                <c:pt idx="2505">
                  <c:v>1.3100000000000003</c:v>
                </c:pt>
                <c:pt idx="2506">
                  <c:v>1.3100000000000003</c:v>
                </c:pt>
                <c:pt idx="2507">
                  <c:v>1.8400000000000003</c:v>
                </c:pt>
                <c:pt idx="2508">
                  <c:v>1.8400000000000003</c:v>
                </c:pt>
                <c:pt idx="2509">
                  <c:v>1.8400000000000003</c:v>
                </c:pt>
                <c:pt idx="2510">
                  <c:v>1.8400000000000003</c:v>
                </c:pt>
                <c:pt idx="2511">
                  <c:v>1.3100000000000003</c:v>
                </c:pt>
                <c:pt idx="2512">
                  <c:v>1.3100000000000003</c:v>
                </c:pt>
                <c:pt idx="2513">
                  <c:v>1.3100000000000003</c:v>
                </c:pt>
                <c:pt idx="2514">
                  <c:v>1.3100000000000003</c:v>
                </c:pt>
                <c:pt idx="2515">
                  <c:v>1.8400000000000003</c:v>
                </c:pt>
                <c:pt idx="2516">
                  <c:v>1.8400000000000003</c:v>
                </c:pt>
                <c:pt idx="2517">
                  <c:v>1.8400000000000003</c:v>
                </c:pt>
                <c:pt idx="2518">
                  <c:v>1.8400000000000003</c:v>
                </c:pt>
                <c:pt idx="2519">
                  <c:v>1.3100000000000003</c:v>
                </c:pt>
                <c:pt idx="2520">
                  <c:v>1.3100000000000003</c:v>
                </c:pt>
                <c:pt idx="2521">
                  <c:v>1.3100000000000003</c:v>
                </c:pt>
                <c:pt idx="2522">
                  <c:v>1.3100000000000003</c:v>
                </c:pt>
                <c:pt idx="2523">
                  <c:v>1.8400000000000003</c:v>
                </c:pt>
                <c:pt idx="2524">
                  <c:v>1.8400000000000003</c:v>
                </c:pt>
                <c:pt idx="2525">
                  <c:v>1.8400000000000003</c:v>
                </c:pt>
                <c:pt idx="2526">
                  <c:v>1.8400000000000003</c:v>
                </c:pt>
                <c:pt idx="2527">
                  <c:v>1.3100000000000003</c:v>
                </c:pt>
                <c:pt idx="2528">
                  <c:v>1.3100000000000003</c:v>
                </c:pt>
                <c:pt idx="2529">
                  <c:v>1.3100000000000003</c:v>
                </c:pt>
                <c:pt idx="2530">
                  <c:v>1.3100000000000003</c:v>
                </c:pt>
                <c:pt idx="2531">
                  <c:v>1.8400000000000003</c:v>
                </c:pt>
                <c:pt idx="2532">
                  <c:v>1.8400000000000003</c:v>
                </c:pt>
                <c:pt idx="2533">
                  <c:v>1.8400000000000003</c:v>
                </c:pt>
                <c:pt idx="2534">
                  <c:v>1.8400000000000003</c:v>
                </c:pt>
                <c:pt idx="2535">
                  <c:v>1.3100000000000003</c:v>
                </c:pt>
                <c:pt idx="2536">
                  <c:v>1.3100000000000003</c:v>
                </c:pt>
                <c:pt idx="2537">
                  <c:v>1.3100000000000003</c:v>
                </c:pt>
                <c:pt idx="2538">
                  <c:v>1.3100000000000003</c:v>
                </c:pt>
                <c:pt idx="2539">
                  <c:v>1.8400000000000003</c:v>
                </c:pt>
                <c:pt idx="2540">
                  <c:v>1.8400000000000003</c:v>
                </c:pt>
                <c:pt idx="2541">
                  <c:v>1.8400000000000003</c:v>
                </c:pt>
                <c:pt idx="2542">
                  <c:v>1.8400000000000003</c:v>
                </c:pt>
                <c:pt idx="2543">
                  <c:v>1.3100000000000003</c:v>
                </c:pt>
                <c:pt idx="2544">
                  <c:v>1.3100000000000003</c:v>
                </c:pt>
                <c:pt idx="2545">
                  <c:v>1.3100000000000003</c:v>
                </c:pt>
                <c:pt idx="2546">
                  <c:v>1.3100000000000003</c:v>
                </c:pt>
                <c:pt idx="2547">
                  <c:v>1.8400000000000003</c:v>
                </c:pt>
                <c:pt idx="2548">
                  <c:v>1.8400000000000003</c:v>
                </c:pt>
                <c:pt idx="2549">
                  <c:v>1.8400000000000003</c:v>
                </c:pt>
                <c:pt idx="2550">
                  <c:v>1.8400000000000003</c:v>
                </c:pt>
                <c:pt idx="2551">
                  <c:v>1.3100000000000003</c:v>
                </c:pt>
                <c:pt idx="2552">
                  <c:v>1.3100000000000003</c:v>
                </c:pt>
                <c:pt idx="2553">
                  <c:v>1.3100000000000003</c:v>
                </c:pt>
                <c:pt idx="2554">
                  <c:v>1.3100000000000003</c:v>
                </c:pt>
                <c:pt idx="2555">
                  <c:v>1.8400000000000003</c:v>
                </c:pt>
                <c:pt idx="2556">
                  <c:v>1.8400000000000003</c:v>
                </c:pt>
                <c:pt idx="2557">
                  <c:v>1.8400000000000003</c:v>
                </c:pt>
                <c:pt idx="2558">
                  <c:v>1.8400000000000003</c:v>
                </c:pt>
                <c:pt idx="2559">
                  <c:v>1.3100000000000003</c:v>
                </c:pt>
                <c:pt idx="2560">
                  <c:v>1.3100000000000003</c:v>
                </c:pt>
                <c:pt idx="2561">
                  <c:v>1.3100000000000003</c:v>
                </c:pt>
                <c:pt idx="2562">
                  <c:v>1.3100000000000003</c:v>
                </c:pt>
                <c:pt idx="2563">
                  <c:v>1.8400000000000003</c:v>
                </c:pt>
                <c:pt idx="2564">
                  <c:v>1.8400000000000003</c:v>
                </c:pt>
                <c:pt idx="2565">
                  <c:v>1.8400000000000003</c:v>
                </c:pt>
                <c:pt idx="2566">
                  <c:v>1.8400000000000003</c:v>
                </c:pt>
                <c:pt idx="2567">
                  <c:v>1.3100000000000003</c:v>
                </c:pt>
                <c:pt idx="2568">
                  <c:v>1.3100000000000003</c:v>
                </c:pt>
                <c:pt idx="2569">
                  <c:v>1.3100000000000003</c:v>
                </c:pt>
                <c:pt idx="2570">
                  <c:v>1.3100000000000003</c:v>
                </c:pt>
                <c:pt idx="2571">
                  <c:v>1.8400000000000003</c:v>
                </c:pt>
                <c:pt idx="2572">
                  <c:v>1.8400000000000003</c:v>
                </c:pt>
                <c:pt idx="2573">
                  <c:v>1.8400000000000003</c:v>
                </c:pt>
                <c:pt idx="2574">
                  <c:v>1.8400000000000003</c:v>
                </c:pt>
                <c:pt idx="2575">
                  <c:v>1.3100000000000003</c:v>
                </c:pt>
                <c:pt idx="2576">
                  <c:v>1.3100000000000003</c:v>
                </c:pt>
                <c:pt idx="2577">
                  <c:v>1.3100000000000003</c:v>
                </c:pt>
                <c:pt idx="2578">
                  <c:v>1.3100000000000003</c:v>
                </c:pt>
                <c:pt idx="2579">
                  <c:v>1.8400000000000003</c:v>
                </c:pt>
                <c:pt idx="2580">
                  <c:v>1.8400000000000003</c:v>
                </c:pt>
                <c:pt idx="2581">
                  <c:v>1.8400000000000003</c:v>
                </c:pt>
                <c:pt idx="2582">
                  <c:v>1.8400000000000003</c:v>
                </c:pt>
                <c:pt idx="2583">
                  <c:v>1.3100000000000003</c:v>
                </c:pt>
                <c:pt idx="2584">
                  <c:v>1.3100000000000003</c:v>
                </c:pt>
                <c:pt idx="2585">
                  <c:v>1.3100000000000003</c:v>
                </c:pt>
                <c:pt idx="2586">
                  <c:v>1.3100000000000003</c:v>
                </c:pt>
                <c:pt idx="2587">
                  <c:v>1.8400000000000003</c:v>
                </c:pt>
                <c:pt idx="2588">
                  <c:v>1.8400000000000003</c:v>
                </c:pt>
                <c:pt idx="2589">
                  <c:v>1.8400000000000003</c:v>
                </c:pt>
                <c:pt idx="2590">
                  <c:v>1.8400000000000003</c:v>
                </c:pt>
                <c:pt idx="2591">
                  <c:v>1.3100000000000003</c:v>
                </c:pt>
                <c:pt idx="2592">
                  <c:v>1.3100000000000003</c:v>
                </c:pt>
                <c:pt idx="2593">
                  <c:v>1.3100000000000003</c:v>
                </c:pt>
                <c:pt idx="2594">
                  <c:v>1.3100000000000003</c:v>
                </c:pt>
                <c:pt idx="2595">
                  <c:v>1.8400000000000003</c:v>
                </c:pt>
                <c:pt idx="2596">
                  <c:v>1.8400000000000003</c:v>
                </c:pt>
                <c:pt idx="2597">
                  <c:v>1.8400000000000003</c:v>
                </c:pt>
                <c:pt idx="2598">
                  <c:v>1.8400000000000003</c:v>
                </c:pt>
                <c:pt idx="2599">
                  <c:v>1.3100000000000003</c:v>
                </c:pt>
                <c:pt idx="2600">
                  <c:v>1.3100000000000003</c:v>
                </c:pt>
                <c:pt idx="2601">
                  <c:v>1.3100000000000003</c:v>
                </c:pt>
                <c:pt idx="2602">
                  <c:v>1.3100000000000003</c:v>
                </c:pt>
                <c:pt idx="2603">
                  <c:v>1.8400000000000003</c:v>
                </c:pt>
                <c:pt idx="2604">
                  <c:v>1.8400000000000003</c:v>
                </c:pt>
                <c:pt idx="2605">
                  <c:v>1.8400000000000003</c:v>
                </c:pt>
                <c:pt idx="2606">
                  <c:v>1.8400000000000003</c:v>
                </c:pt>
                <c:pt idx="2607">
                  <c:v>1.3100000000000003</c:v>
                </c:pt>
                <c:pt idx="2608">
                  <c:v>1.3100000000000003</c:v>
                </c:pt>
                <c:pt idx="2609">
                  <c:v>1.3100000000000003</c:v>
                </c:pt>
                <c:pt idx="2610">
                  <c:v>1.3100000000000003</c:v>
                </c:pt>
                <c:pt idx="2611">
                  <c:v>1.8400000000000003</c:v>
                </c:pt>
                <c:pt idx="2612">
                  <c:v>1.8400000000000003</c:v>
                </c:pt>
                <c:pt idx="2613">
                  <c:v>1.8400000000000003</c:v>
                </c:pt>
                <c:pt idx="2614">
                  <c:v>1.8400000000000003</c:v>
                </c:pt>
                <c:pt idx="2615">
                  <c:v>1.3100000000000003</c:v>
                </c:pt>
                <c:pt idx="2616">
                  <c:v>1.3100000000000003</c:v>
                </c:pt>
                <c:pt idx="2617">
                  <c:v>1.3100000000000003</c:v>
                </c:pt>
                <c:pt idx="2618">
                  <c:v>1.3100000000000003</c:v>
                </c:pt>
                <c:pt idx="2619">
                  <c:v>1.8400000000000003</c:v>
                </c:pt>
                <c:pt idx="2620">
                  <c:v>1.8400000000000003</c:v>
                </c:pt>
                <c:pt idx="2621">
                  <c:v>1.8400000000000003</c:v>
                </c:pt>
                <c:pt idx="2622">
                  <c:v>1.8400000000000003</c:v>
                </c:pt>
                <c:pt idx="2623">
                  <c:v>1.3100000000000003</c:v>
                </c:pt>
                <c:pt idx="2624">
                  <c:v>1.3100000000000003</c:v>
                </c:pt>
                <c:pt idx="2625">
                  <c:v>1.3100000000000003</c:v>
                </c:pt>
                <c:pt idx="2626">
                  <c:v>1.3100000000000003</c:v>
                </c:pt>
                <c:pt idx="2627">
                  <c:v>1.8400000000000003</c:v>
                </c:pt>
                <c:pt idx="2628">
                  <c:v>1.8400000000000003</c:v>
                </c:pt>
                <c:pt idx="2629">
                  <c:v>1.8400000000000003</c:v>
                </c:pt>
                <c:pt idx="2630">
                  <c:v>1.8400000000000003</c:v>
                </c:pt>
                <c:pt idx="2631">
                  <c:v>1.3100000000000003</c:v>
                </c:pt>
                <c:pt idx="2632">
                  <c:v>1.3100000000000003</c:v>
                </c:pt>
                <c:pt idx="2633">
                  <c:v>1.3100000000000003</c:v>
                </c:pt>
                <c:pt idx="2634">
                  <c:v>1.3100000000000003</c:v>
                </c:pt>
                <c:pt idx="2635">
                  <c:v>1.8400000000000003</c:v>
                </c:pt>
                <c:pt idx="2636">
                  <c:v>1.8400000000000003</c:v>
                </c:pt>
                <c:pt idx="2637">
                  <c:v>1.8400000000000003</c:v>
                </c:pt>
                <c:pt idx="2638">
                  <c:v>1.8400000000000003</c:v>
                </c:pt>
                <c:pt idx="2639">
                  <c:v>1.3100000000000003</c:v>
                </c:pt>
                <c:pt idx="2640">
                  <c:v>1.3100000000000003</c:v>
                </c:pt>
                <c:pt idx="2641">
                  <c:v>1.3100000000000003</c:v>
                </c:pt>
                <c:pt idx="2642">
                  <c:v>1.3100000000000003</c:v>
                </c:pt>
                <c:pt idx="2643">
                  <c:v>1.8400000000000003</c:v>
                </c:pt>
                <c:pt idx="2644">
                  <c:v>1.8400000000000003</c:v>
                </c:pt>
                <c:pt idx="2645">
                  <c:v>1.8400000000000003</c:v>
                </c:pt>
                <c:pt idx="2646">
                  <c:v>1.8400000000000003</c:v>
                </c:pt>
                <c:pt idx="2647">
                  <c:v>1.3100000000000003</c:v>
                </c:pt>
                <c:pt idx="2648">
                  <c:v>1.3100000000000003</c:v>
                </c:pt>
                <c:pt idx="2649">
                  <c:v>1.3100000000000003</c:v>
                </c:pt>
                <c:pt idx="2650">
                  <c:v>1.3100000000000003</c:v>
                </c:pt>
                <c:pt idx="2651">
                  <c:v>1.8400000000000003</c:v>
                </c:pt>
                <c:pt idx="2652">
                  <c:v>1.8400000000000003</c:v>
                </c:pt>
                <c:pt idx="2653">
                  <c:v>1.8400000000000003</c:v>
                </c:pt>
                <c:pt idx="2654">
                  <c:v>1.8400000000000003</c:v>
                </c:pt>
                <c:pt idx="2655">
                  <c:v>1.3100000000000003</c:v>
                </c:pt>
                <c:pt idx="2656">
                  <c:v>1.3100000000000003</c:v>
                </c:pt>
                <c:pt idx="2657">
                  <c:v>1.3100000000000003</c:v>
                </c:pt>
                <c:pt idx="2658">
                  <c:v>1.3100000000000003</c:v>
                </c:pt>
                <c:pt idx="2659">
                  <c:v>1.8400000000000003</c:v>
                </c:pt>
                <c:pt idx="2660">
                  <c:v>1.8400000000000003</c:v>
                </c:pt>
                <c:pt idx="2661">
                  <c:v>1.8400000000000003</c:v>
                </c:pt>
                <c:pt idx="2662">
                  <c:v>1.8400000000000003</c:v>
                </c:pt>
                <c:pt idx="2663">
                  <c:v>1.3100000000000003</c:v>
                </c:pt>
                <c:pt idx="2664">
                  <c:v>1.3100000000000003</c:v>
                </c:pt>
                <c:pt idx="2665">
                  <c:v>1.3100000000000003</c:v>
                </c:pt>
                <c:pt idx="2666">
                  <c:v>1.3100000000000003</c:v>
                </c:pt>
                <c:pt idx="2667">
                  <c:v>1.8400000000000003</c:v>
                </c:pt>
                <c:pt idx="2668">
                  <c:v>1.8400000000000003</c:v>
                </c:pt>
                <c:pt idx="2669">
                  <c:v>1.8400000000000003</c:v>
                </c:pt>
                <c:pt idx="2670">
                  <c:v>1.8400000000000003</c:v>
                </c:pt>
                <c:pt idx="2671">
                  <c:v>1.3100000000000003</c:v>
                </c:pt>
                <c:pt idx="2672">
                  <c:v>1.3100000000000003</c:v>
                </c:pt>
                <c:pt idx="2673">
                  <c:v>1.3100000000000003</c:v>
                </c:pt>
                <c:pt idx="2674">
                  <c:v>1.3100000000000003</c:v>
                </c:pt>
                <c:pt idx="2675">
                  <c:v>1.8400000000000003</c:v>
                </c:pt>
                <c:pt idx="2676">
                  <c:v>1.8400000000000003</c:v>
                </c:pt>
                <c:pt idx="2677">
                  <c:v>1.8400000000000003</c:v>
                </c:pt>
                <c:pt idx="2678">
                  <c:v>1.8400000000000003</c:v>
                </c:pt>
                <c:pt idx="2679">
                  <c:v>1.3100000000000003</c:v>
                </c:pt>
                <c:pt idx="2680">
                  <c:v>1.3100000000000003</c:v>
                </c:pt>
                <c:pt idx="2681">
                  <c:v>1.3100000000000003</c:v>
                </c:pt>
                <c:pt idx="2682">
                  <c:v>1.3100000000000003</c:v>
                </c:pt>
                <c:pt idx="2683">
                  <c:v>1.8400000000000003</c:v>
                </c:pt>
                <c:pt idx="2684">
                  <c:v>1.8400000000000003</c:v>
                </c:pt>
                <c:pt idx="2685">
                  <c:v>1.8400000000000003</c:v>
                </c:pt>
                <c:pt idx="2686">
                  <c:v>1.8400000000000003</c:v>
                </c:pt>
                <c:pt idx="2687">
                  <c:v>1.3100000000000003</c:v>
                </c:pt>
                <c:pt idx="2688">
                  <c:v>1.3100000000000003</c:v>
                </c:pt>
                <c:pt idx="2689">
                  <c:v>1.3100000000000003</c:v>
                </c:pt>
                <c:pt idx="2690">
                  <c:v>1.3100000000000003</c:v>
                </c:pt>
                <c:pt idx="2691">
                  <c:v>1.8400000000000003</c:v>
                </c:pt>
                <c:pt idx="2692">
                  <c:v>1.8400000000000003</c:v>
                </c:pt>
                <c:pt idx="2693">
                  <c:v>1.8400000000000003</c:v>
                </c:pt>
                <c:pt idx="2694">
                  <c:v>1.8400000000000003</c:v>
                </c:pt>
                <c:pt idx="2695">
                  <c:v>1.3100000000000003</c:v>
                </c:pt>
                <c:pt idx="2696">
                  <c:v>1.3100000000000003</c:v>
                </c:pt>
                <c:pt idx="2697">
                  <c:v>1.3100000000000003</c:v>
                </c:pt>
                <c:pt idx="2698">
                  <c:v>1.3100000000000003</c:v>
                </c:pt>
                <c:pt idx="2699">
                  <c:v>1.8400000000000003</c:v>
                </c:pt>
                <c:pt idx="2700">
                  <c:v>1.8400000000000003</c:v>
                </c:pt>
                <c:pt idx="2701">
                  <c:v>1.8400000000000003</c:v>
                </c:pt>
                <c:pt idx="2702">
                  <c:v>1.8400000000000003</c:v>
                </c:pt>
                <c:pt idx="2703">
                  <c:v>1.3100000000000003</c:v>
                </c:pt>
                <c:pt idx="2704">
                  <c:v>1.3100000000000003</c:v>
                </c:pt>
                <c:pt idx="2705">
                  <c:v>1.3100000000000003</c:v>
                </c:pt>
                <c:pt idx="2706">
                  <c:v>1.3100000000000003</c:v>
                </c:pt>
                <c:pt idx="2707">
                  <c:v>1.8400000000000003</c:v>
                </c:pt>
                <c:pt idx="2708">
                  <c:v>1.8400000000000003</c:v>
                </c:pt>
                <c:pt idx="2709">
                  <c:v>1.8400000000000003</c:v>
                </c:pt>
                <c:pt idx="2710">
                  <c:v>1.8400000000000003</c:v>
                </c:pt>
                <c:pt idx="2711">
                  <c:v>1.3100000000000003</c:v>
                </c:pt>
                <c:pt idx="2712">
                  <c:v>1.3100000000000003</c:v>
                </c:pt>
                <c:pt idx="2713">
                  <c:v>1.3100000000000003</c:v>
                </c:pt>
                <c:pt idx="2714">
                  <c:v>1.3100000000000003</c:v>
                </c:pt>
                <c:pt idx="2715">
                  <c:v>1.8400000000000003</c:v>
                </c:pt>
                <c:pt idx="2716">
                  <c:v>1.8400000000000003</c:v>
                </c:pt>
                <c:pt idx="2717">
                  <c:v>1.8400000000000003</c:v>
                </c:pt>
                <c:pt idx="2718">
                  <c:v>1.8400000000000003</c:v>
                </c:pt>
                <c:pt idx="2719">
                  <c:v>1.3100000000000003</c:v>
                </c:pt>
                <c:pt idx="2720">
                  <c:v>1.3100000000000003</c:v>
                </c:pt>
                <c:pt idx="2721">
                  <c:v>1.3100000000000003</c:v>
                </c:pt>
                <c:pt idx="2722">
                  <c:v>1.3100000000000003</c:v>
                </c:pt>
                <c:pt idx="2723">
                  <c:v>1.8400000000000003</c:v>
                </c:pt>
                <c:pt idx="2724">
                  <c:v>1.8400000000000003</c:v>
                </c:pt>
                <c:pt idx="2725">
                  <c:v>1.8400000000000003</c:v>
                </c:pt>
                <c:pt idx="2726">
                  <c:v>1.8400000000000003</c:v>
                </c:pt>
                <c:pt idx="2727">
                  <c:v>1.3100000000000003</c:v>
                </c:pt>
                <c:pt idx="2728">
                  <c:v>1.3100000000000003</c:v>
                </c:pt>
                <c:pt idx="2729">
                  <c:v>1.3100000000000003</c:v>
                </c:pt>
                <c:pt idx="2730">
                  <c:v>1.3100000000000003</c:v>
                </c:pt>
                <c:pt idx="2731">
                  <c:v>1.8400000000000003</c:v>
                </c:pt>
                <c:pt idx="2732">
                  <c:v>1.8400000000000003</c:v>
                </c:pt>
                <c:pt idx="2733">
                  <c:v>1.8400000000000003</c:v>
                </c:pt>
                <c:pt idx="2734">
                  <c:v>1.8400000000000003</c:v>
                </c:pt>
                <c:pt idx="2735">
                  <c:v>1.3100000000000003</c:v>
                </c:pt>
                <c:pt idx="2736">
                  <c:v>1.3100000000000003</c:v>
                </c:pt>
                <c:pt idx="2737">
                  <c:v>1.3100000000000003</c:v>
                </c:pt>
                <c:pt idx="2738">
                  <c:v>1.3100000000000003</c:v>
                </c:pt>
                <c:pt idx="2739">
                  <c:v>1.8400000000000003</c:v>
                </c:pt>
                <c:pt idx="2740">
                  <c:v>1.8400000000000003</c:v>
                </c:pt>
                <c:pt idx="2741">
                  <c:v>1.8400000000000003</c:v>
                </c:pt>
                <c:pt idx="2742">
                  <c:v>1.8400000000000003</c:v>
                </c:pt>
                <c:pt idx="2743">
                  <c:v>1.3100000000000003</c:v>
                </c:pt>
                <c:pt idx="2744">
                  <c:v>1.3100000000000003</c:v>
                </c:pt>
                <c:pt idx="2745">
                  <c:v>1.3100000000000003</c:v>
                </c:pt>
                <c:pt idx="2746">
                  <c:v>1.3100000000000003</c:v>
                </c:pt>
                <c:pt idx="2747">
                  <c:v>1.8400000000000003</c:v>
                </c:pt>
                <c:pt idx="2748">
                  <c:v>1.8400000000000003</c:v>
                </c:pt>
                <c:pt idx="2749">
                  <c:v>1.8400000000000003</c:v>
                </c:pt>
                <c:pt idx="2750">
                  <c:v>1.8400000000000003</c:v>
                </c:pt>
                <c:pt idx="2751">
                  <c:v>1.3100000000000003</c:v>
                </c:pt>
                <c:pt idx="2752">
                  <c:v>1.3100000000000003</c:v>
                </c:pt>
                <c:pt idx="2753">
                  <c:v>1.3100000000000003</c:v>
                </c:pt>
                <c:pt idx="2754">
                  <c:v>1.3100000000000003</c:v>
                </c:pt>
                <c:pt idx="2755">
                  <c:v>1.8400000000000003</c:v>
                </c:pt>
                <c:pt idx="2756">
                  <c:v>1.8400000000000003</c:v>
                </c:pt>
                <c:pt idx="2757">
                  <c:v>1.8400000000000003</c:v>
                </c:pt>
                <c:pt idx="2758">
                  <c:v>1.8400000000000003</c:v>
                </c:pt>
                <c:pt idx="2759">
                  <c:v>1.3100000000000003</c:v>
                </c:pt>
                <c:pt idx="2760">
                  <c:v>1.3100000000000003</c:v>
                </c:pt>
                <c:pt idx="2761">
                  <c:v>1.3100000000000003</c:v>
                </c:pt>
                <c:pt idx="2762">
                  <c:v>1.3100000000000003</c:v>
                </c:pt>
                <c:pt idx="2763">
                  <c:v>1.8400000000000003</c:v>
                </c:pt>
                <c:pt idx="2764">
                  <c:v>1.8400000000000003</c:v>
                </c:pt>
                <c:pt idx="2765">
                  <c:v>1.8400000000000003</c:v>
                </c:pt>
                <c:pt idx="2766">
                  <c:v>1.8400000000000003</c:v>
                </c:pt>
                <c:pt idx="2767">
                  <c:v>1.3100000000000003</c:v>
                </c:pt>
                <c:pt idx="2768">
                  <c:v>1.3100000000000003</c:v>
                </c:pt>
                <c:pt idx="2769">
                  <c:v>1.3100000000000003</c:v>
                </c:pt>
                <c:pt idx="2770">
                  <c:v>1.3100000000000003</c:v>
                </c:pt>
                <c:pt idx="2771">
                  <c:v>1.8400000000000003</c:v>
                </c:pt>
                <c:pt idx="2772">
                  <c:v>1.8400000000000003</c:v>
                </c:pt>
                <c:pt idx="2773">
                  <c:v>1.8400000000000003</c:v>
                </c:pt>
                <c:pt idx="2774">
                  <c:v>1.8400000000000003</c:v>
                </c:pt>
                <c:pt idx="2775">
                  <c:v>1.3100000000000003</c:v>
                </c:pt>
                <c:pt idx="2776">
                  <c:v>1.3100000000000003</c:v>
                </c:pt>
                <c:pt idx="2777">
                  <c:v>1.3100000000000003</c:v>
                </c:pt>
                <c:pt idx="2778">
                  <c:v>1.3100000000000003</c:v>
                </c:pt>
                <c:pt idx="2779">
                  <c:v>1.8400000000000003</c:v>
                </c:pt>
                <c:pt idx="2780">
                  <c:v>1.8400000000000003</c:v>
                </c:pt>
                <c:pt idx="2781">
                  <c:v>1.8400000000000003</c:v>
                </c:pt>
                <c:pt idx="2782">
                  <c:v>1.8400000000000003</c:v>
                </c:pt>
                <c:pt idx="2783">
                  <c:v>1.3100000000000003</c:v>
                </c:pt>
                <c:pt idx="2784">
                  <c:v>1.3100000000000003</c:v>
                </c:pt>
                <c:pt idx="2785">
                  <c:v>1.3100000000000003</c:v>
                </c:pt>
                <c:pt idx="2786">
                  <c:v>1.3100000000000003</c:v>
                </c:pt>
                <c:pt idx="2787">
                  <c:v>1.8400000000000003</c:v>
                </c:pt>
                <c:pt idx="2788">
                  <c:v>1.8400000000000003</c:v>
                </c:pt>
                <c:pt idx="2789">
                  <c:v>1.8400000000000003</c:v>
                </c:pt>
                <c:pt idx="2790">
                  <c:v>1.8400000000000003</c:v>
                </c:pt>
                <c:pt idx="2791">
                  <c:v>1.3100000000000003</c:v>
                </c:pt>
                <c:pt idx="2792">
                  <c:v>1.3100000000000003</c:v>
                </c:pt>
                <c:pt idx="2793">
                  <c:v>1.3100000000000003</c:v>
                </c:pt>
                <c:pt idx="2794">
                  <c:v>1.3100000000000003</c:v>
                </c:pt>
                <c:pt idx="2795">
                  <c:v>1.8400000000000003</c:v>
                </c:pt>
                <c:pt idx="2796">
                  <c:v>1.8400000000000003</c:v>
                </c:pt>
                <c:pt idx="2797">
                  <c:v>1.8400000000000003</c:v>
                </c:pt>
                <c:pt idx="2798">
                  <c:v>1.8400000000000003</c:v>
                </c:pt>
                <c:pt idx="2799">
                  <c:v>1.3100000000000003</c:v>
                </c:pt>
                <c:pt idx="2800">
                  <c:v>1.3100000000000003</c:v>
                </c:pt>
                <c:pt idx="2801">
                  <c:v>1.3100000000000003</c:v>
                </c:pt>
                <c:pt idx="2802">
                  <c:v>1.3100000000000003</c:v>
                </c:pt>
                <c:pt idx="2803">
                  <c:v>1.8400000000000003</c:v>
                </c:pt>
                <c:pt idx="2804">
                  <c:v>1.8400000000000003</c:v>
                </c:pt>
                <c:pt idx="2805">
                  <c:v>1.8400000000000003</c:v>
                </c:pt>
                <c:pt idx="2806">
                  <c:v>1.8400000000000003</c:v>
                </c:pt>
                <c:pt idx="2807">
                  <c:v>1.3100000000000003</c:v>
                </c:pt>
                <c:pt idx="2808">
                  <c:v>1.3100000000000003</c:v>
                </c:pt>
                <c:pt idx="2809">
                  <c:v>1.3100000000000003</c:v>
                </c:pt>
                <c:pt idx="2810">
                  <c:v>1.3100000000000003</c:v>
                </c:pt>
                <c:pt idx="2811">
                  <c:v>1.8400000000000003</c:v>
                </c:pt>
                <c:pt idx="2812">
                  <c:v>1.8400000000000003</c:v>
                </c:pt>
                <c:pt idx="2813">
                  <c:v>1.8400000000000003</c:v>
                </c:pt>
                <c:pt idx="2814">
                  <c:v>1.8400000000000003</c:v>
                </c:pt>
                <c:pt idx="2815">
                  <c:v>1.3100000000000003</c:v>
                </c:pt>
                <c:pt idx="2816">
                  <c:v>1.3100000000000003</c:v>
                </c:pt>
                <c:pt idx="2817">
                  <c:v>1.3100000000000003</c:v>
                </c:pt>
                <c:pt idx="2818">
                  <c:v>1.3100000000000003</c:v>
                </c:pt>
                <c:pt idx="2819">
                  <c:v>1.8400000000000003</c:v>
                </c:pt>
                <c:pt idx="2820">
                  <c:v>1.8400000000000003</c:v>
                </c:pt>
                <c:pt idx="2821">
                  <c:v>1.8400000000000003</c:v>
                </c:pt>
                <c:pt idx="2822">
                  <c:v>1.8400000000000003</c:v>
                </c:pt>
                <c:pt idx="2823">
                  <c:v>1.3100000000000003</c:v>
                </c:pt>
                <c:pt idx="2824">
                  <c:v>1.3100000000000003</c:v>
                </c:pt>
                <c:pt idx="2825">
                  <c:v>1.3100000000000003</c:v>
                </c:pt>
                <c:pt idx="2826">
                  <c:v>1.3100000000000003</c:v>
                </c:pt>
                <c:pt idx="2827">
                  <c:v>1.8400000000000003</c:v>
                </c:pt>
                <c:pt idx="2828">
                  <c:v>1.8400000000000003</c:v>
                </c:pt>
                <c:pt idx="2829">
                  <c:v>1.8400000000000003</c:v>
                </c:pt>
                <c:pt idx="2830">
                  <c:v>1.8400000000000003</c:v>
                </c:pt>
                <c:pt idx="2831">
                  <c:v>1.3100000000000003</c:v>
                </c:pt>
                <c:pt idx="2832">
                  <c:v>1.3100000000000003</c:v>
                </c:pt>
                <c:pt idx="2833">
                  <c:v>1.3100000000000003</c:v>
                </c:pt>
                <c:pt idx="2834">
                  <c:v>1.3100000000000003</c:v>
                </c:pt>
                <c:pt idx="2835">
                  <c:v>1.8400000000000003</c:v>
                </c:pt>
                <c:pt idx="2836">
                  <c:v>1.8400000000000003</c:v>
                </c:pt>
                <c:pt idx="2837">
                  <c:v>1.8400000000000003</c:v>
                </c:pt>
                <c:pt idx="2838">
                  <c:v>1.8400000000000003</c:v>
                </c:pt>
                <c:pt idx="2839">
                  <c:v>1.3100000000000003</c:v>
                </c:pt>
                <c:pt idx="2840">
                  <c:v>1.3100000000000003</c:v>
                </c:pt>
                <c:pt idx="2841">
                  <c:v>1.3100000000000003</c:v>
                </c:pt>
                <c:pt idx="2842">
                  <c:v>1.3100000000000003</c:v>
                </c:pt>
                <c:pt idx="2843">
                  <c:v>1.8400000000000003</c:v>
                </c:pt>
                <c:pt idx="2844">
                  <c:v>1.8400000000000003</c:v>
                </c:pt>
                <c:pt idx="2845">
                  <c:v>1.8400000000000003</c:v>
                </c:pt>
                <c:pt idx="2846">
                  <c:v>1.8400000000000003</c:v>
                </c:pt>
                <c:pt idx="2847">
                  <c:v>1.3100000000000003</c:v>
                </c:pt>
                <c:pt idx="2848">
                  <c:v>1.3100000000000003</c:v>
                </c:pt>
                <c:pt idx="2849">
                  <c:v>1.3100000000000003</c:v>
                </c:pt>
                <c:pt idx="2850">
                  <c:v>1.3100000000000003</c:v>
                </c:pt>
                <c:pt idx="2851">
                  <c:v>1.8400000000000003</c:v>
                </c:pt>
                <c:pt idx="2852">
                  <c:v>1.8400000000000003</c:v>
                </c:pt>
                <c:pt idx="2853">
                  <c:v>1.8400000000000003</c:v>
                </c:pt>
                <c:pt idx="2854">
                  <c:v>1.8400000000000003</c:v>
                </c:pt>
                <c:pt idx="2855">
                  <c:v>1.3100000000000003</c:v>
                </c:pt>
                <c:pt idx="2856">
                  <c:v>1.3100000000000003</c:v>
                </c:pt>
                <c:pt idx="2857">
                  <c:v>1.3100000000000003</c:v>
                </c:pt>
                <c:pt idx="2858">
                  <c:v>1.3100000000000003</c:v>
                </c:pt>
                <c:pt idx="2859">
                  <c:v>1.8400000000000003</c:v>
                </c:pt>
                <c:pt idx="2860">
                  <c:v>1.8400000000000003</c:v>
                </c:pt>
                <c:pt idx="2861">
                  <c:v>1.8400000000000003</c:v>
                </c:pt>
                <c:pt idx="2862">
                  <c:v>1.8400000000000003</c:v>
                </c:pt>
                <c:pt idx="2863">
                  <c:v>1.3100000000000003</c:v>
                </c:pt>
                <c:pt idx="2864">
                  <c:v>1.3100000000000003</c:v>
                </c:pt>
                <c:pt idx="2865">
                  <c:v>1.3100000000000003</c:v>
                </c:pt>
                <c:pt idx="2866">
                  <c:v>1.3100000000000003</c:v>
                </c:pt>
                <c:pt idx="2867">
                  <c:v>1.8400000000000003</c:v>
                </c:pt>
                <c:pt idx="2868">
                  <c:v>1.8400000000000003</c:v>
                </c:pt>
                <c:pt idx="2869">
                  <c:v>1.8400000000000003</c:v>
                </c:pt>
                <c:pt idx="2870">
                  <c:v>1.8400000000000003</c:v>
                </c:pt>
                <c:pt idx="2871">
                  <c:v>1.3100000000000003</c:v>
                </c:pt>
                <c:pt idx="2872">
                  <c:v>1.3100000000000003</c:v>
                </c:pt>
                <c:pt idx="2873">
                  <c:v>1.3100000000000003</c:v>
                </c:pt>
                <c:pt idx="2874">
                  <c:v>1.3100000000000003</c:v>
                </c:pt>
                <c:pt idx="2875">
                  <c:v>1.8400000000000003</c:v>
                </c:pt>
                <c:pt idx="2876">
                  <c:v>1.8400000000000003</c:v>
                </c:pt>
                <c:pt idx="2877">
                  <c:v>1.8400000000000003</c:v>
                </c:pt>
                <c:pt idx="2878">
                  <c:v>1.8400000000000003</c:v>
                </c:pt>
                <c:pt idx="2879">
                  <c:v>1.3100000000000003</c:v>
                </c:pt>
                <c:pt idx="2880">
                  <c:v>1.3100000000000003</c:v>
                </c:pt>
                <c:pt idx="2881">
                  <c:v>1.3100000000000003</c:v>
                </c:pt>
                <c:pt idx="2882">
                  <c:v>1.3100000000000003</c:v>
                </c:pt>
                <c:pt idx="2883">
                  <c:v>1.8400000000000003</c:v>
                </c:pt>
                <c:pt idx="2884">
                  <c:v>1.8400000000000003</c:v>
                </c:pt>
                <c:pt idx="2885">
                  <c:v>1.8400000000000003</c:v>
                </c:pt>
                <c:pt idx="2886">
                  <c:v>1.8400000000000003</c:v>
                </c:pt>
                <c:pt idx="2887">
                  <c:v>1.3100000000000003</c:v>
                </c:pt>
                <c:pt idx="2888">
                  <c:v>1.3100000000000003</c:v>
                </c:pt>
                <c:pt idx="2889">
                  <c:v>1.3100000000000003</c:v>
                </c:pt>
                <c:pt idx="2890">
                  <c:v>1.3100000000000003</c:v>
                </c:pt>
                <c:pt idx="2891">
                  <c:v>1.3100000000000003</c:v>
                </c:pt>
                <c:pt idx="2892">
                  <c:v>1.3100000000000003</c:v>
                </c:pt>
                <c:pt idx="2893">
                  <c:v>1.8400000000000003</c:v>
                </c:pt>
                <c:pt idx="2894">
                  <c:v>1.8400000000000003</c:v>
                </c:pt>
                <c:pt idx="2895">
                  <c:v>1.8400000000000003</c:v>
                </c:pt>
                <c:pt idx="2896">
                  <c:v>1.8400000000000003</c:v>
                </c:pt>
                <c:pt idx="2897">
                  <c:v>1.3100000000000003</c:v>
                </c:pt>
                <c:pt idx="2898">
                  <c:v>1.3100000000000003</c:v>
                </c:pt>
                <c:pt idx="2899">
                  <c:v>1.3100000000000003</c:v>
                </c:pt>
                <c:pt idx="2900">
                  <c:v>1.3100000000000003</c:v>
                </c:pt>
                <c:pt idx="2901">
                  <c:v>1.8400000000000003</c:v>
                </c:pt>
                <c:pt idx="2902">
                  <c:v>1.8400000000000003</c:v>
                </c:pt>
                <c:pt idx="2903">
                  <c:v>1.8400000000000003</c:v>
                </c:pt>
                <c:pt idx="2904">
                  <c:v>1.8400000000000003</c:v>
                </c:pt>
                <c:pt idx="2905">
                  <c:v>1.3100000000000003</c:v>
                </c:pt>
                <c:pt idx="2906">
                  <c:v>1.3100000000000003</c:v>
                </c:pt>
                <c:pt idx="2907">
                  <c:v>1.3100000000000003</c:v>
                </c:pt>
                <c:pt idx="2908">
                  <c:v>1.3100000000000003</c:v>
                </c:pt>
                <c:pt idx="2909">
                  <c:v>1.8400000000000003</c:v>
                </c:pt>
                <c:pt idx="2910">
                  <c:v>1.8400000000000003</c:v>
                </c:pt>
                <c:pt idx="2911">
                  <c:v>1.8400000000000003</c:v>
                </c:pt>
                <c:pt idx="2912">
                  <c:v>1.8400000000000003</c:v>
                </c:pt>
                <c:pt idx="2913">
                  <c:v>1.3100000000000003</c:v>
                </c:pt>
                <c:pt idx="2914">
                  <c:v>1.3100000000000003</c:v>
                </c:pt>
                <c:pt idx="2915">
                  <c:v>1.3100000000000003</c:v>
                </c:pt>
                <c:pt idx="2916">
                  <c:v>1.3100000000000003</c:v>
                </c:pt>
                <c:pt idx="2917">
                  <c:v>1.8400000000000003</c:v>
                </c:pt>
                <c:pt idx="2918">
                  <c:v>1.8400000000000003</c:v>
                </c:pt>
                <c:pt idx="2919">
                  <c:v>1.8400000000000003</c:v>
                </c:pt>
                <c:pt idx="2920">
                  <c:v>1.8400000000000003</c:v>
                </c:pt>
                <c:pt idx="2921">
                  <c:v>1.3100000000000003</c:v>
                </c:pt>
                <c:pt idx="2922">
                  <c:v>1.3100000000000003</c:v>
                </c:pt>
                <c:pt idx="2923">
                  <c:v>1.3100000000000003</c:v>
                </c:pt>
                <c:pt idx="2924">
                  <c:v>1.3100000000000003</c:v>
                </c:pt>
                <c:pt idx="2925">
                  <c:v>1.8400000000000003</c:v>
                </c:pt>
                <c:pt idx="2926">
                  <c:v>1.8400000000000003</c:v>
                </c:pt>
                <c:pt idx="2927">
                  <c:v>1.8400000000000003</c:v>
                </c:pt>
                <c:pt idx="2928">
                  <c:v>1.8400000000000003</c:v>
                </c:pt>
                <c:pt idx="2929">
                  <c:v>1.3100000000000003</c:v>
                </c:pt>
                <c:pt idx="2930">
                  <c:v>1.3100000000000003</c:v>
                </c:pt>
                <c:pt idx="2931">
                  <c:v>1.3100000000000003</c:v>
                </c:pt>
                <c:pt idx="2932">
                  <c:v>1.3100000000000003</c:v>
                </c:pt>
                <c:pt idx="2933">
                  <c:v>1.8400000000000003</c:v>
                </c:pt>
                <c:pt idx="2934">
                  <c:v>1.8400000000000003</c:v>
                </c:pt>
                <c:pt idx="2935">
                  <c:v>1.8400000000000003</c:v>
                </c:pt>
                <c:pt idx="2936">
                  <c:v>1.8400000000000003</c:v>
                </c:pt>
                <c:pt idx="2937">
                  <c:v>1.3100000000000003</c:v>
                </c:pt>
                <c:pt idx="2938">
                  <c:v>1.3100000000000003</c:v>
                </c:pt>
                <c:pt idx="2939">
                  <c:v>1.3100000000000003</c:v>
                </c:pt>
                <c:pt idx="2940">
                  <c:v>1.3100000000000003</c:v>
                </c:pt>
                <c:pt idx="2941">
                  <c:v>1.8400000000000003</c:v>
                </c:pt>
                <c:pt idx="2942">
                  <c:v>1.8400000000000003</c:v>
                </c:pt>
                <c:pt idx="2943">
                  <c:v>1.8400000000000003</c:v>
                </c:pt>
                <c:pt idx="2944">
                  <c:v>1.8400000000000003</c:v>
                </c:pt>
                <c:pt idx="2945">
                  <c:v>1.3100000000000003</c:v>
                </c:pt>
                <c:pt idx="2946">
                  <c:v>1.3100000000000003</c:v>
                </c:pt>
                <c:pt idx="2947">
                  <c:v>1.3100000000000003</c:v>
                </c:pt>
                <c:pt idx="2948">
                  <c:v>1.3100000000000003</c:v>
                </c:pt>
                <c:pt idx="2949">
                  <c:v>1.8400000000000003</c:v>
                </c:pt>
                <c:pt idx="2950">
                  <c:v>1.8400000000000003</c:v>
                </c:pt>
                <c:pt idx="2951">
                  <c:v>1.8400000000000003</c:v>
                </c:pt>
                <c:pt idx="2952">
                  <c:v>1.8400000000000003</c:v>
                </c:pt>
                <c:pt idx="2953">
                  <c:v>1.3100000000000003</c:v>
                </c:pt>
                <c:pt idx="2954">
                  <c:v>1.3100000000000003</c:v>
                </c:pt>
                <c:pt idx="2955">
                  <c:v>1.3100000000000003</c:v>
                </c:pt>
                <c:pt idx="2956">
                  <c:v>1.3100000000000003</c:v>
                </c:pt>
                <c:pt idx="2957">
                  <c:v>1.8400000000000003</c:v>
                </c:pt>
                <c:pt idx="2958">
                  <c:v>1.8400000000000003</c:v>
                </c:pt>
                <c:pt idx="2959">
                  <c:v>1.8400000000000003</c:v>
                </c:pt>
                <c:pt idx="2960">
                  <c:v>1.8400000000000003</c:v>
                </c:pt>
                <c:pt idx="2961">
                  <c:v>1.3100000000000003</c:v>
                </c:pt>
                <c:pt idx="2962">
                  <c:v>1.3100000000000003</c:v>
                </c:pt>
                <c:pt idx="2963">
                  <c:v>1.3100000000000003</c:v>
                </c:pt>
                <c:pt idx="2964">
                  <c:v>1.3100000000000003</c:v>
                </c:pt>
                <c:pt idx="2965">
                  <c:v>1.8400000000000003</c:v>
                </c:pt>
                <c:pt idx="2966">
                  <c:v>1.8400000000000003</c:v>
                </c:pt>
                <c:pt idx="2967">
                  <c:v>1.8400000000000003</c:v>
                </c:pt>
                <c:pt idx="2968">
                  <c:v>1.8400000000000003</c:v>
                </c:pt>
                <c:pt idx="2969">
                  <c:v>1.3100000000000003</c:v>
                </c:pt>
                <c:pt idx="2970">
                  <c:v>1.3100000000000003</c:v>
                </c:pt>
                <c:pt idx="2971">
                  <c:v>1.3100000000000003</c:v>
                </c:pt>
                <c:pt idx="2972">
                  <c:v>1.3100000000000003</c:v>
                </c:pt>
                <c:pt idx="2973">
                  <c:v>1.8400000000000003</c:v>
                </c:pt>
                <c:pt idx="2974">
                  <c:v>1.8400000000000003</c:v>
                </c:pt>
                <c:pt idx="2975">
                  <c:v>1.8400000000000003</c:v>
                </c:pt>
                <c:pt idx="2976">
                  <c:v>1.8400000000000003</c:v>
                </c:pt>
                <c:pt idx="2977">
                  <c:v>1.3100000000000003</c:v>
                </c:pt>
                <c:pt idx="2978">
                  <c:v>1.3100000000000003</c:v>
                </c:pt>
                <c:pt idx="2979">
                  <c:v>1.3100000000000003</c:v>
                </c:pt>
                <c:pt idx="2980">
                  <c:v>1.3100000000000003</c:v>
                </c:pt>
                <c:pt idx="2981">
                  <c:v>1.8400000000000003</c:v>
                </c:pt>
                <c:pt idx="2982">
                  <c:v>1.8400000000000003</c:v>
                </c:pt>
                <c:pt idx="2983">
                  <c:v>1.8400000000000003</c:v>
                </c:pt>
                <c:pt idx="2984">
                  <c:v>1.8400000000000003</c:v>
                </c:pt>
                <c:pt idx="2985">
                  <c:v>1.3100000000000003</c:v>
                </c:pt>
                <c:pt idx="2986">
                  <c:v>1.3100000000000003</c:v>
                </c:pt>
                <c:pt idx="2987">
                  <c:v>1.3100000000000003</c:v>
                </c:pt>
                <c:pt idx="2988">
                  <c:v>1.3100000000000003</c:v>
                </c:pt>
                <c:pt idx="2989">
                  <c:v>1.8400000000000003</c:v>
                </c:pt>
                <c:pt idx="2990">
                  <c:v>1.8400000000000003</c:v>
                </c:pt>
                <c:pt idx="2991">
                  <c:v>1.8400000000000003</c:v>
                </c:pt>
                <c:pt idx="2992">
                  <c:v>1.8400000000000003</c:v>
                </c:pt>
                <c:pt idx="2993">
                  <c:v>1.3100000000000003</c:v>
                </c:pt>
                <c:pt idx="2994">
                  <c:v>1.3100000000000003</c:v>
                </c:pt>
                <c:pt idx="2995">
                  <c:v>1.3100000000000003</c:v>
                </c:pt>
                <c:pt idx="2996">
                  <c:v>1.3100000000000003</c:v>
                </c:pt>
                <c:pt idx="2997">
                  <c:v>1.8400000000000003</c:v>
                </c:pt>
                <c:pt idx="2998">
                  <c:v>1.8400000000000003</c:v>
                </c:pt>
                <c:pt idx="2999">
                  <c:v>1.8400000000000003</c:v>
                </c:pt>
                <c:pt idx="3000">
                  <c:v>1.8400000000000003</c:v>
                </c:pt>
                <c:pt idx="3001">
                  <c:v>1.3100000000000003</c:v>
                </c:pt>
                <c:pt idx="3002">
                  <c:v>1.3100000000000003</c:v>
                </c:pt>
                <c:pt idx="3003">
                  <c:v>1.3100000000000003</c:v>
                </c:pt>
                <c:pt idx="3004">
                  <c:v>1.3100000000000003</c:v>
                </c:pt>
                <c:pt idx="3005">
                  <c:v>1.8400000000000003</c:v>
                </c:pt>
                <c:pt idx="3006">
                  <c:v>1.8400000000000003</c:v>
                </c:pt>
                <c:pt idx="3007">
                  <c:v>1.8400000000000003</c:v>
                </c:pt>
                <c:pt idx="3008">
                  <c:v>1.8400000000000003</c:v>
                </c:pt>
                <c:pt idx="3009">
                  <c:v>1.3100000000000003</c:v>
                </c:pt>
                <c:pt idx="3010">
                  <c:v>1.3100000000000003</c:v>
                </c:pt>
                <c:pt idx="3011">
                  <c:v>1.3100000000000003</c:v>
                </c:pt>
                <c:pt idx="3012">
                  <c:v>1.3100000000000003</c:v>
                </c:pt>
                <c:pt idx="3013">
                  <c:v>1.8400000000000003</c:v>
                </c:pt>
                <c:pt idx="3014">
                  <c:v>1.8400000000000003</c:v>
                </c:pt>
                <c:pt idx="3015">
                  <c:v>1.8400000000000003</c:v>
                </c:pt>
                <c:pt idx="3016">
                  <c:v>1.8400000000000003</c:v>
                </c:pt>
                <c:pt idx="3017">
                  <c:v>1.3100000000000003</c:v>
                </c:pt>
                <c:pt idx="3018">
                  <c:v>1.3100000000000003</c:v>
                </c:pt>
                <c:pt idx="3019">
                  <c:v>1.3100000000000003</c:v>
                </c:pt>
                <c:pt idx="3020">
                  <c:v>1.3100000000000003</c:v>
                </c:pt>
                <c:pt idx="3021">
                  <c:v>1.8400000000000003</c:v>
                </c:pt>
                <c:pt idx="3022">
                  <c:v>1.8400000000000003</c:v>
                </c:pt>
                <c:pt idx="3023">
                  <c:v>1.8400000000000003</c:v>
                </c:pt>
                <c:pt idx="3024">
                  <c:v>1.8400000000000003</c:v>
                </c:pt>
                <c:pt idx="3025">
                  <c:v>1.3100000000000003</c:v>
                </c:pt>
                <c:pt idx="3026">
                  <c:v>1.3100000000000003</c:v>
                </c:pt>
                <c:pt idx="3027">
                  <c:v>1.3100000000000003</c:v>
                </c:pt>
                <c:pt idx="3028">
                  <c:v>1.3100000000000003</c:v>
                </c:pt>
                <c:pt idx="3029">
                  <c:v>1.8400000000000003</c:v>
                </c:pt>
                <c:pt idx="3030">
                  <c:v>1.8400000000000003</c:v>
                </c:pt>
                <c:pt idx="3031">
                  <c:v>1.8400000000000003</c:v>
                </c:pt>
                <c:pt idx="3032">
                  <c:v>1.8400000000000003</c:v>
                </c:pt>
                <c:pt idx="3033">
                  <c:v>1.3100000000000003</c:v>
                </c:pt>
                <c:pt idx="3034">
                  <c:v>1.3100000000000003</c:v>
                </c:pt>
                <c:pt idx="3035">
                  <c:v>1.3100000000000003</c:v>
                </c:pt>
                <c:pt idx="3036">
                  <c:v>1.3100000000000003</c:v>
                </c:pt>
                <c:pt idx="3037">
                  <c:v>1.8400000000000003</c:v>
                </c:pt>
                <c:pt idx="3038">
                  <c:v>1.8400000000000003</c:v>
                </c:pt>
                <c:pt idx="3039">
                  <c:v>1.8400000000000003</c:v>
                </c:pt>
                <c:pt idx="3040">
                  <c:v>1.8400000000000003</c:v>
                </c:pt>
                <c:pt idx="3041">
                  <c:v>1.3100000000000003</c:v>
                </c:pt>
                <c:pt idx="3042">
                  <c:v>1.3100000000000003</c:v>
                </c:pt>
                <c:pt idx="3043">
                  <c:v>1.3100000000000003</c:v>
                </c:pt>
                <c:pt idx="3044">
                  <c:v>1.3100000000000003</c:v>
                </c:pt>
                <c:pt idx="3045">
                  <c:v>1.8400000000000003</c:v>
                </c:pt>
                <c:pt idx="3046">
                  <c:v>1.8400000000000003</c:v>
                </c:pt>
                <c:pt idx="3047">
                  <c:v>1.8400000000000003</c:v>
                </c:pt>
                <c:pt idx="3048">
                  <c:v>1.8400000000000003</c:v>
                </c:pt>
                <c:pt idx="3049">
                  <c:v>1.3100000000000003</c:v>
                </c:pt>
                <c:pt idx="3050">
                  <c:v>1.3100000000000003</c:v>
                </c:pt>
                <c:pt idx="3051">
                  <c:v>1.3100000000000003</c:v>
                </c:pt>
                <c:pt idx="3052">
                  <c:v>1.3100000000000003</c:v>
                </c:pt>
                <c:pt idx="3053">
                  <c:v>1.8400000000000003</c:v>
                </c:pt>
                <c:pt idx="3054">
                  <c:v>1.8400000000000003</c:v>
                </c:pt>
                <c:pt idx="3055">
                  <c:v>1.8400000000000003</c:v>
                </c:pt>
                <c:pt idx="3056">
                  <c:v>1.8400000000000003</c:v>
                </c:pt>
                <c:pt idx="3057">
                  <c:v>1.3100000000000003</c:v>
                </c:pt>
                <c:pt idx="3058">
                  <c:v>1.3100000000000003</c:v>
                </c:pt>
                <c:pt idx="3059">
                  <c:v>1.3100000000000003</c:v>
                </c:pt>
                <c:pt idx="3060">
                  <c:v>1.3100000000000003</c:v>
                </c:pt>
                <c:pt idx="3061">
                  <c:v>1.8400000000000003</c:v>
                </c:pt>
                <c:pt idx="3062">
                  <c:v>1.8400000000000003</c:v>
                </c:pt>
                <c:pt idx="3063">
                  <c:v>1.8400000000000003</c:v>
                </c:pt>
                <c:pt idx="3064">
                  <c:v>1.8400000000000003</c:v>
                </c:pt>
                <c:pt idx="3065">
                  <c:v>1.3100000000000003</c:v>
                </c:pt>
                <c:pt idx="3066">
                  <c:v>1.3100000000000003</c:v>
                </c:pt>
                <c:pt idx="3067">
                  <c:v>1.3100000000000003</c:v>
                </c:pt>
                <c:pt idx="3068">
                  <c:v>1.3100000000000003</c:v>
                </c:pt>
                <c:pt idx="3069">
                  <c:v>1.8400000000000003</c:v>
                </c:pt>
                <c:pt idx="3070">
                  <c:v>1.8400000000000003</c:v>
                </c:pt>
                <c:pt idx="3071">
                  <c:v>1.8400000000000003</c:v>
                </c:pt>
                <c:pt idx="3072">
                  <c:v>1.8400000000000003</c:v>
                </c:pt>
                <c:pt idx="3073">
                  <c:v>1.3100000000000003</c:v>
                </c:pt>
                <c:pt idx="3074">
                  <c:v>1.3100000000000003</c:v>
                </c:pt>
                <c:pt idx="3075">
                  <c:v>1.3100000000000003</c:v>
                </c:pt>
                <c:pt idx="3076">
                  <c:v>1.3100000000000003</c:v>
                </c:pt>
                <c:pt idx="3077">
                  <c:v>1.8400000000000003</c:v>
                </c:pt>
                <c:pt idx="3078">
                  <c:v>1.8400000000000003</c:v>
                </c:pt>
                <c:pt idx="3079">
                  <c:v>1.8400000000000003</c:v>
                </c:pt>
                <c:pt idx="3080">
                  <c:v>1.8400000000000003</c:v>
                </c:pt>
                <c:pt idx="3081">
                  <c:v>1.3100000000000003</c:v>
                </c:pt>
                <c:pt idx="3082">
                  <c:v>1.3100000000000003</c:v>
                </c:pt>
                <c:pt idx="3083">
                  <c:v>1.3100000000000003</c:v>
                </c:pt>
                <c:pt idx="3084">
                  <c:v>1.3100000000000003</c:v>
                </c:pt>
                <c:pt idx="3085">
                  <c:v>1.8400000000000003</c:v>
                </c:pt>
                <c:pt idx="3086">
                  <c:v>1.8400000000000003</c:v>
                </c:pt>
                <c:pt idx="3087">
                  <c:v>1.8400000000000003</c:v>
                </c:pt>
                <c:pt idx="3088">
                  <c:v>1.8400000000000003</c:v>
                </c:pt>
                <c:pt idx="3089">
                  <c:v>1.3100000000000003</c:v>
                </c:pt>
                <c:pt idx="3090">
                  <c:v>1.3100000000000003</c:v>
                </c:pt>
                <c:pt idx="3091">
                  <c:v>1.3100000000000003</c:v>
                </c:pt>
                <c:pt idx="3092">
                  <c:v>1.3100000000000003</c:v>
                </c:pt>
                <c:pt idx="3093">
                  <c:v>1.8400000000000003</c:v>
                </c:pt>
                <c:pt idx="3094">
                  <c:v>1.8400000000000003</c:v>
                </c:pt>
                <c:pt idx="3095">
                  <c:v>1.8400000000000003</c:v>
                </c:pt>
                <c:pt idx="3096">
                  <c:v>1.8400000000000003</c:v>
                </c:pt>
                <c:pt idx="3097">
                  <c:v>1.3100000000000003</c:v>
                </c:pt>
                <c:pt idx="3098">
                  <c:v>1.3100000000000003</c:v>
                </c:pt>
                <c:pt idx="3099">
                  <c:v>1.3100000000000003</c:v>
                </c:pt>
                <c:pt idx="3100">
                  <c:v>1.3100000000000003</c:v>
                </c:pt>
                <c:pt idx="3101">
                  <c:v>1.8400000000000003</c:v>
                </c:pt>
                <c:pt idx="3102">
                  <c:v>1.8400000000000003</c:v>
                </c:pt>
                <c:pt idx="3103">
                  <c:v>1.8400000000000003</c:v>
                </c:pt>
                <c:pt idx="3104">
                  <c:v>1.8400000000000003</c:v>
                </c:pt>
                <c:pt idx="3105">
                  <c:v>1.3100000000000003</c:v>
                </c:pt>
                <c:pt idx="3106">
                  <c:v>1.3100000000000003</c:v>
                </c:pt>
                <c:pt idx="3107">
                  <c:v>1.3100000000000003</c:v>
                </c:pt>
                <c:pt idx="3108">
                  <c:v>1.3100000000000003</c:v>
                </c:pt>
                <c:pt idx="3109">
                  <c:v>1.8400000000000003</c:v>
                </c:pt>
                <c:pt idx="3110">
                  <c:v>1.8400000000000003</c:v>
                </c:pt>
                <c:pt idx="3111">
                  <c:v>1.8400000000000003</c:v>
                </c:pt>
                <c:pt idx="3112">
                  <c:v>1.8400000000000003</c:v>
                </c:pt>
                <c:pt idx="3113">
                  <c:v>1.3100000000000003</c:v>
                </c:pt>
                <c:pt idx="3114">
                  <c:v>1.3100000000000003</c:v>
                </c:pt>
                <c:pt idx="3115">
                  <c:v>1.3100000000000003</c:v>
                </c:pt>
                <c:pt idx="3116">
                  <c:v>1.3100000000000003</c:v>
                </c:pt>
                <c:pt idx="3117">
                  <c:v>1.8400000000000003</c:v>
                </c:pt>
                <c:pt idx="3118">
                  <c:v>1.8400000000000003</c:v>
                </c:pt>
                <c:pt idx="3119">
                  <c:v>1.8400000000000003</c:v>
                </c:pt>
                <c:pt idx="3120">
                  <c:v>1.8400000000000003</c:v>
                </c:pt>
                <c:pt idx="3121">
                  <c:v>1.3100000000000003</c:v>
                </c:pt>
                <c:pt idx="3122">
                  <c:v>1.3100000000000003</c:v>
                </c:pt>
                <c:pt idx="3123">
                  <c:v>1.3100000000000003</c:v>
                </c:pt>
                <c:pt idx="3124">
                  <c:v>1.3100000000000003</c:v>
                </c:pt>
                <c:pt idx="3125">
                  <c:v>1.8400000000000003</c:v>
                </c:pt>
                <c:pt idx="3126">
                  <c:v>1.8400000000000003</c:v>
                </c:pt>
                <c:pt idx="3127">
                  <c:v>1.8400000000000003</c:v>
                </c:pt>
                <c:pt idx="3128">
                  <c:v>1.8400000000000003</c:v>
                </c:pt>
                <c:pt idx="3129">
                  <c:v>1.3100000000000003</c:v>
                </c:pt>
                <c:pt idx="3130">
                  <c:v>1.3100000000000003</c:v>
                </c:pt>
                <c:pt idx="3131">
                  <c:v>1.3100000000000003</c:v>
                </c:pt>
                <c:pt idx="3132">
                  <c:v>1.3100000000000003</c:v>
                </c:pt>
                <c:pt idx="3133">
                  <c:v>1.8400000000000003</c:v>
                </c:pt>
                <c:pt idx="3134">
                  <c:v>1.8400000000000003</c:v>
                </c:pt>
                <c:pt idx="3135">
                  <c:v>1.8400000000000003</c:v>
                </c:pt>
                <c:pt idx="3136">
                  <c:v>1.8400000000000003</c:v>
                </c:pt>
                <c:pt idx="3137">
                  <c:v>1.3100000000000003</c:v>
                </c:pt>
                <c:pt idx="3138">
                  <c:v>1.3100000000000003</c:v>
                </c:pt>
                <c:pt idx="3139">
                  <c:v>1.3100000000000003</c:v>
                </c:pt>
                <c:pt idx="3140">
                  <c:v>1.3100000000000003</c:v>
                </c:pt>
                <c:pt idx="3141">
                  <c:v>1.8400000000000003</c:v>
                </c:pt>
                <c:pt idx="3142">
                  <c:v>1.8400000000000003</c:v>
                </c:pt>
                <c:pt idx="3143">
                  <c:v>1.8400000000000003</c:v>
                </c:pt>
                <c:pt idx="3144">
                  <c:v>1.8400000000000003</c:v>
                </c:pt>
                <c:pt idx="3145">
                  <c:v>1.3100000000000003</c:v>
                </c:pt>
                <c:pt idx="3146">
                  <c:v>1.3100000000000003</c:v>
                </c:pt>
                <c:pt idx="3147">
                  <c:v>1.3100000000000003</c:v>
                </c:pt>
                <c:pt idx="3148">
                  <c:v>1.3100000000000003</c:v>
                </c:pt>
                <c:pt idx="3149">
                  <c:v>1.8400000000000003</c:v>
                </c:pt>
                <c:pt idx="3150">
                  <c:v>1.8400000000000003</c:v>
                </c:pt>
                <c:pt idx="3151">
                  <c:v>1.8400000000000003</c:v>
                </c:pt>
                <c:pt idx="3152">
                  <c:v>1.8400000000000003</c:v>
                </c:pt>
                <c:pt idx="3153">
                  <c:v>1.3100000000000003</c:v>
                </c:pt>
                <c:pt idx="3154">
                  <c:v>1.3100000000000003</c:v>
                </c:pt>
                <c:pt idx="3155">
                  <c:v>1.3100000000000003</c:v>
                </c:pt>
                <c:pt idx="3156">
                  <c:v>1.3100000000000003</c:v>
                </c:pt>
                <c:pt idx="3157">
                  <c:v>1.8400000000000003</c:v>
                </c:pt>
                <c:pt idx="3158">
                  <c:v>1.8400000000000003</c:v>
                </c:pt>
                <c:pt idx="3159">
                  <c:v>1.8400000000000003</c:v>
                </c:pt>
                <c:pt idx="3160">
                  <c:v>1.8400000000000003</c:v>
                </c:pt>
                <c:pt idx="3161">
                  <c:v>1.3100000000000003</c:v>
                </c:pt>
                <c:pt idx="3162">
                  <c:v>1.3100000000000003</c:v>
                </c:pt>
                <c:pt idx="3163">
                  <c:v>1.3100000000000003</c:v>
                </c:pt>
                <c:pt idx="3164">
                  <c:v>1.3100000000000003</c:v>
                </c:pt>
                <c:pt idx="3165">
                  <c:v>1.8400000000000003</c:v>
                </c:pt>
                <c:pt idx="3166">
                  <c:v>1.8400000000000003</c:v>
                </c:pt>
                <c:pt idx="3167">
                  <c:v>1.8400000000000003</c:v>
                </c:pt>
                <c:pt idx="3168">
                  <c:v>1.8400000000000003</c:v>
                </c:pt>
                <c:pt idx="3169">
                  <c:v>1.3100000000000003</c:v>
                </c:pt>
                <c:pt idx="3170">
                  <c:v>1.3100000000000003</c:v>
                </c:pt>
                <c:pt idx="3171">
                  <c:v>1.3100000000000003</c:v>
                </c:pt>
                <c:pt idx="3172">
                  <c:v>1.3100000000000003</c:v>
                </c:pt>
                <c:pt idx="3173">
                  <c:v>1.8400000000000003</c:v>
                </c:pt>
                <c:pt idx="3174">
                  <c:v>1.8400000000000003</c:v>
                </c:pt>
                <c:pt idx="3175">
                  <c:v>1.8400000000000003</c:v>
                </c:pt>
                <c:pt idx="3176">
                  <c:v>1.8400000000000003</c:v>
                </c:pt>
                <c:pt idx="3177">
                  <c:v>1.3100000000000003</c:v>
                </c:pt>
                <c:pt idx="3178">
                  <c:v>1.3100000000000003</c:v>
                </c:pt>
                <c:pt idx="3179">
                  <c:v>1.3100000000000003</c:v>
                </c:pt>
                <c:pt idx="3180">
                  <c:v>1.3100000000000003</c:v>
                </c:pt>
                <c:pt idx="3181">
                  <c:v>1.8400000000000003</c:v>
                </c:pt>
                <c:pt idx="3182">
                  <c:v>1.8400000000000003</c:v>
                </c:pt>
                <c:pt idx="3183">
                  <c:v>1.8400000000000003</c:v>
                </c:pt>
                <c:pt idx="3184">
                  <c:v>1.8400000000000003</c:v>
                </c:pt>
                <c:pt idx="3185">
                  <c:v>1.3100000000000003</c:v>
                </c:pt>
                <c:pt idx="3186">
                  <c:v>1.3100000000000003</c:v>
                </c:pt>
                <c:pt idx="3187">
                  <c:v>1.3100000000000003</c:v>
                </c:pt>
                <c:pt idx="3188">
                  <c:v>1.3100000000000003</c:v>
                </c:pt>
                <c:pt idx="3189">
                  <c:v>1.8400000000000003</c:v>
                </c:pt>
                <c:pt idx="3190">
                  <c:v>1.8400000000000003</c:v>
                </c:pt>
                <c:pt idx="3191">
                  <c:v>1.8400000000000003</c:v>
                </c:pt>
                <c:pt idx="3192">
                  <c:v>1.8400000000000003</c:v>
                </c:pt>
                <c:pt idx="3193">
                  <c:v>1.3100000000000003</c:v>
                </c:pt>
                <c:pt idx="3194">
                  <c:v>1.3100000000000003</c:v>
                </c:pt>
                <c:pt idx="3195">
                  <c:v>1.3100000000000003</c:v>
                </c:pt>
                <c:pt idx="3196">
                  <c:v>1.3100000000000003</c:v>
                </c:pt>
                <c:pt idx="3197">
                  <c:v>1.8400000000000003</c:v>
                </c:pt>
                <c:pt idx="3198">
                  <c:v>1.8400000000000003</c:v>
                </c:pt>
                <c:pt idx="3199">
                  <c:v>1.8400000000000003</c:v>
                </c:pt>
                <c:pt idx="3200">
                  <c:v>1.8400000000000003</c:v>
                </c:pt>
                <c:pt idx="3201">
                  <c:v>1.3100000000000003</c:v>
                </c:pt>
                <c:pt idx="3202">
                  <c:v>1.3100000000000003</c:v>
                </c:pt>
                <c:pt idx="3203">
                  <c:v>1.3100000000000003</c:v>
                </c:pt>
                <c:pt idx="3204">
                  <c:v>1.3100000000000003</c:v>
                </c:pt>
                <c:pt idx="3205">
                  <c:v>1.8400000000000003</c:v>
                </c:pt>
                <c:pt idx="3206">
                  <c:v>1.8400000000000003</c:v>
                </c:pt>
                <c:pt idx="3207">
                  <c:v>1.8400000000000003</c:v>
                </c:pt>
                <c:pt idx="3208">
                  <c:v>1.8400000000000003</c:v>
                </c:pt>
                <c:pt idx="3209">
                  <c:v>1.3100000000000003</c:v>
                </c:pt>
                <c:pt idx="3210">
                  <c:v>1.3100000000000003</c:v>
                </c:pt>
                <c:pt idx="3211">
                  <c:v>1.3100000000000003</c:v>
                </c:pt>
                <c:pt idx="3212">
                  <c:v>1.3100000000000003</c:v>
                </c:pt>
                <c:pt idx="3213">
                  <c:v>1.8400000000000003</c:v>
                </c:pt>
                <c:pt idx="3214">
                  <c:v>1.8400000000000003</c:v>
                </c:pt>
                <c:pt idx="3215">
                  <c:v>1.8400000000000003</c:v>
                </c:pt>
                <c:pt idx="3216">
                  <c:v>1.8400000000000003</c:v>
                </c:pt>
                <c:pt idx="3217">
                  <c:v>1.3100000000000003</c:v>
                </c:pt>
                <c:pt idx="3218">
                  <c:v>1.3100000000000003</c:v>
                </c:pt>
                <c:pt idx="3219">
                  <c:v>1.3100000000000003</c:v>
                </c:pt>
                <c:pt idx="3220">
                  <c:v>1.3100000000000003</c:v>
                </c:pt>
                <c:pt idx="3221">
                  <c:v>1.8400000000000003</c:v>
                </c:pt>
                <c:pt idx="3222">
                  <c:v>1.8400000000000003</c:v>
                </c:pt>
                <c:pt idx="3223">
                  <c:v>1.8400000000000003</c:v>
                </c:pt>
                <c:pt idx="3224">
                  <c:v>1.8400000000000003</c:v>
                </c:pt>
                <c:pt idx="3225">
                  <c:v>1.3100000000000003</c:v>
                </c:pt>
                <c:pt idx="3226">
                  <c:v>1.3100000000000003</c:v>
                </c:pt>
                <c:pt idx="3227">
                  <c:v>1.3100000000000003</c:v>
                </c:pt>
                <c:pt idx="3228">
                  <c:v>1.3100000000000003</c:v>
                </c:pt>
                <c:pt idx="3229">
                  <c:v>1.8400000000000003</c:v>
                </c:pt>
                <c:pt idx="3230">
                  <c:v>1.8400000000000003</c:v>
                </c:pt>
                <c:pt idx="3231">
                  <c:v>1.8400000000000003</c:v>
                </c:pt>
                <c:pt idx="3232">
                  <c:v>1.8400000000000003</c:v>
                </c:pt>
                <c:pt idx="3233">
                  <c:v>1.3100000000000003</c:v>
                </c:pt>
                <c:pt idx="3234">
                  <c:v>1.3100000000000003</c:v>
                </c:pt>
                <c:pt idx="3235">
                  <c:v>1.3100000000000003</c:v>
                </c:pt>
                <c:pt idx="3236">
                  <c:v>1.3100000000000003</c:v>
                </c:pt>
                <c:pt idx="3237">
                  <c:v>1.8400000000000003</c:v>
                </c:pt>
                <c:pt idx="3238">
                  <c:v>1.8400000000000003</c:v>
                </c:pt>
                <c:pt idx="3239">
                  <c:v>1.8400000000000003</c:v>
                </c:pt>
                <c:pt idx="3240">
                  <c:v>1.8400000000000003</c:v>
                </c:pt>
                <c:pt idx="3241">
                  <c:v>1.3100000000000003</c:v>
                </c:pt>
                <c:pt idx="3242">
                  <c:v>1.3100000000000003</c:v>
                </c:pt>
                <c:pt idx="3243">
                  <c:v>1.3100000000000003</c:v>
                </c:pt>
                <c:pt idx="3244">
                  <c:v>1.3100000000000003</c:v>
                </c:pt>
                <c:pt idx="3245">
                  <c:v>1.8400000000000003</c:v>
                </c:pt>
                <c:pt idx="3246">
                  <c:v>1.8400000000000003</c:v>
                </c:pt>
                <c:pt idx="3247">
                  <c:v>1.8400000000000003</c:v>
                </c:pt>
                <c:pt idx="3248">
                  <c:v>1.8400000000000003</c:v>
                </c:pt>
                <c:pt idx="3249">
                  <c:v>1.3100000000000003</c:v>
                </c:pt>
                <c:pt idx="3250">
                  <c:v>1.3100000000000003</c:v>
                </c:pt>
                <c:pt idx="3251">
                  <c:v>1.3100000000000003</c:v>
                </c:pt>
                <c:pt idx="3252">
                  <c:v>1.3100000000000003</c:v>
                </c:pt>
                <c:pt idx="3253">
                  <c:v>1.8400000000000003</c:v>
                </c:pt>
                <c:pt idx="3254">
                  <c:v>1.8400000000000003</c:v>
                </c:pt>
                <c:pt idx="3255">
                  <c:v>1.8400000000000003</c:v>
                </c:pt>
                <c:pt idx="3256">
                  <c:v>1.8400000000000003</c:v>
                </c:pt>
                <c:pt idx="3257">
                  <c:v>1.3100000000000003</c:v>
                </c:pt>
                <c:pt idx="3258">
                  <c:v>1.3100000000000003</c:v>
                </c:pt>
                <c:pt idx="3259">
                  <c:v>1.3100000000000003</c:v>
                </c:pt>
                <c:pt idx="3260">
                  <c:v>1.3100000000000003</c:v>
                </c:pt>
                <c:pt idx="3261">
                  <c:v>1.8400000000000003</c:v>
                </c:pt>
                <c:pt idx="3262">
                  <c:v>1.8400000000000003</c:v>
                </c:pt>
                <c:pt idx="3263">
                  <c:v>1.8400000000000003</c:v>
                </c:pt>
                <c:pt idx="3264">
                  <c:v>1.8400000000000003</c:v>
                </c:pt>
                <c:pt idx="3265">
                  <c:v>1.3100000000000003</c:v>
                </c:pt>
                <c:pt idx="3266">
                  <c:v>1.3100000000000003</c:v>
                </c:pt>
                <c:pt idx="3267">
                  <c:v>1.3100000000000003</c:v>
                </c:pt>
                <c:pt idx="3268">
                  <c:v>1.3100000000000003</c:v>
                </c:pt>
                <c:pt idx="3269">
                  <c:v>1.8400000000000003</c:v>
                </c:pt>
                <c:pt idx="3270">
                  <c:v>1.8400000000000003</c:v>
                </c:pt>
                <c:pt idx="3271">
                  <c:v>1.8400000000000003</c:v>
                </c:pt>
                <c:pt idx="3272">
                  <c:v>1.8400000000000003</c:v>
                </c:pt>
                <c:pt idx="3273">
                  <c:v>1.3100000000000003</c:v>
                </c:pt>
                <c:pt idx="3274">
                  <c:v>1.3100000000000003</c:v>
                </c:pt>
                <c:pt idx="3275">
                  <c:v>1.3100000000000003</c:v>
                </c:pt>
                <c:pt idx="3276">
                  <c:v>1.3100000000000003</c:v>
                </c:pt>
                <c:pt idx="3277">
                  <c:v>1.8400000000000003</c:v>
                </c:pt>
                <c:pt idx="3278">
                  <c:v>1.8400000000000003</c:v>
                </c:pt>
                <c:pt idx="3279">
                  <c:v>1.8400000000000003</c:v>
                </c:pt>
                <c:pt idx="3280">
                  <c:v>1.8400000000000003</c:v>
                </c:pt>
                <c:pt idx="3281">
                  <c:v>1.3100000000000003</c:v>
                </c:pt>
                <c:pt idx="3282">
                  <c:v>1.3100000000000003</c:v>
                </c:pt>
                <c:pt idx="3283">
                  <c:v>1.3100000000000003</c:v>
                </c:pt>
                <c:pt idx="3284">
                  <c:v>1.3100000000000003</c:v>
                </c:pt>
                <c:pt idx="3285">
                  <c:v>1.8400000000000003</c:v>
                </c:pt>
                <c:pt idx="3286">
                  <c:v>1.8400000000000003</c:v>
                </c:pt>
                <c:pt idx="3287">
                  <c:v>1.8400000000000003</c:v>
                </c:pt>
                <c:pt idx="3288">
                  <c:v>1.8400000000000003</c:v>
                </c:pt>
                <c:pt idx="3289">
                  <c:v>1.3100000000000003</c:v>
                </c:pt>
                <c:pt idx="3290">
                  <c:v>1.3100000000000003</c:v>
                </c:pt>
                <c:pt idx="3291">
                  <c:v>1.3100000000000003</c:v>
                </c:pt>
                <c:pt idx="3292">
                  <c:v>1.3100000000000003</c:v>
                </c:pt>
                <c:pt idx="3293">
                  <c:v>1.8400000000000003</c:v>
                </c:pt>
                <c:pt idx="3294">
                  <c:v>1.8400000000000003</c:v>
                </c:pt>
                <c:pt idx="3295">
                  <c:v>1.8400000000000003</c:v>
                </c:pt>
                <c:pt idx="3296">
                  <c:v>1.8400000000000003</c:v>
                </c:pt>
                <c:pt idx="3297">
                  <c:v>1.3100000000000003</c:v>
                </c:pt>
                <c:pt idx="3298">
                  <c:v>1.3100000000000003</c:v>
                </c:pt>
                <c:pt idx="3299">
                  <c:v>1.3100000000000003</c:v>
                </c:pt>
                <c:pt idx="3300">
                  <c:v>1.3100000000000003</c:v>
                </c:pt>
                <c:pt idx="3301">
                  <c:v>1.8400000000000003</c:v>
                </c:pt>
                <c:pt idx="3302">
                  <c:v>1.8400000000000003</c:v>
                </c:pt>
                <c:pt idx="3303">
                  <c:v>1.8400000000000003</c:v>
                </c:pt>
                <c:pt idx="3304">
                  <c:v>1.8400000000000003</c:v>
                </c:pt>
                <c:pt idx="3305">
                  <c:v>1.3100000000000003</c:v>
                </c:pt>
                <c:pt idx="3306">
                  <c:v>1.3100000000000003</c:v>
                </c:pt>
                <c:pt idx="3307">
                  <c:v>1.3100000000000003</c:v>
                </c:pt>
                <c:pt idx="3308">
                  <c:v>1.3100000000000003</c:v>
                </c:pt>
                <c:pt idx="3309">
                  <c:v>1.8400000000000003</c:v>
                </c:pt>
                <c:pt idx="3310">
                  <c:v>1.8400000000000003</c:v>
                </c:pt>
                <c:pt idx="3311">
                  <c:v>1.8400000000000003</c:v>
                </c:pt>
                <c:pt idx="3312">
                  <c:v>1.8400000000000003</c:v>
                </c:pt>
                <c:pt idx="3313">
                  <c:v>1.3100000000000003</c:v>
                </c:pt>
                <c:pt idx="3314">
                  <c:v>1.3100000000000003</c:v>
                </c:pt>
                <c:pt idx="3315">
                  <c:v>1.3100000000000003</c:v>
                </c:pt>
                <c:pt idx="3316">
                  <c:v>1.3100000000000003</c:v>
                </c:pt>
                <c:pt idx="3317">
                  <c:v>1.8400000000000003</c:v>
                </c:pt>
                <c:pt idx="3318">
                  <c:v>1.8400000000000003</c:v>
                </c:pt>
                <c:pt idx="3319">
                  <c:v>1.8400000000000003</c:v>
                </c:pt>
                <c:pt idx="3320">
                  <c:v>1.8400000000000003</c:v>
                </c:pt>
                <c:pt idx="3321">
                  <c:v>1.3100000000000003</c:v>
                </c:pt>
                <c:pt idx="3322">
                  <c:v>1.3100000000000003</c:v>
                </c:pt>
                <c:pt idx="3323">
                  <c:v>1.3100000000000003</c:v>
                </c:pt>
                <c:pt idx="3324">
                  <c:v>1.3100000000000003</c:v>
                </c:pt>
                <c:pt idx="3325">
                  <c:v>1.8400000000000003</c:v>
                </c:pt>
                <c:pt idx="3326">
                  <c:v>1.8400000000000003</c:v>
                </c:pt>
                <c:pt idx="3327">
                  <c:v>1.8400000000000003</c:v>
                </c:pt>
                <c:pt idx="3328">
                  <c:v>1.8400000000000003</c:v>
                </c:pt>
                <c:pt idx="3329">
                  <c:v>1.3100000000000003</c:v>
                </c:pt>
                <c:pt idx="3330">
                  <c:v>1.3100000000000003</c:v>
                </c:pt>
                <c:pt idx="3331">
                  <c:v>1.3100000000000003</c:v>
                </c:pt>
                <c:pt idx="3332">
                  <c:v>1.3100000000000003</c:v>
                </c:pt>
                <c:pt idx="3333">
                  <c:v>1.8400000000000003</c:v>
                </c:pt>
                <c:pt idx="3334">
                  <c:v>1.8400000000000003</c:v>
                </c:pt>
                <c:pt idx="3335">
                  <c:v>1.8400000000000003</c:v>
                </c:pt>
                <c:pt idx="3336">
                  <c:v>1.8400000000000003</c:v>
                </c:pt>
                <c:pt idx="3337">
                  <c:v>1.3100000000000003</c:v>
                </c:pt>
                <c:pt idx="3338">
                  <c:v>1.3100000000000003</c:v>
                </c:pt>
                <c:pt idx="3339">
                  <c:v>1.3100000000000003</c:v>
                </c:pt>
                <c:pt idx="3340">
                  <c:v>1.3100000000000003</c:v>
                </c:pt>
                <c:pt idx="3341">
                  <c:v>1.8400000000000003</c:v>
                </c:pt>
                <c:pt idx="3342">
                  <c:v>1.8400000000000003</c:v>
                </c:pt>
                <c:pt idx="3343">
                  <c:v>1.8400000000000003</c:v>
                </c:pt>
                <c:pt idx="3344">
                  <c:v>1.8400000000000003</c:v>
                </c:pt>
                <c:pt idx="3345">
                  <c:v>1.3100000000000003</c:v>
                </c:pt>
                <c:pt idx="3346">
                  <c:v>1.3100000000000003</c:v>
                </c:pt>
                <c:pt idx="3347">
                  <c:v>1.3100000000000003</c:v>
                </c:pt>
                <c:pt idx="3348">
                  <c:v>1.3100000000000003</c:v>
                </c:pt>
                <c:pt idx="3349">
                  <c:v>1.8400000000000003</c:v>
                </c:pt>
                <c:pt idx="3350">
                  <c:v>1.8400000000000003</c:v>
                </c:pt>
                <c:pt idx="3351">
                  <c:v>1.8400000000000003</c:v>
                </c:pt>
                <c:pt idx="3352">
                  <c:v>1.8400000000000003</c:v>
                </c:pt>
                <c:pt idx="3353">
                  <c:v>1.3100000000000003</c:v>
                </c:pt>
                <c:pt idx="3354">
                  <c:v>1.3100000000000003</c:v>
                </c:pt>
                <c:pt idx="3355">
                  <c:v>1.3100000000000003</c:v>
                </c:pt>
                <c:pt idx="3356">
                  <c:v>1.3100000000000003</c:v>
                </c:pt>
                <c:pt idx="3357">
                  <c:v>1.8400000000000003</c:v>
                </c:pt>
                <c:pt idx="3358">
                  <c:v>1.8400000000000003</c:v>
                </c:pt>
                <c:pt idx="3359">
                  <c:v>1.8400000000000003</c:v>
                </c:pt>
                <c:pt idx="3360">
                  <c:v>1.8400000000000003</c:v>
                </c:pt>
                <c:pt idx="3361">
                  <c:v>1.3100000000000003</c:v>
                </c:pt>
                <c:pt idx="3362">
                  <c:v>1.3100000000000003</c:v>
                </c:pt>
                <c:pt idx="3363">
                  <c:v>1.3100000000000003</c:v>
                </c:pt>
                <c:pt idx="3364">
                  <c:v>1.3100000000000003</c:v>
                </c:pt>
                <c:pt idx="3365">
                  <c:v>1.8400000000000003</c:v>
                </c:pt>
                <c:pt idx="3366">
                  <c:v>1.8400000000000003</c:v>
                </c:pt>
                <c:pt idx="3367">
                  <c:v>1.8400000000000003</c:v>
                </c:pt>
                <c:pt idx="3368">
                  <c:v>1.8400000000000003</c:v>
                </c:pt>
                <c:pt idx="3369">
                  <c:v>1.3100000000000003</c:v>
                </c:pt>
                <c:pt idx="3370">
                  <c:v>1.3100000000000003</c:v>
                </c:pt>
                <c:pt idx="3371">
                  <c:v>1.3100000000000003</c:v>
                </c:pt>
                <c:pt idx="3372">
                  <c:v>1.3100000000000003</c:v>
                </c:pt>
                <c:pt idx="3373">
                  <c:v>1.3100000000000003</c:v>
                </c:pt>
                <c:pt idx="3374">
                  <c:v>1.3100000000000003</c:v>
                </c:pt>
                <c:pt idx="3375">
                  <c:v>1.8400000000000003</c:v>
                </c:pt>
                <c:pt idx="3376">
                  <c:v>1.8400000000000003</c:v>
                </c:pt>
                <c:pt idx="3377">
                  <c:v>1.8400000000000003</c:v>
                </c:pt>
                <c:pt idx="3378">
                  <c:v>1.8400000000000003</c:v>
                </c:pt>
                <c:pt idx="3379">
                  <c:v>1.3100000000000003</c:v>
                </c:pt>
                <c:pt idx="3380">
                  <c:v>1.3100000000000003</c:v>
                </c:pt>
                <c:pt idx="3381">
                  <c:v>1.3100000000000003</c:v>
                </c:pt>
                <c:pt idx="3382">
                  <c:v>1.3100000000000003</c:v>
                </c:pt>
                <c:pt idx="3383">
                  <c:v>1.8400000000000003</c:v>
                </c:pt>
                <c:pt idx="3384">
                  <c:v>1.8400000000000003</c:v>
                </c:pt>
                <c:pt idx="3385">
                  <c:v>1.8400000000000003</c:v>
                </c:pt>
                <c:pt idx="3386">
                  <c:v>1.8400000000000003</c:v>
                </c:pt>
                <c:pt idx="3387">
                  <c:v>1.3100000000000003</c:v>
                </c:pt>
                <c:pt idx="3388">
                  <c:v>1.3100000000000003</c:v>
                </c:pt>
                <c:pt idx="3389">
                  <c:v>1.3100000000000003</c:v>
                </c:pt>
                <c:pt idx="3390">
                  <c:v>1.3100000000000003</c:v>
                </c:pt>
                <c:pt idx="3391">
                  <c:v>1.8400000000000003</c:v>
                </c:pt>
                <c:pt idx="3392">
                  <c:v>1.8400000000000003</c:v>
                </c:pt>
                <c:pt idx="3393">
                  <c:v>1.8400000000000003</c:v>
                </c:pt>
                <c:pt idx="3394">
                  <c:v>1.8400000000000003</c:v>
                </c:pt>
                <c:pt idx="3395">
                  <c:v>1.3100000000000003</c:v>
                </c:pt>
                <c:pt idx="3396">
                  <c:v>1.3100000000000003</c:v>
                </c:pt>
                <c:pt idx="3397">
                  <c:v>1.3100000000000003</c:v>
                </c:pt>
                <c:pt idx="3398">
                  <c:v>1.3100000000000003</c:v>
                </c:pt>
                <c:pt idx="3399">
                  <c:v>1.8400000000000003</c:v>
                </c:pt>
                <c:pt idx="3400">
                  <c:v>1.8400000000000003</c:v>
                </c:pt>
                <c:pt idx="3401">
                  <c:v>1.8400000000000003</c:v>
                </c:pt>
                <c:pt idx="3402">
                  <c:v>1.8400000000000003</c:v>
                </c:pt>
                <c:pt idx="3403">
                  <c:v>1.3100000000000003</c:v>
                </c:pt>
                <c:pt idx="3404">
                  <c:v>1.3100000000000003</c:v>
                </c:pt>
                <c:pt idx="3405">
                  <c:v>1.3100000000000003</c:v>
                </c:pt>
                <c:pt idx="3406">
                  <c:v>1.3100000000000003</c:v>
                </c:pt>
                <c:pt idx="3407">
                  <c:v>1.8400000000000003</c:v>
                </c:pt>
                <c:pt idx="3408">
                  <c:v>1.8400000000000003</c:v>
                </c:pt>
                <c:pt idx="3409">
                  <c:v>1.8400000000000003</c:v>
                </c:pt>
                <c:pt idx="3410">
                  <c:v>1.8400000000000003</c:v>
                </c:pt>
                <c:pt idx="3411">
                  <c:v>1.3100000000000003</c:v>
                </c:pt>
                <c:pt idx="3412">
                  <c:v>1.3100000000000003</c:v>
                </c:pt>
                <c:pt idx="3413">
                  <c:v>1.3100000000000003</c:v>
                </c:pt>
                <c:pt idx="3414">
                  <c:v>1.3100000000000003</c:v>
                </c:pt>
                <c:pt idx="3415">
                  <c:v>1.8400000000000003</c:v>
                </c:pt>
                <c:pt idx="3416">
                  <c:v>1.8400000000000003</c:v>
                </c:pt>
                <c:pt idx="3417">
                  <c:v>1.8400000000000003</c:v>
                </c:pt>
                <c:pt idx="3418">
                  <c:v>1.8400000000000003</c:v>
                </c:pt>
                <c:pt idx="3419">
                  <c:v>1.3100000000000003</c:v>
                </c:pt>
                <c:pt idx="3420">
                  <c:v>1.3100000000000003</c:v>
                </c:pt>
                <c:pt idx="3421">
                  <c:v>1.3100000000000003</c:v>
                </c:pt>
                <c:pt idx="3422">
                  <c:v>1.3100000000000003</c:v>
                </c:pt>
                <c:pt idx="3423">
                  <c:v>1.8400000000000003</c:v>
                </c:pt>
                <c:pt idx="3424">
                  <c:v>1.8400000000000003</c:v>
                </c:pt>
                <c:pt idx="3425">
                  <c:v>1.8400000000000003</c:v>
                </c:pt>
                <c:pt idx="3426">
                  <c:v>1.8400000000000003</c:v>
                </c:pt>
                <c:pt idx="3427">
                  <c:v>1.3100000000000003</c:v>
                </c:pt>
                <c:pt idx="3428">
                  <c:v>1.3100000000000003</c:v>
                </c:pt>
                <c:pt idx="3429">
                  <c:v>1.3100000000000003</c:v>
                </c:pt>
                <c:pt idx="3430">
                  <c:v>1.3100000000000003</c:v>
                </c:pt>
                <c:pt idx="3431">
                  <c:v>1.8400000000000003</c:v>
                </c:pt>
                <c:pt idx="3432">
                  <c:v>1.8400000000000003</c:v>
                </c:pt>
                <c:pt idx="3433">
                  <c:v>1.8400000000000003</c:v>
                </c:pt>
                <c:pt idx="3434">
                  <c:v>1.8400000000000003</c:v>
                </c:pt>
                <c:pt idx="3435">
                  <c:v>1.3100000000000003</c:v>
                </c:pt>
                <c:pt idx="3436">
                  <c:v>1.3100000000000003</c:v>
                </c:pt>
                <c:pt idx="3437">
                  <c:v>1.3100000000000003</c:v>
                </c:pt>
                <c:pt idx="3438">
                  <c:v>1.3100000000000003</c:v>
                </c:pt>
                <c:pt idx="3439">
                  <c:v>1.8400000000000003</c:v>
                </c:pt>
                <c:pt idx="3440">
                  <c:v>1.8400000000000003</c:v>
                </c:pt>
                <c:pt idx="3441">
                  <c:v>1.8400000000000003</c:v>
                </c:pt>
                <c:pt idx="3442">
                  <c:v>1.8400000000000003</c:v>
                </c:pt>
                <c:pt idx="3443">
                  <c:v>1.3100000000000003</c:v>
                </c:pt>
                <c:pt idx="3444">
                  <c:v>1.3100000000000003</c:v>
                </c:pt>
                <c:pt idx="3445">
                  <c:v>1.3100000000000003</c:v>
                </c:pt>
                <c:pt idx="3446">
                  <c:v>1.3100000000000003</c:v>
                </c:pt>
                <c:pt idx="3447">
                  <c:v>1.8400000000000003</c:v>
                </c:pt>
                <c:pt idx="3448">
                  <c:v>1.8400000000000003</c:v>
                </c:pt>
                <c:pt idx="3449">
                  <c:v>1.8400000000000003</c:v>
                </c:pt>
                <c:pt idx="3450">
                  <c:v>1.8400000000000003</c:v>
                </c:pt>
                <c:pt idx="3451">
                  <c:v>1.3100000000000003</c:v>
                </c:pt>
                <c:pt idx="3452">
                  <c:v>1.3100000000000003</c:v>
                </c:pt>
                <c:pt idx="3453">
                  <c:v>1.3100000000000003</c:v>
                </c:pt>
                <c:pt idx="3454">
                  <c:v>1.3100000000000003</c:v>
                </c:pt>
                <c:pt idx="3455">
                  <c:v>1.8400000000000003</c:v>
                </c:pt>
                <c:pt idx="3456">
                  <c:v>1.8400000000000003</c:v>
                </c:pt>
                <c:pt idx="3457">
                  <c:v>1.8400000000000003</c:v>
                </c:pt>
                <c:pt idx="3458">
                  <c:v>1.8400000000000003</c:v>
                </c:pt>
                <c:pt idx="3459">
                  <c:v>1.3100000000000003</c:v>
                </c:pt>
                <c:pt idx="3460">
                  <c:v>1.3100000000000003</c:v>
                </c:pt>
                <c:pt idx="3461">
                  <c:v>1.3100000000000003</c:v>
                </c:pt>
                <c:pt idx="3462">
                  <c:v>1.3100000000000003</c:v>
                </c:pt>
                <c:pt idx="3463">
                  <c:v>1.8400000000000003</c:v>
                </c:pt>
                <c:pt idx="3464">
                  <c:v>1.8400000000000003</c:v>
                </c:pt>
                <c:pt idx="3465">
                  <c:v>1.8400000000000003</c:v>
                </c:pt>
                <c:pt idx="3466">
                  <c:v>1.8400000000000003</c:v>
                </c:pt>
                <c:pt idx="3467">
                  <c:v>1.3100000000000003</c:v>
                </c:pt>
                <c:pt idx="3468">
                  <c:v>1.3100000000000003</c:v>
                </c:pt>
                <c:pt idx="3469">
                  <c:v>1.3100000000000003</c:v>
                </c:pt>
                <c:pt idx="3470">
                  <c:v>1.3100000000000003</c:v>
                </c:pt>
                <c:pt idx="3471">
                  <c:v>1.8400000000000003</c:v>
                </c:pt>
                <c:pt idx="3472">
                  <c:v>1.8400000000000003</c:v>
                </c:pt>
                <c:pt idx="3473">
                  <c:v>1.8400000000000003</c:v>
                </c:pt>
                <c:pt idx="3474">
                  <c:v>1.8400000000000003</c:v>
                </c:pt>
                <c:pt idx="3475">
                  <c:v>1.3100000000000003</c:v>
                </c:pt>
                <c:pt idx="3476">
                  <c:v>1.3100000000000003</c:v>
                </c:pt>
                <c:pt idx="3477">
                  <c:v>1.3100000000000003</c:v>
                </c:pt>
                <c:pt idx="3478">
                  <c:v>1.3100000000000003</c:v>
                </c:pt>
                <c:pt idx="3479">
                  <c:v>1.8400000000000003</c:v>
                </c:pt>
                <c:pt idx="3480">
                  <c:v>1.8400000000000003</c:v>
                </c:pt>
                <c:pt idx="3481">
                  <c:v>1.8400000000000003</c:v>
                </c:pt>
                <c:pt idx="3482">
                  <c:v>1.8400000000000003</c:v>
                </c:pt>
                <c:pt idx="3483">
                  <c:v>1.3100000000000003</c:v>
                </c:pt>
                <c:pt idx="3484">
                  <c:v>1.3100000000000003</c:v>
                </c:pt>
                <c:pt idx="3485">
                  <c:v>1.3100000000000003</c:v>
                </c:pt>
                <c:pt idx="3486">
                  <c:v>1.3100000000000003</c:v>
                </c:pt>
                <c:pt idx="3487">
                  <c:v>1.8400000000000003</c:v>
                </c:pt>
                <c:pt idx="3488">
                  <c:v>1.8400000000000003</c:v>
                </c:pt>
                <c:pt idx="3489">
                  <c:v>1.8400000000000003</c:v>
                </c:pt>
                <c:pt idx="3490">
                  <c:v>1.8400000000000003</c:v>
                </c:pt>
                <c:pt idx="3491">
                  <c:v>1.3100000000000003</c:v>
                </c:pt>
                <c:pt idx="3492">
                  <c:v>1.3100000000000003</c:v>
                </c:pt>
                <c:pt idx="3493">
                  <c:v>1.3100000000000003</c:v>
                </c:pt>
                <c:pt idx="3494">
                  <c:v>1.3100000000000003</c:v>
                </c:pt>
                <c:pt idx="3495">
                  <c:v>1.8400000000000003</c:v>
                </c:pt>
                <c:pt idx="3496">
                  <c:v>1.8400000000000003</c:v>
                </c:pt>
                <c:pt idx="3497">
                  <c:v>1.8400000000000003</c:v>
                </c:pt>
                <c:pt idx="3498">
                  <c:v>1.8400000000000003</c:v>
                </c:pt>
                <c:pt idx="3499">
                  <c:v>1.3100000000000003</c:v>
                </c:pt>
                <c:pt idx="3500">
                  <c:v>1.3100000000000003</c:v>
                </c:pt>
                <c:pt idx="3501">
                  <c:v>1.3100000000000003</c:v>
                </c:pt>
                <c:pt idx="3502">
                  <c:v>1.3100000000000003</c:v>
                </c:pt>
                <c:pt idx="3503">
                  <c:v>1.8400000000000003</c:v>
                </c:pt>
                <c:pt idx="3504">
                  <c:v>1.8400000000000003</c:v>
                </c:pt>
                <c:pt idx="3505">
                  <c:v>1.8400000000000003</c:v>
                </c:pt>
                <c:pt idx="3506">
                  <c:v>1.8400000000000003</c:v>
                </c:pt>
                <c:pt idx="3507">
                  <c:v>1.3100000000000003</c:v>
                </c:pt>
                <c:pt idx="3508">
                  <c:v>1.3100000000000003</c:v>
                </c:pt>
                <c:pt idx="3509">
                  <c:v>1.3100000000000003</c:v>
                </c:pt>
                <c:pt idx="3510">
                  <c:v>1.3100000000000003</c:v>
                </c:pt>
                <c:pt idx="3511">
                  <c:v>1.8400000000000003</c:v>
                </c:pt>
                <c:pt idx="3512">
                  <c:v>1.8400000000000003</c:v>
                </c:pt>
                <c:pt idx="3513">
                  <c:v>1.8400000000000003</c:v>
                </c:pt>
                <c:pt idx="3514">
                  <c:v>1.8400000000000003</c:v>
                </c:pt>
                <c:pt idx="3515">
                  <c:v>1.3100000000000003</c:v>
                </c:pt>
                <c:pt idx="3516">
                  <c:v>1.3100000000000003</c:v>
                </c:pt>
                <c:pt idx="3517">
                  <c:v>1.3100000000000003</c:v>
                </c:pt>
                <c:pt idx="3518">
                  <c:v>1.3100000000000003</c:v>
                </c:pt>
                <c:pt idx="3519">
                  <c:v>1.8400000000000003</c:v>
                </c:pt>
                <c:pt idx="3520">
                  <c:v>1.8400000000000003</c:v>
                </c:pt>
                <c:pt idx="3521">
                  <c:v>1.8400000000000003</c:v>
                </c:pt>
                <c:pt idx="3522">
                  <c:v>1.8400000000000003</c:v>
                </c:pt>
                <c:pt idx="3523">
                  <c:v>1.3100000000000003</c:v>
                </c:pt>
                <c:pt idx="3524">
                  <c:v>1.3100000000000003</c:v>
                </c:pt>
                <c:pt idx="3525">
                  <c:v>1.3100000000000003</c:v>
                </c:pt>
                <c:pt idx="3526">
                  <c:v>1.3100000000000003</c:v>
                </c:pt>
                <c:pt idx="3527">
                  <c:v>1.8400000000000003</c:v>
                </c:pt>
                <c:pt idx="3528">
                  <c:v>1.8400000000000003</c:v>
                </c:pt>
                <c:pt idx="3529">
                  <c:v>1.8400000000000003</c:v>
                </c:pt>
                <c:pt idx="3530">
                  <c:v>1.8400000000000003</c:v>
                </c:pt>
                <c:pt idx="3531">
                  <c:v>1.3100000000000003</c:v>
                </c:pt>
                <c:pt idx="3532">
                  <c:v>1.3100000000000003</c:v>
                </c:pt>
                <c:pt idx="3533">
                  <c:v>1.3100000000000003</c:v>
                </c:pt>
                <c:pt idx="3534">
                  <c:v>1.3100000000000003</c:v>
                </c:pt>
                <c:pt idx="3535">
                  <c:v>1.8400000000000003</c:v>
                </c:pt>
                <c:pt idx="3536">
                  <c:v>1.8400000000000003</c:v>
                </c:pt>
                <c:pt idx="3537">
                  <c:v>1.8400000000000003</c:v>
                </c:pt>
                <c:pt idx="3538">
                  <c:v>1.8400000000000003</c:v>
                </c:pt>
                <c:pt idx="3539">
                  <c:v>1.3100000000000003</c:v>
                </c:pt>
                <c:pt idx="3540">
                  <c:v>1.3100000000000003</c:v>
                </c:pt>
                <c:pt idx="3541">
                  <c:v>1.3100000000000003</c:v>
                </c:pt>
                <c:pt idx="3542">
                  <c:v>1.3100000000000003</c:v>
                </c:pt>
                <c:pt idx="3543">
                  <c:v>1.8400000000000003</c:v>
                </c:pt>
                <c:pt idx="3544">
                  <c:v>1.8400000000000003</c:v>
                </c:pt>
                <c:pt idx="3545">
                  <c:v>1.8400000000000003</c:v>
                </c:pt>
                <c:pt idx="3546">
                  <c:v>1.8400000000000003</c:v>
                </c:pt>
                <c:pt idx="3547">
                  <c:v>1.3100000000000003</c:v>
                </c:pt>
                <c:pt idx="3548">
                  <c:v>1.3100000000000003</c:v>
                </c:pt>
                <c:pt idx="3549">
                  <c:v>1.3100000000000003</c:v>
                </c:pt>
                <c:pt idx="3550">
                  <c:v>1.3100000000000003</c:v>
                </c:pt>
                <c:pt idx="3551">
                  <c:v>1.8400000000000003</c:v>
                </c:pt>
                <c:pt idx="3552">
                  <c:v>1.8400000000000003</c:v>
                </c:pt>
                <c:pt idx="3553">
                  <c:v>1.8400000000000003</c:v>
                </c:pt>
                <c:pt idx="3554">
                  <c:v>1.8400000000000003</c:v>
                </c:pt>
                <c:pt idx="3555">
                  <c:v>1.3100000000000003</c:v>
                </c:pt>
                <c:pt idx="3556">
                  <c:v>1.3100000000000003</c:v>
                </c:pt>
                <c:pt idx="3557">
                  <c:v>1.3100000000000003</c:v>
                </c:pt>
                <c:pt idx="3558">
                  <c:v>1.3100000000000003</c:v>
                </c:pt>
                <c:pt idx="3559">
                  <c:v>1.8400000000000003</c:v>
                </c:pt>
                <c:pt idx="3560">
                  <c:v>1.8400000000000003</c:v>
                </c:pt>
                <c:pt idx="3561">
                  <c:v>1.8400000000000003</c:v>
                </c:pt>
                <c:pt idx="3562">
                  <c:v>1.8400000000000003</c:v>
                </c:pt>
                <c:pt idx="3563">
                  <c:v>1.3100000000000003</c:v>
                </c:pt>
                <c:pt idx="3564">
                  <c:v>1.3100000000000003</c:v>
                </c:pt>
                <c:pt idx="3565">
                  <c:v>1.3100000000000003</c:v>
                </c:pt>
                <c:pt idx="3566">
                  <c:v>1.3100000000000003</c:v>
                </c:pt>
                <c:pt idx="3567">
                  <c:v>1.8400000000000003</c:v>
                </c:pt>
                <c:pt idx="3568">
                  <c:v>1.8400000000000003</c:v>
                </c:pt>
                <c:pt idx="3569">
                  <c:v>1.8400000000000003</c:v>
                </c:pt>
                <c:pt idx="3570">
                  <c:v>1.8400000000000003</c:v>
                </c:pt>
                <c:pt idx="3571">
                  <c:v>1.3100000000000003</c:v>
                </c:pt>
                <c:pt idx="3572">
                  <c:v>1.3100000000000003</c:v>
                </c:pt>
                <c:pt idx="3573">
                  <c:v>1.3100000000000003</c:v>
                </c:pt>
                <c:pt idx="3574">
                  <c:v>1.3100000000000003</c:v>
                </c:pt>
                <c:pt idx="3575">
                  <c:v>1.8400000000000003</c:v>
                </c:pt>
                <c:pt idx="3576">
                  <c:v>1.8400000000000003</c:v>
                </c:pt>
                <c:pt idx="3577">
                  <c:v>1.8400000000000003</c:v>
                </c:pt>
                <c:pt idx="3578">
                  <c:v>1.8400000000000003</c:v>
                </c:pt>
                <c:pt idx="3579">
                  <c:v>1.3100000000000003</c:v>
                </c:pt>
                <c:pt idx="3580">
                  <c:v>1.3100000000000003</c:v>
                </c:pt>
                <c:pt idx="3581">
                  <c:v>1.3100000000000003</c:v>
                </c:pt>
                <c:pt idx="3582">
                  <c:v>1.3100000000000003</c:v>
                </c:pt>
                <c:pt idx="3583">
                  <c:v>1.8400000000000003</c:v>
                </c:pt>
                <c:pt idx="3584">
                  <c:v>1.8400000000000003</c:v>
                </c:pt>
                <c:pt idx="3585">
                  <c:v>1.8400000000000003</c:v>
                </c:pt>
                <c:pt idx="3586">
                  <c:v>1.8400000000000003</c:v>
                </c:pt>
                <c:pt idx="3587">
                  <c:v>1.3100000000000003</c:v>
                </c:pt>
                <c:pt idx="3588">
                  <c:v>1.3100000000000003</c:v>
                </c:pt>
                <c:pt idx="3589">
                  <c:v>1.3100000000000003</c:v>
                </c:pt>
                <c:pt idx="3590">
                  <c:v>1.3100000000000003</c:v>
                </c:pt>
                <c:pt idx="3591">
                  <c:v>1.8400000000000003</c:v>
                </c:pt>
                <c:pt idx="3592">
                  <c:v>1.8400000000000003</c:v>
                </c:pt>
                <c:pt idx="3593">
                  <c:v>1.8400000000000003</c:v>
                </c:pt>
                <c:pt idx="3594">
                  <c:v>1.8400000000000003</c:v>
                </c:pt>
                <c:pt idx="3595">
                  <c:v>1.3100000000000003</c:v>
                </c:pt>
                <c:pt idx="3596">
                  <c:v>1.3100000000000003</c:v>
                </c:pt>
                <c:pt idx="3597">
                  <c:v>1.3100000000000003</c:v>
                </c:pt>
                <c:pt idx="3598">
                  <c:v>1.3100000000000003</c:v>
                </c:pt>
                <c:pt idx="3599">
                  <c:v>1.8400000000000003</c:v>
                </c:pt>
                <c:pt idx="3600">
                  <c:v>1.8400000000000003</c:v>
                </c:pt>
                <c:pt idx="3601">
                  <c:v>1.8400000000000003</c:v>
                </c:pt>
                <c:pt idx="3602">
                  <c:v>1.8400000000000003</c:v>
                </c:pt>
                <c:pt idx="3603">
                  <c:v>1.3100000000000003</c:v>
                </c:pt>
                <c:pt idx="3604">
                  <c:v>1.3100000000000003</c:v>
                </c:pt>
                <c:pt idx="3605">
                  <c:v>1.3100000000000003</c:v>
                </c:pt>
                <c:pt idx="3606">
                  <c:v>1.3100000000000003</c:v>
                </c:pt>
                <c:pt idx="3607">
                  <c:v>1.8400000000000003</c:v>
                </c:pt>
                <c:pt idx="3608">
                  <c:v>1.8400000000000003</c:v>
                </c:pt>
                <c:pt idx="3609">
                  <c:v>1.8400000000000003</c:v>
                </c:pt>
                <c:pt idx="3610">
                  <c:v>1.8400000000000003</c:v>
                </c:pt>
                <c:pt idx="3611">
                  <c:v>1.3100000000000003</c:v>
                </c:pt>
                <c:pt idx="3612">
                  <c:v>1.3100000000000003</c:v>
                </c:pt>
                <c:pt idx="3613">
                  <c:v>1.3100000000000003</c:v>
                </c:pt>
                <c:pt idx="3614">
                  <c:v>1.3100000000000003</c:v>
                </c:pt>
                <c:pt idx="3615">
                  <c:v>1.8400000000000003</c:v>
                </c:pt>
                <c:pt idx="3616">
                  <c:v>1.8400000000000003</c:v>
                </c:pt>
                <c:pt idx="3617">
                  <c:v>1.8400000000000003</c:v>
                </c:pt>
                <c:pt idx="3618">
                  <c:v>1.8400000000000003</c:v>
                </c:pt>
                <c:pt idx="3619">
                  <c:v>1.3100000000000003</c:v>
                </c:pt>
                <c:pt idx="3620">
                  <c:v>1.3100000000000003</c:v>
                </c:pt>
                <c:pt idx="3621">
                  <c:v>1.3100000000000003</c:v>
                </c:pt>
                <c:pt idx="3622">
                  <c:v>1.3100000000000003</c:v>
                </c:pt>
                <c:pt idx="3623">
                  <c:v>1.8400000000000003</c:v>
                </c:pt>
                <c:pt idx="3624">
                  <c:v>1.8400000000000003</c:v>
                </c:pt>
                <c:pt idx="3625">
                  <c:v>1.8400000000000003</c:v>
                </c:pt>
                <c:pt idx="3626">
                  <c:v>1.8400000000000003</c:v>
                </c:pt>
                <c:pt idx="3627">
                  <c:v>1.3100000000000003</c:v>
                </c:pt>
                <c:pt idx="3628">
                  <c:v>1.3100000000000003</c:v>
                </c:pt>
                <c:pt idx="3629">
                  <c:v>1.3100000000000003</c:v>
                </c:pt>
                <c:pt idx="3630">
                  <c:v>1.3100000000000003</c:v>
                </c:pt>
                <c:pt idx="3631">
                  <c:v>1.8400000000000003</c:v>
                </c:pt>
                <c:pt idx="3632">
                  <c:v>1.8400000000000003</c:v>
                </c:pt>
                <c:pt idx="3633">
                  <c:v>1.8400000000000003</c:v>
                </c:pt>
                <c:pt idx="3634">
                  <c:v>1.8400000000000003</c:v>
                </c:pt>
                <c:pt idx="3635">
                  <c:v>1.3100000000000003</c:v>
                </c:pt>
                <c:pt idx="3636">
                  <c:v>1.3100000000000003</c:v>
                </c:pt>
                <c:pt idx="3637">
                  <c:v>1.3100000000000003</c:v>
                </c:pt>
                <c:pt idx="3638">
                  <c:v>1.3100000000000003</c:v>
                </c:pt>
                <c:pt idx="3639">
                  <c:v>1.8400000000000003</c:v>
                </c:pt>
                <c:pt idx="3640">
                  <c:v>1.8400000000000003</c:v>
                </c:pt>
                <c:pt idx="3641">
                  <c:v>1.8400000000000003</c:v>
                </c:pt>
                <c:pt idx="3642">
                  <c:v>1.8400000000000003</c:v>
                </c:pt>
                <c:pt idx="3643">
                  <c:v>1.3100000000000003</c:v>
                </c:pt>
                <c:pt idx="3644">
                  <c:v>1.3100000000000003</c:v>
                </c:pt>
                <c:pt idx="3645">
                  <c:v>1.3100000000000003</c:v>
                </c:pt>
                <c:pt idx="3646">
                  <c:v>1.3100000000000003</c:v>
                </c:pt>
                <c:pt idx="3647">
                  <c:v>1.8400000000000003</c:v>
                </c:pt>
                <c:pt idx="3648">
                  <c:v>1.8400000000000003</c:v>
                </c:pt>
                <c:pt idx="3649">
                  <c:v>1.8400000000000003</c:v>
                </c:pt>
                <c:pt idx="3650">
                  <c:v>1.8400000000000003</c:v>
                </c:pt>
                <c:pt idx="3651">
                  <c:v>1.3100000000000003</c:v>
                </c:pt>
                <c:pt idx="3652">
                  <c:v>1.3100000000000003</c:v>
                </c:pt>
                <c:pt idx="3653">
                  <c:v>1.3100000000000003</c:v>
                </c:pt>
                <c:pt idx="3654">
                  <c:v>1.3100000000000003</c:v>
                </c:pt>
                <c:pt idx="3655">
                  <c:v>1.8400000000000003</c:v>
                </c:pt>
                <c:pt idx="3656">
                  <c:v>1.8400000000000003</c:v>
                </c:pt>
                <c:pt idx="3657">
                  <c:v>1.8400000000000003</c:v>
                </c:pt>
                <c:pt idx="3658">
                  <c:v>1.8400000000000003</c:v>
                </c:pt>
                <c:pt idx="3659">
                  <c:v>1.3100000000000003</c:v>
                </c:pt>
                <c:pt idx="3660">
                  <c:v>1.3100000000000003</c:v>
                </c:pt>
                <c:pt idx="3661">
                  <c:v>1.3100000000000003</c:v>
                </c:pt>
                <c:pt idx="3662">
                  <c:v>1.3100000000000003</c:v>
                </c:pt>
                <c:pt idx="3663">
                  <c:v>1.8400000000000003</c:v>
                </c:pt>
                <c:pt idx="3664">
                  <c:v>1.8400000000000003</c:v>
                </c:pt>
                <c:pt idx="3665">
                  <c:v>1.8400000000000003</c:v>
                </c:pt>
                <c:pt idx="3666">
                  <c:v>1.8400000000000003</c:v>
                </c:pt>
                <c:pt idx="3667">
                  <c:v>1.3100000000000003</c:v>
                </c:pt>
                <c:pt idx="3668">
                  <c:v>1.3100000000000003</c:v>
                </c:pt>
                <c:pt idx="3669">
                  <c:v>1.3100000000000003</c:v>
                </c:pt>
                <c:pt idx="3670">
                  <c:v>1.3100000000000003</c:v>
                </c:pt>
                <c:pt idx="3671">
                  <c:v>1.8400000000000003</c:v>
                </c:pt>
                <c:pt idx="3672">
                  <c:v>1.8400000000000003</c:v>
                </c:pt>
                <c:pt idx="3673">
                  <c:v>1.8400000000000003</c:v>
                </c:pt>
                <c:pt idx="3674">
                  <c:v>1.8400000000000003</c:v>
                </c:pt>
                <c:pt idx="3675">
                  <c:v>1.3100000000000003</c:v>
                </c:pt>
                <c:pt idx="3676">
                  <c:v>1.3100000000000003</c:v>
                </c:pt>
                <c:pt idx="3677">
                  <c:v>1.3100000000000003</c:v>
                </c:pt>
                <c:pt idx="3678">
                  <c:v>1.3100000000000003</c:v>
                </c:pt>
                <c:pt idx="3679">
                  <c:v>1.8400000000000003</c:v>
                </c:pt>
                <c:pt idx="3680">
                  <c:v>1.8400000000000003</c:v>
                </c:pt>
                <c:pt idx="3681">
                  <c:v>1.8400000000000003</c:v>
                </c:pt>
                <c:pt idx="3682">
                  <c:v>1.8400000000000003</c:v>
                </c:pt>
                <c:pt idx="3683">
                  <c:v>1.3100000000000003</c:v>
                </c:pt>
                <c:pt idx="3684">
                  <c:v>1.3100000000000003</c:v>
                </c:pt>
                <c:pt idx="3685">
                  <c:v>1.3100000000000003</c:v>
                </c:pt>
                <c:pt idx="3686">
                  <c:v>1.3100000000000003</c:v>
                </c:pt>
                <c:pt idx="3687">
                  <c:v>1.8400000000000003</c:v>
                </c:pt>
                <c:pt idx="3688">
                  <c:v>1.8400000000000003</c:v>
                </c:pt>
                <c:pt idx="3689">
                  <c:v>1.8400000000000003</c:v>
                </c:pt>
                <c:pt idx="3690">
                  <c:v>1.8400000000000003</c:v>
                </c:pt>
                <c:pt idx="3691">
                  <c:v>1.3100000000000003</c:v>
                </c:pt>
                <c:pt idx="3692">
                  <c:v>1.3100000000000003</c:v>
                </c:pt>
                <c:pt idx="3693">
                  <c:v>1.3100000000000003</c:v>
                </c:pt>
                <c:pt idx="3694">
                  <c:v>1.3100000000000003</c:v>
                </c:pt>
                <c:pt idx="3695">
                  <c:v>1.8400000000000003</c:v>
                </c:pt>
                <c:pt idx="3696">
                  <c:v>1.8400000000000003</c:v>
                </c:pt>
                <c:pt idx="3697">
                  <c:v>1.8400000000000003</c:v>
                </c:pt>
                <c:pt idx="3698">
                  <c:v>1.8400000000000003</c:v>
                </c:pt>
                <c:pt idx="3699">
                  <c:v>1.3100000000000003</c:v>
                </c:pt>
                <c:pt idx="3700">
                  <c:v>1.3100000000000003</c:v>
                </c:pt>
                <c:pt idx="3701">
                  <c:v>1.3100000000000003</c:v>
                </c:pt>
                <c:pt idx="3702">
                  <c:v>1.3100000000000003</c:v>
                </c:pt>
                <c:pt idx="3703">
                  <c:v>1.8400000000000003</c:v>
                </c:pt>
                <c:pt idx="3704">
                  <c:v>1.8400000000000003</c:v>
                </c:pt>
                <c:pt idx="3705">
                  <c:v>1.8400000000000003</c:v>
                </c:pt>
                <c:pt idx="3706">
                  <c:v>1.8400000000000003</c:v>
                </c:pt>
                <c:pt idx="3707">
                  <c:v>1.3100000000000003</c:v>
                </c:pt>
                <c:pt idx="3708">
                  <c:v>1.3100000000000003</c:v>
                </c:pt>
                <c:pt idx="3709">
                  <c:v>1.3100000000000003</c:v>
                </c:pt>
                <c:pt idx="3710">
                  <c:v>1.3100000000000003</c:v>
                </c:pt>
                <c:pt idx="3711">
                  <c:v>1.8400000000000003</c:v>
                </c:pt>
                <c:pt idx="3712">
                  <c:v>1.8400000000000003</c:v>
                </c:pt>
                <c:pt idx="3713">
                  <c:v>1.8400000000000003</c:v>
                </c:pt>
                <c:pt idx="3714">
                  <c:v>1.8400000000000003</c:v>
                </c:pt>
                <c:pt idx="3715">
                  <c:v>1.3100000000000003</c:v>
                </c:pt>
                <c:pt idx="3716">
                  <c:v>1.3100000000000003</c:v>
                </c:pt>
                <c:pt idx="3717">
                  <c:v>1.3100000000000003</c:v>
                </c:pt>
                <c:pt idx="3718">
                  <c:v>1.3100000000000003</c:v>
                </c:pt>
                <c:pt idx="3719">
                  <c:v>1.8400000000000003</c:v>
                </c:pt>
                <c:pt idx="3720">
                  <c:v>1.8400000000000003</c:v>
                </c:pt>
                <c:pt idx="3721">
                  <c:v>1.8400000000000003</c:v>
                </c:pt>
                <c:pt idx="3722">
                  <c:v>1.8400000000000003</c:v>
                </c:pt>
                <c:pt idx="3723">
                  <c:v>1.3100000000000003</c:v>
                </c:pt>
                <c:pt idx="3724">
                  <c:v>1.3100000000000003</c:v>
                </c:pt>
                <c:pt idx="3725">
                  <c:v>1.3100000000000003</c:v>
                </c:pt>
                <c:pt idx="3726">
                  <c:v>1.3100000000000003</c:v>
                </c:pt>
                <c:pt idx="3727">
                  <c:v>1.8400000000000003</c:v>
                </c:pt>
                <c:pt idx="3728">
                  <c:v>1.8400000000000003</c:v>
                </c:pt>
                <c:pt idx="3729">
                  <c:v>1.8400000000000003</c:v>
                </c:pt>
                <c:pt idx="3730">
                  <c:v>1.8400000000000003</c:v>
                </c:pt>
                <c:pt idx="3731">
                  <c:v>1.3100000000000003</c:v>
                </c:pt>
                <c:pt idx="3732">
                  <c:v>1.3100000000000003</c:v>
                </c:pt>
                <c:pt idx="3733">
                  <c:v>1.3100000000000003</c:v>
                </c:pt>
                <c:pt idx="3734">
                  <c:v>1.3100000000000003</c:v>
                </c:pt>
                <c:pt idx="3735">
                  <c:v>1.8400000000000003</c:v>
                </c:pt>
                <c:pt idx="3736">
                  <c:v>1.8400000000000003</c:v>
                </c:pt>
                <c:pt idx="3737">
                  <c:v>1.8400000000000003</c:v>
                </c:pt>
                <c:pt idx="3738">
                  <c:v>1.8400000000000003</c:v>
                </c:pt>
                <c:pt idx="3739">
                  <c:v>1.3100000000000003</c:v>
                </c:pt>
                <c:pt idx="3740">
                  <c:v>1.3100000000000003</c:v>
                </c:pt>
                <c:pt idx="3741">
                  <c:v>1.3100000000000003</c:v>
                </c:pt>
                <c:pt idx="3742">
                  <c:v>1.3100000000000003</c:v>
                </c:pt>
                <c:pt idx="3743">
                  <c:v>1.8400000000000003</c:v>
                </c:pt>
                <c:pt idx="3744">
                  <c:v>1.8400000000000003</c:v>
                </c:pt>
                <c:pt idx="3745">
                  <c:v>1.8400000000000003</c:v>
                </c:pt>
                <c:pt idx="3746">
                  <c:v>1.8400000000000003</c:v>
                </c:pt>
                <c:pt idx="3747">
                  <c:v>1.3100000000000003</c:v>
                </c:pt>
                <c:pt idx="3748">
                  <c:v>1.3100000000000003</c:v>
                </c:pt>
                <c:pt idx="3749">
                  <c:v>1.3100000000000003</c:v>
                </c:pt>
                <c:pt idx="3750">
                  <c:v>1.3100000000000003</c:v>
                </c:pt>
                <c:pt idx="3751">
                  <c:v>1.8400000000000003</c:v>
                </c:pt>
                <c:pt idx="3752">
                  <c:v>1.8400000000000003</c:v>
                </c:pt>
                <c:pt idx="3753">
                  <c:v>1.8400000000000003</c:v>
                </c:pt>
                <c:pt idx="3754">
                  <c:v>1.8400000000000003</c:v>
                </c:pt>
                <c:pt idx="3755">
                  <c:v>1.3100000000000003</c:v>
                </c:pt>
                <c:pt idx="3756">
                  <c:v>1.3100000000000003</c:v>
                </c:pt>
                <c:pt idx="3757">
                  <c:v>1.3100000000000003</c:v>
                </c:pt>
                <c:pt idx="3758">
                  <c:v>1.3100000000000003</c:v>
                </c:pt>
                <c:pt idx="3759">
                  <c:v>1.8400000000000003</c:v>
                </c:pt>
                <c:pt idx="3760">
                  <c:v>1.8400000000000003</c:v>
                </c:pt>
                <c:pt idx="3761">
                  <c:v>1.8400000000000003</c:v>
                </c:pt>
                <c:pt idx="3762">
                  <c:v>1.8400000000000003</c:v>
                </c:pt>
                <c:pt idx="3763">
                  <c:v>1.3100000000000003</c:v>
                </c:pt>
                <c:pt idx="3764">
                  <c:v>1.3100000000000003</c:v>
                </c:pt>
                <c:pt idx="3765">
                  <c:v>1.3100000000000003</c:v>
                </c:pt>
                <c:pt idx="3766">
                  <c:v>1.3100000000000003</c:v>
                </c:pt>
                <c:pt idx="3767">
                  <c:v>1.8400000000000003</c:v>
                </c:pt>
                <c:pt idx="3768">
                  <c:v>1.8400000000000003</c:v>
                </c:pt>
                <c:pt idx="3769">
                  <c:v>1.8400000000000003</c:v>
                </c:pt>
                <c:pt idx="3770">
                  <c:v>1.8400000000000003</c:v>
                </c:pt>
                <c:pt idx="3771">
                  <c:v>1.3100000000000003</c:v>
                </c:pt>
                <c:pt idx="3772">
                  <c:v>1.3100000000000003</c:v>
                </c:pt>
                <c:pt idx="3773">
                  <c:v>1.3100000000000003</c:v>
                </c:pt>
                <c:pt idx="3774">
                  <c:v>1.3100000000000003</c:v>
                </c:pt>
                <c:pt idx="3775">
                  <c:v>1.8400000000000003</c:v>
                </c:pt>
                <c:pt idx="3776">
                  <c:v>1.8400000000000003</c:v>
                </c:pt>
                <c:pt idx="3777">
                  <c:v>1.8400000000000003</c:v>
                </c:pt>
                <c:pt idx="3778">
                  <c:v>1.8400000000000003</c:v>
                </c:pt>
                <c:pt idx="3779">
                  <c:v>1.3100000000000003</c:v>
                </c:pt>
                <c:pt idx="3780">
                  <c:v>1.3100000000000003</c:v>
                </c:pt>
                <c:pt idx="3781">
                  <c:v>1.3100000000000003</c:v>
                </c:pt>
                <c:pt idx="3782">
                  <c:v>1.3100000000000003</c:v>
                </c:pt>
                <c:pt idx="3783">
                  <c:v>1.8400000000000003</c:v>
                </c:pt>
                <c:pt idx="3784">
                  <c:v>1.8400000000000003</c:v>
                </c:pt>
                <c:pt idx="3785">
                  <c:v>1.8400000000000003</c:v>
                </c:pt>
                <c:pt idx="3786">
                  <c:v>1.8400000000000003</c:v>
                </c:pt>
                <c:pt idx="3787">
                  <c:v>1.3100000000000003</c:v>
                </c:pt>
                <c:pt idx="3788">
                  <c:v>1.3100000000000003</c:v>
                </c:pt>
                <c:pt idx="3789">
                  <c:v>1.3100000000000003</c:v>
                </c:pt>
                <c:pt idx="3790">
                  <c:v>1.3100000000000003</c:v>
                </c:pt>
                <c:pt idx="3791">
                  <c:v>1.8400000000000003</c:v>
                </c:pt>
                <c:pt idx="3792">
                  <c:v>1.8400000000000003</c:v>
                </c:pt>
                <c:pt idx="3793">
                  <c:v>1.8400000000000003</c:v>
                </c:pt>
                <c:pt idx="3794">
                  <c:v>1.8400000000000003</c:v>
                </c:pt>
                <c:pt idx="3795">
                  <c:v>1.3100000000000003</c:v>
                </c:pt>
                <c:pt idx="3796">
                  <c:v>1.3100000000000003</c:v>
                </c:pt>
                <c:pt idx="3797">
                  <c:v>1.3100000000000003</c:v>
                </c:pt>
                <c:pt idx="3798">
                  <c:v>1.3100000000000003</c:v>
                </c:pt>
                <c:pt idx="3799">
                  <c:v>1.8400000000000003</c:v>
                </c:pt>
                <c:pt idx="3800">
                  <c:v>1.8400000000000003</c:v>
                </c:pt>
                <c:pt idx="3801">
                  <c:v>1.8400000000000003</c:v>
                </c:pt>
                <c:pt idx="3802">
                  <c:v>1.8400000000000003</c:v>
                </c:pt>
                <c:pt idx="3803">
                  <c:v>1.3100000000000003</c:v>
                </c:pt>
                <c:pt idx="3804">
                  <c:v>1.3100000000000003</c:v>
                </c:pt>
                <c:pt idx="3805">
                  <c:v>1.3100000000000003</c:v>
                </c:pt>
                <c:pt idx="3806">
                  <c:v>1.3100000000000003</c:v>
                </c:pt>
                <c:pt idx="3807">
                  <c:v>1.8400000000000003</c:v>
                </c:pt>
                <c:pt idx="3808">
                  <c:v>1.8400000000000003</c:v>
                </c:pt>
                <c:pt idx="3809">
                  <c:v>1.8400000000000003</c:v>
                </c:pt>
                <c:pt idx="3810">
                  <c:v>1.8400000000000003</c:v>
                </c:pt>
                <c:pt idx="3811">
                  <c:v>1.3100000000000003</c:v>
                </c:pt>
                <c:pt idx="3812">
                  <c:v>1.3100000000000003</c:v>
                </c:pt>
                <c:pt idx="3813">
                  <c:v>1.3100000000000003</c:v>
                </c:pt>
                <c:pt idx="3814">
                  <c:v>1.3100000000000003</c:v>
                </c:pt>
                <c:pt idx="3815">
                  <c:v>1.8400000000000003</c:v>
                </c:pt>
                <c:pt idx="3816">
                  <c:v>1.8400000000000003</c:v>
                </c:pt>
                <c:pt idx="3817">
                  <c:v>1.8400000000000003</c:v>
                </c:pt>
                <c:pt idx="3818">
                  <c:v>1.8400000000000003</c:v>
                </c:pt>
                <c:pt idx="3819">
                  <c:v>1.3100000000000003</c:v>
                </c:pt>
                <c:pt idx="3820">
                  <c:v>1.3100000000000003</c:v>
                </c:pt>
                <c:pt idx="3821">
                  <c:v>1.3100000000000003</c:v>
                </c:pt>
                <c:pt idx="3822">
                  <c:v>1.3100000000000003</c:v>
                </c:pt>
                <c:pt idx="3823">
                  <c:v>1.8400000000000003</c:v>
                </c:pt>
                <c:pt idx="3824">
                  <c:v>1.8400000000000003</c:v>
                </c:pt>
                <c:pt idx="3825">
                  <c:v>1.8400000000000003</c:v>
                </c:pt>
                <c:pt idx="3826">
                  <c:v>1.8400000000000003</c:v>
                </c:pt>
                <c:pt idx="3827">
                  <c:v>1.3100000000000003</c:v>
                </c:pt>
                <c:pt idx="3828">
                  <c:v>1.3100000000000003</c:v>
                </c:pt>
                <c:pt idx="3829">
                  <c:v>1.3100000000000003</c:v>
                </c:pt>
                <c:pt idx="3830">
                  <c:v>1.3100000000000003</c:v>
                </c:pt>
                <c:pt idx="3831">
                  <c:v>1.8400000000000003</c:v>
                </c:pt>
                <c:pt idx="3832">
                  <c:v>1.8400000000000003</c:v>
                </c:pt>
                <c:pt idx="3833">
                  <c:v>1.8400000000000003</c:v>
                </c:pt>
                <c:pt idx="3834">
                  <c:v>1.8400000000000003</c:v>
                </c:pt>
                <c:pt idx="3835">
                  <c:v>1.3100000000000003</c:v>
                </c:pt>
                <c:pt idx="3836">
                  <c:v>1.3100000000000003</c:v>
                </c:pt>
                <c:pt idx="3837">
                  <c:v>1.3100000000000003</c:v>
                </c:pt>
                <c:pt idx="3838">
                  <c:v>1.3100000000000003</c:v>
                </c:pt>
                <c:pt idx="3839">
                  <c:v>1.8400000000000003</c:v>
                </c:pt>
                <c:pt idx="3840">
                  <c:v>1.8400000000000003</c:v>
                </c:pt>
                <c:pt idx="3841">
                  <c:v>1.8400000000000003</c:v>
                </c:pt>
                <c:pt idx="3842">
                  <c:v>1.8400000000000003</c:v>
                </c:pt>
                <c:pt idx="3843">
                  <c:v>1.3100000000000003</c:v>
                </c:pt>
                <c:pt idx="3844">
                  <c:v>1.3100000000000003</c:v>
                </c:pt>
                <c:pt idx="3845">
                  <c:v>1.3100000000000003</c:v>
                </c:pt>
                <c:pt idx="3846">
                  <c:v>1.3100000000000003</c:v>
                </c:pt>
                <c:pt idx="3847">
                  <c:v>1.8400000000000003</c:v>
                </c:pt>
                <c:pt idx="3848">
                  <c:v>1.8400000000000003</c:v>
                </c:pt>
                <c:pt idx="3849">
                  <c:v>1.8400000000000003</c:v>
                </c:pt>
                <c:pt idx="3850">
                  <c:v>1.8400000000000003</c:v>
                </c:pt>
                <c:pt idx="3851">
                  <c:v>1.3100000000000003</c:v>
                </c:pt>
                <c:pt idx="3852">
                  <c:v>1.3100000000000003</c:v>
                </c:pt>
                <c:pt idx="3853">
                  <c:v>1.3100000000000003</c:v>
                </c:pt>
                <c:pt idx="3854">
                  <c:v>1.3100000000000003</c:v>
                </c:pt>
                <c:pt idx="3855">
                  <c:v>1.3100000000000003</c:v>
                </c:pt>
                <c:pt idx="3856">
                  <c:v>1.3100000000000003</c:v>
                </c:pt>
                <c:pt idx="3857">
                  <c:v>1.8400000000000003</c:v>
                </c:pt>
                <c:pt idx="3858">
                  <c:v>1.8400000000000003</c:v>
                </c:pt>
                <c:pt idx="3859">
                  <c:v>1.8400000000000003</c:v>
                </c:pt>
                <c:pt idx="3860">
                  <c:v>1.8400000000000003</c:v>
                </c:pt>
                <c:pt idx="3861">
                  <c:v>1.3100000000000003</c:v>
                </c:pt>
                <c:pt idx="3862">
                  <c:v>1.3100000000000003</c:v>
                </c:pt>
                <c:pt idx="3863">
                  <c:v>1.3100000000000003</c:v>
                </c:pt>
                <c:pt idx="3864">
                  <c:v>1.3100000000000003</c:v>
                </c:pt>
                <c:pt idx="3865">
                  <c:v>1.8400000000000003</c:v>
                </c:pt>
                <c:pt idx="3866">
                  <c:v>1.8400000000000003</c:v>
                </c:pt>
                <c:pt idx="3867">
                  <c:v>1.8400000000000003</c:v>
                </c:pt>
                <c:pt idx="3868">
                  <c:v>1.8400000000000003</c:v>
                </c:pt>
                <c:pt idx="3869">
                  <c:v>1.3100000000000003</c:v>
                </c:pt>
                <c:pt idx="3870">
                  <c:v>1.3100000000000003</c:v>
                </c:pt>
                <c:pt idx="3871">
                  <c:v>1.3100000000000003</c:v>
                </c:pt>
                <c:pt idx="3872">
                  <c:v>1.3100000000000003</c:v>
                </c:pt>
                <c:pt idx="3873">
                  <c:v>1.8400000000000003</c:v>
                </c:pt>
                <c:pt idx="3874">
                  <c:v>1.8400000000000003</c:v>
                </c:pt>
                <c:pt idx="3875">
                  <c:v>1.8400000000000003</c:v>
                </c:pt>
                <c:pt idx="3876">
                  <c:v>1.8400000000000003</c:v>
                </c:pt>
                <c:pt idx="3877">
                  <c:v>1.3100000000000003</c:v>
                </c:pt>
                <c:pt idx="3878">
                  <c:v>1.3100000000000003</c:v>
                </c:pt>
                <c:pt idx="3879">
                  <c:v>1.3100000000000003</c:v>
                </c:pt>
                <c:pt idx="3880">
                  <c:v>1.3100000000000003</c:v>
                </c:pt>
                <c:pt idx="3881">
                  <c:v>1.8400000000000003</c:v>
                </c:pt>
                <c:pt idx="3882">
                  <c:v>1.8400000000000003</c:v>
                </c:pt>
                <c:pt idx="3883">
                  <c:v>1.8400000000000003</c:v>
                </c:pt>
                <c:pt idx="3884">
                  <c:v>1.8400000000000003</c:v>
                </c:pt>
                <c:pt idx="3885">
                  <c:v>1.3100000000000003</c:v>
                </c:pt>
                <c:pt idx="3886">
                  <c:v>1.3100000000000003</c:v>
                </c:pt>
                <c:pt idx="3887">
                  <c:v>1.3100000000000003</c:v>
                </c:pt>
                <c:pt idx="3888">
                  <c:v>1.3100000000000003</c:v>
                </c:pt>
                <c:pt idx="3889">
                  <c:v>1.8400000000000003</c:v>
                </c:pt>
                <c:pt idx="3890">
                  <c:v>1.8400000000000003</c:v>
                </c:pt>
                <c:pt idx="3891">
                  <c:v>1.8400000000000003</c:v>
                </c:pt>
                <c:pt idx="3892">
                  <c:v>1.8400000000000003</c:v>
                </c:pt>
                <c:pt idx="3893">
                  <c:v>1.3100000000000003</c:v>
                </c:pt>
                <c:pt idx="3894">
                  <c:v>1.3100000000000003</c:v>
                </c:pt>
                <c:pt idx="3895">
                  <c:v>1.3100000000000003</c:v>
                </c:pt>
                <c:pt idx="3896">
                  <c:v>1.3100000000000003</c:v>
                </c:pt>
                <c:pt idx="3897">
                  <c:v>1.8400000000000003</c:v>
                </c:pt>
                <c:pt idx="3898">
                  <c:v>1.8400000000000003</c:v>
                </c:pt>
                <c:pt idx="3899">
                  <c:v>1.8400000000000003</c:v>
                </c:pt>
                <c:pt idx="3900">
                  <c:v>1.8400000000000003</c:v>
                </c:pt>
                <c:pt idx="3901">
                  <c:v>1.3100000000000003</c:v>
                </c:pt>
                <c:pt idx="3902">
                  <c:v>1.3100000000000003</c:v>
                </c:pt>
                <c:pt idx="3903">
                  <c:v>1.3100000000000003</c:v>
                </c:pt>
                <c:pt idx="3904">
                  <c:v>1.3100000000000003</c:v>
                </c:pt>
                <c:pt idx="3905">
                  <c:v>1.8400000000000003</c:v>
                </c:pt>
                <c:pt idx="3906">
                  <c:v>1.8400000000000003</c:v>
                </c:pt>
                <c:pt idx="3907">
                  <c:v>1.8400000000000003</c:v>
                </c:pt>
                <c:pt idx="3908">
                  <c:v>1.8400000000000003</c:v>
                </c:pt>
                <c:pt idx="3909">
                  <c:v>1.3100000000000003</c:v>
                </c:pt>
                <c:pt idx="3910">
                  <c:v>1.3100000000000003</c:v>
                </c:pt>
                <c:pt idx="3911">
                  <c:v>1.3100000000000003</c:v>
                </c:pt>
                <c:pt idx="3912">
                  <c:v>1.3100000000000003</c:v>
                </c:pt>
                <c:pt idx="3913">
                  <c:v>1.8400000000000003</c:v>
                </c:pt>
                <c:pt idx="3914">
                  <c:v>1.8400000000000003</c:v>
                </c:pt>
                <c:pt idx="3915">
                  <c:v>1.8400000000000003</c:v>
                </c:pt>
                <c:pt idx="3916">
                  <c:v>1.8400000000000003</c:v>
                </c:pt>
                <c:pt idx="3917">
                  <c:v>1.3100000000000003</c:v>
                </c:pt>
                <c:pt idx="3918">
                  <c:v>1.3100000000000003</c:v>
                </c:pt>
                <c:pt idx="3919">
                  <c:v>1.3100000000000003</c:v>
                </c:pt>
                <c:pt idx="3920">
                  <c:v>1.3100000000000003</c:v>
                </c:pt>
                <c:pt idx="3921">
                  <c:v>1.8400000000000003</c:v>
                </c:pt>
                <c:pt idx="3922">
                  <c:v>1.8400000000000003</c:v>
                </c:pt>
                <c:pt idx="3923">
                  <c:v>1.8400000000000003</c:v>
                </c:pt>
                <c:pt idx="3924">
                  <c:v>1.8400000000000003</c:v>
                </c:pt>
                <c:pt idx="3925">
                  <c:v>1.3100000000000003</c:v>
                </c:pt>
                <c:pt idx="3926">
                  <c:v>1.3100000000000003</c:v>
                </c:pt>
                <c:pt idx="3927">
                  <c:v>1.3100000000000003</c:v>
                </c:pt>
                <c:pt idx="3928">
                  <c:v>1.3100000000000003</c:v>
                </c:pt>
                <c:pt idx="3929">
                  <c:v>1.8400000000000003</c:v>
                </c:pt>
                <c:pt idx="3930">
                  <c:v>1.8400000000000003</c:v>
                </c:pt>
                <c:pt idx="3931">
                  <c:v>1.8400000000000003</c:v>
                </c:pt>
                <c:pt idx="3932">
                  <c:v>1.8400000000000003</c:v>
                </c:pt>
                <c:pt idx="3933">
                  <c:v>1.3100000000000003</c:v>
                </c:pt>
                <c:pt idx="3934">
                  <c:v>1.3100000000000003</c:v>
                </c:pt>
                <c:pt idx="3935">
                  <c:v>1.3100000000000003</c:v>
                </c:pt>
                <c:pt idx="3936">
                  <c:v>1.3100000000000003</c:v>
                </c:pt>
                <c:pt idx="3937">
                  <c:v>1.8400000000000003</c:v>
                </c:pt>
                <c:pt idx="3938">
                  <c:v>1.8400000000000003</c:v>
                </c:pt>
                <c:pt idx="3939">
                  <c:v>1.8400000000000003</c:v>
                </c:pt>
                <c:pt idx="3940">
                  <c:v>1.8400000000000003</c:v>
                </c:pt>
                <c:pt idx="3941">
                  <c:v>1.3100000000000003</c:v>
                </c:pt>
                <c:pt idx="3942">
                  <c:v>1.3100000000000003</c:v>
                </c:pt>
                <c:pt idx="3943">
                  <c:v>1.3100000000000003</c:v>
                </c:pt>
                <c:pt idx="3944">
                  <c:v>1.3100000000000003</c:v>
                </c:pt>
                <c:pt idx="3945">
                  <c:v>1.8400000000000003</c:v>
                </c:pt>
                <c:pt idx="3946">
                  <c:v>1.8400000000000003</c:v>
                </c:pt>
                <c:pt idx="3947">
                  <c:v>1.8400000000000003</c:v>
                </c:pt>
                <c:pt idx="3948">
                  <c:v>1.8400000000000003</c:v>
                </c:pt>
                <c:pt idx="3949">
                  <c:v>1.3100000000000003</c:v>
                </c:pt>
                <c:pt idx="3950">
                  <c:v>1.3100000000000003</c:v>
                </c:pt>
                <c:pt idx="3951">
                  <c:v>1.3100000000000003</c:v>
                </c:pt>
                <c:pt idx="3952">
                  <c:v>1.3100000000000003</c:v>
                </c:pt>
                <c:pt idx="3953">
                  <c:v>1.8400000000000003</c:v>
                </c:pt>
                <c:pt idx="3954">
                  <c:v>1.8400000000000003</c:v>
                </c:pt>
                <c:pt idx="3955">
                  <c:v>1.8400000000000003</c:v>
                </c:pt>
                <c:pt idx="3956">
                  <c:v>1.8400000000000003</c:v>
                </c:pt>
                <c:pt idx="3957">
                  <c:v>1.3100000000000003</c:v>
                </c:pt>
                <c:pt idx="3958">
                  <c:v>1.3100000000000003</c:v>
                </c:pt>
                <c:pt idx="3959">
                  <c:v>1.3100000000000003</c:v>
                </c:pt>
                <c:pt idx="3960">
                  <c:v>1.3100000000000003</c:v>
                </c:pt>
                <c:pt idx="3961">
                  <c:v>1.8400000000000003</c:v>
                </c:pt>
                <c:pt idx="3962">
                  <c:v>1.8400000000000003</c:v>
                </c:pt>
                <c:pt idx="3963">
                  <c:v>1.8400000000000003</c:v>
                </c:pt>
                <c:pt idx="3964">
                  <c:v>1.8400000000000003</c:v>
                </c:pt>
                <c:pt idx="3965">
                  <c:v>1.3100000000000003</c:v>
                </c:pt>
                <c:pt idx="3966">
                  <c:v>1.3100000000000003</c:v>
                </c:pt>
                <c:pt idx="3967">
                  <c:v>1.3100000000000003</c:v>
                </c:pt>
                <c:pt idx="3968">
                  <c:v>1.3100000000000003</c:v>
                </c:pt>
                <c:pt idx="3969">
                  <c:v>1.8400000000000003</c:v>
                </c:pt>
                <c:pt idx="3970">
                  <c:v>1.8400000000000003</c:v>
                </c:pt>
                <c:pt idx="3971">
                  <c:v>1.8400000000000003</c:v>
                </c:pt>
                <c:pt idx="3972">
                  <c:v>1.8400000000000003</c:v>
                </c:pt>
                <c:pt idx="3973">
                  <c:v>1.3100000000000003</c:v>
                </c:pt>
                <c:pt idx="3974">
                  <c:v>1.3100000000000003</c:v>
                </c:pt>
                <c:pt idx="3975">
                  <c:v>1.3100000000000003</c:v>
                </c:pt>
                <c:pt idx="3976">
                  <c:v>1.3100000000000003</c:v>
                </c:pt>
                <c:pt idx="3977">
                  <c:v>1.8400000000000003</c:v>
                </c:pt>
                <c:pt idx="3978">
                  <c:v>1.8400000000000003</c:v>
                </c:pt>
                <c:pt idx="3979">
                  <c:v>1.8400000000000003</c:v>
                </c:pt>
                <c:pt idx="3980">
                  <c:v>1.8400000000000003</c:v>
                </c:pt>
                <c:pt idx="3981">
                  <c:v>1.3100000000000003</c:v>
                </c:pt>
                <c:pt idx="3982">
                  <c:v>1.3100000000000003</c:v>
                </c:pt>
                <c:pt idx="3983">
                  <c:v>1.3100000000000003</c:v>
                </c:pt>
                <c:pt idx="3984">
                  <c:v>1.3100000000000003</c:v>
                </c:pt>
                <c:pt idx="3985">
                  <c:v>1.8400000000000003</c:v>
                </c:pt>
                <c:pt idx="3986">
                  <c:v>1.8400000000000003</c:v>
                </c:pt>
                <c:pt idx="3987">
                  <c:v>1.8400000000000003</c:v>
                </c:pt>
                <c:pt idx="3988">
                  <c:v>1.8400000000000003</c:v>
                </c:pt>
                <c:pt idx="3989">
                  <c:v>1.3100000000000003</c:v>
                </c:pt>
                <c:pt idx="3990">
                  <c:v>1.3100000000000003</c:v>
                </c:pt>
                <c:pt idx="3991">
                  <c:v>1.3100000000000003</c:v>
                </c:pt>
                <c:pt idx="3992">
                  <c:v>1.3100000000000003</c:v>
                </c:pt>
                <c:pt idx="3993">
                  <c:v>1.8400000000000003</c:v>
                </c:pt>
                <c:pt idx="3994">
                  <c:v>1.8400000000000003</c:v>
                </c:pt>
                <c:pt idx="3995">
                  <c:v>1.8400000000000003</c:v>
                </c:pt>
                <c:pt idx="3996">
                  <c:v>1.8400000000000003</c:v>
                </c:pt>
                <c:pt idx="3997">
                  <c:v>1.3100000000000003</c:v>
                </c:pt>
                <c:pt idx="3998">
                  <c:v>1.3100000000000003</c:v>
                </c:pt>
                <c:pt idx="3999">
                  <c:v>1.3100000000000003</c:v>
                </c:pt>
                <c:pt idx="4000">
                  <c:v>1.3100000000000003</c:v>
                </c:pt>
                <c:pt idx="4001">
                  <c:v>1.8400000000000003</c:v>
                </c:pt>
                <c:pt idx="4002">
                  <c:v>1.8400000000000003</c:v>
                </c:pt>
                <c:pt idx="4003">
                  <c:v>1.8400000000000003</c:v>
                </c:pt>
                <c:pt idx="4004">
                  <c:v>1.8400000000000003</c:v>
                </c:pt>
                <c:pt idx="4005">
                  <c:v>1.3100000000000003</c:v>
                </c:pt>
                <c:pt idx="4006">
                  <c:v>1.3100000000000003</c:v>
                </c:pt>
                <c:pt idx="4007">
                  <c:v>1.3100000000000003</c:v>
                </c:pt>
                <c:pt idx="4008">
                  <c:v>1.3100000000000003</c:v>
                </c:pt>
                <c:pt idx="4009">
                  <c:v>1.8400000000000003</c:v>
                </c:pt>
                <c:pt idx="4010">
                  <c:v>1.8400000000000003</c:v>
                </c:pt>
                <c:pt idx="4011">
                  <c:v>1.8400000000000003</c:v>
                </c:pt>
                <c:pt idx="4012">
                  <c:v>1.8400000000000003</c:v>
                </c:pt>
                <c:pt idx="4013">
                  <c:v>1.3100000000000003</c:v>
                </c:pt>
                <c:pt idx="4014">
                  <c:v>1.3100000000000003</c:v>
                </c:pt>
                <c:pt idx="4015">
                  <c:v>1.3100000000000003</c:v>
                </c:pt>
                <c:pt idx="4016">
                  <c:v>1.3100000000000003</c:v>
                </c:pt>
                <c:pt idx="4017">
                  <c:v>1.8400000000000003</c:v>
                </c:pt>
                <c:pt idx="4018">
                  <c:v>1.8400000000000003</c:v>
                </c:pt>
                <c:pt idx="4019">
                  <c:v>1.8400000000000003</c:v>
                </c:pt>
                <c:pt idx="4020">
                  <c:v>1.8400000000000003</c:v>
                </c:pt>
                <c:pt idx="4021">
                  <c:v>1.3100000000000003</c:v>
                </c:pt>
                <c:pt idx="4022">
                  <c:v>1.3100000000000003</c:v>
                </c:pt>
                <c:pt idx="4023">
                  <c:v>1.3100000000000003</c:v>
                </c:pt>
                <c:pt idx="4024">
                  <c:v>1.3100000000000003</c:v>
                </c:pt>
                <c:pt idx="4025">
                  <c:v>1.8400000000000003</c:v>
                </c:pt>
                <c:pt idx="4026">
                  <c:v>1.8400000000000003</c:v>
                </c:pt>
                <c:pt idx="4027">
                  <c:v>1.8400000000000003</c:v>
                </c:pt>
                <c:pt idx="4028">
                  <c:v>1.8400000000000003</c:v>
                </c:pt>
                <c:pt idx="4029">
                  <c:v>1.3100000000000003</c:v>
                </c:pt>
                <c:pt idx="4030">
                  <c:v>1.3100000000000003</c:v>
                </c:pt>
                <c:pt idx="4031">
                  <c:v>1.3100000000000003</c:v>
                </c:pt>
                <c:pt idx="4032">
                  <c:v>1.3100000000000003</c:v>
                </c:pt>
                <c:pt idx="4033">
                  <c:v>1.8400000000000003</c:v>
                </c:pt>
                <c:pt idx="4034">
                  <c:v>1.8400000000000003</c:v>
                </c:pt>
                <c:pt idx="4035">
                  <c:v>1.8400000000000003</c:v>
                </c:pt>
                <c:pt idx="4036">
                  <c:v>1.8400000000000003</c:v>
                </c:pt>
                <c:pt idx="4037">
                  <c:v>1.3100000000000003</c:v>
                </c:pt>
                <c:pt idx="4038">
                  <c:v>1.3100000000000003</c:v>
                </c:pt>
                <c:pt idx="4039">
                  <c:v>1.3100000000000003</c:v>
                </c:pt>
                <c:pt idx="4040">
                  <c:v>1.3100000000000003</c:v>
                </c:pt>
                <c:pt idx="4041">
                  <c:v>1.8400000000000003</c:v>
                </c:pt>
                <c:pt idx="4042">
                  <c:v>1.8400000000000003</c:v>
                </c:pt>
                <c:pt idx="4043">
                  <c:v>1.8400000000000003</c:v>
                </c:pt>
                <c:pt idx="4044">
                  <c:v>1.8400000000000003</c:v>
                </c:pt>
                <c:pt idx="4045">
                  <c:v>1.3100000000000003</c:v>
                </c:pt>
                <c:pt idx="4046">
                  <c:v>1.3100000000000003</c:v>
                </c:pt>
                <c:pt idx="4047">
                  <c:v>1.3100000000000003</c:v>
                </c:pt>
                <c:pt idx="4048">
                  <c:v>1.3100000000000003</c:v>
                </c:pt>
                <c:pt idx="4049">
                  <c:v>1.8400000000000003</c:v>
                </c:pt>
                <c:pt idx="4050">
                  <c:v>1.8400000000000003</c:v>
                </c:pt>
                <c:pt idx="4051">
                  <c:v>1.8400000000000003</c:v>
                </c:pt>
                <c:pt idx="4052">
                  <c:v>1.8400000000000003</c:v>
                </c:pt>
                <c:pt idx="4053">
                  <c:v>1.3100000000000003</c:v>
                </c:pt>
                <c:pt idx="4054">
                  <c:v>1.3100000000000003</c:v>
                </c:pt>
                <c:pt idx="4055">
                  <c:v>1.3100000000000003</c:v>
                </c:pt>
                <c:pt idx="4056">
                  <c:v>1.3100000000000003</c:v>
                </c:pt>
                <c:pt idx="4057">
                  <c:v>1.8400000000000003</c:v>
                </c:pt>
                <c:pt idx="4058">
                  <c:v>1.8400000000000003</c:v>
                </c:pt>
                <c:pt idx="4059">
                  <c:v>1.8400000000000003</c:v>
                </c:pt>
                <c:pt idx="4060">
                  <c:v>1.8400000000000003</c:v>
                </c:pt>
                <c:pt idx="4061">
                  <c:v>1.3100000000000003</c:v>
                </c:pt>
                <c:pt idx="4062">
                  <c:v>1.3100000000000003</c:v>
                </c:pt>
                <c:pt idx="4063">
                  <c:v>1.3100000000000003</c:v>
                </c:pt>
                <c:pt idx="4064">
                  <c:v>1.3100000000000003</c:v>
                </c:pt>
                <c:pt idx="4065">
                  <c:v>1.8400000000000003</c:v>
                </c:pt>
                <c:pt idx="4066">
                  <c:v>1.8400000000000003</c:v>
                </c:pt>
                <c:pt idx="4067">
                  <c:v>1.8400000000000003</c:v>
                </c:pt>
                <c:pt idx="4068">
                  <c:v>1.8400000000000003</c:v>
                </c:pt>
                <c:pt idx="4069">
                  <c:v>1.3100000000000003</c:v>
                </c:pt>
                <c:pt idx="4070">
                  <c:v>1.3100000000000003</c:v>
                </c:pt>
                <c:pt idx="4071">
                  <c:v>1.3100000000000003</c:v>
                </c:pt>
                <c:pt idx="4072">
                  <c:v>1.3100000000000003</c:v>
                </c:pt>
                <c:pt idx="4073">
                  <c:v>1.8400000000000003</c:v>
                </c:pt>
                <c:pt idx="4074">
                  <c:v>1.8400000000000003</c:v>
                </c:pt>
                <c:pt idx="4075">
                  <c:v>1.8400000000000003</c:v>
                </c:pt>
                <c:pt idx="4076">
                  <c:v>1.8400000000000003</c:v>
                </c:pt>
                <c:pt idx="4077">
                  <c:v>1.3100000000000003</c:v>
                </c:pt>
                <c:pt idx="4078">
                  <c:v>1.3100000000000003</c:v>
                </c:pt>
                <c:pt idx="4079">
                  <c:v>1.3100000000000003</c:v>
                </c:pt>
                <c:pt idx="4080">
                  <c:v>1.3100000000000003</c:v>
                </c:pt>
                <c:pt idx="4081">
                  <c:v>1.8400000000000003</c:v>
                </c:pt>
                <c:pt idx="4082">
                  <c:v>1.8400000000000003</c:v>
                </c:pt>
                <c:pt idx="4083">
                  <c:v>1.8400000000000003</c:v>
                </c:pt>
                <c:pt idx="4084">
                  <c:v>1.8400000000000003</c:v>
                </c:pt>
                <c:pt idx="4085">
                  <c:v>1.3100000000000003</c:v>
                </c:pt>
                <c:pt idx="4086">
                  <c:v>1.3100000000000003</c:v>
                </c:pt>
                <c:pt idx="4087">
                  <c:v>1.3100000000000003</c:v>
                </c:pt>
                <c:pt idx="4088">
                  <c:v>1.3100000000000003</c:v>
                </c:pt>
                <c:pt idx="4089">
                  <c:v>1.8400000000000003</c:v>
                </c:pt>
                <c:pt idx="4090">
                  <c:v>1.8400000000000003</c:v>
                </c:pt>
                <c:pt idx="4091">
                  <c:v>1.8400000000000003</c:v>
                </c:pt>
                <c:pt idx="4092">
                  <c:v>1.8400000000000003</c:v>
                </c:pt>
                <c:pt idx="4093">
                  <c:v>1.3100000000000003</c:v>
                </c:pt>
                <c:pt idx="4094">
                  <c:v>1.3100000000000003</c:v>
                </c:pt>
                <c:pt idx="4095">
                  <c:v>1.3100000000000003</c:v>
                </c:pt>
                <c:pt idx="4096">
                  <c:v>1.3100000000000003</c:v>
                </c:pt>
                <c:pt idx="4097">
                  <c:v>1.8400000000000003</c:v>
                </c:pt>
                <c:pt idx="4098">
                  <c:v>1.8400000000000003</c:v>
                </c:pt>
                <c:pt idx="4099">
                  <c:v>1.8400000000000003</c:v>
                </c:pt>
                <c:pt idx="4100">
                  <c:v>1.8400000000000003</c:v>
                </c:pt>
                <c:pt idx="4101">
                  <c:v>1.3100000000000003</c:v>
                </c:pt>
                <c:pt idx="4102">
                  <c:v>1.3100000000000003</c:v>
                </c:pt>
                <c:pt idx="4103">
                  <c:v>1.3100000000000003</c:v>
                </c:pt>
                <c:pt idx="4104">
                  <c:v>1.3100000000000003</c:v>
                </c:pt>
                <c:pt idx="4105">
                  <c:v>1.8400000000000003</c:v>
                </c:pt>
                <c:pt idx="4106">
                  <c:v>1.8400000000000003</c:v>
                </c:pt>
                <c:pt idx="4107">
                  <c:v>1.8400000000000003</c:v>
                </c:pt>
                <c:pt idx="4108">
                  <c:v>1.8400000000000003</c:v>
                </c:pt>
                <c:pt idx="4109">
                  <c:v>1.3100000000000003</c:v>
                </c:pt>
                <c:pt idx="4110">
                  <c:v>1.3100000000000003</c:v>
                </c:pt>
                <c:pt idx="4111">
                  <c:v>1.3100000000000003</c:v>
                </c:pt>
                <c:pt idx="4112">
                  <c:v>1.3100000000000003</c:v>
                </c:pt>
                <c:pt idx="4113">
                  <c:v>1.8400000000000003</c:v>
                </c:pt>
                <c:pt idx="4114">
                  <c:v>1.8400000000000003</c:v>
                </c:pt>
                <c:pt idx="4115">
                  <c:v>1.8400000000000003</c:v>
                </c:pt>
                <c:pt idx="4116">
                  <c:v>1.8400000000000003</c:v>
                </c:pt>
                <c:pt idx="4117">
                  <c:v>1.3100000000000003</c:v>
                </c:pt>
                <c:pt idx="4118">
                  <c:v>1.3100000000000003</c:v>
                </c:pt>
                <c:pt idx="4119">
                  <c:v>1.3100000000000003</c:v>
                </c:pt>
                <c:pt idx="4120">
                  <c:v>1.3100000000000003</c:v>
                </c:pt>
                <c:pt idx="4121">
                  <c:v>1.8400000000000003</c:v>
                </c:pt>
                <c:pt idx="4122">
                  <c:v>1.8400000000000003</c:v>
                </c:pt>
                <c:pt idx="4123">
                  <c:v>1.8400000000000003</c:v>
                </c:pt>
                <c:pt idx="4124">
                  <c:v>1.8400000000000003</c:v>
                </c:pt>
                <c:pt idx="4125">
                  <c:v>1.3100000000000003</c:v>
                </c:pt>
                <c:pt idx="4126">
                  <c:v>1.3100000000000003</c:v>
                </c:pt>
                <c:pt idx="4127">
                  <c:v>1.3100000000000003</c:v>
                </c:pt>
                <c:pt idx="4128">
                  <c:v>1.3100000000000003</c:v>
                </c:pt>
                <c:pt idx="4129">
                  <c:v>1.8400000000000003</c:v>
                </c:pt>
                <c:pt idx="4130">
                  <c:v>1.8400000000000003</c:v>
                </c:pt>
                <c:pt idx="4131">
                  <c:v>1.8400000000000003</c:v>
                </c:pt>
                <c:pt idx="4132">
                  <c:v>1.8400000000000003</c:v>
                </c:pt>
                <c:pt idx="4133">
                  <c:v>1.3100000000000003</c:v>
                </c:pt>
                <c:pt idx="4134">
                  <c:v>1.3100000000000003</c:v>
                </c:pt>
                <c:pt idx="4135">
                  <c:v>1.3100000000000003</c:v>
                </c:pt>
                <c:pt idx="4136">
                  <c:v>1.3100000000000003</c:v>
                </c:pt>
                <c:pt idx="4137">
                  <c:v>1.8400000000000003</c:v>
                </c:pt>
                <c:pt idx="4138">
                  <c:v>1.8400000000000003</c:v>
                </c:pt>
                <c:pt idx="4139">
                  <c:v>1.8400000000000003</c:v>
                </c:pt>
                <c:pt idx="4140">
                  <c:v>1.8400000000000003</c:v>
                </c:pt>
                <c:pt idx="4141">
                  <c:v>1.3100000000000003</c:v>
                </c:pt>
                <c:pt idx="4142">
                  <c:v>1.3100000000000003</c:v>
                </c:pt>
                <c:pt idx="4143">
                  <c:v>1.3100000000000003</c:v>
                </c:pt>
                <c:pt idx="4144">
                  <c:v>1.3100000000000003</c:v>
                </c:pt>
                <c:pt idx="4145">
                  <c:v>1.8400000000000003</c:v>
                </c:pt>
                <c:pt idx="4146">
                  <c:v>1.8400000000000003</c:v>
                </c:pt>
                <c:pt idx="4147">
                  <c:v>1.8400000000000003</c:v>
                </c:pt>
                <c:pt idx="4148">
                  <c:v>1.8400000000000003</c:v>
                </c:pt>
                <c:pt idx="4149">
                  <c:v>1.3100000000000003</c:v>
                </c:pt>
                <c:pt idx="4150">
                  <c:v>1.3100000000000003</c:v>
                </c:pt>
                <c:pt idx="4151">
                  <c:v>1.3100000000000003</c:v>
                </c:pt>
                <c:pt idx="4152">
                  <c:v>1.3100000000000003</c:v>
                </c:pt>
                <c:pt idx="4153">
                  <c:v>1.8400000000000003</c:v>
                </c:pt>
                <c:pt idx="4154">
                  <c:v>1.8400000000000003</c:v>
                </c:pt>
                <c:pt idx="4155">
                  <c:v>1.8400000000000003</c:v>
                </c:pt>
                <c:pt idx="4156">
                  <c:v>1.8400000000000003</c:v>
                </c:pt>
                <c:pt idx="4157">
                  <c:v>1.3100000000000003</c:v>
                </c:pt>
                <c:pt idx="4158">
                  <c:v>1.3100000000000003</c:v>
                </c:pt>
                <c:pt idx="4159">
                  <c:v>1.3100000000000003</c:v>
                </c:pt>
                <c:pt idx="4160">
                  <c:v>1.3100000000000003</c:v>
                </c:pt>
                <c:pt idx="4161">
                  <c:v>1.8400000000000003</c:v>
                </c:pt>
                <c:pt idx="4162">
                  <c:v>1.8400000000000003</c:v>
                </c:pt>
                <c:pt idx="4163">
                  <c:v>1.8400000000000003</c:v>
                </c:pt>
                <c:pt idx="4164">
                  <c:v>1.8400000000000003</c:v>
                </c:pt>
                <c:pt idx="4165">
                  <c:v>1.3100000000000003</c:v>
                </c:pt>
                <c:pt idx="4166">
                  <c:v>1.3100000000000003</c:v>
                </c:pt>
                <c:pt idx="4167">
                  <c:v>1.3100000000000003</c:v>
                </c:pt>
                <c:pt idx="4168">
                  <c:v>1.3100000000000003</c:v>
                </c:pt>
                <c:pt idx="4169">
                  <c:v>1.8400000000000003</c:v>
                </c:pt>
                <c:pt idx="4170">
                  <c:v>1.8400000000000003</c:v>
                </c:pt>
                <c:pt idx="4171">
                  <c:v>1.8400000000000003</c:v>
                </c:pt>
                <c:pt idx="4172">
                  <c:v>1.8400000000000003</c:v>
                </c:pt>
                <c:pt idx="4173">
                  <c:v>1.3100000000000003</c:v>
                </c:pt>
                <c:pt idx="4174">
                  <c:v>1.3100000000000003</c:v>
                </c:pt>
                <c:pt idx="4175">
                  <c:v>1.3100000000000003</c:v>
                </c:pt>
                <c:pt idx="4176">
                  <c:v>1.3100000000000003</c:v>
                </c:pt>
                <c:pt idx="4177">
                  <c:v>1.8400000000000003</c:v>
                </c:pt>
                <c:pt idx="4178">
                  <c:v>1.8400000000000003</c:v>
                </c:pt>
                <c:pt idx="4179">
                  <c:v>1.8400000000000003</c:v>
                </c:pt>
                <c:pt idx="4180">
                  <c:v>1.8400000000000003</c:v>
                </c:pt>
                <c:pt idx="4181">
                  <c:v>1.3100000000000003</c:v>
                </c:pt>
                <c:pt idx="4182">
                  <c:v>1.3100000000000003</c:v>
                </c:pt>
                <c:pt idx="4183">
                  <c:v>1.3100000000000003</c:v>
                </c:pt>
                <c:pt idx="4184">
                  <c:v>1.3100000000000003</c:v>
                </c:pt>
                <c:pt idx="4185">
                  <c:v>1.8400000000000003</c:v>
                </c:pt>
                <c:pt idx="4186">
                  <c:v>1.8400000000000003</c:v>
                </c:pt>
                <c:pt idx="4187">
                  <c:v>1.8400000000000003</c:v>
                </c:pt>
                <c:pt idx="4188">
                  <c:v>1.8400000000000003</c:v>
                </c:pt>
                <c:pt idx="4189">
                  <c:v>1.3100000000000003</c:v>
                </c:pt>
                <c:pt idx="4190">
                  <c:v>1.3100000000000003</c:v>
                </c:pt>
                <c:pt idx="4191">
                  <c:v>1.3100000000000003</c:v>
                </c:pt>
                <c:pt idx="4192">
                  <c:v>1.3100000000000003</c:v>
                </c:pt>
                <c:pt idx="4193">
                  <c:v>1.8400000000000003</c:v>
                </c:pt>
                <c:pt idx="4194">
                  <c:v>1.8400000000000003</c:v>
                </c:pt>
                <c:pt idx="4195">
                  <c:v>1.8400000000000003</c:v>
                </c:pt>
                <c:pt idx="4196">
                  <c:v>1.8400000000000003</c:v>
                </c:pt>
                <c:pt idx="4197">
                  <c:v>1.3100000000000003</c:v>
                </c:pt>
                <c:pt idx="4198">
                  <c:v>1.3100000000000003</c:v>
                </c:pt>
                <c:pt idx="4199">
                  <c:v>1.3100000000000003</c:v>
                </c:pt>
                <c:pt idx="4200">
                  <c:v>1.3100000000000003</c:v>
                </c:pt>
                <c:pt idx="4201">
                  <c:v>1.8400000000000003</c:v>
                </c:pt>
                <c:pt idx="4202">
                  <c:v>1.8400000000000003</c:v>
                </c:pt>
                <c:pt idx="4203">
                  <c:v>1.8400000000000003</c:v>
                </c:pt>
                <c:pt idx="4204">
                  <c:v>1.8400000000000003</c:v>
                </c:pt>
                <c:pt idx="4205">
                  <c:v>1.3100000000000003</c:v>
                </c:pt>
                <c:pt idx="4206">
                  <c:v>1.3100000000000003</c:v>
                </c:pt>
                <c:pt idx="4207">
                  <c:v>1.3100000000000003</c:v>
                </c:pt>
                <c:pt idx="4208">
                  <c:v>1.3100000000000003</c:v>
                </c:pt>
                <c:pt idx="4209">
                  <c:v>1.8400000000000003</c:v>
                </c:pt>
                <c:pt idx="4210">
                  <c:v>1.8400000000000003</c:v>
                </c:pt>
                <c:pt idx="4211">
                  <c:v>1.8400000000000003</c:v>
                </c:pt>
                <c:pt idx="4212">
                  <c:v>1.8400000000000003</c:v>
                </c:pt>
                <c:pt idx="4213">
                  <c:v>1.3100000000000003</c:v>
                </c:pt>
                <c:pt idx="4214">
                  <c:v>1.3100000000000003</c:v>
                </c:pt>
                <c:pt idx="4215">
                  <c:v>1.3100000000000003</c:v>
                </c:pt>
                <c:pt idx="4216">
                  <c:v>1.3100000000000003</c:v>
                </c:pt>
                <c:pt idx="4217">
                  <c:v>1.8400000000000003</c:v>
                </c:pt>
                <c:pt idx="4218">
                  <c:v>1.8400000000000003</c:v>
                </c:pt>
                <c:pt idx="4219">
                  <c:v>1.8400000000000003</c:v>
                </c:pt>
                <c:pt idx="4220">
                  <c:v>1.8400000000000003</c:v>
                </c:pt>
                <c:pt idx="4221">
                  <c:v>1.3100000000000003</c:v>
                </c:pt>
                <c:pt idx="4222">
                  <c:v>1.3100000000000003</c:v>
                </c:pt>
                <c:pt idx="4223">
                  <c:v>1.3100000000000003</c:v>
                </c:pt>
                <c:pt idx="4224">
                  <c:v>1.3100000000000003</c:v>
                </c:pt>
                <c:pt idx="4225">
                  <c:v>1.8400000000000003</c:v>
                </c:pt>
                <c:pt idx="4226">
                  <c:v>1.8400000000000003</c:v>
                </c:pt>
                <c:pt idx="4227">
                  <c:v>1.8400000000000003</c:v>
                </c:pt>
                <c:pt idx="4228">
                  <c:v>1.8400000000000003</c:v>
                </c:pt>
                <c:pt idx="4229">
                  <c:v>1.3100000000000003</c:v>
                </c:pt>
                <c:pt idx="4230">
                  <c:v>1.3100000000000003</c:v>
                </c:pt>
                <c:pt idx="4231">
                  <c:v>1.3100000000000003</c:v>
                </c:pt>
                <c:pt idx="4232">
                  <c:v>1.3100000000000003</c:v>
                </c:pt>
                <c:pt idx="4233">
                  <c:v>1.8400000000000003</c:v>
                </c:pt>
                <c:pt idx="4234">
                  <c:v>1.8400000000000003</c:v>
                </c:pt>
                <c:pt idx="4235">
                  <c:v>1.8400000000000003</c:v>
                </c:pt>
                <c:pt idx="4236">
                  <c:v>1.8400000000000003</c:v>
                </c:pt>
                <c:pt idx="4237">
                  <c:v>1.3100000000000003</c:v>
                </c:pt>
                <c:pt idx="4238">
                  <c:v>1.3100000000000003</c:v>
                </c:pt>
                <c:pt idx="4239">
                  <c:v>1.3100000000000003</c:v>
                </c:pt>
                <c:pt idx="4240">
                  <c:v>1.3100000000000003</c:v>
                </c:pt>
                <c:pt idx="4241">
                  <c:v>1.8400000000000003</c:v>
                </c:pt>
                <c:pt idx="4242">
                  <c:v>1.8400000000000003</c:v>
                </c:pt>
                <c:pt idx="4243">
                  <c:v>1.8400000000000003</c:v>
                </c:pt>
                <c:pt idx="4244">
                  <c:v>1.8400000000000003</c:v>
                </c:pt>
                <c:pt idx="4245">
                  <c:v>1.3100000000000003</c:v>
                </c:pt>
                <c:pt idx="4246">
                  <c:v>1.3100000000000003</c:v>
                </c:pt>
                <c:pt idx="4247">
                  <c:v>1.3100000000000003</c:v>
                </c:pt>
                <c:pt idx="4248">
                  <c:v>1.3100000000000003</c:v>
                </c:pt>
                <c:pt idx="4249">
                  <c:v>1.8400000000000003</c:v>
                </c:pt>
                <c:pt idx="4250">
                  <c:v>1.8400000000000003</c:v>
                </c:pt>
                <c:pt idx="4251">
                  <c:v>1.8400000000000003</c:v>
                </c:pt>
                <c:pt idx="4252">
                  <c:v>1.8400000000000003</c:v>
                </c:pt>
                <c:pt idx="4253">
                  <c:v>1.3100000000000003</c:v>
                </c:pt>
                <c:pt idx="4254">
                  <c:v>1.3100000000000003</c:v>
                </c:pt>
                <c:pt idx="4255">
                  <c:v>1.3100000000000003</c:v>
                </c:pt>
                <c:pt idx="4256">
                  <c:v>1.3100000000000003</c:v>
                </c:pt>
                <c:pt idx="4257">
                  <c:v>1.8400000000000003</c:v>
                </c:pt>
                <c:pt idx="4258">
                  <c:v>1.8400000000000003</c:v>
                </c:pt>
                <c:pt idx="4259">
                  <c:v>1.8400000000000003</c:v>
                </c:pt>
                <c:pt idx="4260">
                  <c:v>1.8400000000000003</c:v>
                </c:pt>
                <c:pt idx="4261">
                  <c:v>1.3100000000000003</c:v>
                </c:pt>
                <c:pt idx="4262">
                  <c:v>1.3100000000000003</c:v>
                </c:pt>
                <c:pt idx="4263">
                  <c:v>1.3100000000000003</c:v>
                </c:pt>
                <c:pt idx="4264">
                  <c:v>1.3100000000000003</c:v>
                </c:pt>
                <c:pt idx="4265">
                  <c:v>1.8400000000000003</c:v>
                </c:pt>
                <c:pt idx="4266">
                  <c:v>1.8400000000000003</c:v>
                </c:pt>
                <c:pt idx="4267">
                  <c:v>1.8400000000000003</c:v>
                </c:pt>
                <c:pt idx="4268">
                  <c:v>1.8400000000000003</c:v>
                </c:pt>
                <c:pt idx="4269">
                  <c:v>1.3100000000000003</c:v>
                </c:pt>
                <c:pt idx="4270">
                  <c:v>1.3100000000000003</c:v>
                </c:pt>
                <c:pt idx="4271">
                  <c:v>1.3100000000000003</c:v>
                </c:pt>
                <c:pt idx="4272">
                  <c:v>1.3100000000000003</c:v>
                </c:pt>
                <c:pt idx="4273">
                  <c:v>1.8400000000000003</c:v>
                </c:pt>
                <c:pt idx="4274">
                  <c:v>1.8400000000000003</c:v>
                </c:pt>
                <c:pt idx="4275">
                  <c:v>1.8400000000000003</c:v>
                </c:pt>
                <c:pt idx="4276">
                  <c:v>1.8400000000000003</c:v>
                </c:pt>
                <c:pt idx="4277">
                  <c:v>1.3100000000000003</c:v>
                </c:pt>
                <c:pt idx="4278">
                  <c:v>1.3100000000000003</c:v>
                </c:pt>
                <c:pt idx="4279">
                  <c:v>1.3100000000000003</c:v>
                </c:pt>
                <c:pt idx="4280">
                  <c:v>1.3100000000000003</c:v>
                </c:pt>
                <c:pt idx="4281">
                  <c:v>1.8400000000000003</c:v>
                </c:pt>
                <c:pt idx="4282">
                  <c:v>1.8400000000000003</c:v>
                </c:pt>
                <c:pt idx="4283">
                  <c:v>1.8400000000000003</c:v>
                </c:pt>
                <c:pt idx="4284">
                  <c:v>1.8400000000000003</c:v>
                </c:pt>
                <c:pt idx="4285">
                  <c:v>1.3100000000000003</c:v>
                </c:pt>
                <c:pt idx="4286">
                  <c:v>1.3100000000000003</c:v>
                </c:pt>
                <c:pt idx="4287">
                  <c:v>1.3100000000000003</c:v>
                </c:pt>
                <c:pt idx="4288">
                  <c:v>1.3100000000000003</c:v>
                </c:pt>
                <c:pt idx="4289">
                  <c:v>1.8400000000000003</c:v>
                </c:pt>
                <c:pt idx="4290">
                  <c:v>1.8400000000000003</c:v>
                </c:pt>
                <c:pt idx="4291">
                  <c:v>1.8400000000000003</c:v>
                </c:pt>
                <c:pt idx="4292">
                  <c:v>1.8400000000000003</c:v>
                </c:pt>
                <c:pt idx="4293">
                  <c:v>1.3100000000000003</c:v>
                </c:pt>
                <c:pt idx="4294">
                  <c:v>1.3100000000000003</c:v>
                </c:pt>
                <c:pt idx="4295">
                  <c:v>1.3100000000000003</c:v>
                </c:pt>
                <c:pt idx="4296">
                  <c:v>1.3100000000000003</c:v>
                </c:pt>
                <c:pt idx="4297">
                  <c:v>1.8400000000000003</c:v>
                </c:pt>
                <c:pt idx="4298">
                  <c:v>1.8400000000000003</c:v>
                </c:pt>
                <c:pt idx="4299">
                  <c:v>1.8400000000000003</c:v>
                </c:pt>
                <c:pt idx="4300">
                  <c:v>1.8400000000000003</c:v>
                </c:pt>
                <c:pt idx="4301">
                  <c:v>1.3100000000000003</c:v>
                </c:pt>
                <c:pt idx="4302">
                  <c:v>1.3100000000000003</c:v>
                </c:pt>
                <c:pt idx="4303">
                  <c:v>1.3100000000000003</c:v>
                </c:pt>
                <c:pt idx="4304">
                  <c:v>1.3100000000000003</c:v>
                </c:pt>
                <c:pt idx="4305">
                  <c:v>1.8400000000000003</c:v>
                </c:pt>
                <c:pt idx="4306">
                  <c:v>1.8400000000000003</c:v>
                </c:pt>
                <c:pt idx="4307">
                  <c:v>1.8400000000000003</c:v>
                </c:pt>
                <c:pt idx="4308">
                  <c:v>1.8400000000000003</c:v>
                </c:pt>
                <c:pt idx="4309">
                  <c:v>1.3100000000000003</c:v>
                </c:pt>
                <c:pt idx="4310">
                  <c:v>1.3100000000000003</c:v>
                </c:pt>
                <c:pt idx="4311">
                  <c:v>1.3100000000000003</c:v>
                </c:pt>
                <c:pt idx="4312">
                  <c:v>1.3100000000000003</c:v>
                </c:pt>
                <c:pt idx="4313">
                  <c:v>1.8400000000000003</c:v>
                </c:pt>
                <c:pt idx="4314">
                  <c:v>1.8400000000000003</c:v>
                </c:pt>
                <c:pt idx="4315">
                  <c:v>1.8400000000000003</c:v>
                </c:pt>
                <c:pt idx="4316">
                  <c:v>1.8400000000000003</c:v>
                </c:pt>
                <c:pt idx="4317">
                  <c:v>1.3100000000000003</c:v>
                </c:pt>
                <c:pt idx="4318">
                  <c:v>1.3100000000000003</c:v>
                </c:pt>
                <c:pt idx="4319">
                  <c:v>1.3100000000000003</c:v>
                </c:pt>
                <c:pt idx="4320">
                  <c:v>1.3100000000000003</c:v>
                </c:pt>
                <c:pt idx="4321">
                  <c:v>1.8400000000000003</c:v>
                </c:pt>
                <c:pt idx="4322">
                  <c:v>1.8400000000000003</c:v>
                </c:pt>
                <c:pt idx="4323">
                  <c:v>1.8400000000000003</c:v>
                </c:pt>
                <c:pt idx="4324">
                  <c:v>1.8400000000000003</c:v>
                </c:pt>
                <c:pt idx="4325">
                  <c:v>1.3100000000000003</c:v>
                </c:pt>
                <c:pt idx="4326">
                  <c:v>1.3100000000000003</c:v>
                </c:pt>
                <c:pt idx="4327">
                  <c:v>1.3100000000000003</c:v>
                </c:pt>
                <c:pt idx="4328">
                  <c:v>1.3100000000000003</c:v>
                </c:pt>
                <c:pt idx="4329">
                  <c:v>1.8400000000000003</c:v>
                </c:pt>
                <c:pt idx="4330">
                  <c:v>1.8400000000000003</c:v>
                </c:pt>
                <c:pt idx="4331">
                  <c:v>1.8400000000000003</c:v>
                </c:pt>
                <c:pt idx="4332">
                  <c:v>1.8400000000000003</c:v>
                </c:pt>
                <c:pt idx="4333">
                  <c:v>1.3100000000000003</c:v>
                </c:pt>
                <c:pt idx="4334">
                  <c:v>1.3100000000000003</c:v>
                </c:pt>
                <c:pt idx="4335">
                  <c:v>1.3100000000000003</c:v>
                </c:pt>
                <c:pt idx="4336">
                  <c:v>1.3100000000000003</c:v>
                </c:pt>
                <c:pt idx="4337">
                  <c:v>1.3100000000000003</c:v>
                </c:pt>
                <c:pt idx="4338">
                  <c:v>1.3100000000000003</c:v>
                </c:pt>
                <c:pt idx="4339">
                  <c:v>1.8400000000000003</c:v>
                </c:pt>
                <c:pt idx="4340">
                  <c:v>1.8400000000000003</c:v>
                </c:pt>
                <c:pt idx="4341">
                  <c:v>1.8400000000000003</c:v>
                </c:pt>
                <c:pt idx="4342">
                  <c:v>1.8400000000000003</c:v>
                </c:pt>
                <c:pt idx="4343">
                  <c:v>1.3100000000000003</c:v>
                </c:pt>
                <c:pt idx="4344">
                  <c:v>1.3100000000000003</c:v>
                </c:pt>
                <c:pt idx="4345">
                  <c:v>1.3100000000000003</c:v>
                </c:pt>
                <c:pt idx="4346">
                  <c:v>1.3100000000000003</c:v>
                </c:pt>
                <c:pt idx="4347">
                  <c:v>1.8400000000000003</c:v>
                </c:pt>
                <c:pt idx="4348">
                  <c:v>1.8400000000000003</c:v>
                </c:pt>
                <c:pt idx="4349">
                  <c:v>1.8400000000000003</c:v>
                </c:pt>
                <c:pt idx="4350">
                  <c:v>1.8400000000000003</c:v>
                </c:pt>
                <c:pt idx="4351">
                  <c:v>1.3100000000000003</c:v>
                </c:pt>
                <c:pt idx="4352">
                  <c:v>1.3100000000000003</c:v>
                </c:pt>
                <c:pt idx="4353">
                  <c:v>1.3100000000000003</c:v>
                </c:pt>
                <c:pt idx="4354">
                  <c:v>1.3100000000000003</c:v>
                </c:pt>
                <c:pt idx="4355">
                  <c:v>1.8400000000000003</c:v>
                </c:pt>
                <c:pt idx="4356">
                  <c:v>1.8400000000000003</c:v>
                </c:pt>
                <c:pt idx="4357">
                  <c:v>1.8400000000000003</c:v>
                </c:pt>
                <c:pt idx="4358">
                  <c:v>1.8400000000000003</c:v>
                </c:pt>
                <c:pt idx="4359">
                  <c:v>1.3100000000000003</c:v>
                </c:pt>
                <c:pt idx="4360">
                  <c:v>1.3100000000000003</c:v>
                </c:pt>
                <c:pt idx="4361">
                  <c:v>1.3100000000000003</c:v>
                </c:pt>
                <c:pt idx="4362">
                  <c:v>1.3100000000000003</c:v>
                </c:pt>
                <c:pt idx="4363">
                  <c:v>1.8400000000000003</c:v>
                </c:pt>
                <c:pt idx="4364">
                  <c:v>1.8400000000000003</c:v>
                </c:pt>
                <c:pt idx="4365">
                  <c:v>1.8400000000000003</c:v>
                </c:pt>
                <c:pt idx="4366">
                  <c:v>1.8400000000000003</c:v>
                </c:pt>
                <c:pt idx="4367">
                  <c:v>1.3100000000000003</c:v>
                </c:pt>
                <c:pt idx="4368">
                  <c:v>1.3100000000000003</c:v>
                </c:pt>
                <c:pt idx="4369">
                  <c:v>1.3100000000000003</c:v>
                </c:pt>
                <c:pt idx="4370">
                  <c:v>1.3100000000000003</c:v>
                </c:pt>
                <c:pt idx="4371">
                  <c:v>1.8400000000000003</c:v>
                </c:pt>
                <c:pt idx="4372">
                  <c:v>1.8400000000000003</c:v>
                </c:pt>
                <c:pt idx="4373">
                  <c:v>1.8400000000000003</c:v>
                </c:pt>
                <c:pt idx="4374">
                  <c:v>1.8400000000000003</c:v>
                </c:pt>
                <c:pt idx="4375">
                  <c:v>1.3100000000000003</c:v>
                </c:pt>
                <c:pt idx="4376">
                  <c:v>1.3100000000000003</c:v>
                </c:pt>
                <c:pt idx="4377">
                  <c:v>1.3100000000000003</c:v>
                </c:pt>
                <c:pt idx="4378">
                  <c:v>1.3100000000000003</c:v>
                </c:pt>
                <c:pt idx="4379">
                  <c:v>1.8400000000000003</c:v>
                </c:pt>
                <c:pt idx="4380">
                  <c:v>1.8400000000000003</c:v>
                </c:pt>
                <c:pt idx="4381">
                  <c:v>1.8400000000000003</c:v>
                </c:pt>
                <c:pt idx="4382">
                  <c:v>1.8400000000000003</c:v>
                </c:pt>
                <c:pt idx="4383">
                  <c:v>1.3100000000000003</c:v>
                </c:pt>
                <c:pt idx="4384">
                  <c:v>1.3100000000000003</c:v>
                </c:pt>
                <c:pt idx="4385">
                  <c:v>1.3100000000000003</c:v>
                </c:pt>
                <c:pt idx="4386">
                  <c:v>1.3100000000000003</c:v>
                </c:pt>
                <c:pt idx="4387">
                  <c:v>1.8400000000000003</c:v>
                </c:pt>
                <c:pt idx="4388">
                  <c:v>1.8400000000000003</c:v>
                </c:pt>
                <c:pt idx="4389">
                  <c:v>1.8400000000000003</c:v>
                </c:pt>
                <c:pt idx="4390">
                  <c:v>1.8400000000000003</c:v>
                </c:pt>
                <c:pt idx="4391">
                  <c:v>1.3100000000000003</c:v>
                </c:pt>
                <c:pt idx="4392">
                  <c:v>1.3100000000000003</c:v>
                </c:pt>
                <c:pt idx="4393">
                  <c:v>1.3100000000000003</c:v>
                </c:pt>
                <c:pt idx="4394">
                  <c:v>1.3100000000000003</c:v>
                </c:pt>
                <c:pt idx="4395">
                  <c:v>1.8400000000000003</c:v>
                </c:pt>
                <c:pt idx="4396">
                  <c:v>1.8400000000000003</c:v>
                </c:pt>
                <c:pt idx="4397">
                  <c:v>1.8400000000000003</c:v>
                </c:pt>
                <c:pt idx="4398">
                  <c:v>1.8400000000000003</c:v>
                </c:pt>
                <c:pt idx="4399">
                  <c:v>1.3100000000000003</c:v>
                </c:pt>
                <c:pt idx="4400">
                  <c:v>1.3100000000000003</c:v>
                </c:pt>
                <c:pt idx="4401">
                  <c:v>1.3100000000000003</c:v>
                </c:pt>
                <c:pt idx="4402">
                  <c:v>1.3100000000000003</c:v>
                </c:pt>
                <c:pt idx="4403">
                  <c:v>1.8400000000000003</c:v>
                </c:pt>
                <c:pt idx="4404">
                  <c:v>1.8400000000000003</c:v>
                </c:pt>
                <c:pt idx="4405">
                  <c:v>1.8400000000000003</c:v>
                </c:pt>
                <c:pt idx="4406">
                  <c:v>1.8400000000000003</c:v>
                </c:pt>
                <c:pt idx="4407">
                  <c:v>1.3100000000000003</c:v>
                </c:pt>
                <c:pt idx="4408">
                  <c:v>1.3100000000000003</c:v>
                </c:pt>
                <c:pt idx="4409">
                  <c:v>1.3100000000000003</c:v>
                </c:pt>
                <c:pt idx="4410">
                  <c:v>1.3100000000000003</c:v>
                </c:pt>
                <c:pt idx="4411">
                  <c:v>1.8400000000000003</c:v>
                </c:pt>
                <c:pt idx="4412">
                  <c:v>1.8400000000000003</c:v>
                </c:pt>
                <c:pt idx="4413">
                  <c:v>1.8400000000000003</c:v>
                </c:pt>
                <c:pt idx="4414">
                  <c:v>1.8400000000000003</c:v>
                </c:pt>
                <c:pt idx="4415">
                  <c:v>1.3100000000000003</c:v>
                </c:pt>
                <c:pt idx="4416">
                  <c:v>1.3100000000000003</c:v>
                </c:pt>
                <c:pt idx="4417">
                  <c:v>1.3100000000000003</c:v>
                </c:pt>
                <c:pt idx="4418">
                  <c:v>1.3100000000000003</c:v>
                </c:pt>
                <c:pt idx="4419">
                  <c:v>1.8400000000000003</c:v>
                </c:pt>
                <c:pt idx="4420">
                  <c:v>1.8400000000000003</c:v>
                </c:pt>
                <c:pt idx="4421">
                  <c:v>1.8400000000000003</c:v>
                </c:pt>
                <c:pt idx="4422">
                  <c:v>1.8400000000000003</c:v>
                </c:pt>
                <c:pt idx="4423">
                  <c:v>1.3100000000000003</c:v>
                </c:pt>
                <c:pt idx="4424">
                  <c:v>1.3100000000000003</c:v>
                </c:pt>
                <c:pt idx="4425">
                  <c:v>1.3100000000000003</c:v>
                </c:pt>
                <c:pt idx="4426">
                  <c:v>1.3100000000000003</c:v>
                </c:pt>
                <c:pt idx="4427">
                  <c:v>1.8400000000000003</c:v>
                </c:pt>
                <c:pt idx="4428">
                  <c:v>1.8400000000000003</c:v>
                </c:pt>
                <c:pt idx="4429">
                  <c:v>1.8400000000000003</c:v>
                </c:pt>
                <c:pt idx="4430">
                  <c:v>1.8400000000000003</c:v>
                </c:pt>
                <c:pt idx="4431">
                  <c:v>1.3100000000000003</c:v>
                </c:pt>
                <c:pt idx="4432">
                  <c:v>1.3100000000000003</c:v>
                </c:pt>
                <c:pt idx="4433">
                  <c:v>1.3100000000000003</c:v>
                </c:pt>
                <c:pt idx="4434">
                  <c:v>1.3100000000000003</c:v>
                </c:pt>
                <c:pt idx="4435">
                  <c:v>1.8400000000000003</c:v>
                </c:pt>
                <c:pt idx="4436">
                  <c:v>1.8400000000000003</c:v>
                </c:pt>
                <c:pt idx="4437">
                  <c:v>1.8400000000000003</c:v>
                </c:pt>
                <c:pt idx="4438">
                  <c:v>1.8400000000000003</c:v>
                </c:pt>
                <c:pt idx="4439">
                  <c:v>1.3100000000000003</c:v>
                </c:pt>
                <c:pt idx="4440">
                  <c:v>1.3100000000000003</c:v>
                </c:pt>
                <c:pt idx="4441">
                  <c:v>1.3100000000000003</c:v>
                </c:pt>
                <c:pt idx="4442">
                  <c:v>1.3100000000000003</c:v>
                </c:pt>
                <c:pt idx="4443">
                  <c:v>1.8400000000000003</c:v>
                </c:pt>
                <c:pt idx="4444">
                  <c:v>1.8400000000000003</c:v>
                </c:pt>
                <c:pt idx="4445">
                  <c:v>1.8400000000000003</c:v>
                </c:pt>
                <c:pt idx="4446">
                  <c:v>1.8400000000000003</c:v>
                </c:pt>
                <c:pt idx="4447">
                  <c:v>1.3100000000000003</c:v>
                </c:pt>
                <c:pt idx="4448">
                  <c:v>1.3100000000000003</c:v>
                </c:pt>
                <c:pt idx="4449">
                  <c:v>1.3100000000000003</c:v>
                </c:pt>
                <c:pt idx="4450">
                  <c:v>1.3100000000000003</c:v>
                </c:pt>
                <c:pt idx="4451">
                  <c:v>1.8400000000000003</c:v>
                </c:pt>
                <c:pt idx="4452">
                  <c:v>1.8400000000000003</c:v>
                </c:pt>
                <c:pt idx="4453">
                  <c:v>1.8400000000000003</c:v>
                </c:pt>
                <c:pt idx="4454">
                  <c:v>1.8400000000000003</c:v>
                </c:pt>
                <c:pt idx="4455">
                  <c:v>1.3100000000000003</c:v>
                </c:pt>
                <c:pt idx="4456">
                  <c:v>1.3100000000000003</c:v>
                </c:pt>
                <c:pt idx="4457">
                  <c:v>1.3100000000000003</c:v>
                </c:pt>
                <c:pt idx="4458">
                  <c:v>1.3100000000000003</c:v>
                </c:pt>
                <c:pt idx="4459">
                  <c:v>1.8400000000000003</c:v>
                </c:pt>
                <c:pt idx="4460">
                  <c:v>1.8400000000000003</c:v>
                </c:pt>
                <c:pt idx="4461">
                  <c:v>1.8400000000000003</c:v>
                </c:pt>
                <c:pt idx="4462">
                  <c:v>1.8400000000000003</c:v>
                </c:pt>
                <c:pt idx="4463">
                  <c:v>1.3100000000000003</c:v>
                </c:pt>
                <c:pt idx="4464">
                  <c:v>1.3100000000000003</c:v>
                </c:pt>
                <c:pt idx="4465">
                  <c:v>1.3100000000000003</c:v>
                </c:pt>
                <c:pt idx="4466">
                  <c:v>1.3100000000000003</c:v>
                </c:pt>
                <c:pt idx="4467">
                  <c:v>1.8400000000000003</c:v>
                </c:pt>
                <c:pt idx="4468">
                  <c:v>1.8400000000000003</c:v>
                </c:pt>
                <c:pt idx="4469">
                  <c:v>1.8400000000000003</c:v>
                </c:pt>
                <c:pt idx="4470">
                  <c:v>1.8400000000000003</c:v>
                </c:pt>
                <c:pt idx="4471">
                  <c:v>1.3100000000000003</c:v>
                </c:pt>
                <c:pt idx="4472">
                  <c:v>1.3100000000000003</c:v>
                </c:pt>
                <c:pt idx="4473">
                  <c:v>1.3100000000000003</c:v>
                </c:pt>
                <c:pt idx="4474">
                  <c:v>1.3100000000000003</c:v>
                </c:pt>
                <c:pt idx="4475">
                  <c:v>1.8400000000000003</c:v>
                </c:pt>
                <c:pt idx="4476">
                  <c:v>1.8400000000000003</c:v>
                </c:pt>
                <c:pt idx="4477">
                  <c:v>1.8400000000000003</c:v>
                </c:pt>
                <c:pt idx="4478">
                  <c:v>1.8400000000000003</c:v>
                </c:pt>
                <c:pt idx="4479">
                  <c:v>1.3100000000000003</c:v>
                </c:pt>
                <c:pt idx="4480">
                  <c:v>1.3100000000000003</c:v>
                </c:pt>
                <c:pt idx="4481">
                  <c:v>1.3100000000000003</c:v>
                </c:pt>
                <c:pt idx="4482">
                  <c:v>1.3100000000000003</c:v>
                </c:pt>
                <c:pt idx="4483">
                  <c:v>1.8400000000000003</c:v>
                </c:pt>
                <c:pt idx="4484">
                  <c:v>1.8400000000000003</c:v>
                </c:pt>
                <c:pt idx="4485">
                  <c:v>1.8400000000000003</c:v>
                </c:pt>
                <c:pt idx="4486">
                  <c:v>1.8400000000000003</c:v>
                </c:pt>
                <c:pt idx="4487">
                  <c:v>1.3100000000000003</c:v>
                </c:pt>
                <c:pt idx="4488">
                  <c:v>1.3100000000000003</c:v>
                </c:pt>
                <c:pt idx="4489">
                  <c:v>1.3100000000000003</c:v>
                </c:pt>
                <c:pt idx="4490">
                  <c:v>1.3100000000000003</c:v>
                </c:pt>
                <c:pt idx="4491">
                  <c:v>1.8400000000000003</c:v>
                </c:pt>
                <c:pt idx="4492">
                  <c:v>1.8400000000000003</c:v>
                </c:pt>
                <c:pt idx="4493">
                  <c:v>1.8400000000000003</c:v>
                </c:pt>
                <c:pt idx="4494">
                  <c:v>1.8400000000000003</c:v>
                </c:pt>
                <c:pt idx="4495">
                  <c:v>1.3100000000000003</c:v>
                </c:pt>
                <c:pt idx="4496">
                  <c:v>1.3100000000000003</c:v>
                </c:pt>
                <c:pt idx="4497">
                  <c:v>1.3100000000000003</c:v>
                </c:pt>
                <c:pt idx="4498">
                  <c:v>1.3100000000000003</c:v>
                </c:pt>
                <c:pt idx="4499">
                  <c:v>1.8400000000000003</c:v>
                </c:pt>
                <c:pt idx="4500">
                  <c:v>1.8400000000000003</c:v>
                </c:pt>
                <c:pt idx="4501">
                  <c:v>1.8400000000000003</c:v>
                </c:pt>
                <c:pt idx="4502">
                  <c:v>1.8400000000000003</c:v>
                </c:pt>
                <c:pt idx="4503">
                  <c:v>1.3100000000000003</c:v>
                </c:pt>
                <c:pt idx="4504">
                  <c:v>1.3100000000000003</c:v>
                </c:pt>
                <c:pt idx="4505">
                  <c:v>1.3100000000000003</c:v>
                </c:pt>
                <c:pt idx="4506">
                  <c:v>1.3100000000000003</c:v>
                </c:pt>
                <c:pt idx="4507">
                  <c:v>1.8400000000000003</c:v>
                </c:pt>
                <c:pt idx="4508">
                  <c:v>1.8400000000000003</c:v>
                </c:pt>
                <c:pt idx="4509">
                  <c:v>1.8400000000000003</c:v>
                </c:pt>
                <c:pt idx="4510">
                  <c:v>1.8400000000000003</c:v>
                </c:pt>
                <c:pt idx="4511">
                  <c:v>1.3100000000000003</c:v>
                </c:pt>
                <c:pt idx="4512">
                  <c:v>1.3100000000000003</c:v>
                </c:pt>
                <c:pt idx="4513">
                  <c:v>1.3100000000000003</c:v>
                </c:pt>
                <c:pt idx="4514">
                  <c:v>1.3100000000000003</c:v>
                </c:pt>
                <c:pt idx="4515">
                  <c:v>1.8400000000000003</c:v>
                </c:pt>
                <c:pt idx="4516">
                  <c:v>1.8400000000000003</c:v>
                </c:pt>
                <c:pt idx="4517">
                  <c:v>1.8400000000000003</c:v>
                </c:pt>
                <c:pt idx="4518">
                  <c:v>1.8400000000000003</c:v>
                </c:pt>
                <c:pt idx="4519">
                  <c:v>1.3100000000000003</c:v>
                </c:pt>
                <c:pt idx="4520">
                  <c:v>1.3100000000000003</c:v>
                </c:pt>
                <c:pt idx="4521">
                  <c:v>1.3100000000000003</c:v>
                </c:pt>
                <c:pt idx="4522">
                  <c:v>1.3100000000000003</c:v>
                </c:pt>
                <c:pt idx="4523">
                  <c:v>1.8400000000000003</c:v>
                </c:pt>
                <c:pt idx="4524">
                  <c:v>1.8400000000000003</c:v>
                </c:pt>
                <c:pt idx="4525">
                  <c:v>1.8400000000000003</c:v>
                </c:pt>
                <c:pt idx="4526">
                  <c:v>1.8400000000000003</c:v>
                </c:pt>
                <c:pt idx="4527">
                  <c:v>1.3100000000000003</c:v>
                </c:pt>
                <c:pt idx="4528">
                  <c:v>1.3100000000000003</c:v>
                </c:pt>
                <c:pt idx="4529">
                  <c:v>1.3100000000000003</c:v>
                </c:pt>
                <c:pt idx="4530">
                  <c:v>1.3100000000000003</c:v>
                </c:pt>
                <c:pt idx="4531">
                  <c:v>1.8400000000000003</c:v>
                </c:pt>
                <c:pt idx="4532">
                  <c:v>1.8400000000000003</c:v>
                </c:pt>
                <c:pt idx="4533">
                  <c:v>1.8400000000000003</c:v>
                </c:pt>
                <c:pt idx="4534">
                  <c:v>1.8400000000000003</c:v>
                </c:pt>
                <c:pt idx="4535">
                  <c:v>1.3100000000000003</c:v>
                </c:pt>
                <c:pt idx="4536">
                  <c:v>1.3100000000000003</c:v>
                </c:pt>
                <c:pt idx="4537">
                  <c:v>1.3100000000000003</c:v>
                </c:pt>
                <c:pt idx="4538">
                  <c:v>1.3100000000000003</c:v>
                </c:pt>
                <c:pt idx="4539">
                  <c:v>1.8400000000000003</c:v>
                </c:pt>
                <c:pt idx="4540">
                  <c:v>1.8400000000000003</c:v>
                </c:pt>
                <c:pt idx="4541">
                  <c:v>1.8400000000000003</c:v>
                </c:pt>
                <c:pt idx="4542">
                  <c:v>1.8400000000000003</c:v>
                </c:pt>
                <c:pt idx="4543">
                  <c:v>1.3100000000000003</c:v>
                </c:pt>
                <c:pt idx="4544">
                  <c:v>1.3100000000000003</c:v>
                </c:pt>
                <c:pt idx="4545">
                  <c:v>1.3100000000000003</c:v>
                </c:pt>
                <c:pt idx="4546">
                  <c:v>1.3100000000000003</c:v>
                </c:pt>
                <c:pt idx="4547">
                  <c:v>1.8400000000000003</c:v>
                </c:pt>
                <c:pt idx="4548">
                  <c:v>1.8400000000000003</c:v>
                </c:pt>
                <c:pt idx="4549">
                  <c:v>1.8400000000000003</c:v>
                </c:pt>
                <c:pt idx="4550">
                  <c:v>1.8400000000000003</c:v>
                </c:pt>
                <c:pt idx="4551">
                  <c:v>1.3100000000000003</c:v>
                </c:pt>
                <c:pt idx="4552">
                  <c:v>1.3100000000000003</c:v>
                </c:pt>
                <c:pt idx="4553">
                  <c:v>1.3100000000000003</c:v>
                </c:pt>
                <c:pt idx="4554">
                  <c:v>1.3100000000000003</c:v>
                </c:pt>
                <c:pt idx="4555">
                  <c:v>1.8400000000000003</c:v>
                </c:pt>
                <c:pt idx="4556">
                  <c:v>1.8400000000000003</c:v>
                </c:pt>
                <c:pt idx="4557">
                  <c:v>1.8400000000000003</c:v>
                </c:pt>
                <c:pt idx="4558">
                  <c:v>1.8400000000000003</c:v>
                </c:pt>
                <c:pt idx="4559">
                  <c:v>1.3100000000000003</c:v>
                </c:pt>
                <c:pt idx="4560">
                  <c:v>1.3100000000000003</c:v>
                </c:pt>
                <c:pt idx="4561">
                  <c:v>1.3100000000000003</c:v>
                </c:pt>
                <c:pt idx="4562">
                  <c:v>1.3100000000000003</c:v>
                </c:pt>
                <c:pt idx="4563">
                  <c:v>1.8400000000000003</c:v>
                </c:pt>
                <c:pt idx="4564">
                  <c:v>1.8400000000000003</c:v>
                </c:pt>
                <c:pt idx="4565">
                  <c:v>1.8400000000000003</c:v>
                </c:pt>
                <c:pt idx="4566">
                  <c:v>1.8400000000000003</c:v>
                </c:pt>
                <c:pt idx="4567">
                  <c:v>1.3100000000000003</c:v>
                </c:pt>
                <c:pt idx="4568">
                  <c:v>1.3100000000000003</c:v>
                </c:pt>
                <c:pt idx="4569">
                  <c:v>1.3100000000000003</c:v>
                </c:pt>
                <c:pt idx="4570">
                  <c:v>1.3100000000000003</c:v>
                </c:pt>
                <c:pt idx="4571">
                  <c:v>1.8400000000000003</c:v>
                </c:pt>
                <c:pt idx="4572">
                  <c:v>1.8400000000000003</c:v>
                </c:pt>
                <c:pt idx="4573">
                  <c:v>1.8400000000000003</c:v>
                </c:pt>
                <c:pt idx="4574">
                  <c:v>1.8400000000000003</c:v>
                </c:pt>
                <c:pt idx="4575">
                  <c:v>1.3100000000000003</c:v>
                </c:pt>
                <c:pt idx="4576">
                  <c:v>1.3100000000000003</c:v>
                </c:pt>
                <c:pt idx="4577">
                  <c:v>1.3100000000000003</c:v>
                </c:pt>
                <c:pt idx="4578">
                  <c:v>1.3100000000000003</c:v>
                </c:pt>
                <c:pt idx="4579">
                  <c:v>1.8400000000000003</c:v>
                </c:pt>
                <c:pt idx="4580">
                  <c:v>1.8400000000000003</c:v>
                </c:pt>
                <c:pt idx="4581">
                  <c:v>1.8400000000000003</c:v>
                </c:pt>
                <c:pt idx="4582">
                  <c:v>1.8400000000000003</c:v>
                </c:pt>
                <c:pt idx="4583">
                  <c:v>1.3100000000000003</c:v>
                </c:pt>
                <c:pt idx="4584">
                  <c:v>1.3100000000000003</c:v>
                </c:pt>
                <c:pt idx="4585">
                  <c:v>1.3100000000000003</c:v>
                </c:pt>
                <c:pt idx="4586">
                  <c:v>1.3100000000000003</c:v>
                </c:pt>
                <c:pt idx="4587">
                  <c:v>1.8400000000000003</c:v>
                </c:pt>
                <c:pt idx="4588">
                  <c:v>1.8400000000000003</c:v>
                </c:pt>
                <c:pt idx="4589">
                  <c:v>1.8400000000000003</c:v>
                </c:pt>
                <c:pt idx="4590">
                  <c:v>1.8400000000000003</c:v>
                </c:pt>
                <c:pt idx="4591">
                  <c:v>1.3100000000000003</c:v>
                </c:pt>
                <c:pt idx="4592">
                  <c:v>1.3100000000000003</c:v>
                </c:pt>
                <c:pt idx="4593">
                  <c:v>1.3100000000000003</c:v>
                </c:pt>
                <c:pt idx="4594">
                  <c:v>1.3100000000000003</c:v>
                </c:pt>
                <c:pt idx="4595">
                  <c:v>1.8400000000000003</c:v>
                </c:pt>
                <c:pt idx="4596">
                  <c:v>1.8400000000000003</c:v>
                </c:pt>
                <c:pt idx="4597">
                  <c:v>1.8400000000000003</c:v>
                </c:pt>
                <c:pt idx="4598">
                  <c:v>1.8400000000000003</c:v>
                </c:pt>
                <c:pt idx="4599">
                  <c:v>1.3100000000000003</c:v>
                </c:pt>
                <c:pt idx="4600">
                  <c:v>1.3100000000000003</c:v>
                </c:pt>
                <c:pt idx="4601">
                  <c:v>1.3100000000000003</c:v>
                </c:pt>
                <c:pt idx="4602">
                  <c:v>1.3100000000000003</c:v>
                </c:pt>
                <c:pt idx="4603">
                  <c:v>1.8400000000000003</c:v>
                </c:pt>
                <c:pt idx="4604">
                  <c:v>1.8400000000000003</c:v>
                </c:pt>
                <c:pt idx="4605">
                  <c:v>1.8400000000000003</c:v>
                </c:pt>
                <c:pt idx="4606">
                  <c:v>1.8400000000000003</c:v>
                </c:pt>
                <c:pt idx="4607">
                  <c:v>1.3100000000000003</c:v>
                </c:pt>
                <c:pt idx="4608">
                  <c:v>1.3100000000000003</c:v>
                </c:pt>
                <c:pt idx="4609">
                  <c:v>1.3100000000000003</c:v>
                </c:pt>
                <c:pt idx="4610">
                  <c:v>1.3100000000000003</c:v>
                </c:pt>
                <c:pt idx="4611">
                  <c:v>1.8400000000000003</c:v>
                </c:pt>
                <c:pt idx="4612">
                  <c:v>1.8400000000000003</c:v>
                </c:pt>
                <c:pt idx="4613">
                  <c:v>1.8400000000000003</c:v>
                </c:pt>
                <c:pt idx="4614">
                  <c:v>1.8400000000000003</c:v>
                </c:pt>
                <c:pt idx="4615">
                  <c:v>1.3100000000000003</c:v>
                </c:pt>
                <c:pt idx="4616">
                  <c:v>1.3100000000000003</c:v>
                </c:pt>
                <c:pt idx="4617">
                  <c:v>1.3100000000000003</c:v>
                </c:pt>
                <c:pt idx="4618">
                  <c:v>1.3100000000000003</c:v>
                </c:pt>
                <c:pt idx="4619">
                  <c:v>1.8400000000000003</c:v>
                </c:pt>
                <c:pt idx="4620">
                  <c:v>1.8400000000000003</c:v>
                </c:pt>
                <c:pt idx="4621">
                  <c:v>1.8400000000000003</c:v>
                </c:pt>
                <c:pt idx="4622">
                  <c:v>1.8400000000000003</c:v>
                </c:pt>
                <c:pt idx="4623">
                  <c:v>1.3100000000000003</c:v>
                </c:pt>
                <c:pt idx="4624">
                  <c:v>1.3100000000000003</c:v>
                </c:pt>
                <c:pt idx="4625">
                  <c:v>1.3100000000000003</c:v>
                </c:pt>
                <c:pt idx="4626">
                  <c:v>1.3100000000000003</c:v>
                </c:pt>
                <c:pt idx="4627">
                  <c:v>1.8400000000000003</c:v>
                </c:pt>
                <c:pt idx="4628">
                  <c:v>1.8400000000000003</c:v>
                </c:pt>
                <c:pt idx="4629">
                  <c:v>1.8400000000000003</c:v>
                </c:pt>
                <c:pt idx="4630">
                  <c:v>1.8400000000000003</c:v>
                </c:pt>
                <c:pt idx="4631">
                  <c:v>1.3100000000000003</c:v>
                </c:pt>
                <c:pt idx="4632">
                  <c:v>1.3100000000000003</c:v>
                </c:pt>
                <c:pt idx="4633">
                  <c:v>1.3100000000000003</c:v>
                </c:pt>
                <c:pt idx="4634">
                  <c:v>1.3100000000000003</c:v>
                </c:pt>
                <c:pt idx="4635">
                  <c:v>1.8400000000000003</c:v>
                </c:pt>
                <c:pt idx="4636">
                  <c:v>1.8400000000000003</c:v>
                </c:pt>
                <c:pt idx="4637">
                  <c:v>1.8400000000000003</c:v>
                </c:pt>
                <c:pt idx="4638">
                  <c:v>1.8400000000000003</c:v>
                </c:pt>
                <c:pt idx="4639">
                  <c:v>1.3100000000000003</c:v>
                </c:pt>
                <c:pt idx="4640">
                  <c:v>1.3100000000000003</c:v>
                </c:pt>
                <c:pt idx="4641">
                  <c:v>1.3100000000000003</c:v>
                </c:pt>
                <c:pt idx="4642">
                  <c:v>1.3100000000000003</c:v>
                </c:pt>
                <c:pt idx="4643">
                  <c:v>1.8400000000000003</c:v>
                </c:pt>
                <c:pt idx="4644">
                  <c:v>1.8400000000000003</c:v>
                </c:pt>
                <c:pt idx="4645">
                  <c:v>1.8400000000000003</c:v>
                </c:pt>
                <c:pt idx="4646">
                  <c:v>1.8400000000000003</c:v>
                </c:pt>
                <c:pt idx="4647">
                  <c:v>1.3100000000000003</c:v>
                </c:pt>
                <c:pt idx="4648">
                  <c:v>1.3100000000000003</c:v>
                </c:pt>
                <c:pt idx="4649">
                  <c:v>1.3100000000000003</c:v>
                </c:pt>
                <c:pt idx="4650">
                  <c:v>1.3100000000000003</c:v>
                </c:pt>
                <c:pt idx="4651">
                  <c:v>1.8400000000000003</c:v>
                </c:pt>
                <c:pt idx="4652">
                  <c:v>1.8400000000000003</c:v>
                </c:pt>
                <c:pt idx="4653">
                  <c:v>1.8400000000000003</c:v>
                </c:pt>
                <c:pt idx="4654">
                  <c:v>1.8400000000000003</c:v>
                </c:pt>
                <c:pt idx="4655">
                  <c:v>1.3100000000000003</c:v>
                </c:pt>
                <c:pt idx="4656">
                  <c:v>1.3100000000000003</c:v>
                </c:pt>
                <c:pt idx="4657">
                  <c:v>1.3100000000000003</c:v>
                </c:pt>
                <c:pt idx="4658">
                  <c:v>1.3100000000000003</c:v>
                </c:pt>
                <c:pt idx="4659">
                  <c:v>1.8400000000000003</c:v>
                </c:pt>
                <c:pt idx="4660">
                  <c:v>1.8400000000000003</c:v>
                </c:pt>
                <c:pt idx="4661">
                  <c:v>1.8400000000000003</c:v>
                </c:pt>
                <c:pt idx="4662">
                  <c:v>1.8400000000000003</c:v>
                </c:pt>
                <c:pt idx="4663">
                  <c:v>1.3100000000000003</c:v>
                </c:pt>
                <c:pt idx="4664">
                  <c:v>1.3100000000000003</c:v>
                </c:pt>
                <c:pt idx="4665">
                  <c:v>1.3100000000000003</c:v>
                </c:pt>
                <c:pt idx="4666">
                  <c:v>1.3100000000000003</c:v>
                </c:pt>
                <c:pt idx="4667">
                  <c:v>1.8400000000000003</c:v>
                </c:pt>
                <c:pt idx="4668">
                  <c:v>1.8400000000000003</c:v>
                </c:pt>
                <c:pt idx="4669">
                  <c:v>1.8400000000000003</c:v>
                </c:pt>
                <c:pt idx="4670">
                  <c:v>1.8400000000000003</c:v>
                </c:pt>
                <c:pt idx="4671">
                  <c:v>1.3100000000000003</c:v>
                </c:pt>
                <c:pt idx="4672">
                  <c:v>1.3100000000000003</c:v>
                </c:pt>
                <c:pt idx="4673">
                  <c:v>1.3100000000000003</c:v>
                </c:pt>
                <c:pt idx="4674">
                  <c:v>1.3100000000000003</c:v>
                </c:pt>
                <c:pt idx="4675">
                  <c:v>1.8400000000000003</c:v>
                </c:pt>
                <c:pt idx="4676">
                  <c:v>1.8400000000000003</c:v>
                </c:pt>
                <c:pt idx="4677">
                  <c:v>1.8400000000000003</c:v>
                </c:pt>
                <c:pt idx="4678">
                  <c:v>1.8400000000000003</c:v>
                </c:pt>
                <c:pt idx="4679">
                  <c:v>1.3100000000000003</c:v>
                </c:pt>
                <c:pt idx="4680">
                  <c:v>1.3100000000000003</c:v>
                </c:pt>
                <c:pt idx="4681">
                  <c:v>1.3100000000000003</c:v>
                </c:pt>
                <c:pt idx="4682">
                  <c:v>1.3100000000000003</c:v>
                </c:pt>
                <c:pt idx="4683">
                  <c:v>1.8400000000000003</c:v>
                </c:pt>
                <c:pt idx="4684">
                  <c:v>1.8400000000000003</c:v>
                </c:pt>
                <c:pt idx="4685">
                  <c:v>1.8400000000000003</c:v>
                </c:pt>
                <c:pt idx="4686">
                  <c:v>1.8400000000000003</c:v>
                </c:pt>
                <c:pt idx="4687">
                  <c:v>1.3100000000000003</c:v>
                </c:pt>
                <c:pt idx="4688">
                  <c:v>1.3100000000000003</c:v>
                </c:pt>
                <c:pt idx="4689">
                  <c:v>1.3100000000000003</c:v>
                </c:pt>
                <c:pt idx="4690">
                  <c:v>1.3100000000000003</c:v>
                </c:pt>
                <c:pt idx="4691">
                  <c:v>1.8400000000000003</c:v>
                </c:pt>
                <c:pt idx="4692">
                  <c:v>1.8400000000000003</c:v>
                </c:pt>
                <c:pt idx="4693">
                  <c:v>1.8400000000000003</c:v>
                </c:pt>
                <c:pt idx="4694">
                  <c:v>1.8400000000000003</c:v>
                </c:pt>
                <c:pt idx="4695">
                  <c:v>1.3100000000000003</c:v>
                </c:pt>
                <c:pt idx="4696">
                  <c:v>1.3100000000000003</c:v>
                </c:pt>
                <c:pt idx="4697">
                  <c:v>1.3100000000000003</c:v>
                </c:pt>
                <c:pt idx="4698">
                  <c:v>1.3100000000000003</c:v>
                </c:pt>
                <c:pt idx="4699">
                  <c:v>1.8400000000000003</c:v>
                </c:pt>
                <c:pt idx="4700">
                  <c:v>1.8400000000000003</c:v>
                </c:pt>
                <c:pt idx="4701">
                  <c:v>1.8400000000000003</c:v>
                </c:pt>
                <c:pt idx="4702">
                  <c:v>1.8400000000000003</c:v>
                </c:pt>
                <c:pt idx="4703">
                  <c:v>1.3100000000000003</c:v>
                </c:pt>
                <c:pt idx="4704">
                  <c:v>1.3100000000000003</c:v>
                </c:pt>
                <c:pt idx="4705">
                  <c:v>1.3100000000000003</c:v>
                </c:pt>
                <c:pt idx="4706">
                  <c:v>1.3100000000000003</c:v>
                </c:pt>
                <c:pt idx="4707">
                  <c:v>1.8400000000000003</c:v>
                </c:pt>
                <c:pt idx="4708">
                  <c:v>1.8400000000000003</c:v>
                </c:pt>
                <c:pt idx="4709">
                  <c:v>1.8400000000000003</c:v>
                </c:pt>
                <c:pt idx="4710">
                  <c:v>1.8400000000000003</c:v>
                </c:pt>
                <c:pt idx="4711">
                  <c:v>1.3100000000000003</c:v>
                </c:pt>
                <c:pt idx="4712">
                  <c:v>1.3100000000000003</c:v>
                </c:pt>
                <c:pt idx="4713">
                  <c:v>1.3100000000000003</c:v>
                </c:pt>
                <c:pt idx="4714">
                  <c:v>1.3100000000000003</c:v>
                </c:pt>
                <c:pt idx="4715">
                  <c:v>1.8400000000000003</c:v>
                </c:pt>
                <c:pt idx="4716">
                  <c:v>1.8400000000000003</c:v>
                </c:pt>
                <c:pt idx="4717">
                  <c:v>1.8400000000000003</c:v>
                </c:pt>
                <c:pt idx="4718">
                  <c:v>1.8400000000000003</c:v>
                </c:pt>
                <c:pt idx="4719">
                  <c:v>1.3100000000000003</c:v>
                </c:pt>
                <c:pt idx="4720">
                  <c:v>1.3100000000000003</c:v>
                </c:pt>
                <c:pt idx="4721">
                  <c:v>1.3100000000000003</c:v>
                </c:pt>
                <c:pt idx="4722">
                  <c:v>1.3100000000000003</c:v>
                </c:pt>
                <c:pt idx="4723">
                  <c:v>1.8400000000000003</c:v>
                </c:pt>
                <c:pt idx="4724">
                  <c:v>1.8400000000000003</c:v>
                </c:pt>
                <c:pt idx="4725">
                  <c:v>1.8400000000000003</c:v>
                </c:pt>
                <c:pt idx="4726">
                  <c:v>1.8400000000000003</c:v>
                </c:pt>
                <c:pt idx="4727">
                  <c:v>1.3100000000000003</c:v>
                </c:pt>
                <c:pt idx="4728">
                  <c:v>1.3100000000000003</c:v>
                </c:pt>
                <c:pt idx="4729">
                  <c:v>1.3100000000000003</c:v>
                </c:pt>
                <c:pt idx="4730">
                  <c:v>1.3100000000000003</c:v>
                </c:pt>
                <c:pt idx="4731">
                  <c:v>1.8400000000000003</c:v>
                </c:pt>
                <c:pt idx="4732">
                  <c:v>1.8400000000000003</c:v>
                </c:pt>
                <c:pt idx="4733">
                  <c:v>1.8400000000000003</c:v>
                </c:pt>
                <c:pt idx="4734">
                  <c:v>1.8400000000000003</c:v>
                </c:pt>
                <c:pt idx="4735">
                  <c:v>1.3100000000000003</c:v>
                </c:pt>
                <c:pt idx="4736">
                  <c:v>1.3100000000000003</c:v>
                </c:pt>
                <c:pt idx="4737">
                  <c:v>1.3100000000000003</c:v>
                </c:pt>
                <c:pt idx="4738">
                  <c:v>1.3100000000000003</c:v>
                </c:pt>
                <c:pt idx="4739">
                  <c:v>1.8400000000000003</c:v>
                </c:pt>
                <c:pt idx="4740">
                  <c:v>1.8400000000000003</c:v>
                </c:pt>
                <c:pt idx="4741">
                  <c:v>1.8400000000000003</c:v>
                </c:pt>
                <c:pt idx="4742">
                  <c:v>1.8400000000000003</c:v>
                </c:pt>
                <c:pt idx="4743">
                  <c:v>1.3100000000000003</c:v>
                </c:pt>
                <c:pt idx="4744">
                  <c:v>1.3100000000000003</c:v>
                </c:pt>
                <c:pt idx="4745">
                  <c:v>1.3100000000000003</c:v>
                </c:pt>
                <c:pt idx="4746">
                  <c:v>1.3100000000000003</c:v>
                </c:pt>
                <c:pt idx="4747">
                  <c:v>1.8400000000000003</c:v>
                </c:pt>
                <c:pt idx="4748">
                  <c:v>1.8400000000000003</c:v>
                </c:pt>
                <c:pt idx="4749">
                  <c:v>1.8400000000000003</c:v>
                </c:pt>
                <c:pt idx="4750">
                  <c:v>1.8400000000000003</c:v>
                </c:pt>
                <c:pt idx="4751">
                  <c:v>1.3100000000000003</c:v>
                </c:pt>
                <c:pt idx="4752">
                  <c:v>1.3100000000000003</c:v>
                </c:pt>
                <c:pt idx="4753">
                  <c:v>1.3100000000000003</c:v>
                </c:pt>
                <c:pt idx="4754">
                  <c:v>1.3100000000000003</c:v>
                </c:pt>
                <c:pt idx="4755">
                  <c:v>1.8400000000000003</c:v>
                </c:pt>
                <c:pt idx="4756">
                  <c:v>1.8400000000000003</c:v>
                </c:pt>
                <c:pt idx="4757">
                  <c:v>1.8400000000000003</c:v>
                </c:pt>
                <c:pt idx="4758">
                  <c:v>1.8400000000000003</c:v>
                </c:pt>
                <c:pt idx="4759">
                  <c:v>1.3100000000000003</c:v>
                </c:pt>
                <c:pt idx="4760">
                  <c:v>1.3100000000000003</c:v>
                </c:pt>
                <c:pt idx="4761">
                  <c:v>1.3100000000000003</c:v>
                </c:pt>
                <c:pt idx="4762">
                  <c:v>1.3100000000000003</c:v>
                </c:pt>
                <c:pt idx="4763">
                  <c:v>1.8400000000000003</c:v>
                </c:pt>
                <c:pt idx="4764">
                  <c:v>1.8400000000000003</c:v>
                </c:pt>
                <c:pt idx="4765">
                  <c:v>1.8400000000000003</c:v>
                </c:pt>
                <c:pt idx="4766">
                  <c:v>1.8400000000000003</c:v>
                </c:pt>
                <c:pt idx="4767">
                  <c:v>1.3100000000000003</c:v>
                </c:pt>
                <c:pt idx="4768">
                  <c:v>1.3100000000000003</c:v>
                </c:pt>
                <c:pt idx="4769">
                  <c:v>1.3100000000000003</c:v>
                </c:pt>
                <c:pt idx="4770">
                  <c:v>1.3100000000000003</c:v>
                </c:pt>
                <c:pt idx="4771">
                  <c:v>1.8400000000000003</c:v>
                </c:pt>
                <c:pt idx="4772">
                  <c:v>1.8400000000000003</c:v>
                </c:pt>
                <c:pt idx="4773">
                  <c:v>1.8400000000000003</c:v>
                </c:pt>
                <c:pt idx="4774">
                  <c:v>1.8400000000000003</c:v>
                </c:pt>
                <c:pt idx="4775">
                  <c:v>1.3100000000000003</c:v>
                </c:pt>
                <c:pt idx="4776">
                  <c:v>1.3100000000000003</c:v>
                </c:pt>
                <c:pt idx="4777">
                  <c:v>1.3100000000000003</c:v>
                </c:pt>
                <c:pt idx="4778">
                  <c:v>1.3100000000000003</c:v>
                </c:pt>
                <c:pt idx="4779">
                  <c:v>1.8400000000000003</c:v>
                </c:pt>
                <c:pt idx="4780">
                  <c:v>1.8400000000000003</c:v>
                </c:pt>
                <c:pt idx="4781">
                  <c:v>1.8400000000000003</c:v>
                </c:pt>
                <c:pt idx="4782">
                  <c:v>1.8400000000000003</c:v>
                </c:pt>
                <c:pt idx="4783">
                  <c:v>1.3100000000000003</c:v>
                </c:pt>
                <c:pt idx="4784">
                  <c:v>1.3100000000000003</c:v>
                </c:pt>
                <c:pt idx="4785">
                  <c:v>1.3100000000000003</c:v>
                </c:pt>
                <c:pt idx="4786">
                  <c:v>1.3100000000000003</c:v>
                </c:pt>
                <c:pt idx="4787">
                  <c:v>1.8400000000000003</c:v>
                </c:pt>
                <c:pt idx="4788">
                  <c:v>1.8400000000000003</c:v>
                </c:pt>
                <c:pt idx="4789">
                  <c:v>1.8400000000000003</c:v>
                </c:pt>
                <c:pt idx="4790">
                  <c:v>1.8400000000000003</c:v>
                </c:pt>
                <c:pt idx="4791">
                  <c:v>1.3100000000000003</c:v>
                </c:pt>
                <c:pt idx="4792">
                  <c:v>1.3100000000000003</c:v>
                </c:pt>
                <c:pt idx="4793">
                  <c:v>1.3100000000000003</c:v>
                </c:pt>
                <c:pt idx="4794">
                  <c:v>1.3100000000000003</c:v>
                </c:pt>
                <c:pt idx="4795">
                  <c:v>1.8400000000000003</c:v>
                </c:pt>
                <c:pt idx="4796">
                  <c:v>1.8400000000000003</c:v>
                </c:pt>
                <c:pt idx="4797">
                  <c:v>1.8400000000000003</c:v>
                </c:pt>
                <c:pt idx="4798">
                  <c:v>1.8400000000000003</c:v>
                </c:pt>
                <c:pt idx="4799">
                  <c:v>1.3100000000000003</c:v>
                </c:pt>
                <c:pt idx="4800">
                  <c:v>1.3100000000000003</c:v>
                </c:pt>
                <c:pt idx="4801">
                  <c:v>1.3100000000000003</c:v>
                </c:pt>
                <c:pt idx="4802">
                  <c:v>1.3100000000000003</c:v>
                </c:pt>
                <c:pt idx="4803">
                  <c:v>1.8400000000000003</c:v>
                </c:pt>
                <c:pt idx="4804">
                  <c:v>1.8400000000000003</c:v>
                </c:pt>
                <c:pt idx="4805">
                  <c:v>1.8400000000000003</c:v>
                </c:pt>
                <c:pt idx="4806">
                  <c:v>1.8400000000000003</c:v>
                </c:pt>
                <c:pt idx="4807">
                  <c:v>1.3100000000000003</c:v>
                </c:pt>
                <c:pt idx="4808">
                  <c:v>1.3100000000000003</c:v>
                </c:pt>
                <c:pt idx="4809">
                  <c:v>1.3100000000000003</c:v>
                </c:pt>
                <c:pt idx="4810">
                  <c:v>1.3100000000000003</c:v>
                </c:pt>
                <c:pt idx="4811">
                  <c:v>1.8400000000000003</c:v>
                </c:pt>
                <c:pt idx="4812">
                  <c:v>1.8400000000000003</c:v>
                </c:pt>
                <c:pt idx="4813">
                  <c:v>1.8400000000000003</c:v>
                </c:pt>
                <c:pt idx="4814">
                  <c:v>1.8400000000000003</c:v>
                </c:pt>
                <c:pt idx="4815">
                  <c:v>1.3100000000000003</c:v>
                </c:pt>
                <c:pt idx="4816">
                  <c:v>1.3100000000000003</c:v>
                </c:pt>
                <c:pt idx="4817">
                  <c:v>1.3100000000000003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A75-400C-BF36-0602607CE2C5}"/>
            </c:ext>
          </c:extLst>
        </c:ser>
        <c:ser>
          <c:idx val="9"/>
          <c:order val="9"/>
          <c:tx>
            <c:strRef>
              <c:f>Plot_Data!$BK$10</c:f>
              <c:strCache>
                <c:ptCount val="1"/>
                <c:pt idx="0">
                  <c:v>Business: 0 seats, 4 abreast x 0 rows, pitch 0.97 m</c:v>
                </c:pt>
              </c:strCache>
            </c:strRef>
          </c:tx>
          <c:spPr>
            <a:ln w="5000">
              <a:solidFill>
                <a:srgbClr val="BF8F00"/>
              </a:solidFill>
              <a:prstDash val="solid"/>
            </a:ln>
          </c:spPr>
          <c:marker>
            <c:symbol val="none"/>
          </c:marker>
          <c:xVal>
            <c:numRef>
              <c:f>Plot_Data!$IA$5:$IA$1136</c:f>
              <c:numCache>
                <c:formatCode>0.000</c:formatCode>
                <c:ptCount val="1132"/>
                <c:pt idx="0">
                  <c:v>-11.310479999999998</c:v>
                </c:pt>
                <c:pt idx="1">
                  <c:v>-11.310479999999998</c:v>
                </c:pt>
                <c:pt idx="2">
                  <c:v>-11.310479999999998</c:v>
                </c:pt>
                <c:pt idx="3">
                  <c:v>-11.310479999999998</c:v>
                </c:pt>
                <c:pt idx="4">
                  <c:v>-11.310479999999998</c:v>
                </c:pt>
                <c:pt idx="5">
                  <c:v>-11.310479999999998</c:v>
                </c:pt>
                <c:pt idx="6">
                  <c:v>-11.310479999999998</c:v>
                </c:pt>
                <c:pt idx="7">
                  <c:v>-11.310479999999998</c:v>
                </c:pt>
                <c:pt idx="8">
                  <c:v>-11.310479999999998</c:v>
                </c:pt>
                <c:pt idx="9">
                  <c:v>-11.310479999999998</c:v>
                </c:pt>
                <c:pt idx="10">
                  <c:v>-11.310479999999998</c:v>
                </c:pt>
                <c:pt idx="11">
                  <c:v>-11.310479999999998</c:v>
                </c:pt>
                <c:pt idx="12">
                  <c:v>-11.310479999999998</c:v>
                </c:pt>
                <c:pt idx="13">
                  <c:v>-11.310479999999998</c:v>
                </c:pt>
                <c:pt idx="14">
                  <c:v>-11.310479999999998</c:v>
                </c:pt>
                <c:pt idx="15">
                  <c:v>-11.310479999999998</c:v>
                </c:pt>
                <c:pt idx="16">
                  <c:v>-11.310479999999998</c:v>
                </c:pt>
                <c:pt idx="17">
                  <c:v>-11.310479999999998</c:v>
                </c:pt>
                <c:pt idx="18">
                  <c:v>-11.310479999999998</c:v>
                </c:pt>
                <c:pt idx="19">
                  <c:v>-11.310479999999998</c:v>
                </c:pt>
                <c:pt idx="20">
                  <c:v>-11.310479999999998</c:v>
                </c:pt>
                <c:pt idx="21">
                  <c:v>-11.310479999999998</c:v>
                </c:pt>
                <c:pt idx="22">
                  <c:v>-11.310479999999998</c:v>
                </c:pt>
                <c:pt idx="23">
                  <c:v>-11.310479999999998</c:v>
                </c:pt>
                <c:pt idx="24">
                  <c:v>-11.310479999999998</c:v>
                </c:pt>
                <c:pt idx="25">
                  <c:v>-11.310479999999998</c:v>
                </c:pt>
                <c:pt idx="26">
                  <c:v>-11.310479999999998</c:v>
                </c:pt>
                <c:pt idx="27">
                  <c:v>-11.310479999999998</c:v>
                </c:pt>
                <c:pt idx="28">
                  <c:v>-11.310479999999998</c:v>
                </c:pt>
                <c:pt idx="29">
                  <c:v>-11.310479999999998</c:v>
                </c:pt>
                <c:pt idx="30">
                  <c:v>-11.310479999999998</c:v>
                </c:pt>
                <c:pt idx="31">
                  <c:v>-11.310479999999998</c:v>
                </c:pt>
                <c:pt idx="32">
                  <c:v>-11.310479999999998</c:v>
                </c:pt>
                <c:pt idx="33">
                  <c:v>-11.310479999999998</c:v>
                </c:pt>
                <c:pt idx="34">
                  <c:v>-11.310479999999998</c:v>
                </c:pt>
                <c:pt idx="35">
                  <c:v>-11.310479999999998</c:v>
                </c:pt>
                <c:pt idx="36">
                  <c:v>-11.310479999999998</c:v>
                </c:pt>
                <c:pt idx="37">
                  <c:v>-11.310479999999998</c:v>
                </c:pt>
                <c:pt idx="38">
                  <c:v>-11.310479999999998</c:v>
                </c:pt>
                <c:pt idx="39">
                  <c:v>-11.310479999999998</c:v>
                </c:pt>
                <c:pt idx="40">
                  <c:v>-11.310479999999998</c:v>
                </c:pt>
                <c:pt idx="41">
                  <c:v>-11.310479999999998</c:v>
                </c:pt>
                <c:pt idx="42">
                  <c:v>-11.310479999999998</c:v>
                </c:pt>
                <c:pt idx="43">
                  <c:v>-11.310479999999998</c:v>
                </c:pt>
                <c:pt idx="44">
                  <c:v>-11.310479999999998</c:v>
                </c:pt>
                <c:pt idx="45">
                  <c:v>-11.310479999999998</c:v>
                </c:pt>
                <c:pt idx="46">
                  <c:v>-11.310479999999998</c:v>
                </c:pt>
                <c:pt idx="47">
                  <c:v>-11.310479999999998</c:v>
                </c:pt>
                <c:pt idx="48">
                  <c:v>-11.310479999999998</c:v>
                </c:pt>
                <c:pt idx="49">
                  <c:v>-11.310479999999998</c:v>
                </c:pt>
                <c:pt idx="50">
                  <c:v>-11.310479999999998</c:v>
                </c:pt>
                <c:pt idx="51">
                  <c:v>-11.310479999999998</c:v>
                </c:pt>
                <c:pt idx="52">
                  <c:v>-11.310479999999998</c:v>
                </c:pt>
                <c:pt idx="53">
                  <c:v>-11.310479999999998</c:v>
                </c:pt>
                <c:pt idx="54">
                  <c:v>-11.310479999999998</c:v>
                </c:pt>
                <c:pt idx="55">
                  <c:v>-11.310479999999998</c:v>
                </c:pt>
                <c:pt idx="56">
                  <c:v>-11.310479999999998</c:v>
                </c:pt>
                <c:pt idx="57">
                  <c:v>-11.310479999999998</c:v>
                </c:pt>
                <c:pt idx="58">
                  <c:v>-11.310479999999998</c:v>
                </c:pt>
                <c:pt idx="59">
                  <c:v>-11.310479999999998</c:v>
                </c:pt>
                <c:pt idx="60">
                  <c:v>-11.310479999999998</c:v>
                </c:pt>
                <c:pt idx="61">
                  <c:v>-11.310479999999998</c:v>
                </c:pt>
                <c:pt idx="62">
                  <c:v>-11.310479999999998</c:v>
                </c:pt>
                <c:pt idx="63">
                  <c:v>-11.310479999999998</c:v>
                </c:pt>
                <c:pt idx="64">
                  <c:v>-11.310479999999998</c:v>
                </c:pt>
                <c:pt idx="65">
                  <c:v>-11.310479999999998</c:v>
                </c:pt>
                <c:pt idx="66">
                  <c:v>-11.310479999999998</c:v>
                </c:pt>
                <c:pt idx="67">
                  <c:v>-11.310479999999998</c:v>
                </c:pt>
                <c:pt idx="68">
                  <c:v>-11.310479999999998</c:v>
                </c:pt>
                <c:pt idx="69">
                  <c:v>-11.310479999999998</c:v>
                </c:pt>
                <c:pt idx="70">
                  <c:v>-11.310479999999998</c:v>
                </c:pt>
                <c:pt idx="71">
                  <c:v>-11.310479999999998</c:v>
                </c:pt>
                <c:pt idx="72">
                  <c:v>-11.310479999999998</c:v>
                </c:pt>
                <c:pt idx="73">
                  <c:v>-11.310479999999998</c:v>
                </c:pt>
                <c:pt idx="74">
                  <c:v>-11.310479999999998</c:v>
                </c:pt>
                <c:pt idx="75">
                  <c:v>-11.310479999999998</c:v>
                </c:pt>
                <c:pt idx="76">
                  <c:v>-11.310479999999998</c:v>
                </c:pt>
                <c:pt idx="77">
                  <c:v>-11.310479999999998</c:v>
                </c:pt>
                <c:pt idx="78">
                  <c:v>-11.310479999999998</c:v>
                </c:pt>
                <c:pt idx="79">
                  <c:v>-11.310479999999998</c:v>
                </c:pt>
                <c:pt idx="80">
                  <c:v>-11.310479999999998</c:v>
                </c:pt>
                <c:pt idx="81">
                  <c:v>-11.310479999999998</c:v>
                </c:pt>
                <c:pt idx="82">
                  <c:v>-11.310479999999998</c:v>
                </c:pt>
                <c:pt idx="83">
                  <c:v>-11.310479999999998</c:v>
                </c:pt>
                <c:pt idx="84">
                  <c:v>-11.310479999999998</c:v>
                </c:pt>
                <c:pt idx="85">
                  <c:v>-11.310479999999998</c:v>
                </c:pt>
                <c:pt idx="86">
                  <c:v>-11.310479999999998</c:v>
                </c:pt>
                <c:pt idx="87">
                  <c:v>-11.310479999999998</c:v>
                </c:pt>
                <c:pt idx="88">
                  <c:v>-11.310479999999998</c:v>
                </c:pt>
                <c:pt idx="89">
                  <c:v>-11.310479999999998</c:v>
                </c:pt>
                <c:pt idx="90">
                  <c:v>-11.310479999999998</c:v>
                </c:pt>
                <c:pt idx="91">
                  <c:v>-11.310479999999998</c:v>
                </c:pt>
                <c:pt idx="92">
                  <c:v>-11.310479999999998</c:v>
                </c:pt>
                <c:pt idx="93">
                  <c:v>-11.310479999999998</c:v>
                </c:pt>
                <c:pt idx="94">
                  <c:v>-11.310479999999998</c:v>
                </c:pt>
                <c:pt idx="95">
                  <c:v>-11.310479999999998</c:v>
                </c:pt>
                <c:pt idx="96">
                  <c:v>-11.310479999999998</c:v>
                </c:pt>
                <c:pt idx="97">
                  <c:v>-11.310479999999998</c:v>
                </c:pt>
                <c:pt idx="98">
                  <c:v>-11.310479999999998</c:v>
                </c:pt>
                <c:pt idx="99">
                  <c:v>-11.310479999999998</c:v>
                </c:pt>
                <c:pt idx="100">
                  <c:v>-11.310479999999998</c:v>
                </c:pt>
                <c:pt idx="101">
                  <c:v>-11.310479999999998</c:v>
                </c:pt>
                <c:pt idx="102">
                  <c:v>-11.310479999999998</c:v>
                </c:pt>
                <c:pt idx="103">
                  <c:v>-11.310479999999998</c:v>
                </c:pt>
                <c:pt idx="104">
                  <c:v>-11.310479999999998</c:v>
                </c:pt>
                <c:pt idx="105">
                  <c:v>-11.310479999999998</c:v>
                </c:pt>
                <c:pt idx="106">
                  <c:v>-11.310479999999998</c:v>
                </c:pt>
                <c:pt idx="107">
                  <c:v>-11.310479999999998</c:v>
                </c:pt>
                <c:pt idx="108">
                  <c:v>-11.310479999999998</c:v>
                </c:pt>
                <c:pt idx="109">
                  <c:v>-11.310479999999998</c:v>
                </c:pt>
                <c:pt idx="110">
                  <c:v>-11.310479999999998</c:v>
                </c:pt>
                <c:pt idx="111">
                  <c:v>-11.310479999999998</c:v>
                </c:pt>
                <c:pt idx="112">
                  <c:v>-11.310479999999998</c:v>
                </c:pt>
                <c:pt idx="113">
                  <c:v>-11.310479999999998</c:v>
                </c:pt>
                <c:pt idx="114">
                  <c:v>-11.310479999999998</c:v>
                </c:pt>
                <c:pt idx="115">
                  <c:v>-11.310479999999998</c:v>
                </c:pt>
                <c:pt idx="116">
                  <c:v>-11.310479999999998</c:v>
                </c:pt>
                <c:pt idx="117">
                  <c:v>-11.310479999999998</c:v>
                </c:pt>
                <c:pt idx="118">
                  <c:v>-11.310479999999998</c:v>
                </c:pt>
                <c:pt idx="119">
                  <c:v>-11.310479999999998</c:v>
                </c:pt>
                <c:pt idx="120">
                  <c:v>-11.310479999999998</c:v>
                </c:pt>
                <c:pt idx="121">
                  <c:v>-11.310479999999998</c:v>
                </c:pt>
                <c:pt idx="122">
                  <c:v>-11.310479999999998</c:v>
                </c:pt>
                <c:pt idx="123">
                  <c:v>-11.310479999999998</c:v>
                </c:pt>
                <c:pt idx="124">
                  <c:v>-11.310479999999998</c:v>
                </c:pt>
                <c:pt idx="125">
                  <c:v>-11.310479999999998</c:v>
                </c:pt>
                <c:pt idx="126">
                  <c:v>-11.310479999999998</c:v>
                </c:pt>
                <c:pt idx="127">
                  <c:v>-11.310479999999998</c:v>
                </c:pt>
                <c:pt idx="128">
                  <c:v>-11.310479999999998</c:v>
                </c:pt>
                <c:pt idx="129">
                  <c:v>-11.310479999999998</c:v>
                </c:pt>
                <c:pt idx="130">
                  <c:v>-11.310479999999998</c:v>
                </c:pt>
                <c:pt idx="131">
                  <c:v>-11.310479999999998</c:v>
                </c:pt>
                <c:pt idx="132">
                  <c:v>-11.310479999999998</c:v>
                </c:pt>
                <c:pt idx="133">
                  <c:v>-11.310479999999998</c:v>
                </c:pt>
                <c:pt idx="134">
                  <c:v>-11.310479999999998</c:v>
                </c:pt>
                <c:pt idx="135">
                  <c:v>-11.310479999999998</c:v>
                </c:pt>
                <c:pt idx="136">
                  <c:v>-11.310479999999998</c:v>
                </c:pt>
                <c:pt idx="137">
                  <c:v>-11.310479999999998</c:v>
                </c:pt>
                <c:pt idx="138">
                  <c:v>-11.310479999999998</c:v>
                </c:pt>
                <c:pt idx="139">
                  <c:v>-11.310479999999998</c:v>
                </c:pt>
                <c:pt idx="140">
                  <c:v>-11.310479999999998</c:v>
                </c:pt>
                <c:pt idx="141">
                  <c:v>-11.310479999999998</c:v>
                </c:pt>
                <c:pt idx="142">
                  <c:v>-11.310479999999998</c:v>
                </c:pt>
                <c:pt idx="143">
                  <c:v>-11.310479999999998</c:v>
                </c:pt>
                <c:pt idx="144">
                  <c:v>-11.310479999999998</c:v>
                </c:pt>
                <c:pt idx="145">
                  <c:v>-11.310479999999998</c:v>
                </c:pt>
                <c:pt idx="146">
                  <c:v>-11.310479999999998</c:v>
                </c:pt>
                <c:pt idx="147">
                  <c:v>-11.310479999999998</c:v>
                </c:pt>
                <c:pt idx="148">
                  <c:v>-11.310479999999998</c:v>
                </c:pt>
                <c:pt idx="149">
                  <c:v>-11.310479999999998</c:v>
                </c:pt>
                <c:pt idx="150">
                  <c:v>-11.310479999999998</c:v>
                </c:pt>
                <c:pt idx="151">
                  <c:v>-11.310479999999998</c:v>
                </c:pt>
                <c:pt idx="152">
                  <c:v>-11.310479999999998</c:v>
                </c:pt>
                <c:pt idx="153">
                  <c:v>-11.310479999999998</c:v>
                </c:pt>
                <c:pt idx="154">
                  <c:v>-11.310479999999998</c:v>
                </c:pt>
                <c:pt idx="155">
                  <c:v>-11.310479999999998</c:v>
                </c:pt>
                <c:pt idx="156">
                  <c:v>-11.310479999999998</c:v>
                </c:pt>
                <c:pt idx="157">
                  <c:v>-11.310479999999998</c:v>
                </c:pt>
                <c:pt idx="158">
                  <c:v>-11.310479999999998</c:v>
                </c:pt>
                <c:pt idx="159">
                  <c:v>-11.310479999999998</c:v>
                </c:pt>
                <c:pt idx="160">
                  <c:v>-11.310479999999998</c:v>
                </c:pt>
                <c:pt idx="161">
                  <c:v>-11.310479999999998</c:v>
                </c:pt>
                <c:pt idx="162">
                  <c:v>-11.310479999999998</c:v>
                </c:pt>
                <c:pt idx="163">
                  <c:v>-11.310479999999998</c:v>
                </c:pt>
                <c:pt idx="164">
                  <c:v>-11.310479999999998</c:v>
                </c:pt>
                <c:pt idx="165">
                  <c:v>-11.310479999999998</c:v>
                </c:pt>
                <c:pt idx="166">
                  <c:v>-11.310479999999998</c:v>
                </c:pt>
                <c:pt idx="167">
                  <c:v>-11.310479999999998</c:v>
                </c:pt>
                <c:pt idx="168">
                  <c:v>-11.310479999999998</c:v>
                </c:pt>
                <c:pt idx="169">
                  <c:v>-11.310479999999998</c:v>
                </c:pt>
                <c:pt idx="170">
                  <c:v>-11.310479999999998</c:v>
                </c:pt>
                <c:pt idx="171">
                  <c:v>-11.310479999999998</c:v>
                </c:pt>
                <c:pt idx="172">
                  <c:v>-11.310479999999998</c:v>
                </c:pt>
                <c:pt idx="173">
                  <c:v>-11.310479999999998</c:v>
                </c:pt>
                <c:pt idx="174">
                  <c:v>-11.310479999999998</c:v>
                </c:pt>
                <c:pt idx="175">
                  <c:v>-11.310479999999998</c:v>
                </c:pt>
                <c:pt idx="176">
                  <c:v>-11.310479999999998</c:v>
                </c:pt>
                <c:pt idx="177">
                  <c:v>-11.310479999999998</c:v>
                </c:pt>
                <c:pt idx="178">
                  <c:v>-11.310479999999998</c:v>
                </c:pt>
                <c:pt idx="179">
                  <c:v>-11.310479999999998</c:v>
                </c:pt>
                <c:pt idx="180">
                  <c:v>-11.310479999999998</c:v>
                </c:pt>
                <c:pt idx="181">
                  <c:v>-11.310479999999998</c:v>
                </c:pt>
                <c:pt idx="182">
                  <c:v>-11.310479999999998</c:v>
                </c:pt>
                <c:pt idx="183">
                  <c:v>-11.310479999999998</c:v>
                </c:pt>
                <c:pt idx="184">
                  <c:v>-11.310479999999998</c:v>
                </c:pt>
                <c:pt idx="185">
                  <c:v>-11.310479999999998</c:v>
                </c:pt>
                <c:pt idx="186">
                  <c:v>-11.310479999999998</c:v>
                </c:pt>
                <c:pt idx="187">
                  <c:v>-11.310479999999998</c:v>
                </c:pt>
                <c:pt idx="188">
                  <c:v>-11.310479999999998</c:v>
                </c:pt>
                <c:pt idx="189">
                  <c:v>-11.310479999999998</c:v>
                </c:pt>
                <c:pt idx="190">
                  <c:v>-11.310479999999998</c:v>
                </c:pt>
                <c:pt idx="191">
                  <c:v>-11.310479999999998</c:v>
                </c:pt>
                <c:pt idx="192">
                  <c:v>-11.310479999999998</c:v>
                </c:pt>
                <c:pt idx="193">
                  <c:v>-11.310479999999998</c:v>
                </c:pt>
                <c:pt idx="194">
                  <c:v>-11.310479999999998</c:v>
                </c:pt>
                <c:pt idx="195">
                  <c:v>-11.310479999999998</c:v>
                </c:pt>
                <c:pt idx="196">
                  <c:v>-11.310479999999998</c:v>
                </c:pt>
                <c:pt idx="197">
                  <c:v>-11.310479999999998</c:v>
                </c:pt>
                <c:pt idx="198">
                  <c:v>-11.310479999999998</c:v>
                </c:pt>
                <c:pt idx="199">
                  <c:v>-11.310479999999998</c:v>
                </c:pt>
                <c:pt idx="200">
                  <c:v>-11.310479999999998</c:v>
                </c:pt>
                <c:pt idx="201">
                  <c:v>-11.310479999999998</c:v>
                </c:pt>
                <c:pt idx="202">
                  <c:v>-11.310479999999998</c:v>
                </c:pt>
                <c:pt idx="203">
                  <c:v>-11.310479999999998</c:v>
                </c:pt>
                <c:pt idx="204">
                  <c:v>-11.310479999999998</c:v>
                </c:pt>
                <c:pt idx="205">
                  <c:v>-11.310479999999998</c:v>
                </c:pt>
                <c:pt idx="206">
                  <c:v>-11.310479999999998</c:v>
                </c:pt>
                <c:pt idx="207">
                  <c:v>-11.310479999999998</c:v>
                </c:pt>
                <c:pt idx="208">
                  <c:v>-11.310479999999998</c:v>
                </c:pt>
                <c:pt idx="209">
                  <c:v>-11.310479999999998</c:v>
                </c:pt>
                <c:pt idx="210">
                  <c:v>-11.310479999999998</c:v>
                </c:pt>
                <c:pt idx="211">
                  <c:v>-11.310479999999998</c:v>
                </c:pt>
                <c:pt idx="212">
                  <c:v>-11.310479999999998</c:v>
                </c:pt>
                <c:pt idx="213">
                  <c:v>-11.310479999999998</c:v>
                </c:pt>
                <c:pt idx="214">
                  <c:v>-11.310479999999998</c:v>
                </c:pt>
                <c:pt idx="215">
                  <c:v>-11.310479999999998</c:v>
                </c:pt>
                <c:pt idx="216">
                  <c:v>-11.310479999999998</c:v>
                </c:pt>
                <c:pt idx="217">
                  <c:v>-11.310479999999998</c:v>
                </c:pt>
                <c:pt idx="218">
                  <c:v>-11.310479999999998</c:v>
                </c:pt>
                <c:pt idx="219">
                  <c:v>-11.310479999999998</c:v>
                </c:pt>
                <c:pt idx="220">
                  <c:v>-11.310479999999998</c:v>
                </c:pt>
                <c:pt idx="221">
                  <c:v>-11.310479999999998</c:v>
                </c:pt>
                <c:pt idx="222">
                  <c:v>-11.310479999999998</c:v>
                </c:pt>
                <c:pt idx="223">
                  <c:v>-11.310479999999998</c:v>
                </c:pt>
                <c:pt idx="224">
                  <c:v>-11.310479999999998</c:v>
                </c:pt>
                <c:pt idx="225">
                  <c:v>-11.310479999999998</c:v>
                </c:pt>
                <c:pt idx="226">
                  <c:v>-11.310479999999998</c:v>
                </c:pt>
                <c:pt idx="227">
                  <c:v>-11.310479999999998</c:v>
                </c:pt>
                <c:pt idx="228">
                  <c:v>-11.310479999999998</c:v>
                </c:pt>
                <c:pt idx="229">
                  <c:v>-11.310479999999998</c:v>
                </c:pt>
                <c:pt idx="230">
                  <c:v>-11.310479999999998</c:v>
                </c:pt>
                <c:pt idx="231">
                  <c:v>-11.310479999999998</c:v>
                </c:pt>
                <c:pt idx="232">
                  <c:v>-11.310479999999998</c:v>
                </c:pt>
                <c:pt idx="233">
                  <c:v>-11.310479999999998</c:v>
                </c:pt>
                <c:pt idx="234">
                  <c:v>-11.310479999999998</c:v>
                </c:pt>
                <c:pt idx="235">
                  <c:v>-11.310479999999998</c:v>
                </c:pt>
                <c:pt idx="236">
                  <c:v>-11.310479999999998</c:v>
                </c:pt>
                <c:pt idx="237">
                  <c:v>-11.310479999999998</c:v>
                </c:pt>
                <c:pt idx="238">
                  <c:v>-11.310479999999998</c:v>
                </c:pt>
                <c:pt idx="239">
                  <c:v>-11.310479999999998</c:v>
                </c:pt>
                <c:pt idx="240">
                  <c:v>-11.310479999999998</c:v>
                </c:pt>
                <c:pt idx="241">
                  <c:v>-11.310479999999998</c:v>
                </c:pt>
                <c:pt idx="242">
                  <c:v>-11.310479999999998</c:v>
                </c:pt>
                <c:pt idx="243">
                  <c:v>-11.310479999999998</c:v>
                </c:pt>
                <c:pt idx="244">
                  <c:v>-11.310479999999998</c:v>
                </c:pt>
                <c:pt idx="245">
                  <c:v>-11.310479999999998</c:v>
                </c:pt>
                <c:pt idx="246">
                  <c:v>-11.310479999999998</c:v>
                </c:pt>
                <c:pt idx="247">
                  <c:v>-11.310479999999998</c:v>
                </c:pt>
                <c:pt idx="248">
                  <c:v>-11.310479999999998</c:v>
                </c:pt>
                <c:pt idx="249">
                  <c:v>-11.310479999999998</c:v>
                </c:pt>
                <c:pt idx="250">
                  <c:v>-11.310479999999998</c:v>
                </c:pt>
                <c:pt idx="251">
                  <c:v>-11.310479999999998</c:v>
                </c:pt>
                <c:pt idx="252">
                  <c:v>-11.310479999999998</c:v>
                </c:pt>
                <c:pt idx="253">
                  <c:v>-11.310479999999998</c:v>
                </c:pt>
                <c:pt idx="254">
                  <c:v>-11.310479999999998</c:v>
                </c:pt>
                <c:pt idx="255">
                  <c:v>-11.310479999999998</c:v>
                </c:pt>
                <c:pt idx="256">
                  <c:v>-11.310479999999998</c:v>
                </c:pt>
                <c:pt idx="257">
                  <c:v>-11.310479999999998</c:v>
                </c:pt>
                <c:pt idx="258">
                  <c:v>-11.310479999999998</c:v>
                </c:pt>
                <c:pt idx="259">
                  <c:v>-11.310479999999998</c:v>
                </c:pt>
                <c:pt idx="260">
                  <c:v>-11.310479999999998</c:v>
                </c:pt>
                <c:pt idx="261">
                  <c:v>-11.310479999999998</c:v>
                </c:pt>
                <c:pt idx="262">
                  <c:v>-11.310479999999998</c:v>
                </c:pt>
                <c:pt idx="263">
                  <c:v>-11.310479999999998</c:v>
                </c:pt>
                <c:pt idx="264">
                  <c:v>-11.310479999999998</c:v>
                </c:pt>
                <c:pt idx="265">
                  <c:v>-11.310479999999998</c:v>
                </c:pt>
                <c:pt idx="266">
                  <c:v>-11.310479999999998</c:v>
                </c:pt>
                <c:pt idx="267">
                  <c:v>-11.310479999999998</c:v>
                </c:pt>
                <c:pt idx="268">
                  <c:v>-11.310479999999998</c:v>
                </c:pt>
                <c:pt idx="269">
                  <c:v>-11.310479999999998</c:v>
                </c:pt>
                <c:pt idx="270">
                  <c:v>-11.310479999999998</c:v>
                </c:pt>
                <c:pt idx="271">
                  <c:v>-11.310479999999998</c:v>
                </c:pt>
                <c:pt idx="272">
                  <c:v>-11.310479999999998</c:v>
                </c:pt>
                <c:pt idx="273">
                  <c:v>-11.310479999999998</c:v>
                </c:pt>
                <c:pt idx="274">
                  <c:v>-11.310479999999998</c:v>
                </c:pt>
                <c:pt idx="275">
                  <c:v>-11.310479999999998</c:v>
                </c:pt>
                <c:pt idx="276">
                  <c:v>-11.310479999999998</c:v>
                </c:pt>
                <c:pt idx="277">
                  <c:v>-11.310479999999998</c:v>
                </c:pt>
                <c:pt idx="278">
                  <c:v>-11.310479999999998</c:v>
                </c:pt>
                <c:pt idx="279">
                  <c:v>-11.310479999999998</c:v>
                </c:pt>
                <c:pt idx="280">
                  <c:v>-11.310479999999998</c:v>
                </c:pt>
                <c:pt idx="281">
                  <c:v>-11.310479999999998</c:v>
                </c:pt>
                <c:pt idx="282">
                  <c:v>-11.310479999999998</c:v>
                </c:pt>
                <c:pt idx="283">
                  <c:v>-11.310479999999998</c:v>
                </c:pt>
                <c:pt idx="284">
                  <c:v>-11.310479999999998</c:v>
                </c:pt>
                <c:pt idx="285">
                  <c:v>-11.310479999999998</c:v>
                </c:pt>
                <c:pt idx="286">
                  <c:v>-11.310479999999998</c:v>
                </c:pt>
                <c:pt idx="287">
                  <c:v>-11.310479999999998</c:v>
                </c:pt>
                <c:pt idx="288">
                  <c:v>-11.310479999999998</c:v>
                </c:pt>
                <c:pt idx="289">
                  <c:v>-11.310479999999998</c:v>
                </c:pt>
                <c:pt idx="290">
                  <c:v>-11.310479999999998</c:v>
                </c:pt>
                <c:pt idx="291">
                  <c:v>-11.310479999999998</c:v>
                </c:pt>
                <c:pt idx="292">
                  <c:v>-11.310479999999998</c:v>
                </c:pt>
                <c:pt idx="293">
                  <c:v>-11.310479999999998</c:v>
                </c:pt>
                <c:pt idx="294">
                  <c:v>-11.310479999999998</c:v>
                </c:pt>
                <c:pt idx="295">
                  <c:v>-11.310479999999998</c:v>
                </c:pt>
                <c:pt idx="296">
                  <c:v>-11.310479999999998</c:v>
                </c:pt>
                <c:pt idx="297">
                  <c:v>-11.310479999999998</c:v>
                </c:pt>
                <c:pt idx="298">
                  <c:v>-11.310479999999998</c:v>
                </c:pt>
                <c:pt idx="299">
                  <c:v>-11.310479999999998</c:v>
                </c:pt>
                <c:pt idx="300">
                  <c:v>-11.310479999999998</c:v>
                </c:pt>
                <c:pt idx="301">
                  <c:v>-11.310479999999998</c:v>
                </c:pt>
                <c:pt idx="302">
                  <c:v>-11.310479999999998</c:v>
                </c:pt>
                <c:pt idx="303">
                  <c:v>-11.310479999999998</c:v>
                </c:pt>
                <c:pt idx="304">
                  <c:v>-11.310479999999998</c:v>
                </c:pt>
                <c:pt idx="305">
                  <c:v>-11.310479999999998</c:v>
                </c:pt>
                <c:pt idx="306">
                  <c:v>-11.310479999999998</c:v>
                </c:pt>
                <c:pt idx="307">
                  <c:v>-11.310479999999998</c:v>
                </c:pt>
                <c:pt idx="308">
                  <c:v>-11.310479999999998</c:v>
                </c:pt>
                <c:pt idx="309">
                  <c:v>-11.310479999999998</c:v>
                </c:pt>
                <c:pt idx="310">
                  <c:v>-11.310479999999998</c:v>
                </c:pt>
                <c:pt idx="311">
                  <c:v>-11.310479999999998</c:v>
                </c:pt>
                <c:pt idx="312">
                  <c:v>-11.310479999999998</c:v>
                </c:pt>
                <c:pt idx="313">
                  <c:v>-11.310479999999998</c:v>
                </c:pt>
                <c:pt idx="314">
                  <c:v>-11.310479999999998</c:v>
                </c:pt>
                <c:pt idx="315">
                  <c:v>-11.310479999999998</c:v>
                </c:pt>
                <c:pt idx="316">
                  <c:v>-11.310479999999998</c:v>
                </c:pt>
                <c:pt idx="317">
                  <c:v>-11.310479999999998</c:v>
                </c:pt>
                <c:pt idx="318">
                  <c:v>-11.310479999999998</c:v>
                </c:pt>
                <c:pt idx="319">
                  <c:v>-11.310479999999998</c:v>
                </c:pt>
                <c:pt idx="320">
                  <c:v>-11.310479999999998</c:v>
                </c:pt>
                <c:pt idx="321">
                  <c:v>-11.310479999999998</c:v>
                </c:pt>
                <c:pt idx="322">
                  <c:v>-11.310479999999998</c:v>
                </c:pt>
                <c:pt idx="323">
                  <c:v>-11.310479999999998</c:v>
                </c:pt>
                <c:pt idx="324">
                  <c:v>-11.310479999999998</c:v>
                </c:pt>
                <c:pt idx="325">
                  <c:v>-11.310479999999998</c:v>
                </c:pt>
                <c:pt idx="326">
                  <c:v>-11.310479999999998</c:v>
                </c:pt>
                <c:pt idx="327">
                  <c:v>-11.310479999999998</c:v>
                </c:pt>
                <c:pt idx="328">
                  <c:v>-11.310479999999998</c:v>
                </c:pt>
                <c:pt idx="329">
                  <c:v>-11.310479999999998</c:v>
                </c:pt>
                <c:pt idx="330">
                  <c:v>-11.310479999999998</c:v>
                </c:pt>
                <c:pt idx="331">
                  <c:v>-11.310479999999998</c:v>
                </c:pt>
                <c:pt idx="332">
                  <c:v>-11.310479999999998</c:v>
                </c:pt>
                <c:pt idx="333">
                  <c:v>-11.310479999999998</c:v>
                </c:pt>
                <c:pt idx="334">
                  <c:v>-11.310479999999998</c:v>
                </c:pt>
                <c:pt idx="335">
                  <c:v>-11.310479999999998</c:v>
                </c:pt>
                <c:pt idx="336">
                  <c:v>-11.310479999999998</c:v>
                </c:pt>
                <c:pt idx="337">
                  <c:v>-11.310479999999998</c:v>
                </c:pt>
                <c:pt idx="338">
                  <c:v>-11.310479999999998</c:v>
                </c:pt>
                <c:pt idx="339">
                  <c:v>-11.310479999999998</c:v>
                </c:pt>
                <c:pt idx="340">
                  <c:v>-11.310479999999998</c:v>
                </c:pt>
                <c:pt idx="341">
                  <c:v>-11.310479999999998</c:v>
                </c:pt>
                <c:pt idx="342">
                  <c:v>-11.310479999999998</c:v>
                </c:pt>
                <c:pt idx="343">
                  <c:v>-11.310479999999998</c:v>
                </c:pt>
                <c:pt idx="344">
                  <c:v>-11.310479999999998</c:v>
                </c:pt>
                <c:pt idx="345">
                  <c:v>-11.310479999999998</c:v>
                </c:pt>
                <c:pt idx="346">
                  <c:v>-11.310479999999998</c:v>
                </c:pt>
                <c:pt idx="347">
                  <c:v>-11.310479999999998</c:v>
                </c:pt>
                <c:pt idx="348">
                  <c:v>-11.310479999999998</c:v>
                </c:pt>
                <c:pt idx="349">
                  <c:v>-11.310479999999998</c:v>
                </c:pt>
                <c:pt idx="350">
                  <c:v>-11.310479999999998</c:v>
                </c:pt>
                <c:pt idx="351">
                  <c:v>-11.310479999999998</c:v>
                </c:pt>
                <c:pt idx="352">
                  <c:v>-11.310479999999998</c:v>
                </c:pt>
                <c:pt idx="353">
                  <c:v>-11.310479999999998</c:v>
                </c:pt>
                <c:pt idx="354">
                  <c:v>-11.310479999999998</c:v>
                </c:pt>
                <c:pt idx="355">
                  <c:v>-11.310479999999998</c:v>
                </c:pt>
                <c:pt idx="356">
                  <c:v>-11.310479999999998</c:v>
                </c:pt>
                <c:pt idx="357">
                  <c:v>-11.310479999999998</c:v>
                </c:pt>
                <c:pt idx="358">
                  <c:v>-11.310479999999998</c:v>
                </c:pt>
                <c:pt idx="359">
                  <c:v>-11.310479999999998</c:v>
                </c:pt>
                <c:pt idx="360">
                  <c:v>-11.310479999999998</c:v>
                </c:pt>
                <c:pt idx="361">
                  <c:v>-11.310479999999998</c:v>
                </c:pt>
                <c:pt idx="362">
                  <c:v>-11.310479999999998</c:v>
                </c:pt>
                <c:pt idx="363">
                  <c:v>-11.310479999999998</c:v>
                </c:pt>
                <c:pt idx="364">
                  <c:v>-11.310479999999998</c:v>
                </c:pt>
                <c:pt idx="365">
                  <c:v>-11.310479999999998</c:v>
                </c:pt>
                <c:pt idx="366">
                  <c:v>-11.310479999999998</c:v>
                </c:pt>
                <c:pt idx="367">
                  <c:v>-11.310479999999998</c:v>
                </c:pt>
                <c:pt idx="368">
                  <c:v>-11.310479999999998</c:v>
                </c:pt>
                <c:pt idx="369">
                  <c:v>-11.310479999999998</c:v>
                </c:pt>
                <c:pt idx="370">
                  <c:v>-11.310479999999998</c:v>
                </c:pt>
                <c:pt idx="371">
                  <c:v>-11.310479999999998</c:v>
                </c:pt>
                <c:pt idx="372">
                  <c:v>-11.310479999999998</c:v>
                </c:pt>
                <c:pt idx="373">
                  <c:v>-11.310479999999998</c:v>
                </c:pt>
                <c:pt idx="374">
                  <c:v>-11.310479999999998</c:v>
                </c:pt>
                <c:pt idx="375">
                  <c:v>-11.310479999999998</c:v>
                </c:pt>
                <c:pt idx="376">
                  <c:v>-11.310479999999998</c:v>
                </c:pt>
                <c:pt idx="377">
                  <c:v>-11.310479999999998</c:v>
                </c:pt>
                <c:pt idx="378">
                  <c:v>-11.310479999999998</c:v>
                </c:pt>
                <c:pt idx="379">
                  <c:v>-11.310479999999998</c:v>
                </c:pt>
                <c:pt idx="380">
                  <c:v>-11.310479999999998</c:v>
                </c:pt>
                <c:pt idx="381">
                  <c:v>-11.310479999999998</c:v>
                </c:pt>
                <c:pt idx="382">
                  <c:v>-11.310479999999998</c:v>
                </c:pt>
                <c:pt idx="383">
                  <c:v>-11.310479999999998</c:v>
                </c:pt>
                <c:pt idx="384">
                  <c:v>-11.310479999999998</c:v>
                </c:pt>
                <c:pt idx="385">
                  <c:v>-11.310479999999998</c:v>
                </c:pt>
                <c:pt idx="386">
                  <c:v>-11.310479999999998</c:v>
                </c:pt>
                <c:pt idx="387">
                  <c:v>-11.310479999999998</c:v>
                </c:pt>
                <c:pt idx="388">
                  <c:v>-11.310479999999998</c:v>
                </c:pt>
                <c:pt idx="389">
                  <c:v>-11.310479999999998</c:v>
                </c:pt>
                <c:pt idx="390">
                  <c:v>-11.310479999999998</c:v>
                </c:pt>
                <c:pt idx="391">
                  <c:v>-11.310479999999998</c:v>
                </c:pt>
                <c:pt idx="392">
                  <c:v>-11.310479999999998</c:v>
                </c:pt>
                <c:pt idx="393">
                  <c:v>-11.310479999999998</c:v>
                </c:pt>
                <c:pt idx="394">
                  <c:v>-11.310479999999998</c:v>
                </c:pt>
                <c:pt idx="395">
                  <c:v>-11.310479999999998</c:v>
                </c:pt>
                <c:pt idx="396">
                  <c:v>-11.310479999999998</c:v>
                </c:pt>
                <c:pt idx="397">
                  <c:v>-11.310479999999998</c:v>
                </c:pt>
                <c:pt idx="398">
                  <c:v>-11.310479999999998</c:v>
                </c:pt>
                <c:pt idx="399">
                  <c:v>-11.310479999999998</c:v>
                </c:pt>
                <c:pt idx="400">
                  <c:v>-11.310479999999998</c:v>
                </c:pt>
                <c:pt idx="401">
                  <c:v>-11.310479999999998</c:v>
                </c:pt>
                <c:pt idx="402">
                  <c:v>-11.310479999999998</c:v>
                </c:pt>
                <c:pt idx="403">
                  <c:v>-11.310479999999998</c:v>
                </c:pt>
                <c:pt idx="404">
                  <c:v>-11.310479999999998</c:v>
                </c:pt>
                <c:pt idx="405">
                  <c:v>-11.310479999999998</c:v>
                </c:pt>
                <c:pt idx="406">
                  <c:v>-11.310479999999998</c:v>
                </c:pt>
                <c:pt idx="407">
                  <c:v>-11.310479999999998</c:v>
                </c:pt>
                <c:pt idx="408">
                  <c:v>-11.310479999999998</c:v>
                </c:pt>
                <c:pt idx="409">
                  <c:v>-11.310479999999998</c:v>
                </c:pt>
                <c:pt idx="410">
                  <c:v>-11.310479999999998</c:v>
                </c:pt>
                <c:pt idx="411">
                  <c:v>-11.310479999999998</c:v>
                </c:pt>
                <c:pt idx="412">
                  <c:v>-11.310479999999998</c:v>
                </c:pt>
                <c:pt idx="413">
                  <c:v>-11.310479999999998</c:v>
                </c:pt>
                <c:pt idx="414">
                  <c:v>-11.310479999999998</c:v>
                </c:pt>
                <c:pt idx="415">
                  <c:v>-11.310479999999998</c:v>
                </c:pt>
                <c:pt idx="416">
                  <c:v>-11.310479999999998</c:v>
                </c:pt>
                <c:pt idx="417">
                  <c:v>-11.310479999999998</c:v>
                </c:pt>
                <c:pt idx="418">
                  <c:v>-11.310479999999998</c:v>
                </c:pt>
                <c:pt idx="419">
                  <c:v>-11.310479999999998</c:v>
                </c:pt>
                <c:pt idx="420">
                  <c:v>-11.310479999999998</c:v>
                </c:pt>
                <c:pt idx="421">
                  <c:v>-11.310479999999998</c:v>
                </c:pt>
                <c:pt idx="422">
                  <c:v>-11.310479999999998</c:v>
                </c:pt>
                <c:pt idx="423">
                  <c:v>-11.310479999999998</c:v>
                </c:pt>
                <c:pt idx="424">
                  <c:v>-11.310479999999998</c:v>
                </c:pt>
                <c:pt idx="425">
                  <c:v>-11.310479999999998</c:v>
                </c:pt>
                <c:pt idx="426">
                  <c:v>-11.310479999999998</c:v>
                </c:pt>
                <c:pt idx="427">
                  <c:v>-11.310479999999998</c:v>
                </c:pt>
                <c:pt idx="428">
                  <c:v>-11.310479999999998</c:v>
                </c:pt>
                <c:pt idx="429">
                  <c:v>-11.310479999999998</c:v>
                </c:pt>
                <c:pt idx="430">
                  <c:v>-11.310479999999998</c:v>
                </c:pt>
                <c:pt idx="431">
                  <c:v>-11.310479999999998</c:v>
                </c:pt>
                <c:pt idx="432">
                  <c:v>-11.310479999999998</c:v>
                </c:pt>
                <c:pt idx="433">
                  <c:v>-11.310479999999998</c:v>
                </c:pt>
                <c:pt idx="434">
                  <c:v>-11.310479999999998</c:v>
                </c:pt>
                <c:pt idx="435">
                  <c:v>-11.310479999999998</c:v>
                </c:pt>
                <c:pt idx="436">
                  <c:v>-11.310479999999998</c:v>
                </c:pt>
                <c:pt idx="437">
                  <c:v>-11.310479999999998</c:v>
                </c:pt>
                <c:pt idx="438">
                  <c:v>-11.310479999999998</c:v>
                </c:pt>
                <c:pt idx="439">
                  <c:v>-11.310479999999998</c:v>
                </c:pt>
                <c:pt idx="440">
                  <c:v>-11.310479999999998</c:v>
                </c:pt>
                <c:pt idx="441">
                  <c:v>-11.310479999999998</c:v>
                </c:pt>
                <c:pt idx="442">
                  <c:v>-11.310479999999998</c:v>
                </c:pt>
                <c:pt idx="443">
                  <c:v>-11.310479999999998</c:v>
                </c:pt>
                <c:pt idx="444">
                  <c:v>-11.310479999999998</c:v>
                </c:pt>
                <c:pt idx="445">
                  <c:v>-11.310479999999998</c:v>
                </c:pt>
                <c:pt idx="446">
                  <c:v>-11.310479999999998</c:v>
                </c:pt>
                <c:pt idx="447">
                  <c:v>-11.310479999999998</c:v>
                </c:pt>
                <c:pt idx="448">
                  <c:v>-11.310479999999998</c:v>
                </c:pt>
                <c:pt idx="449">
                  <c:v>-11.310479999999998</c:v>
                </c:pt>
                <c:pt idx="450">
                  <c:v>-11.310479999999998</c:v>
                </c:pt>
                <c:pt idx="451">
                  <c:v>-11.310479999999998</c:v>
                </c:pt>
                <c:pt idx="452">
                  <c:v>-11.310479999999998</c:v>
                </c:pt>
                <c:pt idx="453">
                  <c:v>-11.310479999999998</c:v>
                </c:pt>
                <c:pt idx="454">
                  <c:v>-11.310479999999998</c:v>
                </c:pt>
                <c:pt idx="455">
                  <c:v>-11.310479999999998</c:v>
                </c:pt>
                <c:pt idx="456">
                  <c:v>-11.310479999999998</c:v>
                </c:pt>
                <c:pt idx="457">
                  <c:v>-11.310479999999998</c:v>
                </c:pt>
                <c:pt idx="458">
                  <c:v>-11.310479999999998</c:v>
                </c:pt>
                <c:pt idx="459">
                  <c:v>-11.310479999999998</c:v>
                </c:pt>
                <c:pt idx="460">
                  <c:v>-11.310479999999998</c:v>
                </c:pt>
                <c:pt idx="461">
                  <c:v>-11.310479999999998</c:v>
                </c:pt>
                <c:pt idx="462">
                  <c:v>-11.310479999999998</c:v>
                </c:pt>
                <c:pt idx="463">
                  <c:v>-11.310479999999998</c:v>
                </c:pt>
                <c:pt idx="464">
                  <c:v>-11.310479999999998</c:v>
                </c:pt>
                <c:pt idx="465">
                  <c:v>-11.310479999999998</c:v>
                </c:pt>
                <c:pt idx="466">
                  <c:v>-11.310479999999998</c:v>
                </c:pt>
                <c:pt idx="467">
                  <c:v>-11.310479999999998</c:v>
                </c:pt>
                <c:pt idx="468">
                  <c:v>-11.310479999999998</c:v>
                </c:pt>
                <c:pt idx="469">
                  <c:v>-11.310479999999998</c:v>
                </c:pt>
                <c:pt idx="470">
                  <c:v>-11.310479999999998</c:v>
                </c:pt>
                <c:pt idx="471">
                  <c:v>-11.310479999999998</c:v>
                </c:pt>
                <c:pt idx="472">
                  <c:v>-11.310479999999998</c:v>
                </c:pt>
                <c:pt idx="473">
                  <c:v>-11.310479999999998</c:v>
                </c:pt>
                <c:pt idx="474">
                  <c:v>-11.310479999999998</c:v>
                </c:pt>
                <c:pt idx="475">
                  <c:v>-11.310479999999998</c:v>
                </c:pt>
                <c:pt idx="476">
                  <c:v>-11.310479999999998</c:v>
                </c:pt>
                <c:pt idx="477">
                  <c:v>-11.310479999999998</c:v>
                </c:pt>
                <c:pt idx="478">
                  <c:v>-11.310479999999998</c:v>
                </c:pt>
                <c:pt idx="479">
                  <c:v>-11.310479999999998</c:v>
                </c:pt>
                <c:pt idx="480">
                  <c:v>-11.310479999999998</c:v>
                </c:pt>
                <c:pt idx="481">
                  <c:v>-11.310479999999998</c:v>
                </c:pt>
                <c:pt idx="482">
                  <c:v>-11.310479999999998</c:v>
                </c:pt>
                <c:pt idx="483">
                  <c:v>-11.310479999999998</c:v>
                </c:pt>
                <c:pt idx="484">
                  <c:v>-11.310479999999998</c:v>
                </c:pt>
                <c:pt idx="485">
                  <c:v>-11.310479999999998</c:v>
                </c:pt>
                <c:pt idx="486">
                  <c:v>-11.310479999999998</c:v>
                </c:pt>
                <c:pt idx="487">
                  <c:v>-11.310479999999998</c:v>
                </c:pt>
                <c:pt idx="488">
                  <c:v>-11.310479999999998</c:v>
                </c:pt>
                <c:pt idx="489">
                  <c:v>-11.310479999999998</c:v>
                </c:pt>
                <c:pt idx="490">
                  <c:v>-11.310479999999998</c:v>
                </c:pt>
                <c:pt idx="491">
                  <c:v>-11.310479999999998</c:v>
                </c:pt>
                <c:pt idx="492">
                  <c:v>-11.310479999999998</c:v>
                </c:pt>
                <c:pt idx="493">
                  <c:v>-11.310479999999998</c:v>
                </c:pt>
                <c:pt idx="494">
                  <c:v>-11.310479999999998</c:v>
                </c:pt>
                <c:pt idx="495">
                  <c:v>-11.310479999999998</c:v>
                </c:pt>
                <c:pt idx="496">
                  <c:v>-11.310479999999998</c:v>
                </c:pt>
                <c:pt idx="497">
                  <c:v>-11.310479999999998</c:v>
                </c:pt>
                <c:pt idx="498">
                  <c:v>-11.310479999999998</c:v>
                </c:pt>
                <c:pt idx="499">
                  <c:v>-11.310479999999998</c:v>
                </c:pt>
                <c:pt idx="500">
                  <c:v>-11.310479999999998</c:v>
                </c:pt>
                <c:pt idx="501">
                  <c:v>-11.310479999999998</c:v>
                </c:pt>
                <c:pt idx="502">
                  <c:v>-11.310479999999998</c:v>
                </c:pt>
                <c:pt idx="503">
                  <c:v>-11.310479999999998</c:v>
                </c:pt>
                <c:pt idx="504">
                  <c:v>-11.310479999999998</c:v>
                </c:pt>
                <c:pt idx="505">
                  <c:v>-11.310479999999998</c:v>
                </c:pt>
                <c:pt idx="506">
                  <c:v>-11.310479999999998</c:v>
                </c:pt>
                <c:pt idx="507">
                  <c:v>-11.310479999999998</c:v>
                </c:pt>
                <c:pt idx="508">
                  <c:v>-11.310479999999998</c:v>
                </c:pt>
                <c:pt idx="509">
                  <c:v>-11.310479999999998</c:v>
                </c:pt>
                <c:pt idx="510">
                  <c:v>-11.310479999999998</c:v>
                </c:pt>
                <c:pt idx="511">
                  <c:v>-11.310479999999998</c:v>
                </c:pt>
                <c:pt idx="512">
                  <c:v>-11.310479999999998</c:v>
                </c:pt>
                <c:pt idx="513">
                  <c:v>-11.310479999999998</c:v>
                </c:pt>
                <c:pt idx="514">
                  <c:v>-11.310479999999998</c:v>
                </c:pt>
                <c:pt idx="515">
                  <c:v>-11.310479999999998</c:v>
                </c:pt>
                <c:pt idx="516">
                  <c:v>-11.310479999999998</c:v>
                </c:pt>
                <c:pt idx="517">
                  <c:v>-11.310479999999998</c:v>
                </c:pt>
                <c:pt idx="518">
                  <c:v>-11.310479999999998</c:v>
                </c:pt>
                <c:pt idx="519">
                  <c:v>-11.310479999999998</c:v>
                </c:pt>
                <c:pt idx="520">
                  <c:v>-11.310479999999998</c:v>
                </c:pt>
                <c:pt idx="521">
                  <c:v>-11.310479999999998</c:v>
                </c:pt>
                <c:pt idx="522">
                  <c:v>-11.310479999999998</c:v>
                </c:pt>
                <c:pt idx="523">
                  <c:v>-11.310479999999998</c:v>
                </c:pt>
                <c:pt idx="524">
                  <c:v>-11.310479999999998</c:v>
                </c:pt>
                <c:pt idx="525">
                  <c:v>-11.310479999999998</c:v>
                </c:pt>
                <c:pt idx="526">
                  <c:v>-11.310479999999998</c:v>
                </c:pt>
                <c:pt idx="527">
                  <c:v>-11.310479999999998</c:v>
                </c:pt>
                <c:pt idx="528">
                  <c:v>-11.310479999999998</c:v>
                </c:pt>
                <c:pt idx="529">
                  <c:v>-11.310479999999998</c:v>
                </c:pt>
                <c:pt idx="530">
                  <c:v>-11.310479999999998</c:v>
                </c:pt>
                <c:pt idx="531">
                  <c:v>-11.310479999999998</c:v>
                </c:pt>
                <c:pt idx="532">
                  <c:v>-11.310479999999998</c:v>
                </c:pt>
                <c:pt idx="533">
                  <c:v>-11.310479999999998</c:v>
                </c:pt>
                <c:pt idx="534">
                  <c:v>-11.310479999999998</c:v>
                </c:pt>
                <c:pt idx="535">
                  <c:v>-11.310479999999998</c:v>
                </c:pt>
                <c:pt idx="536">
                  <c:v>-11.310479999999998</c:v>
                </c:pt>
                <c:pt idx="537">
                  <c:v>-11.310479999999998</c:v>
                </c:pt>
                <c:pt idx="538">
                  <c:v>-11.310479999999998</c:v>
                </c:pt>
                <c:pt idx="539">
                  <c:v>-11.310479999999998</c:v>
                </c:pt>
                <c:pt idx="540">
                  <c:v>-11.310479999999998</c:v>
                </c:pt>
                <c:pt idx="541">
                  <c:v>-11.310479999999998</c:v>
                </c:pt>
                <c:pt idx="542">
                  <c:v>-11.310479999999998</c:v>
                </c:pt>
                <c:pt idx="543">
                  <c:v>-11.310479999999998</c:v>
                </c:pt>
                <c:pt idx="544">
                  <c:v>-11.310479999999998</c:v>
                </c:pt>
                <c:pt idx="545">
                  <c:v>-11.310479999999998</c:v>
                </c:pt>
                <c:pt idx="546">
                  <c:v>-11.310479999999998</c:v>
                </c:pt>
                <c:pt idx="547">
                  <c:v>-11.310479999999998</c:v>
                </c:pt>
                <c:pt idx="548">
                  <c:v>-11.310479999999998</c:v>
                </c:pt>
                <c:pt idx="549">
                  <c:v>-11.310479999999998</c:v>
                </c:pt>
                <c:pt idx="550">
                  <c:v>-11.310479999999998</c:v>
                </c:pt>
                <c:pt idx="551">
                  <c:v>-11.310479999999998</c:v>
                </c:pt>
                <c:pt idx="552">
                  <c:v>-11.310479999999998</c:v>
                </c:pt>
                <c:pt idx="553">
                  <c:v>-11.310479999999998</c:v>
                </c:pt>
                <c:pt idx="554">
                  <c:v>-11.310479999999998</c:v>
                </c:pt>
                <c:pt idx="555">
                  <c:v>-11.310479999999998</c:v>
                </c:pt>
                <c:pt idx="556">
                  <c:v>-11.310479999999998</c:v>
                </c:pt>
                <c:pt idx="557">
                  <c:v>-11.310479999999998</c:v>
                </c:pt>
                <c:pt idx="558">
                  <c:v>-11.310479999999998</c:v>
                </c:pt>
                <c:pt idx="559">
                  <c:v>-11.310479999999998</c:v>
                </c:pt>
                <c:pt idx="560">
                  <c:v>-11.310479999999998</c:v>
                </c:pt>
                <c:pt idx="561">
                  <c:v>-11.310479999999998</c:v>
                </c:pt>
                <c:pt idx="562">
                  <c:v>-11.310479999999998</c:v>
                </c:pt>
                <c:pt idx="563">
                  <c:v>-11.310479999999998</c:v>
                </c:pt>
                <c:pt idx="564">
                  <c:v>-11.310479999999998</c:v>
                </c:pt>
                <c:pt idx="565">
                  <c:v>-11.310479999999998</c:v>
                </c:pt>
                <c:pt idx="566">
                  <c:v>-11.310479999999998</c:v>
                </c:pt>
                <c:pt idx="567">
                  <c:v>-11.310479999999998</c:v>
                </c:pt>
                <c:pt idx="568">
                  <c:v>-11.310479999999998</c:v>
                </c:pt>
                <c:pt idx="569">
                  <c:v>-11.310479999999998</c:v>
                </c:pt>
                <c:pt idx="570">
                  <c:v>-11.310479999999998</c:v>
                </c:pt>
                <c:pt idx="571">
                  <c:v>-11.310479999999998</c:v>
                </c:pt>
                <c:pt idx="572">
                  <c:v>-11.310479999999998</c:v>
                </c:pt>
                <c:pt idx="573">
                  <c:v>-11.310479999999998</c:v>
                </c:pt>
                <c:pt idx="574">
                  <c:v>-11.310479999999998</c:v>
                </c:pt>
                <c:pt idx="575">
                  <c:v>-11.310479999999998</c:v>
                </c:pt>
                <c:pt idx="576">
                  <c:v>-11.310479999999998</c:v>
                </c:pt>
                <c:pt idx="577">
                  <c:v>-11.310479999999998</c:v>
                </c:pt>
                <c:pt idx="578">
                  <c:v>-11.310479999999998</c:v>
                </c:pt>
                <c:pt idx="579">
                  <c:v>-11.310479999999998</c:v>
                </c:pt>
                <c:pt idx="580">
                  <c:v>-11.310479999999998</c:v>
                </c:pt>
                <c:pt idx="581">
                  <c:v>-11.310479999999998</c:v>
                </c:pt>
                <c:pt idx="582">
                  <c:v>-11.310479999999998</c:v>
                </c:pt>
                <c:pt idx="583">
                  <c:v>-11.310479999999998</c:v>
                </c:pt>
                <c:pt idx="584">
                  <c:v>-11.310479999999998</c:v>
                </c:pt>
                <c:pt idx="585">
                  <c:v>-11.310479999999998</c:v>
                </c:pt>
                <c:pt idx="586">
                  <c:v>-11.310479999999998</c:v>
                </c:pt>
                <c:pt idx="587">
                  <c:v>-11.310479999999998</c:v>
                </c:pt>
                <c:pt idx="588">
                  <c:v>-11.310479999999998</c:v>
                </c:pt>
                <c:pt idx="589">
                  <c:v>-11.310479999999998</c:v>
                </c:pt>
                <c:pt idx="590">
                  <c:v>-11.310479999999998</c:v>
                </c:pt>
                <c:pt idx="591">
                  <c:v>-11.310479999999998</c:v>
                </c:pt>
                <c:pt idx="592">
                  <c:v>-11.310479999999998</c:v>
                </c:pt>
                <c:pt idx="593">
                  <c:v>-11.310479999999998</c:v>
                </c:pt>
                <c:pt idx="594">
                  <c:v>-11.310479999999998</c:v>
                </c:pt>
                <c:pt idx="595">
                  <c:v>-11.310479999999998</c:v>
                </c:pt>
                <c:pt idx="596">
                  <c:v>-11.310479999999998</c:v>
                </c:pt>
                <c:pt idx="597">
                  <c:v>-11.310479999999998</c:v>
                </c:pt>
                <c:pt idx="598">
                  <c:v>-11.310479999999998</c:v>
                </c:pt>
                <c:pt idx="599">
                  <c:v>-11.310479999999998</c:v>
                </c:pt>
                <c:pt idx="600">
                  <c:v>-11.310479999999998</c:v>
                </c:pt>
                <c:pt idx="601">
                  <c:v>-11.310479999999998</c:v>
                </c:pt>
                <c:pt idx="602">
                  <c:v>-11.310479999999998</c:v>
                </c:pt>
                <c:pt idx="603">
                  <c:v>-11.310479999999998</c:v>
                </c:pt>
                <c:pt idx="604">
                  <c:v>-11.310479999999998</c:v>
                </c:pt>
                <c:pt idx="605">
                  <c:v>-11.310479999999998</c:v>
                </c:pt>
                <c:pt idx="606">
                  <c:v>-11.310479999999998</c:v>
                </c:pt>
                <c:pt idx="607">
                  <c:v>-11.310479999999998</c:v>
                </c:pt>
                <c:pt idx="608">
                  <c:v>-11.310479999999998</c:v>
                </c:pt>
                <c:pt idx="609">
                  <c:v>-11.310479999999998</c:v>
                </c:pt>
                <c:pt idx="610">
                  <c:v>-11.310479999999998</c:v>
                </c:pt>
                <c:pt idx="611">
                  <c:v>-11.310479999999998</c:v>
                </c:pt>
                <c:pt idx="612">
                  <c:v>-11.310479999999998</c:v>
                </c:pt>
                <c:pt idx="613">
                  <c:v>-11.310479999999998</c:v>
                </c:pt>
                <c:pt idx="614">
                  <c:v>-11.310479999999998</c:v>
                </c:pt>
                <c:pt idx="615">
                  <c:v>-11.310479999999998</c:v>
                </c:pt>
                <c:pt idx="616">
                  <c:v>-11.310479999999998</c:v>
                </c:pt>
                <c:pt idx="617">
                  <c:v>-11.310479999999998</c:v>
                </c:pt>
                <c:pt idx="618">
                  <c:v>-11.310479999999998</c:v>
                </c:pt>
                <c:pt idx="619">
                  <c:v>-11.310479999999998</c:v>
                </c:pt>
                <c:pt idx="620">
                  <c:v>-11.310479999999998</c:v>
                </c:pt>
                <c:pt idx="621">
                  <c:v>-11.310479999999998</c:v>
                </c:pt>
                <c:pt idx="622">
                  <c:v>-11.310479999999998</c:v>
                </c:pt>
                <c:pt idx="623">
                  <c:v>-11.310479999999998</c:v>
                </c:pt>
                <c:pt idx="624">
                  <c:v>-11.310479999999998</c:v>
                </c:pt>
                <c:pt idx="625">
                  <c:v>-11.310479999999998</c:v>
                </c:pt>
                <c:pt idx="626">
                  <c:v>-11.310479999999998</c:v>
                </c:pt>
                <c:pt idx="627">
                  <c:v>-11.310479999999998</c:v>
                </c:pt>
                <c:pt idx="628">
                  <c:v>-11.310479999999998</c:v>
                </c:pt>
                <c:pt idx="629">
                  <c:v>-11.310479999999998</c:v>
                </c:pt>
                <c:pt idx="630">
                  <c:v>-11.310479999999998</c:v>
                </c:pt>
                <c:pt idx="631">
                  <c:v>-11.310479999999998</c:v>
                </c:pt>
                <c:pt idx="632">
                  <c:v>-11.310479999999998</c:v>
                </c:pt>
                <c:pt idx="633">
                  <c:v>-11.310479999999998</c:v>
                </c:pt>
                <c:pt idx="634">
                  <c:v>-11.310479999999998</c:v>
                </c:pt>
                <c:pt idx="635">
                  <c:v>-11.310479999999998</c:v>
                </c:pt>
                <c:pt idx="636">
                  <c:v>-11.310479999999998</c:v>
                </c:pt>
                <c:pt idx="637">
                  <c:v>-11.310479999999998</c:v>
                </c:pt>
                <c:pt idx="638">
                  <c:v>-11.310479999999998</c:v>
                </c:pt>
                <c:pt idx="639">
                  <c:v>-11.310479999999998</c:v>
                </c:pt>
                <c:pt idx="640">
                  <c:v>-11.310479999999998</c:v>
                </c:pt>
                <c:pt idx="641">
                  <c:v>-11.310479999999998</c:v>
                </c:pt>
                <c:pt idx="642">
                  <c:v>-11.310479999999998</c:v>
                </c:pt>
                <c:pt idx="643">
                  <c:v>-11.310479999999998</c:v>
                </c:pt>
                <c:pt idx="644">
                  <c:v>-11.310479999999998</c:v>
                </c:pt>
                <c:pt idx="645">
                  <c:v>-11.310479999999998</c:v>
                </c:pt>
                <c:pt idx="646">
                  <c:v>-11.310479999999998</c:v>
                </c:pt>
                <c:pt idx="647">
                  <c:v>-11.310479999999998</c:v>
                </c:pt>
                <c:pt idx="648">
                  <c:v>-11.310479999999998</c:v>
                </c:pt>
                <c:pt idx="649">
                  <c:v>-11.310479999999998</c:v>
                </c:pt>
                <c:pt idx="650">
                  <c:v>-11.310479999999998</c:v>
                </c:pt>
                <c:pt idx="651">
                  <c:v>-11.310479999999998</c:v>
                </c:pt>
                <c:pt idx="652">
                  <c:v>-11.310479999999998</c:v>
                </c:pt>
                <c:pt idx="653">
                  <c:v>-11.310479999999998</c:v>
                </c:pt>
                <c:pt idx="654">
                  <c:v>-11.310479999999998</c:v>
                </c:pt>
                <c:pt idx="655">
                  <c:v>-11.310479999999998</c:v>
                </c:pt>
                <c:pt idx="656">
                  <c:v>-11.310479999999998</c:v>
                </c:pt>
                <c:pt idx="657">
                  <c:v>-11.310479999999998</c:v>
                </c:pt>
                <c:pt idx="658">
                  <c:v>-11.310479999999998</c:v>
                </c:pt>
                <c:pt idx="659">
                  <c:v>-11.310479999999998</c:v>
                </c:pt>
                <c:pt idx="660">
                  <c:v>-11.310479999999998</c:v>
                </c:pt>
                <c:pt idx="661">
                  <c:v>-11.310479999999998</c:v>
                </c:pt>
                <c:pt idx="662">
                  <c:v>-11.310479999999998</c:v>
                </c:pt>
                <c:pt idx="663">
                  <c:v>-11.310479999999998</c:v>
                </c:pt>
                <c:pt idx="664">
                  <c:v>-11.310479999999998</c:v>
                </c:pt>
                <c:pt idx="665">
                  <c:v>-11.310479999999998</c:v>
                </c:pt>
                <c:pt idx="666">
                  <c:v>-11.310479999999998</c:v>
                </c:pt>
                <c:pt idx="667">
                  <c:v>-11.310479999999998</c:v>
                </c:pt>
                <c:pt idx="668">
                  <c:v>-11.310479999999998</c:v>
                </c:pt>
                <c:pt idx="669">
                  <c:v>-11.310479999999998</c:v>
                </c:pt>
                <c:pt idx="670">
                  <c:v>-11.310479999999998</c:v>
                </c:pt>
                <c:pt idx="671">
                  <c:v>-11.310479999999998</c:v>
                </c:pt>
                <c:pt idx="672">
                  <c:v>-11.310479999999998</c:v>
                </c:pt>
                <c:pt idx="673">
                  <c:v>-11.310479999999998</c:v>
                </c:pt>
                <c:pt idx="674">
                  <c:v>-11.310479999999998</c:v>
                </c:pt>
                <c:pt idx="675">
                  <c:v>-11.310479999999998</c:v>
                </c:pt>
                <c:pt idx="676">
                  <c:v>-11.310479999999998</c:v>
                </c:pt>
                <c:pt idx="677">
                  <c:v>-11.310479999999998</c:v>
                </c:pt>
                <c:pt idx="678">
                  <c:v>-11.310479999999998</c:v>
                </c:pt>
                <c:pt idx="679">
                  <c:v>-11.310479999999998</c:v>
                </c:pt>
                <c:pt idx="680">
                  <c:v>-11.310479999999998</c:v>
                </c:pt>
                <c:pt idx="681">
                  <c:v>-11.310479999999998</c:v>
                </c:pt>
                <c:pt idx="682">
                  <c:v>-11.310479999999998</c:v>
                </c:pt>
                <c:pt idx="683">
                  <c:v>-11.310479999999998</c:v>
                </c:pt>
                <c:pt idx="684">
                  <c:v>-11.310479999999998</c:v>
                </c:pt>
                <c:pt idx="685">
                  <c:v>-11.310479999999998</c:v>
                </c:pt>
                <c:pt idx="686">
                  <c:v>-11.310479999999998</c:v>
                </c:pt>
                <c:pt idx="687">
                  <c:v>-11.310479999999998</c:v>
                </c:pt>
                <c:pt idx="688">
                  <c:v>-11.310479999999998</c:v>
                </c:pt>
                <c:pt idx="689">
                  <c:v>-11.310479999999998</c:v>
                </c:pt>
                <c:pt idx="690">
                  <c:v>-11.310479999999998</c:v>
                </c:pt>
                <c:pt idx="691">
                  <c:v>-11.310479999999998</c:v>
                </c:pt>
                <c:pt idx="692">
                  <c:v>-11.310479999999998</c:v>
                </c:pt>
                <c:pt idx="693">
                  <c:v>-11.310479999999998</c:v>
                </c:pt>
                <c:pt idx="694">
                  <c:v>-11.310479999999998</c:v>
                </c:pt>
                <c:pt idx="695">
                  <c:v>-11.310479999999998</c:v>
                </c:pt>
                <c:pt idx="696">
                  <c:v>-11.310479999999998</c:v>
                </c:pt>
                <c:pt idx="697">
                  <c:v>-11.310479999999998</c:v>
                </c:pt>
                <c:pt idx="698">
                  <c:v>-11.310479999999998</c:v>
                </c:pt>
                <c:pt idx="699">
                  <c:v>-11.310479999999998</c:v>
                </c:pt>
                <c:pt idx="700">
                  <c:v>-11.310479999999998</c:v>
                </c:pt>
                <c:pt idx="701">
                  <c:v>-11.310479999999998</c:v>
                </c:pt>
                <c:pt idx="702">
                  <c:v>-11.310479999999998</c:v>
                </c:pt>
                <c:pt idx="703">
                  <c:v>-11.310479999999998</c:v>
                </c:pt>
                <c:pt idx="704">
                  <c:v>-11.310479999999998</c:v>
                </c:pt>
                <c:pt idx="705">
                  <c:v>-11.310479999999998</c:v>
                </c:pt>
                <c:pt idx="706">
                  <c:v>-11.310479999999998</c:v>
                </c:pt>
                <c:pt idx="707">
                  <c:v>-11.310479999999998</c:v>
                </c:pt>
                <c:pt idx="708">
                  <c:v>-11.310479999999998</c:v>
                </c:pt>
                <c:pt idx="709">
                  <c:v>-11.310479999999998</c:v>
                </c:pt>
                <c:pt idx="710">
                  <c:v>-11.310479999999998</c:v>
                </c:pt>
                <c:pt idx="711">
                  <c:v>-11.310479999999998</c:v>
                </c:pt>
                <c:pt idx="712">
                  <c:v>-11.310479999999998</c:v>
                </c:pt>
                <c:pt idx="713">
                  <c:v>-11.310479999999998</c:v>
                </c:pt>
                <c:pt idx="714">
                  <c:v>-11.310479999999998</c:v>
                </c:pt>
                <c:pt idx="715">
                  <c:v>-11.310479999999998</c:v>
                </c:pt>
                <c:pt idx="716">
                  <c:v>-11.310479999999998</c:v>
                </c:pt>
                <c:pt idx="717">
                  <c:v>-11.310479999999998</c:v>
                </c:pt>
                <c:pt idx="718">
                  <c:v>-11.310479999999998</c:v>
                </c:pt>
                <c:pt idx="719">
                  <c:v>-11.310479999999998</c:v>
                </c:pt>
                <c:pt idx="720">
                  <c:v>-11.310479999999998</c:v>
                </c:pt>
                <c:pt idx="721">
                  <c:v>-11.310479999999998</c:v>
                </c:pt>
                <c:pt idx="722">
                  <c:v>-11.310479999999998</c:v>
                </c:pt>
                <c:pt idx="723">
                  <c:v>-11.310479999999998</c:v>
                </c:pt>
                <c:pt idx="724">
                  <c:v>-11.310479999999998</c:v>
                </c:pt>
                <c:pt idx="725">
                  <c:v>-11.310479999999998</c:v>
                </c:pt>
                <c:pt idx="726">
                  <c:v>-11.310479999999998</c:v>
                </c:pt>
                <c:pt idx="727">
                  <c:v>-11.310479999999998</c:v>
                </c:pt>
                <c:pt idx="728">
                  <c:v>-11.310479999999998</c:v>
                </c:pt>
                <c:pt idx="729">
                  <c:v>-11.310479999999998</c:v>
                </c:pt>
                <c:pt idx="730">
                  <c:v>-11.310479999999998</c:v>
                </c:pt>
                <c:pt idx="731">
                  <c:v>-11.310479999999998</c:v>
                </c:pt>
                <c:pt idx="732">
                  <c:v>-11.310479999999998</c:v>
                </c:pt>
                <c:pt idx="733">
                  <c:v>-11.310479999999998</c:v>
                </c:pt>
                <c:pt idx="734">
                  <c:v>-11.310479999999998</c:v>
                </c:pt>
                <c:pt idx="735">
                  <c:v>-11.310479999999998</c:v>
                </c:pt>
                <c:pt idx="736">
                  <c:v>-11.310479999999998</c:v>
                </c:pt>
                <c:pt idx="737">
                  <c:v>-11.310479999999998</c:v>
                </c:pt>
                <c:pt idx="738">
                  <c:v>-11.310479999999998</c:v>
                </c:pt>
                <c:pt idx="739">
                  <c:v>-11.310479999999998</c:v>
                </c:pt>
                <c:pt idx="740">
                  <c:v>-11.310479999999998</c:v>
                </c:pt>
                <c:pt idx="741">
                  <c:v>-11.310479999999998</c:v>
                </c:pt>
                <c:pt idx="742">
                  <c:v>-11.310479999999998</c:v>
                </c:pt>
                <c:pt idx="743">
                  <c:v>-11.310479999999998</c:v>
                </c:pt>
                <c:pt idx="744">
                  <c:v>-11.310479999999998</c:v>
                </c:pt>
                <c:pt idx="745">
                  <c:v>-11.310479999999998</c:v>
                </c:pt>
                <c:pt idx="746">
                  <c:v>-11.310479999999998</c:v>
                </c:pt>
                <c:pt idx="747">
                  <c:v>-11.310479999999998</c:v>
                </c:pt>
                <c:pt idx="748">
                  <c:v>-11.310479999999998</c:v>
                </c:pt>
                <c:pt idx="749">
                  <c:v>-11.310479999999998</c:v>
                </c:pt>
                <c:pt idx="750">
                  <c:v>-11.310479999999998</c:v>
                </c:pt>
                <c:pt idx="751">
                  <c:v>-11.310479999999998</c:v>
                </c:pt>
                <c:pt idx="752">
                  <c:v>-11.310479999999998</c:v>
                </c:pt>
                <c:pt idx="753">
                  <c:v>-11.310479999999998</c:v>
                </c:pt>
                <c:pt idx="754">
                  <c:v>-11.310479999999998</c:v>
                </c:pt>
                <c:pt idx="755">
                  <c:v>-11.310479999999998</c:v>
                </c:pt>
                <c:pt idx="756">
                  <c:v>-11.310479999999998</c:v>
                </c:pt>
                <c:pt idx="757">
                  <c:v>-11.310479999999998</c:v>
                </c:pt>
                <c:pt idx="758">
                  <c:v>-11.310479999999998</c:v>
                </c:pt>
                <c:pt idx="759">
                  <c:v>-11.310479999999998</c:v>
                </c:pt>
                <c:pt idx="760">
                  <c:v>-11.310479999999998</c:v>
                </c:pt>
                <c:pt idx="761">
                  <c:v>-11.310479999999998</c:v>
                </c:pt>
                <c:pt idx="762">
                  <c:v>-11.310479999999998</c:v>
                </c:pt>
                <c:pt idx="763">
                  <c:v>-11.310479999999998</c:v>
                </c:pt>
                <c:pt idx="764">
                  <c:v>-11.310479999999998</c:v>
                </c:pt>
                <c:pt idx="765">
                  <c:v>-11.310479999999998</c:v>
                </c:pt>
                <c:pt idx="766">
                  <c:v>-11.310479999999998</c:v>
                </c:pt>
                <c:pt idx="767">
                  <c:v>-11.310479999999998</c:v>
                </c:pt>
                <c:pt idx="768">
                  <c:v>-11.310479999999998</c:v>
                </c:pt>
                <c:pt idx="769">
                  <c:v>-11.310479999999998</c:v>
                </c:pt>
                <c:pt idx="770">
                  <c:v>-11.310479999999998</c:v>
                </c:pt>
                <c:pt idx="771">
                  <c:v>-11.310479999999998</c:v>
                </c:pt>
                <c:pt idx="772">
                  <c:v>-11.310479999999998</c:v>
                </c:pt>
                <c:pt idx="773">
                  <c:v>-11.310479999999998</c:v>
                </c:pt>
                <c:pt idx="774">
                  <c:v>-11.310479999999998</c:v>
                </c:pt>
                <c:pt idx="775">
                  <c:v>-11.310479999999998</c:v>
                </c:pt>
                <c:pt idx="776">
                  <c:v>-11.310479999999998</c:v>
                </c:pt>
                <c:pt idx="777">
                  <c:v>-11.310479999999998</c:v>
                </c:pt>
                <c:pt idx="778">
                  <c:v>-11.310479999999998</c:v>
                </c:pt>
                <c:pt idx="779">
                  <c:v>-11.310479999999998</c:v>
                </c:pt>
                <c:pt idx="780">
                  <c:v>-11.310479999999998</c:v>
                </c:pt>
                <c:pt idx="781">
                  <c:v>-11.310479999999998</c:v>
                </c:pt>
                <c:pt idx="782">
                  <c:v>-11.310479999999998</c:v>
                </c:pt>
                <c:pt idx="783">
                  <c:v>-11.310479999999998</c:v>
                </c:pt>
                <c:pt idx="784">
                  <c:v>-11.310479999999998</c:v>
                </c:pt>
                <c:pt idx="785">
                  <c:v>-11.310479999999998</c:v>
                </c:pt>
                <c:pt idx="786">
                  <c:v>-11.310479999999998</c:v>
                </c:pt>
                <c:pt idx="787">
                  <c:v>-11.310479999999998</c:v>
                </c:pt>
                <c:pt idx="788">
                  <c:v>-11.310479999999998</c:v>
                </c:pt>
                <c:pt idx="789">
                  <c:v>-11.310479999999998</c:v>
                </c:pt>
                <c:pt idx="790">
                  <c:v>-11.310479999999998</c:v>
                </c:pt>
                <c:pt idx="791">
                  <c:v>-11.310479999999998</c:v>
                </c:pt>
                <c:pt idx="792">
                  <c:v>-11.310479999999998</c:v>
                </c:pt>
                <c:pt idx="793">
                  <c:v>-11.310479999999998</c:v>
                </c:pt>
                <c:pt idx="794">
                  <c:v>-11.310479999999998</c:v>
                </c:pt>
                <c:pt idx="795">
                  <c:v>-11.310479999999998</c:v>
                </c:pt>
                <c:pt idx="796">
                  <c:v>-11.310479999999998</c:v>
                </c:pt>
                <c:pt idx="797">
                  <c:v>-11.310479999999998</c:v>
                </c:pt>
                <c:pt idx="798">
                  <c:v>-11.310479999999998</c:v>
                </c:pt>
                <c:pt idx="799">
                  <c:v>-11.310479999999998</c:v>
                </c:pt>
                <c:pt idx="800">
                  <c:v>-11.310479999999998</c:v>
                </c:pt>
                <c:pt idx="801">
                  <c:v>-11.310479999999998</c:v>
                </c:pt>
                <c:pt idx="802">
                  <c:v>-11.310479999999998</c:v>
                </c:pt>
                <c:pt idx="803">
                  <c:v>-11.310479999999998</c:v>
                </c:pt>
                <c:pt idx="804">
                  <c:v>-11.310479999999998</c:v>
                </c:pt>
                <c:pt idx="805">
                  <c:v>-11.310479999999998</c:v>
                </c:pt>
                <c:pt idx="806">
                  <c:v>-11.310479999999998</c:v>
                </c:pt>
                <c:pt idx="807">
                  <c:v>-11.310479999999998</c:v>
                </c:pt>
                <c:pt idx="808">
                  <c:v>-11.310479999999998</c:v>
                </c:pt>
                <c:pt idx="809">
                  <c:v>-11.310479999999998</c:v>
                </c:pt>
                <c:pt idx="810">
                  <c:v>-11.310479999999998</c:v>
                </c:pt>
                <c:pt idx="811">
                  <c:v>-11.310479999999998</c:v>
                </c:pt>
                <c:pt idx="812">
                  <c:v>-11.310479999999998</c:v>
                </c:pt>
                <c:pt idx="813">
                  <c:v>-11.310479999999998</c:v>
                </c:pt>
                <c:pt idx="814">
                  <c:v>-11.310479999999998</c:v>
                </c:pt>
                <c:pt idx="815">
                  <c:v>-11.310479999999998</c:v>
                </c:pt>
                <c:pt idx="816">
                  <c:v>-11.310479999999998</c:v>
                </c:pt>
                <c:pt idx="817">
                  <c:v>-11.310479999999998</c:v>
                </c:pt>
                <c:pt idx="818">
                  <c:v>-11.310479999999998</c:v>
                </c:pt>
                <c:pt idx="819">
                  <c:v>-11.310479999999998</c:v>
                </c:pt>
                <c:pt idx="820">
                  <c:v>-11.310479999999998</c:v>
                </c:pt>
                <c:pt idx="821">
                  <c:v>-11.310479999999998</c:v>
                </c:pt>
                <c:pt idx="822">
                  <c:v>-11.310479999999998</c:v>
                </c:pt>
                <c:pt idx="823">
                  <c:v>-11.310479999999998</c:v>
                </c:pt>
                <c:pt idx="824">
                  <c:v>-11.310479999999998</c:v>
                </c:pt>
                <c:pt idx="825">
                  <c:v>-11.310479999999998</c:v>
                </c:pt>
                <c:pt idx="826">
                  <c:v>-11.310479999999998</c:v>
                </c:pt>
                <c:pt idx="827">
                  <c:v>-11.310479999999998</c:v>
                </c:pt>
                <c:pt idx="828">
                  <c:v>-11.310479999999998</c:v>
                </c:pt>
                <c:pt idx="829">
                  <c:v>-11.310479999999998</c:v>
                </c:pt>
                <c:pt idx="830">
                  <c:v>-11.310479999999998</c:v>
                </c:pt>
                <c:pt idx="831">
                  <c:v>-11.310479999999998</c:v>
                </c:pt>
                <c:pt idx="832">
                  <c:v>-11.310479999999998</c:v>
                </c:pt>
                <c:pt idx="833">
                  <c:v>-11.310479999999998</c:v>
                </c:pt>
                <c:pt idx="834">
                  <c:v>-11.310479999999998</c:v>
                </c:pt>
                <c:pt idx="835">
                  <c:v>-11.310479999999998</c:v>
                </c:pt>
                <c:pt idx="836">
                  <c:v>-11.310479999999998</c:v>
                </c:pt>
                <c:pt idx="837">
                  <c:v>-11.310479999999998</c:v>
                </c:pt>
                <c:pt idx="838">
                  <c:v>-11.310479999999998</c:v>
                </c:pt>
                <c:pt idx="839">
                  <c:v>-11.310479999999998</c:v>
                </c:pt>
                <c:pt idx="840">
                  <c:v>-11.310479999999998</c:v>
                </c:pt>
                <c:pt idx="841">
                  <c:v>-11.310479999999998</c:v>
                </c:pt>
                <c:pt idx="842">
                  <c:v>-11.310479999999998</c:v>
                </c:pt>
                <c:pt idx="843">
                  <c:v>-11.310479999999998</c:v>
                </c:pt>
                <c:pt idx="844">
                  <c:v>-11.310479999999998</c:v>
                </c:pt>
                <c:pt idx="845">
                  <c:v>-11.310479999999998</c:v>
                </c:pt>
                <c:pt idx="846">
                  <c:v>-11.310479999999998</c:v>
                </c:pt>
                <c:pt idx="847">
                  <c:v>-11.310479999999998</c:v>
                </c:pt>
                <c:pt idx="848">
                  <c:v>-11.310479999999998</c:v>
                </c:pt>
                <c:pt idx="849">
                  <c:v>-11.310479999999998</c:v>
                </c:pt>
                <c:pt idx="850">
                  <c:v>-11.310479999999998</c:v>
                </c:pt>
                <c:pt idx="851">
                  <c:v>-11.310479999999998</c:v>
                </c:pt>
                <c:pt idx="852">
                  <c:v>-11.310479999999998</c:v>
                </c:pt>
                <c:pt idx="853">
                  <c:v>-11.310479999999998</c:v>
                </c:pt>
                <c:pt idx="854">
                  <c:v>-11.310479999999998</c:v>
                </c:pt>
                <c:pt idx="855">
                  <c:v>-11.310479999999998</c:v>
                </c:pt>
                <c:pt idx="856">
                  <c:v>-11.310479999999998</c:v>
                </c:pt>
                <c:pt idx="857">
                  <c:v>-11.310479999999998</c:v>
                </c:pt>
                <c:pt idx="858">
                  <c:v>-11.310479999999998</c:v>
                </c:pt>
                <c:pt idx="859">
                  <c:v>-11.310479999999998</c:v>
                </c:pt>
                <c:pt idx="860">
                  <c:v>-11.310479999999998</c:v>
                </c:pt>
                <c:pt idx="861">
                  <c:v>-11.310479999999998</c:v>
                </c:pt>
                <c:pt idx="862">
                  <c:v>-11.310479999999998</c:v>
                </c:pt>
                <c:pt idx="863">
                  <c:v>-11.310479999999998</c:v>
                </c:pt>
                <c:pt idx="864">
                  <c:v>-11.310479999999998</c:v>
                </c:pt>
                <c:pt idx="865">
                  <c:v>-11.310479999999998</c:v>
                </c:pt>
                <c:pt idx="866">
                  <c:v>-11.310479999999998</c:v>
                </c:pt>
                <c:pt idx="867">
                  <c:v>-11.310479999999998</c:v>
                </c:pt>
                <c:pt idx="868">
                  <c:v>-11.310479999999998</c:v>
                </c:pt>
                <c:pt idx="869">
                  <c:v>-11.310479999999998</c:v>
                </c:pt>
                <c:pt idx="870">
                  <c:v>-11.310479999999998</c:v>
                </c:pt>
                <c:pt idx="871">
                  <c:v>-11.310479999999998</c:v>
                </c:pt>
                <c:pt idx="872">
                  <c:v>-11.310479999999998</c:v>
                </c:pt>
                <c:pt idx="873">
                  <c:v>-11.310479999999998</c:v>
                </c:pt>
                <c:pt idx="874">
                  <c:v>-11.310479999999998</c:v>
                </c:pt>
                <c:pt idx="875">
                  <c:v>-11.310479999999998</c:v>
                </c:pt>
                <c:pt idx="876">
                  <c:v>-11.310479999999998</c:v>
                </c:pt>
                <c:pt idx="877">
                  <c:v>-11.310479999999998</c:v>
                </c:pt>
                <c:pt idx="878">
                  <c:v>-11.310479999999998</c:v>
                </c:pt>
                <c:pt idx="879">
                  <c:v>-11.310479999999998</c:v>
                </c:pt>
                <c:pt idx="880">
                  <c:v>-11.310479999999998</c:v>
                </c:pt>
                <c:pt idx="881">
                  <c:v>-11.310479999999998</c:v>
                </c:pt>
                <c:pt idx="882">
                  <c:v>-11.310479999999998</c:v>
                </c:pt>
                <c:pt idx="883">
                  <c:v>-11.310479999999998</c:v>
                </c:pt>
                <c:pt idx="884">
                  <c:v>-11.310479999999998</c:v>
                </c:pt>
                <c:pt idx="885">
                  <c:v>-11.310479999999998</c:v>
                </c:pt>
                <c:pt idx="886">
                  <c:v>-11.310479999999998</c:v>
                </c:pt>
                <c:pt idx="887">
                  <c:v>-11.310479999999998</c:v>
                </c:pt>
                <c:pt idx="888">
                  <c:v>-11.310479999999998</c:v>
                </c:pt>
                <c:pt idx="889">
                  <c:v>-11.310479999999998</c:v>
                </c:pt>
                <c:pt idx="890">
                  <c:v>-11.310479999999998</c:v>
                </c:pt>
                <c:pt idx="891">
                  <c:v>-11.310479999999998</c:v>
                </c:pt>
                <c:pt idx="892">
                  <c:v>-11.310479999999998</c:v>
                </c:pt>
                <c:pt idx="893">
                  <c:v>-11.310479999999998</c:v>
                </c:pt>
                <c:pt idx="894">
                  <c:v>-11.310479999999998</c:v>
                </c:pt>
                <c:pt idx="895">
                  <c:v>-11.310479999999998</c:v>
                </c:pt>
                <c:pt idx="896">
                  <c:v>-11.310479999999998</c:v>
                </c:pt>
                <c:pt idx="897">
                  <c:v>-11.310479999999998</c:v>
                </c:pt>
                <c:pt idx="898">
                  <c:v>-11.310479999999998</c:v>
                </c:pt>
                <c:pt idx="899">
                  <c:v>-11.310479999999998</c:v>
                </c:pt>
                <c:pt idx="900">
                  <c:v>-11.310479999999998</c:v>
                </c:pt>
                <c:pt idx="901">
                  <c:v>-11.310479999999998</c:v>
                </c:pt>
                <c:pt idx="902">
                  <c:v>-11.310479999999998</c:v>
                </c:pt>
                <c:pt idx="903">
                  <c:v>-11.310479999999998</c:v>
                </c:pt>
                <c:pt idx="904">
                  <c:v>-11.310479999999998</c:v>
                </c:pt>
                <c:pt idx="905">
                  <c:v>-11.310479999999998</c:v>
                </c:pt>
                <c:pt idx="906">
                  <c:v>-11.310479999999998</c:v>
                </c:pt>
                <c:pt idx="907">
                  <c:v>-11.310479999999998</c:v>
                </c:pt>
                <c:pt idx="908">
                  <c:v>-11.310479999999998</c:v>
                </c:pt>
                <c:pt idx="909">
                  <c:v>-11.310479999999998</c:v>
                </c:pt>
                <c:pt idx="910">
                  <c:v>-11.310479999999998</c:v>
                </c:pt>
                <c:pt idx="911">
                  <c:v>-11.310479999999998</c:v>
                </c:pt>
                <c:pt idx="912">
                  <c:v>-11.310479999999998</c:v>
                </c:pt>
                <c:pt idx="913">
                  <c:v>-11.310479999999998</c:v>
                </c:pt>
                <c:pt idx="914">
                  <c:v>-11.310479999999998</c:v>
                </c:pt>
                <c:pt idx="915">
                  <c:v>-11.310479999999998</c:v>
                </c:pt>
                <c:pt idx="916">
                  <c:v>-11.310479999999998</c:v>
                </c:pt>
                <c:pt idx="917">
                  <c:v>-11.310479999999998</c:v>
                </c:pt>
                <c:pt idx="918">
                  <c:v>-11.310479999999998</c:v>
                </c:pt>
                <c:pt idx="919">
                  <c:v>-11.310479999999998</c:v>
                </c:pt>
                <c:pt idx="920">
                  <c:v>-11.310479999999998</c:v>
                </c:pt>
                <c:pt idx="921">
                  <c:v>-11.310479999999998</c:v>
                </c:pt>
                <c:pt idx="922">
                  <c:v>-11.310479999999998</c:v>
                </c:pt>
                <c:pt idx="923">
                  <c:v>-11.310479999999998</c:v>
                </c:pt>
                <c:pt idx="924">
                  <c:v>-11.310479999999998</c:v>
                </c:pt>
                <c:pt idx="925">
                  <c:v>-11.310479999999998</c:v>
                </c:pt>
                <c:pt idx="926">
                  <c:v>-11.310479999999998</c:v>
                </c:pt>
                <c:pt idx="927">
                  <c:v>-11.310479999999998</c:v>
                </c:pt>
                <c:pt idx="928">
                  <c:v>-11.310479999999998</c:v>
                </c:pt>
                <c:pt idx="929">
                  <c:v>-11.310479999999998</c:v>
                </c:pt>
                <c:pt idx="930">
                  <c:v>-11.310479999999998</c:v>
                </c:pt>
                <c:pt idx="931">
                  <c:v>-11.310479999999998</c:v>
                </c:pt>
                <c:pt idx="932">
                  <c:v>-11.310479999999998</c:v>
                </c:pt>
                <c:pt idx="933">
                  <c:v>-11.310479999999998</c:v>
                </c:pt>
                <c:pt idx="934">
                  <c:v>-11.310479999999998</c:v>
                </c:pt>
                <c:pt idx="935">
                  <c:v>-11.310479999999998</c:v>
                </c:pt>
                <c:pt idx="936">
                  <c:v>-11.310479999999998</c:v>
                </c:pt>
                <c:pt idx="937">
                  <c:v>-11.310479999999998</c:v>
                </c:pt>
                <c:pt idx="938">
                  <c:v>-11.310479999999998</c:v>
                </c:pt>
                <c:pt idx="939">
                  <c:v>-11.310479999999998</c:v>
                </c:pt>
                <c:pt idx="940">
                  <c:v>-11.310479999999998</c:v>
                </c:pt>
                <c:pt idx="941">
                  <c:v>-11.310479999999998</c:v>
                </c:pt>
                <c:pt idx="942">
                  <c:v>-11.310479999999998</c:v>
                </c:pt>
                <c:pt idx="943">
                  <c:v>-11.310479999999998</c:v>
                </c:pt>
                <c:pt idx="944">
                  <c:v>-11.310479999999998</c:v>
                </c:pt>
                <c:pt idx="945">
                  <c:v>-11.310479999999998</c:v>
                </c:pt>
                <c:pt idx="946">
                  <c:v>-11.310479999999998</c:v>
                </c:pt>
                <c:pt idx="947">
                  <c:v>-11.310479999999998</c:v>
                </c:pt>
                <c:pt idx="948">
                  <c:v>-11.310479999999998</c:v>
                </c:pt>
                <c:pt idx="949">
                  <c:v>-11.310479999999998</c:v>
                </c:pt>
                <c:pt idx="950">
                  <c:v>-11.310479999999998</c:v>
                </c:pt>
                <c:pt idx="951">
                  <c:v>-11.310479999999998</c:v>
                </c:pt>
                <c:pt idx="952">
                  <c:v>-11.310479999999998</c:v>
                </c:pt>
                <c:pt idx="953">
                  <c:v>-11.310479999999998</c:v>
                </c:pt>
                <c:pt idx="954">
                  <c:v>-11.310479999999998</c:v>
                </c:pt>
                <c:pt idx="955">
                  <c:v>-11.310479999999998</c:v>
                </c:pt>
                <c:pt idx="956">
                  <c:v>-11.310479999999998</c:v>
                </c:pt>
                <c:pt idx="957">
                  <c:v>-11.310479999999998</c:v>
                </c:pt>
                <c:pt idx="958">
                  <c:v>-11.310479999999998</c:v>
                </c:pt>
                <c:pt idx="959">
                  <c:v>-11.310479999999998</c:v>
                </c:pt>
                <c:pt idx="960">
                  <c:v>-11.310479999999998</c:v>
                </c:pt>
                <c:pt idx="961">
                  <c:v>-11.310479999999998</c:v>
                </c:pt>
                <c:pt idx="962">
                  <c:v>-11.310479999999998</c:v>
                </c:pt>
                <c:pt idx="963">
                  <c:v>-11.310479999999998</c:v>
                </c:pt>
                <c:pt idx="964">
                  <c:v>-11.310479999999998</c:v>
                </c:pt>
                <c:pt idx="965">
                  <c:v>-11.310479999999998</c:v>
                </c:pt>
                <c:pt idx="966">
                  <c:v>-11.310479999999998</c:v>
                </c:pt>
                <c:pt idx="967">
                  <c:v>-11.310479999999998</c:v>
                </c:pt>
                <c:pt idx="968">
                  <c:v>-11.310479999999998</c:v>
                </c:pt>
                <c:pt idx="969">
                  <c:v>-11.310479999999998</c:v>
                </c:pt>
                <c:pt idx="970">
                  <c:v>-11.310479999999998</c:v>
                </c:pt>
                <c:pt idx="971">
                  <c:v>-11.310479999999998</c:v>
                </c:pt>
                <c:pt idx="972">
                  <c:v>-11.310479999999998</c:v>
                </c:pt>
                <c:pt idx="973">
                  <c:v>-11.310479999999998</c:v>
                </c:pt>
                <c:pt idx="974">
                  <c:v>-11.310479999999998</c:v>
                </c:pt>
                <c:pt idx="975">
                  <c:v>-11.310479999999998</c:v>
                </c:pt>
                <c:pt idx="976">
                  <c:v>-11.310479999999998</c:v>
                </c:pt>
                <c:pt idx="977">
                  <c:v>-11.310479999999998</c:v>
                </c:pt>
                <c:pt idx="978">
                  <c:v>-11.310479999999998</c:v>
                </c:pt>
                <c:pt idx="979">
                  <c:v>-11.310479999999998</c:v>
                </c:pt>
                <c:pt idx="980">
                  <c:v>-11.310479999999998</c:v>
                </c:pt>
                <c:pt idx="981">
                  <c:v>-11.310479999999998</c:v>
                </c:pt>
                <c:pt idx="982">
                  <c:v>-11.310479999999998</c:v>
                </c:pt>
                <c:pt idx="983">
                  <c:v>-11.310479999999998</c:v>
                </c:pt>
                <c:pt idx="984">
                  <c:v>-11.310479999999998</c:v>
                </c:pt>
                <c:pt idx="985">
                  <c:v>-11.310479999999998</c:v>
                </c:pt>
                <c:pt idx="986">
                  <c:v>-11.310479999999998</c:v>
                </c:pt>
                <c:pt idx="987">
                  <c:v>-11.310479999999998</c:v>
                </c:pt>
                <c:pt idx="988">
                  <c:v>-11.310479999999998</c:v>
                </c:pt>
                <c:pt idx="989">
                  <c:v>-11.310479999999998</c:v>
                </c:pt>
                <c:pt idx="990">
                  <c:v>-11.310479999999998</c:v>
                </c:pt>
                <c:pt idx="991">
                  <c:v>-11.310479999999998</c:v>
                </c:pt>
                <c:pt idx="992">
                  <c:v>-11.310479999999998</c:v>
                </c:pt>
                <c:pt idx="993">
                  <c:v>-11.310479999999998</c:v>
                </c:pt>
                <c:pt idx="994">
                  <c:v>-11.310479999999998</c:v>
                </c:pt>
                <c:pt idx="995">
                  <c:v>-11.310479999999998</c:v>
                </c:pt>
                <c:pt idx="996">
                  <c:v>-11.310479999999998</c:v>
                </c:pt>
                <c:pt idx="997">
                  <c:v>-11.310479999999998</c:v>
                </c:pt>
                <c:pt idx="998">
                  <c:v>-11.310479999999998</c:v>
                </c:pt>
                <c:pt idx="999">
                  <c:v>-11.310479999999998</c:v>
                </c:pt>
                <c:pt idx="1000">
                  <c:v>-11.310479999999998</c:v>
                </c:pt>
                <c:pt idx="1001">
                  <c:v>-11.310479999999998</c:v>
                </c:pt>
                <c:pt idx="1002">
                  <c:v>-11.310479999999998</c:v>
                </c:pt>
                <c:pt idx="1003">
                  <c:v>-11.310479999999998</c:v>
                </c:pt>
                <c:pt idx="1004">
                  <c:v>-11.310479999999998</c:v>
                </c:pt>
                <c:pt idx="1005">
                  <c:v>-11.310479999999998</c:v>
                </c:pt>
                <c:pt idx="1006">
                  <c:v>-11.310479999999998</c:v>
                </c:pt>
                <c:pt idx="1007">
                  <c:v>-11.310479999999998</c:v>
                </c:pt>
                <c:pt idx="1008">
                  <c:v>-11.310479999999998</c:v>
                </c:pt>
                <c:pt idx="1009">
                  <c:v>-11.310479999999998</c:v>
                </c:pt>
                <c:pt idx="1010">
                  <c:v>-11.310479999999998</c:v>
                </c:pt>
                <c:pt idx="1011">
                  <c:v>-11.310479999999998</c:v>
                </c:pt>
                <c:pt idx="1012">
                  <c:v>-11.310479999999998</c:v>
                </c:pt>
                <c:pt idx="1013">
                  <c:v>-11.310479999999998</c:v>
                </c:pt>
                <c:pt idx="1014">
                  <c:v>-11.310479999999998</c:v>
                </c:pt>
                <c:pt idx="1015">
                  <c:v>-11.310479999999998</c:v>
                </c:pt>
                <c:pt idx="1016">
                  <c:v>-11.310479999999998</c:v>
                </c:pt>
                <c:pt idx="1017">
                  <c:v>-11.310479999999998</c:v>
                </c:pt>
                <c:pt idx="1018">
                  <c:v>-11.310479999999998</c:v>
                </c:pt>
                <c:pt idx="1019">
                  <c:v>-11.310479999999998</c:v>
                </c:pt>
                <c:pt idx="1020">
                  <c:v>-11.310479999999998</c:v>
                </c:pt>
                <c:pt idx="1021">
                  <c:v>-11.310479999999998</c:v>
                </c:pt>
                <c:pt idx="1022">
                  <c:v>-11.310479999999998</c:v>
                </c:pt>
                <c:pt idx="1023">
                  <c:v>-11.310479999999998</c:v>
                </c:pt>
                <c:pt idx="1024">
                  <c:v>-11.310479999999998</c:v>
                </c:pt>
                <c:pt idx="1025">
                  <c:v>-11.310479999999998</c:v>
                </c:pt>
                <c:pt idx="1026">
                  <c:v>-11.310479999999998</c:v>
                </c:pt>
                <c:pt idx="1027">
                  <c:v>-11.310479999999998</c:v>
                </c:pt>
                <c:pt idx="1028">
                  <c:v>-11.310479999999998</c:v>
                </c:pt>
                <c:pt idx="1029">
                  <c:v>-11.310479999999998</c:v>
                </c:pt>
                <c:pt idx="1030">
                  <c:v>-11.310479999999998</c:v>
                </c:pt>
                <c:pt idx="1031">
                  <c:v>-11.310479999999998</c:v>
                </c:pt>
                <c:pt idx="1032">
                  <c:v>-11.310479999999998</c:v>
                </c:pt>
                <c:pt idx="1033">
                  <c:v>-11.310479999999998</c:v>
                </c:pt>
                <c:pt idx="1034">
                  <c:v>-11.310479999999998</c:v>
                </c:pt>
                <c:pt idx="1035">
                  <c:v>-11.310479999999998</c:v>
                </c:pt>
                <c:pt idx="1036">
                  <c:v>-11.310479999999998</c:v>
                </c:pt>
                <c:pt idx="1037">
                  <c:v>-11.310479999999998</c:v>
                </c:pt>
                <c:pt idx="1038">
                  <c:v>-11.310479999999998</c:v>
                </c:pt>
                <c:pt idx="1039">
                  <c:v>-11.310479999999998</c:v>
                </c:pt>
                <c:pt idx="1040">
                  <c:v>-11.310479999999998</c:v>
                </c:pt>
                <c:pt idx="1041">
                  <c:v>-11.310479999999998</c:v>
                </c:pt>
                <c:pt idx="1042">
                  <c:v>-11.310479999999998</c:v>
                </c:pt>
                <c:pt idx="1043">
                  <c:v>-11.310479999999998</c:v>
                </c:pt>
                <c:pt idx="1044">
                  <c:v>-11.310479999999998</c:v>
                </c:pt>
                <c:pt idx="1045">
                  <c:v>-11.310479999999998</c:v>
                </c:pt>
                <c:pt idx="1046">
                  <c:v>-11.310479999999998</c:v>
                </c:pt>
                <c:pt idx="1047">
                  <c:v>-11.310479999999998</c:v>
                </c:pt>
                <c:pt idx="1048">
                  <c:v>-11.310479999999998</c:v>
                </c:pt>
                <c:pt idx="1049">
                  <c:v>-11.310479999999998</c:v>
                </c:pt>
                <c:pt idx="1050">
                  <c:v>-11.310479999999998</c:v>
                </c:pt>
                <c:pt idx="1051">
                  <c:v>-11.310479999999998</c:v>
                </c:pt>
                <c:pt idx="1052">
                  <c:v>-11.310479999999998</c:v>
                </c:pt>
                <c:pt idx="1053">
                  <c:v>-11.310479999999998</c:v>
                </c:pt>
                <c:pt idx="1054">
                  <c:v>-11.310479999999998</c:v>
                </c:pt>
                <c:pt idx="1055">
                  <c:v>-11.310479999999998</c:v>
                </c:pt>
                <c:pt idx="1056">
                  <c:v>-11.310479999999998</c:v>
                </c:pt>
                <c:pt idx="1057">
                  <c:v>-11.310479999999998</c:v>
                </c:pt>
                <c:pt idx="1058">
                  <c:v>-11.310479999999998</c:v>
                </c:pt>
                <c:pt idx="1059">
                  <c:v>-11.310479999999998</c:v>
                </c:pt>
                <c:pt idx="1060">
                  <c:v>-11.310479999999998</c:v>
                </c:pt>
                <c:pt idx="1061">
                  <c:v>-11.310479999999998</c:v>
                </c:pt>
                <c:pt idx="1062">
                  <c:v>-11.310479999999998</c:v>
                </c:pt>
                <c:pt idx="1063">
                  <c:v>-11.310479999999998</c:v>
                </c:pt>
                <c:pt idx="1064">
                  <c:v>-11.310479999999998</c:v>
                </c:pt>
                <c:pt idx="1065">
                  <c:v>-11.310479999999998</c:v>
                </c:pt>
                <c:pt idx="1066">
                  <c:v>-11.310479999999998</c:v>
                </c:pt>
                <c:pt idx="1067">
                  <c:v>-11.310479999999998</c:v>
                </c:pt>
                <c:pt idx="1068">
                  <c:v>-11.310479999999998</c:v>
                </c:pt>
                <c:pt idx="1069">
                  <c:v>-11.310479999999998</c:v>
                </c:pt>
                <c:pt idx="1070">
                  <c:v>-11.310479999999998</c:v>
                </c:pt>
                <c:pt idx="1071">
                  <c:v>-11.310479999999998</c:v>
                </c:pt>
                <c:pt idx="1072">
                  <c:v>-11.310479999999998</c:v>
                </c:pt>
                <c:pt idx="1073">
                  <c:v>-11.310479999999998</c:v>
                </c:pt>
                <c:pt idx="1074">
                  <c:v>-11.310479999999998</c:v>
                </c:pt>
                <c:pt idx="1075">
                  <c:v>-11.310479999999998</c:v>
                </c:pt>
                <c:pt idx="1076">
                  <c:v>-11.310479999999998</c:v>
                </c:pt>
                <c:pt idx="1077">
                  <c:v>-11.310479999999998</c:v>
                </c:pt>
                <c:pt idx="1078">
                  <c:v>-11.310479999999998</c:v>
                </c:pt>
                <c:pt idx="1079">
                  <c:v>-11.310479999999998</c:v>
                </c:pt>
                <c:pt idx="1080">
                  <c:v>-11.310479999999998</c:v>
                </c:pt>
                <c:pt idx="1081">
                  <c:v>-11.310479999999998</c:v>
                </c:pt>
                <c:pt idx="1082">
                  <c:v>-11.310479999999998</c:v>
                </c:pt>
                <c:pt idx="1083">
                  <c:v>-11.310479999999998</c:v>
                </c:pt>
                <c:pt idx="1084">
                  <c:v>-11.310479999999998</c:v>
                </c:pt>
                <c:pt idx="1085">
                  <c:v>-11.310479999999998</c:v>
                </c:pt>
                <c:pt idx="1086">
                  <c:v>-11.310479999999998</c:v>
                </c:pt>
                <c:pt idx="1087">
                  <c:v>-11.310479999999998</c:v>
                </c:pt>
                <c:pt idx="1088">
                  <c:v>-11.310479999999998</c:v>
                </c:pt>
                <c:pt idx="1089">
                  <c:v>-11.310479999999998</c:v>
                </c:pt>
                <c:pt idx="1090">
                  <c:v>-11.310479999999998</c:v>
                </c:pt>
                <c:pt idx="1091">
                  <c:v>-11.310479999999998</c:v>
                </c:pt>
                <c:pt idx="1092">
                  <c:v>-11.310479999999998</c:v>
                </c:pt>
                <c:pt idx="1093">
                  <c:v>-11.310479999999998</c:v>
                </c:pt>
                <c:pt idx="1094">
                  <c:v>-11.310479999999998</c:v>
                </c:pt>
                <c:pt idx="1095">
                  <c:v>-11.310479999999998</c:v>
                </c:pt>
                <c:pt idx="1096">
                  <c:v>-11.310479999999998</c:v>
                </c:pt>
                <c:pt idx="1097">
                  <c:v>-11.310479999999998</c:v>
                </c:pt>
                <c:pt idx="1098">
                  <c:v>-11.310479999999998</c:v>
                </c:pt>
                <c:pt idx="1099">
                  <c:v>-11.310479999999998</c:v>
                </c:pt>
                <c:pt idx="1100">
                  <c:v>-11.310479999999998</c:v>
                </c:pt>
                <c:pt idx="1101">
                  <c:v>-11.310479999999998</c:v>
                </c:pt>
                <c:pt idx="1102">
                  <c:v>-11.310479999999998</c:v>
                </c:pt>
                <c:pt idx="1103">
                  <c:v>-11.310479999999998</c:v>
                </c:pt>
                <c:pt idx="1104">
                  <c:v>-11.310479999999998</c:v>
                </c:pt>
                <c:pt idx="1105">
                  <c:v>-11.310479999999998</c:v>
                </c:pt>
                <c:pt idx="1106">
                  <c:v>-11.310479999999998</c:v>
                </c:pt>
                <c:pt idx="1107">
                  <c:v>-11.310479999999998</c:v>
                </c:pt>
                <c:pt idx="1108">
                  <c:v>-11.310479999999998</c:v>
                </c:pt>
                <c:pt idx="1109">
                  <c:v>-11.310479999999998</c:v>
                </c:pt>
                <c:pt idx="1110">
                  <c:v>-11.310479999999998</c:v>
                </c:pt>
                <c:pt idx="1111">
                  <c:v>-11.310479999999998</c:v>
                </c:pt>
                <c:pt idx="1112">
                  <c:v>-11.310479999999998</c:v>
                </c:pt>
                <c:pt idx="1113">
                  <c:v>-11.310479999999998</c:v>
                </c:pt>
                <c:pt idx="1114">
                  <c:v>-11.310479999999998</c:v>
                </c:pt>
                <c:pt idx="1115">
                  <c:v>-11.310479999999998</c:v>
                </c:pt>
                <c:pt idx="1116">
                  <c:v>-11.310479999999998</c:v>
                </c:pt>
                <c:pt idx="1117">
                  <c:v>-11.310479999999998</c:v>
                </c:pt>
                <c:pt idx="1118">
                  <c:v>-11.310479999999998</c:v>
                </c:pt>
                <c:pt idx="1119">
                  <c:v>-11.310479999999998</c:v>
                </c:pt>
                <c:pt idx="1120">
                  <c:v>-11.310479999999998</c:v>
                </c:pt>
                <c:pt idx="1121">
                  <c:v>-11.310479999999998</c:v>
                </c:pt>
                <c:pt idx="1122">
                  <c:v>-11.310479999999998</c:v>
                </c:pt>
                <c:pt idx="1123">
                  <c:v>-11.310479999999998</c:v>
                </c:pt>
                <c:pt idx="1124">
                  <c:v>-11.310479999999998</c:v>
                </c:pt>
                <c:pt idx="1125">
                  <c:v>-11.310479999999998</c:v>
                </c:pt>
                <c:pt idx="1126">
                  <c:v>-11.310479999999998</c:v>
                </c:pt>
                <c:pt idx="1127">
                  <c:v>-11.310479999999998</c:v>
                </c:pt>
                <c:pt idx="1128">
                  <c:v>-11.310479999999998</c:v>
                </c:pt>
                <c:pt idx="1129">
                  <c:v>-11.310479999999998</c:v>
                </c:pt>
                <c:pt idx="1130">
                  <c:v>-11.310479999999998</c:v>
                </c:pt>
                <c:pt idx="1131">
                  <c:v>-11.310479999999998</c:v>
                </c:pt>
              </c:numCache>
            </c:numRef>
          </c:xVal>
          <c:yVal>
            <c:numRef>
              <c:f>Plot_Data!$HZ$5:$HZ$1136</c:f>
              <c:numCache>
                <c:formatCode>0.000</c:formatCode>
                <c:ptCount val="1132"/>
                <c:pt idx="0">
                  <c:v>-1.84</c:v>
                </c:pt>
                <c:pt idx="1">
                  <c:v>-1.84</c:v>
                </c:pt>
                <c:pt idx="2">
                  <c:v>-1.84</c:v>
                </c:pt>
                <c:pt idx="3">
                  <c:v>-1.84</c:v>
                </c:pt>
                <c:pt idx="4">
                  <c:v>-1.84</c:v>
                </c:pt>
                <c:pt idx="5">
                  <c:v>-1.84</c:v>
                </c:pt>
                <c:pt idx="6">
                  <c:v>-1.84</c:v>
                </c:pt>
                <c:pt idx="7">
                  <c:v>-1.84</c:v>
                </c:pt>
                <c:pt idx="8">
                  <c:v>-1.84</c:v>
                </c:pt>
                <c:pt idx="9">
                  <c:v>-1.84</c:v>
                </c:pt>
                <c:pt idx="10">
                  <c:v>-1.84</c:v>
                </c:pt>
                <c:pt idx="11">
                  <c:v>-1.84</c:v>
                </c:pt>
                <c:pt idx="12">
                  <c:v>-1.84</c:v>
                </c:pt>
                <c:pt idx="13">
                  <c:v>-1.84</c:v>
                </c:pt>
                <c:pt idx="14">
                  <c:v>-1.84</c:v>
                </c:pt>
                <c:pt idx="15">
                  <c:v>-1.84</c:v>
                </c:pt>
                <c:pt idx="16">
                  <c:v>-1.84</c:v>
                </c:pt>
                <c:pt idx="17">
                  <c:v>-1.84</c:v>
                </c:pt>
                <c:pt idx="18">
                  <c:v>-1.84</c:v>
                </c:pt>
                <c:pt idx="19">
                  <c:v>-1.84</c:v>
                </c:pt>
                <c:pt idx="20">
                  <c:v>-1.84</c:v>
                </c:pt>
                <c:pt idx="21">
                  <c:v>-1.84</c:v>
                </c:pt>
                <c:pt idx="22">
                  <c:v>-1.84</c:v>
                </c:pt>
                <c:pt idx="23">
                  <c:v>-1.84</c:v>
                </c:pt>
                <c:pt idx="24">
                  <c:v>-1.84</c:v>
                </c:pt>
                <c:pt idx="25">
                  <c:v>-1.84</c:v>
                </c:pt>
                <c:pt idx="26">
                  <c:v>-1.84</c:v>
                </c:pt>
                <c:pt idx="27">
                  <c:v>-1.84</c:v>
                </c:pt>
                <c:pt idx="28">
                  <c:v>-1.84</c:v>
                </c:pt>
                <c:pt idx="29">
                  <c:v>-1.84</c:v>
                </c:pt>
                <c:pt idx="30">
                  <c:v>-1.84</c:v>
                </c:pt>
                <c:pt idx="31">
                  <c:v>-1.84</c:v>
                </c:pt>
                <c:pt idx="32">
                  <c:v>-1.84</c:v>
                </c:pt>
                <c:pt idx="33">
                  <c:v>-1.84</c:v>
                </c:pt>
                <c:pt idx="34">
                  <c:v>-1.84</c:v>
                </c:pt>
                <c:pt idx="35">
                  <c:v>-1.84</c:v>
                </c:pt>
                <c:pt idx="36">
                  <c:v>-1.84</c:v>
                </c:pt>
                <c:pt idx="37">
                  <c:v>-1.84</c:v>
                </c:pt>
                <c:pt idx="38">
                  <c:v>-1.84</c:v>
                </c:pt>
                <c:pt idx="39">
                  <c:v>-1.84</c:v>
                </c:pt>
                <c:pt idx="40">
                  <c:v>-1.84</c:v>
                </c:pt>
                <c:pt idx="41">
                  <c:v>-1.84</c:v>
                </c:pt>
                <c:pt idx="42">
                  <c:v>-1.84</c:v>
                </c:pt>
                <c:pt idx="43">
                  <c:v>-1.84</c:v>
                </c:pt>
                <c:pt idx="44">
                  <c:v>-1.84</c:v>
                </c:pt>
                <c:pt idx="45">
                  <c:v>-1.84</c:v>
                </c:pt>
                <c:pt idx="46">
                  <c:v>-1.84</c:v>
                </c:pt>
                <c:pt idx="47">
                  <c:v>-1.84</c:v>
                </c:pt>
                <c:pt idx="48">
                  <c:v>-1.84</c:v>
                </c:pt>
                <c:pt idx="49">
                  <c:v>-1.84</c:v>
                </c:pt>
                <c:pt idx="50">
                  <c:v>-1.84</c:v>
                </c:pt>
                <c:pt idx="51">
                  <c:v>-1.84</c:v>
                </c:pt>
                <c:pt idx="52">
                  <c:v>-1.84</c:v>
                </c:pt>
                <c:pt idx="53">
                  <c:v>-1.84</c:v>
                </c:pt>
                <c:pt idx="54">
                  <c:v>-1.84</c:v>
                </c:pt>
                <c:pt idx="55">
                  <c:v>-1.84</c:v>
                </c:pt>
                <c:pt idx="56">
                  <c:v>-1.84</c:v>
                </c:pt>
                <c:pt idx="57">
                  <c:v>-1.84</c:v>
                </c:pt>
                <c:pt idx="58">
                  <c:v>-1.84</c:v>
                </c:pt>
                <c:pt idx="59">
                  <c:v>-1.84</c:v>
                </c:pt>
                <c:pt idx="60">
                  <c:v>-1.84</c:v>
                </c:pt>
                <c:pt idx="61">
                  <c:v>-1.84</c:v>
                </c:pt>
                <c:pt idx="62">
                  <c:v>-1.84</c:v>
                </c:pt>
                <c:pt idx="63">
                  <c:v>-1.84</c:v>
                </c:pt>
                <c:pt idx="64">
                  <c:v>-1.84</c:v>
                </c:pt>
                <c:pt idx="65">
                  <c:v>-1.84</c:v>
                </c:pt>
                <c:pt idx="66">
                  <c:v>-1.84</c:v>
                </c:pt>
                <c:pt idx="67">
                  <c:v>-1.84</c:v>
                </c:pt>
                <c:pt idx="68">
                  <c:v>-1.84</c:v>
                </c:pt>
                <c:pt idx="69">
                  <c:v>-1.84</c:v>
                </c:pt>
                <c:pt idx="70">
                  <c:v>-1.84</c:v>
                </c:pt>
                <c:pt idx="71">
                  <c:v>-1.84</c:v>
                </c:pt>
                <c:pt idx="72">
                  <c:v>-1.84</c:v>
                </c:pt>
                <c:pt idx="73">
                  <c:v>-1.84</c:v>
                </c:pt>
                <c:pt idx="74">
                  <c:v>-1.84</c:v>
                </c:pt>
                <c:pt idx="75">
                  <c:v>-1.84</c:v>
                </c:pt>
                <c:pt idx="76">
                  <c:v>-1.84</c:v>
                </c:pt>
                <c:pt idx="77">
                  <c:v>-1.84</c:v>
                </c:pt>
                <c:pt idx="78">
                  <c:v>-1.84</c:v>
                </c:pt>
                <c:pt idx="79">
                  <c:v>-1.84</c:v>
                </c:pt>
                <c:pt idx="80">
                  <c:v>-1.84</c:v>
                </c:pt>
                <c:pt idx="81">
                  <c:v>-1.84</c:v>
                </c:pt>
                <c:pt idx="82">
                  <c:v>-1.84</c:v>
                </c:pt>
                <c:pt idx="83">
                  <c:v>-1.84</c:v>
                </c:pt>
                <c:pt idx="84">
                  <c:v>-1.84</c:v>
                </c:pt>
                <c:pt idx="85">
                  <c:v>-1.84</c:v>
                </c:pt>
                <c:pt idx="86">
                  <c:v>-1.84</c:v>
                </c:pt>
                <c:pt idx="87">
                  <c:v>-1.84</c:v>
                </c:pt>
                <c:pt idx="88">
                  <c:v>-1.84</c:v>
                </c:pt>
                <c:pt idx="89">
                  <c:v>-1.84</c:v>
                </c:pt>
                <c:pt idx="90">
                  <c:v>-1.84</c:v>
                </c:pt>
                <c:pt idx="91">
                  <c:v>-1.84</c:v>
                </c:pt>
                <c:pt idx="92">
                  <c:v>-1.84</c:v>
                </c:pt>
                <c:pt idx="93">
                  <c:v>-1.84</c:v>
                </c:pt>
                <c:pt idx="94">
                  <c:v>-1.84</c:v>
                </c:pt>
                <c:pt idx="95">
                  <c:v>-1.84</c:v>
                </c:pt>
                <c:pt idx="96">
                  <c:v>-1.84</c:v>
                </c:pt>
                <c:pt idx="97">
                  <c:v>-1.84</c:v>
                </c:pt>
                <c:pt idx="98">
                  <c:v>-1.84</c:v>
                </c:pt>
                <c:pt idx="99">
                  <c:v>-1.84</c:v>
                </c:pt>
                <c:pt idx="100">
                  <c:v>-1.84</c:v>
                </c:pt>
                <c:pt idx="101">
                  <c:v>-1.84</c:v>
                </c:pt>
                <c:pt idx="102">
                  <c:v>-1.84</c:v>
                </c:pt>
                <c:pt idx="103">
                  <c:v>-1.84</c:v>
                </c:pt>
                <c:pt idx="104">
                  <c:v>-1.84</c:v>
                </c:pt>
                <c:pt idx="105">
                  <c:v>-1.84</c:v>
                </c:pt>
                <c:pt idx="106">
                  <c:v>-1.84</c:v>
                </c:pt>
                <c:pt idx="107">
                  <c:v>-1.84</c:v>
                </c:pt>
                <c:pt idx="108">
                  <c:v>-1.84</c:v>
                </c:pt>
                <c:pt idx="109">
                  <c:v>-1.84</c:v>
                </c:pt>
                <c:pt idx="110">
                  <c:v>-1.84</c:v>
                </c:pt>
                <c:pt idx="111">
                  <c:v>-1.84</c:v>
                </c:pt>
                <c:pt idx="112">
                  <c:v>-1.84</c:v>
                </c:pt>
                <c:pt idx="113">
                  <c:v>-1.84</c:v>
                </c:pt>
                <c:pt idx="114">
                  <c:v>-1.84</c:v>
                </c:pt>
                <c:pt idx="115">
                  <c:v>-1.84</c:v>
                </c:pt>
                <c:pt idx="116">
                  <c:v>-1.84</c:v>
                </c:pt>
                <c:pt idx="117">
                  <c:v>-1.84</c:v>
                </c:pt>
                <c:pt idx="118">
                  <c:v>-1.84</c:v>
                </c:pt>
                <c:pt idx="119">
                  <c:v>-1.84</c:v>
                </c:pt>
                <c:pt idx="120">
                  <c:v>-1.84</c:v>
                </c:pt>
                <c:pt idx="121">
                  <c:v>-1.84</c:v>
                </c:pt>
                <c:pt idx="122">
                  <c:v>-1.84</c:v>
                </c:pt>
                <c:pt idx="123">
                  <c:v>-1.84</c:v>
                </c:pt>
                <c:pt idx="124">
                  <c:v>-1.84</c:v>
                </c:pt>
                <c:pt idx="125">
                  <c:v>-1.84</c:v>
                </c:pt>
                <c:pt idx="126">
                  <c:v>-1.84</c:v>
                </c:pt>
                <c:pt idx="127">
                  <c:v>-1.84</c:v>
                </c:pt>
                <c:pt idx="128">
                  <c:v>-1.84</c:v>
                </c:pt>
                <c:pt idx="129">
                  <c:v>-1.84</c:v>
                </c:pt>
                <c:pt idx="130">
                  <c:v>-1.84</c:v>
                </c:pt>
                <c:pt idx="131">
                  <c:v>-1.84</c:v>
                </c:pt>
                <c:pt idx="132">
                  <c:v>-1.84</c:v>
                </c:pt>
                <c:pt idx="133">
                  <c:v>-1.84</c:v>
                </c:pt>
                <c:pt idx="134">
                  <c:v>-1.84</c:v>
                </c:pt>
                <c:pt idx="135">
                  <c:v>-1.84</c:v>
                </c:pt>
                <c:pt idx="136">
                  <c:v>-1.84</c:v>
                </c:pt>
                <c:pt idx="137">
                  <c:v>-1.84</c:v>
                </c:pt>
                <c:pt idx="138">
                  <c:v>-1.84</c:v>
                </c:pt>
                <c:pt idx="139">
                  <c:v>-1.84</c:v>
                </c:pt>
                <c:pt idx="140">
                  <c:v>-1.84</c:v>
                </c:pt>
                <c:pt idx="141">
                  <c:v>-1.84</c:v>
                </c:pt>
                <c:pt idx="142">
                  <c:v>-1.84</c:v>
                </c:pt>
                <c:pt idx="143">
                  <c:v>-1.84</c:v>
                </c:pt>
                <c:pt idx="144">
                  <c:v>-1.84</c:v>
                </c:pt>
                <c:pt idx="145">
                  <c:v>-1.84</c:v>
                </c:pt>
                <c:pt idx="146">
                  <c:v>-1.84</c:v>
                </c:pt>
                <c:pt idx="147">
                  <c:v>-1.84</c:v>
                </c:pt>
                <c:pt idx="148">
                  <c:v>-1.84</c:v>
                </c:pt>
                <c:pt idx="149">
                  <c:v>-1.84</c:v>
                </c:pt>
                <c:pt idx="150">
                  <c:v>-1.84</c:v>
                </c:pt>
                <c:pt idx="151">
                  <c:v>-1.84</c:v>
                </c:pt>
                <c:pt idx="152">
                  <c:v>-1.84</c:v>
                </c:pt>
                <c:pt idx="153">
                  <c:v>-1.84</c:v>
                </c:pt>
                <c:pt idx="154">
                  <c:v>-1.84</c:v>
                </c:pt>
                <c:pt idx="155">
                  <c:v>-1.84</c:v>
                </c:pt>
                <c:pt idx="156">
                  <c:v>-1.84</c:v>
                </c:pt>
                <c:pt idx="157">
                  <c:v>-1.84</c:v>
                </c:pt>
                <c:pt idx="158">
                  <c:v>-1.84</c:v>
                </c:pt>
                <c:pt idx="159">
                  <c:v>-1.84</c:v>
                </c:pt>
                <c:pt idx="160">
                  <c:v>-1.84</c:v>
                </c:pt>
                <c:pt idx="161">
                  <c:v>-1.84</c:v>
                </c:pt>
                <c:pt idx="162">
                  <c:v>-1.84</c:v>
                </c:pt>
                <c:pt idx="163">
                  <c:v>-1.84</c:v>
                </c:pt>
                <c:pt idx="164">
                  <c:v>-1.84</c:v>
                </c:pt>
                <c:pt idx="165">
                  <c:v>-1.84</c:v>
                </c:pt>
                <c:pt idx="166">
                  <c:v>-1.84</c:v>
                </c:pt>
                <c:pt idx="167">
                  <c:v>-1.84</c:v>
                </c:pt>
                <c:pt idx="168">
                  <c:v>-1.84</c:v>
                </c:pt>
                <c:pt idx="169">
                  <c:v>-1.84</c:v>
                </c:pt>
                <c:pt idx="170">
                  <c:v>-1.84</c:v>
                </c:pt>
                <c:pt idx="171">
                  <c:v>-1.84</c:v>
                </c:pt>
                <c:pt idx="172">
                  <c:v>-1.84</c:v>
                </c:pt>
                <c:pt idx="173">
                  <c:v>-1.84</c:v>
                </c:pt>
                <c:pt idx="174">
                  <c:v>-1.84</c:v>
                </c:pt>
                <c:pt idx="175">
                  <c:v>-1.84</c:v>
                </c:pt>
                <c:pt idx="176">
                  <c:v>-1.84</c:v>
                </c:pt>
                <c:pt idx="177">
                  <c:v>-1.84</c:v>
                </c:pt>
                <c:pt idx="178">
                  <c:v>-1.84</c:v>
                </c:pt>
                <c:pt idx="179">
                  <c:v>-1.84</c:v>
                </c:pt>
                <c:pt idx="180">
                  <c:v>-1.84</c:v>
                </c:pt>
                <c:pt idx="181">
                  <c:v>-1.84</c:v>
                </c:pt>
                <c:pt idx="182">
                  <c:v>-1.84</c:v>
                </c:pt>
                <c:pt idx="183">
                  <c:v>-1.84</c:v>
                </c:pt>
                <c:pt idx="184">
                  <c:v>-1.84</c:v>
                </c:pt>
                <c:pt idx="185">
                  <c:v>-1.84</c:v>
                </c:pt>
                <c:pt idx="186">
                  <c:v>-1.84</c:v>
                </c:pt>
                <c:pt idx="187">
                  <c:v>-1.84</c:v>
                </c:pt>
                <c:pt idx="188">
                  <c:v>-1.84</c:v>
                </c:pt>
                <c:pt idx="189">
                  <c:v>-1.84</c:v>
                </c:pt>
                <c:pt idx="190">
                  <c:v>-1.84</c:v>
                </c:pt>
                <c:pt idx="191">
                  <c:v>-1.84</c:v>
                </c:pt>
                <c:pt idx="192">
                  <c:v>-1.84</c:v>
                </c:pt>
                <c:pt idx="193">
                  <c:v>-1.84</c:v>
                </c:pt>
                <c:pt idx="194">
                  <c:v>-1.84</c:v>
                </c:pt>
                <c:pt idx="195">
                  <c:v>-1.84</c:v>
                </c:pt>
                <c:pt idx="196">
                  <c:v>-1.84</c:v>
                </c:pt>
                <c:pt idx="197">
                  <c:v>-1.84</c:v>
                </c:pt>
                <c:pt idx="198">
                  <c:v>-1.84</c:v>
                </c:pt>
                <c:pt idx="199">
                  <c:v>-1.84</c:v>
                </c:pt>
                <c:pt idx="200">
                  <c:v>-1.84</c:v>
                </c:pt>
                <c:pt idx="201">
                  <c:v>-1.84</c:v>
                </c:pt>
                <c:pt idx="202">
                  <c:v>-1.84</c:v>
                </c:pt>
                <c:pt idx="203">
                  <c:v>-1.84</c:v>
                </c:pt>
                <c:pt idx="204">
                  <c:v>-1.84</c:v>
                </c:pt>
                <c:pt idx="205">
                  <c:v>-1.84</c:v>
                </c:pt>
                <c:pt idx="206">
                  <c:v>-1.84</c:v>
                </c:pt>
                <c:pt idx="207">
                  <c:v>-1.84</c:v>
                </c:pt>
                <c:pt idx="208">
                  <c:v>-1.84</c:v>
                </c:pt>
                <c:pt idx="209">
                  <c:v>-1.84</c:v>
                </c:pt>
                <c:pt idx="210">
                  <c:v>-1.84</c:v>
                </c:pt>
                <c:pt idx="211">
                  <c:v>-1.84</c:v>
                </c:pt>
                <c:pt idx="212">
                  <c:v>-1.84</c:v>
                </c:pt>
                <c:pt idx="213">
                  <c:v>-1.84</c:v>
                </c:pt>
                <c:pt idx="214">
                  <c:v>-1.84</c:v>
                </c:pt>
                <c:pt idx="215">
                  <c:v>-1.84</c:v>
                </c:pt>
                <c:pt idx="216">
                  <c:v>-1.84</c:v>
                </c:pt>
                <c:pt idx="217">
                  <c:v>-1.84</c:v>
                </c:pt>
                <c:pt idx="218">
                  <c:v>-1.84</c:v>
                </c:pt>
                <c:pt idx="219">
                  <c:v>-1.84</c:v>
                </c:pt>
                <c:pt idx="220">
                  <c:v>-1.84</c:v>
                </c:pt>
                <c:pt idx="221">
                  <c:v>-1.84</c:v>
                </c:pt>
                <c:pt idx="222">
                  <c:v>-1.84</c:v>
                </c:pt>
                <c:pt idx="223">
                  <c:v>-1.84</c:v>
                </c:pt>
                <c:pt idx="224">
                  <c:v>-1.84</c:v>
                </c:pt>
                <c:pt idx="225">
                  <c:v>-1.84</c:v>
                </c:pt>
                <c:pt idx="226">
                  <c:v>-1.84</c:v>
                </c:pt>
                <c:pt idx="227">
                  <c:v>-1.84</c:v>
                </c:pt>
                <c:pt idx="228">
                  <c:v>-1.84</c:v>
                </c:pt>
                <c:pt idx="229">
                  <c:v>-1.84</c:v>
                </c:pt>
                <c:pt idx="230">
                  <c:v>-1.84</c:v>
                </c:pt>
                <c:pt idx="231">
                  <c:v>-1.84</c:v>
                </c:pt>
                <c:pt idx="232">
                  <c:v>-1.84</c:v>
                </c:pt>
                <c:pt idx="233">
                  <c:v>-1.84</c:v>
                </c:pt>
                <c:pt idx="234">
                  <c:v>-1.84</c:v>
                </c:pt>
                <c:pt idx="235">
                  <c:v>-1.84</c:v>
                </c:pt>
                <c:pt idx="236">
                  <c:v>-1.84</c:v>
                </c:pt>
                <c:pt idx="237">
                  <c:v>-1.84</c:v>
                </c:pt>
                <c:pt idx="238">
                  <c:v>-1.84</c:v>
                </c:pt>
                <c:pt idx="239">
                  <c:v>-1.84</c:v>
                </c:pt>
                <c:pt idx="240">
                  <c:v>-1.84</c:v>
                </c:pt>
                <c:pt idx="241">
                  <c:v>-1.84</c:v>
                </c:pt>
                <c:pt idx="242">
                  <c:v>-1.84</c:v>
                </c:pt>
                <c:pt idx="243">
                  <c:v>-1.84</c:v>
                </c:pt>
                <c:pt idx="244">
                  <c:v>-1.84</c:v>
                </c:pt>
                <c:pt idx="245">
                  <c:v>-1.84</c:v>
                </c:pt>
                <c:pt idx="246">
                  <c:v>-1.84</c:v>
                </c:pt>
                <c:pt idx="247">
                  <c:v>-1.84</c:v>
                </c:pt>
                <c:pt idx="248">
                  <c:v>-1.84</c:v>
                </c:pt>
                <c:pt idx="249">
                  <c:v>-1.84</c:v>
                </c:pt>
                <c:pt idx="250">
                  <c:v>-1.84</c:v>
                </c:pt>
                <c:pt idx="251">
                  <c:v>-1.84</c:v>
                </c:pt>
                <c:pt idx="252">
                  <c:v>-1.84</c:v>
                </c:pt>
                <c:pt idx="253">
                  <c:v>-1.84</c:v>
                </c:pt>
                <c:pt idx="254">
                  <c:v>-1.84</c:v>
                </c:pt>
                <c:pt idx="255">
                  <c:v>-1.84</c:v>
                </c:pt>
                <c:pt idx="256">
                  <c:v>-1.84</c:v>
                </c:pt>
                <c:pt idx="257">
                  <c:v>-1.84</c:v>
                </c:pt>
                <c:pt idx="258">
                  <c:v>-1.84</c:v>
                </c:pt>
                <c:pt idx="259">
                  <c:v>-1.84</c:v>
                </c:pt>
                <c:pt idx="260">
                  <c:v>-1.84</c:v>
                </c:pt>
                <c:pt idx="261">
                  <c:v>-1.84</c:v>
                </c:pt>
                <c:pt idx="262">
                  <c:v>-1.84</c:v>
                </c:pt>
                <c:pt idx="263">
                  <c:v>-1.84</c:v>
                </c:pt>
                <c:pt idx="264">
                  <c:v>-1.84</c:v>
                </c:pt>
                <c:pt idx="265">
                  <c:v>-1.84</c:v>
                </c:pt>
                <c:pt idx="266">
                  <c:v>-1.84</c:v>
                </c:pt>
                <c:pt idx="267">
                  <c:v>-1.84</c:v>
                </c:pt>
                <c:pt idx="268">
                  <c:v>-1.84</c:v>
                </c:pt>
                <c:pt idx="269">
                  <c:v>-1.84</c:v>
                </c:pt>
                <c:pt idx="270">
                  <c:v>-1.84</c:v>
                </c:pt>
                <c:pt idx="271">
                  <c:v>-1.84</c:v>
                </c:pt>
                <c:pt idx="272">
                  <c:v>-1.84</c:v>
                </c:pt>
                <c:pt idx="273">
                  <c:v>-1.84</c:v>
                </c:pt>
                <c:pt idx="274">
                  <c:v>-1.84</c:v>
                </c:pt>
                <c:pt idx="275">
                  <c:v>-1.84</c:v>
                </c:pt>
                <c:pt idx="276">
                  <c:v>-1.84</c:v>
                </c:pt>
                <c:pt idx="277">
                  <c:v>-1.84</c:v>
                </c:pt>
                <c:pt idx="278">
                  <c:v>-1.84</c:v>
                </c:pt>
                <c:pt idx="279">
                  <c:v>-1.84</c:v>
                </c:pt>
                <c:pt idx="280">
                  <c:v>-1.84</c:v>
                </c:pt>
                <c:pt idx="281">
                  <c:v>-1.84</c:v>
                </c:pt>
                <c:pt idx="282">
                  <c:v>-1.84</c:v>
                </c:pt>
                <c:pt idx="283">
                  <c:v>-1.84</c:v>
                </c:pt>
                <c:pt idx="284">
                  <c:v>-1.84</c:v>
                </c:pt>
                <c:pt idx="285">
                  <c:v>-1.84</c:v>
                </c:pt>
                <c:pt idx="286">
                  <c:v>-1.84</c:v>
                </c:pt>
                <c:pt idx="287">
                  <c:v>-1.84</c:v>
                </c:pt>
                <c:pt idx="288">
                  <c:v>-1.84</c:v>
                </c:pt>
                <c:pt idx="289">
                  <c:v>-1.84</c:v>
                </c:pt>
                <c:pt idx="290">
                  <c:v>-1.84</c:v>
                </c:pt>
                <c:pt idx="291">
                  <c:v>-1.84</c:v>
                </c:pt>
                <c:pt idx="292">
                  <c:v>-1.84</c:v>
                </c:pt>
                <c:pt idx="293">
                  <c:v>-1.84</c:v>
                </c:pt>
                <c:pt idx="294">
                  <c:v>-1.84</c:v>
                </c:pt>
                <c:pt idx="295">
                  <c:v>-1.84</c:v>
                </c:pt>
                <c:pt idx="296">
                  <c:v>-1.84</c:v>
                </c:pt>
                <c:pt idx="297">
                  <c:v>-1.84</c:v>
                </c:pt>
                <c:pt idx="298">
                  <c:v>-1.84</c:v>
                </c:pt>
                <c:pt idx="299">
                  <c:v>-1.84</c:v>
                </c:pt>
                <c:pt idx="300">
                  <c:v>-1.84</c:v>
                </c:pt>
                <c:pt idx="301">
                  <c:v>-1.84</c:v>
                </c:pt>
                <c:pt idx="302">
                  <c:v>-1.84</c:v>
                </c:pt>
                <c:pt idx="303">
                  <c:v>-1.84</c:v>
                </c:pt>
                <c:pt idx="304">
                  <c:v>-1.84</c:v>
                </c:pt>
                <c:pt idx="305">
                  <c:v>-1.84</c:v>
                </c:pt>
                <c:pt idx="306">
                  <c:v>-1.84</c:v>
                </c:pt>
                <c:pt idx="307">
                  <c:v>-1.84</c:v>
                </c:pt>
                <c:pt idx="308">
                  <c:v>-1.84</c:v>
                </c:pt>
                <c:pt idx="309">
                  <c:v>-1.84</c:v>
                </c:pt>
                <c:pt idx="310">
                  <c:v>-1.84</c:v>
                </c:pt>
                <c:pt idx="311">
                  <c:v>-1.84</c:v>
                </c:pt>
                <c:pt idx="312">
                  <c:v>-1.84</c:v>
                </c:pt>
                <c:pt idx="313">
                  <c:v>-1.84</c:v>
                </c:pt>
                <c:pt idx="314">
                  <c:v>-1.84</c:v>
                </c:pt>
                <c:pt idx="315">
                  <c:v>-1.84</c:v>
                </c:pt>
                <c:pt idx="316">
                  <c:v>-1.84</c:v>
                </c:pt>
                <c:pt idx="317">
                  <c:v>-1.84</c:v>
                </c:pt>
                <c:pt idx="318">
                  <c:v>-1.84</c:v>
                </c:pt>
                <c:pt idx="319">
                  <c:v>-1.84</c:v>
                </c:pt>
                <c:pt idx="320">
                  <c:v>-1.84</c:v>
                </c:pt>
                <c:pt idx="321">
                  <c:v>-1.84</c:v>
                </c:pt>
                <c:pt idx="322">
                  <c:v>-1.84</c:v>
                </c:pt>
                <c:pt idx="323">
                  <c:v>-1.84</c:v>
                </c:pt>
                <c:pt idx="324">
                  <c:v>-1.84</c:v>
                </c:pt>
                <c:pt idx="325">
                  <c:v>-1.84</c:v>
                </c:pt>
                <c:pt idx="326">
                  <c:v>-1.84</c:v>
                </c:pt>
                <c:pt idx="327">
                  <c:v>-1.84</c:v>
                </c:pt>
                <c:pt idx="328">
                  <c:v>-1.84</c:v>
                </c:pt>
                <c:pt idx="329">
                  <c:v>-1.84</c:v>
                </c:pt>
                <c:pt idx="330">
                  <c:v>-1.84</c:v>
                </c:pt>
                <c:pt idx="331">
                  <c:v>-1.84</c:v>
                </c:pt>
                <c:pt idx="332">
                  <c:v>-1.84</c:v>
                </c:pt>
                <c:pt idx="333">
                  <c:v>-1.84</c:v>
                </c:pt>
                <c:pt idx="334">
                  <c:v>-1.84</c:v>
                </c:pt>
                <c:pt idx="335">
                  <c:v>-1.84</c:v>
                </c:pt>
                <c:pt idx="336">
                  <c:v>-1.84</c:v>
                </c:pt>
                <c:pt idx="337">
                  <c:v>-1.84</c:v>
                </c:pt>
                <c:pt idx="338">
                  <c:v>-1.84</c:v>
                </c:pt>
                <c:pt idx="339">
                  <c:v>-1.84</c:v>
                </c:pt>
                <c:pt idx="340">
                  <c:v>-1.84</c:v>
                </c:pt>
                <c:pt idx="341">
                  <c:v>-1.84</c:v>
                </c:pt>
                <c:pt idx="342">
                  <c:v>-1.84</c:v>
                </c:pt>
                <c:pt idx="343">
                  <c:v>-1.84</c:v>
                </c:pt>
                <c:pt idx="344">
                  <c:v>-1.84</c:v>
                </c:pt>
                <c:pt idx="345">
                  <c:v>-1.84</c:v>
                </c:pt>
                <c:pt idx="346">
                  <c:v>-1.84</c:v>
                </c:pt>
                <c:pt idx="347">
                  <c:v>-1.84</c:v>
                </c:pt>
                <c:pt idx="348">
                  <c:v>-1.84</c:v>
                </c:pt>
                <c:pt idx="349">
                  <c:v>-1.84</c:v>
                </c:pt>
                <c:pt idx="350">
                  <c:v>-1.84</c:v>
                </c:pt>
                <c:pt idx="351">
                  <c:v>-1.84</c:v>
                </c:pt>
                <c:pt idx="352">
                  <c:v>-1.84</c:v>
                </c:pt>
                <c:pt idx="353">
                  <c:v>-1.84</c:v>
                </c:pt>
                <c:pt idx="354">
                  <c:v>-1.84</c:v>
                </c:pt>
                <c:pt idx="355">
                  <c:v>-1.84</c:v>
                </c:pt>
                <c:pt idx="356">
                  <c:v>-1.84</c:v>
                </c:pt>
                <c:pt idx="357">
                  <c:v>-1.84</c:v>
                </c:pt>
                <c:pt idx="358">
                  <c:v>-1.84</c:v>
                </c:pt>
                <c:pt idx="359">
                  <c:v>-1.84</c:v>
                </c:pt>
                <c:pt idx="360">
                  <c:v>-1.84</c:v>
                </c:pt>
                <c:pt idx="361">
                  <c:v>-1.84</c:v>
                </c:pt>
                <c:pt idx="362">
                  <c:v>-1.84</c:v>
                </c:pt>
                <c:pt idx="363">
                  <c:v>-1.84</c:v>
                </c:pt>
                <c:pt idx="364">
                  <c:v>-1.84</c:v>
                </c:pt>
                <c:pt idx="365">
                  <c:v>-1.84</c:v>
                </c:pt>
                <c:pt idx="366">
                  <c:v>-1.84</c:v>
                </c:pt>
                <c:pt idx="367">
                  <c:v>-1.84</c:v>
                </c:pt>
                <c:pt idx="368">
                  <c:v>-1.84</c:v>
                </c:pt>
                <c:pt idx="369">
                  <c:v>-1.84</c:v>
                </c:pt>
                <c:pt idx="370">
                  <c:v>-1.84</c:v>
                </c:pt>
                <c:pt idx="371">
                  <c:v>-1.84</c:v>
                </c:pt>
                <c:pt idx="372">
                  <c:v>-1.84</c:v>
                </c:pt>
                <c:pt idx="373">
                  <c:v>-1.84</c:v>
                </c:pt>
                <c:pt idx="374">
                  <c:v>-1.84</c:v>
                </c:pt>
                <c:pt idx="375">
                  <c:v>-1.84</c:v>
                </c:pt>
                <c:pt idx="376">
                  <c:v>-1.84</c:v>
                </c:pt>
                <c:pt idx="377">
                  <c:v>-1.84</c:v>
                </c:pt>
                <c:pt idx="378">
                  <c:v>-1.84</c:v>
                </c:pt>
                <c:pt idx="379">
                  <c:v>-1.84</c:v>
                </c:pt>
                <c:pt idx="380">
                  <c:v>-1.84</c:v>
                </c:pt>
                <c:pt idx="381">
                  <c:v>-1.84</c:v>
                </c:pt>
                <c:pt idx="382">
                  <c:v>-1.84</c:v>
                </c:pt>
                <c:pt idx="383">
                  <c:v>-1.84</c:v>
                </c:pt>
                <c:pt idx="384">
                  <c:v>-1.84</c:v>
                </c:pt>
                <c:pt idx="385">
                  <c:v>-1.84</c:v>
                </c:pt>
                <c:pt idx="386">
                  <c:v>-1.84</c:v>
                </c:pt>
                <c:pt idx="387">
                  <c:v>-1.84</c:v>
                </c:pt>
                <c:pt idx="388">
                  <c:v>-1.84</c:v>
                </c:pt>
                <c:pt idx="389">
                  <c:v>-1.84</c:v>
                </c:pt>
                <c:pt idx="390">
                  <c:v>-1.84</c:v>
                </c:pt>
                <c:pt idx="391">
                  <c:v>-1.84</c:v>
                </c:pt>
                <c:pt idx="392">
                  <c:v>-1.84</c:v>
                </c:pt>
                <c:pt idx="393">
                  <c:v>-1.84</c:v>
                </c:pt>
                <c:pt idx="394">
                  <c:v>-1.84</c:v>
                </c:pt>
                <c:pt idx="395">
                  <c:v>-1.84</c:v>
                </c:pt>
                <c:pt idx="396">
                  <c:v>-1.84</c:v>
                </c:pt>
                <c:pt idx="397">
                  <c:v>-1.84</c:v>
                </c:pt>
                <c:pt idx="398">
                  <c:v>-1.84</c:v>
                </c:pt>
                <c:pt idx="399">
                  <c:v>-1.84</c:v>
                </c:pt>
                <c:pt idx="400">
                  <c:v>-1.84</c:v>
                </c:pt>
                <c:pt idx="401">
                  <c:v>-1.84</c:v>
                </c:pt>
                <c:pt idx="402">
                  <c:v>-1.84</c:v>
                </c:pt>
                <c:pt idx="403">
                  <c:v>-1.84</c:v>
                </c:pt>
                <c:pt idx="404">
                  <c:v>-1.84</c:v>
                </c:pt>
                <c:pt idx="405">
                  <c:v>-1.84</c:v>
                </c:pt>
                <c:pt idx="406">
                  <c:v>-1.84</c:v>
                </c:pt>
                <c:pt idx="407">
                  <c:v>-1.84</c:v>
                </c:pt>
                <c:pt idx="408">
                  <c:v>-1.84</c:v>
                </c:pt>
                <c:pt idx="409">
                  <c:v>-1.84</c:v>
                </c:pt>
                <c:pt idx="410">
                  <c:v>-1.84</c:v>
                </c:pt>
                <c:pt idx="411">
                  <c:v>-1.84</c:v>
                </c:pt>
                <c:pt idx="412">
                  <c:v>-1.84</c:v>
                </c:pt>
                <c:pt idx="413">
                  <c:v>-1.84</c:v>
                </c:pt>
                <c:pt idx="414">
                  <c:v>-1.84</c:v>
                </c:pt>
                <c:pt idx="415">
                  <c:v>-1.84</c:v>
                </c:pt>
                <c:pt idx="416">
                  <c:v>-1.84</c:v>
                </c:pt>
                <c:pt idx="417">
                  <c:v>-1.84</c:v>
                </c:pt>
                <c:pt idx="418">
                  <c:v>-1.84</c:v>
                </c:pt>
                <c:pt idx="419">
                  <c:v>-1.84</c:v>
                </c:pt>
                <c:pt idx="420">
                  <c:v>-1.84</c:v>
                </c:pt>
                <c:pt idx="421">
                  <c:v>-1.84</c:v>
                </c:pt>
                <c:pt idx="422">
                  <c:v>-1.84</c:v>
                </c:pt>
                <c:pt idx="423">
                  <c:v>-1.84</c:v>
                </c:pt>
                <c:pt idx="424">
                  <c:v>-1.84</c:v>
                </c:pt>
                <c:pt idx="425">
                  <c:v>-1.84</c:v>
                </c:pt>
                <c:pt idx="426">
                  <c:v>-1.84</c:v>
                </c:pt>
                <c:pt idx="427">
                  <c:v>-1.84</c:v>
                </c:pt>
                <c:pt idx="428">
                  <c:v>-1.84</c:v>
                </c:pt>
                <c:pt idx="429">
                  <c:v>-1.84</c:v>
                </c:pt>
                <c:pt idx="430">
                  <c:v>-1.84</c:v>
                </c:pt>
                <c:pt idx="431">
                  <c:v>-1.84</c:v>
                </c:pt>
                <c:pt idx="432">
                  <c:v>-1.84</c:v>
                </c:pt>
                <c:pt idx="433">
                  <c:v>-1.84</c:v>
                </c:pt>
                <c:pt idx="434">
                  <c:v>-1.84</c:v>
                </c:pt>
                <c:pt idx="435">
                  <c:v>-1.84</c:v>
                </c:pt>
                <c:pt idx="436">
                  <c:v>-1.84</c:v>
                </c:pt>
                <c:pt idx="437">
                  <c:v>-1.84</c:v>
                </c:pt>
                <c:pt idx="438">
                  <c:v>-1.84</c:v>
                </c:pt>
                <c:pt idx="439">
                  <c:v>-1.84</c:v>
                </c:pt>
                <c:pt idx="440">
                  <c:v>-1.84</c:v>
                </c:pt>
                <c:pt idx="441">
                  <c:v>-1.84</c:v>
                </c:pt>
                <c:pt idx="442">
                  <c:v>-1.84</c:v>
                </c:pt>
                <c:pt idx="443">
                  <c:v>-1.84</c:v>
                </c:pt>
                <c:pt idx="444">
                  <c:v>-1.84</c:v>
                </c:pt>
                <c:pt idx="445">
                  <c:v>-1.84</c:v>
                </c:pt>
                <c:pt idx="446">
                  <c:v>-1.84</c:v>
                </c:pt>
                <c:pt idx="447">
                  <c:v>-1.84</c:v>
                </c:pt>
                <c:pt idx="448">
                  <c:v>-1.84</c:v>
                </c:pt>
                <c:pt idx="449">
                  <c:v>-1.84</c:v>
                </c:pt>
                <c:pt idx="450">
                  <c:v>-1.84</c:v>
                </c:pt>
                <c:pt idx="451">
                  <c:v>-1.84</c:v>
                </c:pt>
                <c:pt idx="452">
                  <c:v>-1.84</c:v>
                </c:pt>
                <c:pt idx="453">
                  <c:v>-1.84</c:v>
                </c:pt>
                <c:pt idx="454">
                  <c:v>-1.84</c:v>
                </c:pt>
                <c:pt idx="455">
                  <c:v>-1.84</c:v>
                </c:pt>
                <c:pt idx="456">
                  <c:v>-1.84</c:v>
                </c:pt>
                <c:pt idx="457">
                  <c:v>-1.84</c:v>
                </c:pt>
                <c:pt idx="458">
                  <c:v>-1.84</c:v>
                </c:pt>
                <c:pt idx="459">
                  <c:v>-1.84</c:v>
                </c:pt>
                <c:pt idx="460">
                  <c:v>-1.84</c:v>
                </c:pt>
                <c:pt idx="461">
                  <c:v>-1.84</c:v>
                </c:pt>
                <c:pt idx="462">
                  <c:v>-1.84</c:v>
                </c:pt>
                <c:pt idx="463">
                  <c:v>-1.84</c:v>
                </c:pt>
                <c:pt idx="464">
                  <c:v>-1.84</c:v>
                </c:pt>
                <c:pt idx="465">
                  <c:v>-1.84</c:v>
                </c:pt>
                <c:pt idx="466">
                  <c:v>-1.84</c:v>
                </c:pt>
                <c:pt idx="467">
                  <c:v>-1.84</c:v>
                </c:pt>
                <c:pt idx="468">
                  <c:v>-1.84</c:v>
                </c:pt>
                <c:pt idx="469">
                  <c:v>-1.84</c:v>
                </c:pt>
                <c:pt idx="470">
                  <c:v>-1.84</c:v>
                </c:pt>
                <c:pt idx="471">
                  <c:v>-1.84</c:v>
                </c:pt>
                <c:pt idx="472">
                  <c:v>-1.84</c:v>
                </c:pt>
                <c:pt idx="473">
                  <c:v>-1.84</c:v>
                </c:pt>
                <c:pt idx="474">
                  <c:v>-1.84</c:v>
                </c:pt>
                <c:pt idx="475">
                  <c:v>-1.84</c:v>
                </c:pt>
                <c:pt idx="476">
                  <c:v>-1.84</c:v>
                </c:pt>
                <c:pt idx="477">
                  <c:v>-1.84</c:v>
                </c:pt>
                <c:pt idx="478">
                  <c:v>-1.84</c:v>
                </c:pt>
                <c:pt idx="479">
                  <c:v>-1.84</c:v>
                </c:pt>
                <c:pt idx="480">
                  <c:v>-1.84</c:v>
                </c:pt>
                <c:pt idx="481">
                  <c:v>-1.84</c:v>
                </c:pt>
                <c:pt idx="482">
                  <c:v>-1.84</c:v>
                </c:pt>
                <c:pt idx="483">
                  <c:v>-1.84</c:v>
                </c:pt>
                <c:pt idx="484">
                  <c:v>-1.84</c:v>
                </c:pt>
                <c:pt idx="485">
                  <c:v>-1.84</c:v>
                </c:pt>
                <c:pt idx="486">
                  <c:v>-1.84</c:v>
                </c:pt>
                <c:pt idx="487">
                  <c:v>-1.84</c:v>
                </c:pt>
                <c:pt idx="488">
                  <c:v>-1.84</c:v>
                </c:pt>
                <c:pt idx="489">
                  <c:v>-1.84</c:v>
                </c:pt>
                <c:pt idx="490">
                  <c:v>-1.84</c:v>
                </c:pt>
                <c:pt idx="491">
                  <c:v>-1.84</c:v>
                </c:pt>
                <c:pt idx="492">
                  <c:v>-1.84</c:v>
                </c:pt>
                <c:pt idx="493">
                  <c:v>-1.84</c:v>
                </c:pt>
                <c:pt idx="494">
                  <c:v>-1.84</c:v>
                </c:pt>
                <c:pt idx="495">
                  <c:v>-1.84</c:v>
                </c:pt>
                <c:pt idx="496">
                  <c:v>-1.84</c:v>
                </c:pt>
                <c:pt idx="497">
                  <c:v>-1.84</c:v>
                </c:pt>
                <c:pt idx="498">
                  <c:v>-1.84</c:v>
                </c:pt>
                <c:pt idx="499">
                  <c:v>-1.84</c:v>
                </c:pt>
                <c:pt idx="500">
                  <c:v>-1.84</c:v>
                </c:pt>
                <c:pt idx="501">
                  <c:v>-1.84</c:v>
                </c:pt>
                <c:pt idx="502">
                  <c:v>-1.84</c:v>
                </c:pt>
                <c:pt idx="503">
                  <c:v>-1.84</c:v>
                </c:pt>
                <c:pt idx="504">
                  <c:v>-1.84</c:v>
                </c:pt>
                <c:pt idx="505">
                  <c:v>-1.84</c:v>
                </c:pt>
                <c:pt idx="506">
                  <c:v>-1.84</c:v>
                </c:pt>
                <c:pt idx="507">
                  <c:v>-1.84</c:v>
                </c:pt>
                <c:pt idx="508">
                  <c:v>-1.84</c:v>
                </c:pt>
                <c:pt idx="509">
                  <c:v>-1.84</c:v>
                </c:pt>
                <c:pt idx="510">
                  <c:v>-1.84</c:v>
                </c:pt>
                <c:pt idx="511">
                  <c:v>-1.84</c:v>
                </c:pt>
                <c:pt idx="512">
                  <c:v>-1.84</c:v>
                </c:pt>
                <c:pt idx="513">
                  <c:v>-1.84</c:v>
                </c:pt>
                <c:pt idx="514">
                  <c:v>-1.84</c:v>
                </c:pt>
                <c:pt idx="515">
                  <c:v>-1.84</c:v>
                </c:pt>
                <c:pt idx="516">
                  <c:v>-1.84</c:v>
                </c:pt>
                <c:pt idx="517">
                  <c:v>-1.84</c:v>
                </c:pt>
                <c:pt idx="518">
                  <c:v>-1.84</c:v>
                </c:pt>
                <c:pt idx="519">
                  <c:v>-1.84</c:v>
                </c:pt>
                <c:pt idx="520">
                  <c:v>-1.84</c:v>
                </c:pt>
                <c:pt idx="521">
                  <c:v>-1.84</c:v>
                </c:pt>
                <c:pt idx="522">
                  <c:v>-1.84</c:v>
                </c:pt>
                <c:pt idx="523">
                  <c:v>-1.84</c:v>
                </c:pt>
                <c:pt idx="524">
                  <c:v>-1.84</c:v>
                </c:pt>
                <c:pt idx="525">
                  <c:v>-1.84</c:v>
                </c:pt>
                <c:pt idx="526">
                  <c:v>-1.84</c:v>
                </c:pt>
                <c:pt idx="527">
                  <c:v>-1.84</c:v>
                </c:pt>
                <c:pt idx="528">
                  <c:v>-1.84</c:v>
                </c:pt>
                <c:pt idx="529">
                  <c:v>-1.84</c:v>
                </c:pt>
                <c:pt idx="530">
                  <c:v>-1.84</c:v>
                </c:pt>
                <c:pt idx="531">
                  <c:v>-1.84</c:v>
                </c:pt>
                <c:pt idx="532">
                  <c:v>-1.84</c:v>
                </c:pt>
                <c:pt idx="533">
                  <c:v>-1.84</c:v>
                </c:pt>
                <c:pt idx="534">
                  <c:v>-1.84</c:v>
                </c:pt>
                <c:pt idx="535">
                  <c:v>-1.84</c:v>
                </c:pt>
                <c:pt idx="536">
                  <c:v>-1.84</c:v>
                </c:pt>
                <c:pt idx="537">
                  <c:v>-1.84</c:v>
                </c:pt>
                <c:pt idx="538">
                  <c:v>-1.84</c:v>
                </c:pt>
                <c:pt idx="539">
                  <c:v>-1.84</c:v>
                </c:pt>
                <c:pt idx="540">
                  <c:v>-1.84</c:v>
                </c:pt>
                <c:pt idx="541">
                  <c:v>-1.84</c:v>
                </c:pt>
                <c:pt idx="542">
                  <c:v>-1.84</c:v>
                </c:pt>
                <c:pt idx="543">
                  <c:v>-1.84</c:v>
                </c:pt>
                <c:pt idx="544">
                  <c:v>-1.84</c:v>
                </c:pt>
                <c:pt idx="545">
                  <c:v>-1.84</c:v>
                </c:pt>
                <c:pt idx="546">
                  <c:v>-1.84</c:v>
                </c:pt>
                <c:pt idx="547">
                  <c:v>-1.84</c:v>
                </c:pt>
                <c:pt idx="548">
                  <c:v>-1.84</c:v>
                </c:pt>
                <c:pt idx="549">
                  <c:v>-1.84</c:v>
                </c:pt>
                <c:pt idx="550">
                  <c:v>-1.84</c:v>
                </c:pt>
                <c:pt idx="551">
                  <c:v>-1.84</c:v>
                </c:pt>
                <c:pt idx="552">
                  <c:v>-1.84</c:v>
                </c:pt>
                <c:pt idx="553">
                  <c:v>-1.84</c:v>
                </c:pt>
                <c:pt idx="554">
                  <c:v>-1.84</c:v>
                </c:pt>
                <c:pt idx="555">
                  <c:v>-1.84</c:v>
                </c:pt>
                <c:pt idx="556">
                  <c:v>-1.84</c:v>
                </c:pt>
                <c:pt idx="557">
                  <c:v>-1.84</c:v>
                </c:pt>
                <c:pt idx="558">
                  <c:v>-1.84</c:v>
                </c:pt>
                <c:pt idx="559">
                  <c:v>-1.84</c:v>
                </c:pt>
                <c:pt idx="560">
                  <c:v>-1.84</c:v>
                </c:pt>
                <c:pt idx="561">
                  <c:v>-1.84</c:v>
                </c:pt>
                <c:pt idx="562">
                  <c:v>-1.84</c:v>
                </c:pt>
                <c:pt idx="563">
                  <c:v>-1.84</c:v>
                </c:pt>
                <c:pt idx="564">
                  <c:v>-1.84</c:v>
                </c:pt>
                <c:pt idx="565">
                  <c:v>-1.84</c:v>
                </c:pt>
                <c:pt idx="566">
                  <c:v>-1.84</c:v>
                </c:pt>
                <c:pt idx="567">
                  <c:v>-1.84</c:v>
                </c:pt>
                <c:pt idx="568">
                  <c:v>-1.84</c:v>
                </c:pt>
                <c:pt idx="569">
                  <c:v>-1.84</c:v>
                </c:pt>
                <c:pt idx="570">
                  <c:v>-1.84</c:v>
                </c:pt>
                <c:pt idx="571">
                  <c:v>-1.84</c:v>
                </c:pt>
                <c:pt idx="572">
                  <c:v>-1.84</c:v>
                </c:pt>
                <c:pt idx="573">
                  <c:v>-1.84</c:v>
                </c:pt>
                <c:pt idx="574">
                  <c:v>-1.84</c:v>
                </c:pt>
                <c:pt idx="575">
                  <c:v>-1.84</c:v>
                </c:pt>
                <c:pt idx="576">
                  <c:v>-1.84</c:v>
                </c:pt>
                <c:pt idx="577">
                  <c:v>-1.84</c:v>
                </c:pt>
                <c:pt idx="578">
                  <c:v>-1.84</c:v>
                </c:pt>
                <c:pt idx="579">
                  <c:v>-1.84</c:v>
                </c:pt>
                <c:pt idx="580">
                  <c:v>-1.84</c:v>
                </c:pt>
                <c:pt idx="581">
                  <c:v>-1.84</c:v>
                </c:pt>
                <c:pt idx="582">
                  <c:v>-1.84</c:v>
                </c:pt>
                <c:pt idx="583">
                  <c:v>-1.84</c:v>
                </c:pt>
                <c:pt idx="584">
                  <c:v>-1.84</c:v>
                </c:pt>
                <c:pt idx="585">
                  <c:v>-1.84</c:v>
                </c:pt>
                <c:pt idx="586">
                  <c:v>-1.84</c:v>
                </c:pt>
                <c:pt idx="587">
                  <c:v>-1.84</c:v>
                </c:pt>
                <c:pt idx="588">
                  <c:v>-1.84</c:v>
                </c:pt>
                <c:pt idx="589">
                  <c:v>-1.84</c:v>
                </c:pt>
                <c:pt idx="590">
                  <c:v>-1.84</c:v>
                </c:pt>
                <c:pt idx="591">
                  <c:v>-1.84</c:v>
                </c:pt>
                <c:pt idx="592">
                  <c:v>-1.84</c:v>
                </c:pt>
                <c:pt idx="593">
                  <c:v>-1.84</c:v>
                </c:pt>
                <c:pt idx="594">
                  <c:v>-1.84</c:v>
                </c:pt>
                <c:pt idx="595">
                  <c:v>-1.84</c:v>
                </c:pt>
                <c:pt idx="596">
                  <c:v>-1.84</c:v>
                </c:pt>
                <c:pt idx="597">
                  <c:v>-1.84</c:v>
                </c:pt>
                <c:pt idx="598">
                  <c:v>-1.84</c:v>
                </c:pt>
                <c:pt idx="599">
                  <c:v>-1.84</c:v>
                </c:pt>
                <c:pt idx="600">
                  <c:v>-1.84</c:v>
                </c:pt>
                <c:pt idx="601">
                  <c:v>-1.84</c:v>
                </c:pt>
                <c:pt idx="602">
                  <c:v>-1.84</c:v>
                </c:pt>
                <c:pt idx="603">
                  <c:v>-1.84</c:v>
                </c:pt>
                <c:pt idx="604">
                  <c:v>-1.84</c:v>
                </c:pt>
                <c:pt idx="605">
                  <c:v>-1.84</c:v>
                </c:pt>
                <c:pt idx="606">
                  <c:v>-1.84</c:v>
                </c:pt>
                <c:pt idx="607">
                  <c:v>-1.84</c:v>
                </c:pt>
                <c:pt idx="608">
                  <c:v>-1.84</c:v>
                </c:pt>
                <c:pt idx="609">
                  <c:v>-1.84</c:v>
                </c:pt>
                <c:pt idx="610">
                  <c:v>-1.84</c:v>
                </c:pt>
                <c:pt idx="611">
                  <c:v>-1.84</c:v>
                </c:pt>
                <c:pt idx="612">
                  <c:v>-1.84</c:v>
                </c:pt>
                <c:pt idx="613">
                  <c:v>-1.84</c:v>
                </c:pt>
                <c:pt idx="614">
                  <c:v>-1.84</c:v>
                </c:pt>
                <c:pt idx="615">
                  <c:v>-1.84</c:v>
                </c:pt>
                <c:pt idx="616">
                  <c:v>-1.84</c:v>
                </c:pt>
                <c:pt idx="617">
                  <c:v>-1.84</c:v>
                </c:pt>
                <c:pt idx="618">
                  <c:v>-1.84</c:v>
                </c:pt>
                <c:pt idx="619">
                  <c:v>-1.84</c:v>
                </c:pt>
                <c:pt idx="620">
                  <c:v>-1.84</c:v>
                </c:pt>
                <c:pt idx="621">
                  <c:v>-1.84</c:v>
                </c:pt>
                <c:pt idx="622">
                  <c:v>-1.84</c:v>
                </c:pt>
                <c:pt idx="623">
                  <c:v>-1.84</c:v>
                </c:pt>
                <c:pt idx="624">
                  <c:v>-1.84</c:v>
                </c:pt>
                <c:pt idx="625">
                  <c:v>-1.84</c:v>
                </c:pt>
                <c:pt idx="626">
                  <c:v>-1.84</c:v>
                </c:pt>
                <c:pt idx="627">
                  <c:v>-1.84</c:v>
                </c:pt>
                <c:pt idx="628">
                  <c:v>-1.84</c:v>
                </c:pt>
                <c:pt idx="629">
                  <c:v>-1.84</c:v>
                </c:pt>
                <c:pt idx="630">
                  <c:v>-1.84</c:v>
                </c:pt>
                <c:pt idx="631">
                  <c:v>-1.84</c:v>
                </c:pt>
                <c:pt idx="632">
                  <c:v>-1.84</c:v>
                </c:pt>
                <c:pt idx="633">
                  <c:v>-1.84</c:v>
                </c:pt>
                <c:pt idx="634">
                  <c:v>-1.84</c:v>
                </c:pt>
                <c:pt idx="635">
                  <c:v>-1.84</c:v>
                </c:pt>
                <c:pt idx="636">
                  <c:v>-1.84</c:v>
                </c:pt>
                <c:pt idx="637">
                  <c:v>-1.84</c:v>
                </c:pt>
                <c:pt idx="638">
                  <c:v>-1.84</c:v>
                </c:pt>
                <c:pt idx="639">
                  <c:v>-1.84</c:v>
                </c:pt>
                <c:pt idx="640">
                  <c:v>-1.84</c:v>
                </c:pt>
                <c:pt idx="641">
                  <c:v>-1.84</c:v>
                </c:pt>
                <c:pt idx="642">
                  <c:v>-1.84</c:v>
                </c:pt>
                <c:pt idx="643">
                  <c:v>-1.84</c:v>
                </c:pt>
                <c:pt idx="644">
                  <c:v>-1.84</c:v>
                </c:pt>
                <c:pt idx="645">
                  <c:v>-1.84</c:v>
                </c:pt>
                <c:pt idx="646">
                  <c:v>-1.84</c:v>
                </c:pt>
                <c:pt idx="647">
                  <c:v>-1.84</c:v>
                </c:pt>
                <c:pt idx="648">
                  <c:v>-1.84</c:v>
                </c:pt>
                <c:pt idx="649">
                  <c:v>-1.84</c:v>
                </c:pt>
                <c:pt idx="650">
                  <c:v>-1.84</c:v>
                </c:pt>
                <c:pt idx="651">
                  <c:v>-1.84</c:v>
                </c:pt>
                <c:pt idx="652">
                  <c:v>-1.84</c:v>
                </c:pt>
                <c:pt idx="653">
                  <c:v>-1.84</c:v>
                </c:pt>
                <c:pt idx="654">
                  <c:v>-1.84</c:v>
                </c:pt>
                <c:pt idx="655">
                  <c:v>-1.84</c:v>
                </c:pt>
                <c:pt idx="656">
                  <c:v>-1.84</c:v>
                </c:pt>
                <c:pt idx="657">
                  <c:v>-1.84</c:v>
                </c:pt>
                <c:pt idx="658">
                  <c:v>-1.84</c:v>
                </c:pt>
                <c:pt idx="659">
                  <c:v>-1.84</c:v>
                </c:pt>
                <c:pt idx="660">
                  <c:v>-1.84</c:v>
                </c:pt>
                <c:pt idx="661">
                  <c:v>-1.84</c:v>
                </c:pt>
                <c:pt idx="662">
                  <c:v>-1.84</c:v>
                </c:pt>
                <c:pt idx="663">
                  <c:v>-1.84</c:v>
                </c:pt>
                <c:pt idx="664">
                  <c:v>-1.84</c:v>
                </c:pt>
                <c:pt idx="665">
                  <c:v>-1.84</c:v>
                </c:pt>
                <c:pt idx="666">
                  <c:v>-1.84</c:v>
                </c:pt>
                <c:pt idx="667">
                  <c:v>-1.84</c:v>
                </c:pt>
                <c:pt idx="668">
                  <c:v>-1.84</c:v>
                </c:pt>
                <c:pt idx="669">
                  <c:v>-1.84</c:v>
                </c:pt>
                <c:pt idx="670">
                  <c:v>-1.84</c:v>
                </c:pt>
                <c:pt idx="671">
                  <c:v>-1.84</c:v>
                </c:pt>
                <c:pt idx="672">
                  <c:v>-1.84</c:v>
                </c:pt>
                <c:pt idx="673">
                  <c:v>-1.84</c:v>
                </c:pt>
                <c:pt idx="674">
                  <c:v>-1.84</c:v>
                </c:pt>
                <c:pt idx="675">
                  <c:v>-1.84</c:v>
                </c:pt>
                <c:pt idx="676">
                  <c:v>-1.84</c:v>
                </c:pt>
                <c:pt idx="677">
                  <c:v>-1.84</c:v>
                </c:pt>
                <c:pt idx="678">
                  <c:v>-1.84</c:v>
                </c:pt>
                <c:pt idx="679">
                  <c:v>-1.84</c:v>
                </c:pt>
                <c:pt idx="680">
                  <c:v>-1.84</c:v>
                </c:pt>
                <c:pt idx="681">
                  <c:v>-1.84</c:v>
                </c:pt>
                <c:pt idx="682">
                  <c:v>-1.84</c:v>
                </c:pt>
                <c:pt idx="683">
                  <c:v>-1.84</c:v>
                </c:pt>
                <c:pt idx="684">
                  <c:v>-1.84</c:v>
                </c:pt>
                <c:pt idx="685">
                  <c:v>-1.84</c:v>
                </c:pt>
                <c:pt idx="686">
                  <c:v>-1.84</c:v>
                </c:pt>
                <c:pt idx="687">
                  <c:v>-1.84</c:v>
                </c:pt>
                <c:pt idx="688">
                  <c:v>-1.84</c:v>
                </c:pt>
                <c:pt idx="689">
                  <c:v>-1.84</c:v>
                </c:pt>
                <c:pt idx="690">
                  <c:v>-1.84</c:v>
                </c:pt>
                <c:pt idx="691">
                  <c:v>-1.84</c:v>
                </c:pt>
                <c:pt idx="692">
                  <c:v>-1.84</c:v>
                </c:pt>
                <c:pt idx="693">
                  <c:v>-1.84</c:v>
                </c:pt>
                <c:pt idx="694">
                  <c:v>-1.84</c:v>
                </c:pt>
                <c:pt idx="695">
                  <c:v>-1.84</c:v>
                </c:pt>
                <c:pt idx="696">
                  <c:v>-1.84</c:v>
                </c:pt>
                <c:pt idx="697">
                  <c:v>-1.84</c:v>
                </c:pt>
                <c:pt idx="698">
                  <c:v>-1.84</c:v>
                </c:pt>
                <c:pt idx="699">
                  <c:v>-1.84</c:v>
                </c:pt>
                <c:pt idx="700">
                  <c:v>-1.84</c:v>
                </c:pt>
                <c:pt idx="701">
                  <c:v>-1.84</c:v>
                </c:pt>
                <c:pt idx="702">
                  <c:v>-1.84</c:v>
                </c:pt>
                <c:pt idx="703">
                  <c:v>-1.84</c:v>
                </c:pt>
                <c:pt idx="704">
                  <c:v>-1.84</c:v>
                </c:pt>
                <c:pt idx="705">
                  <c:v>-1.84</c:v>
                </c:pt>
                <c:pt idx="706">
                  <c:v>-1.84</c:v>
                </c:pt>
                <c:pt idx="707">
                  <c:v>-1.84</c:v>
                </c:pt>
                <c:pt idx="708">
                  <c:v>-1.84</c:v>
                </c:pt>
                <c:pt idx="709">
                  <c:v>-1.84</c:v>
                </c:pt>
                <c:pt idx="710">
                  <c:v>-1.84</c:v>
                </c:pt>
                <c:pt idx="711">
                  <c:v>-1.84</c:v>
                </c:pt>
                <c:pt idx="712">
                  <c:v>-1.84</c:v>
                </c:pt>
                <c:pt idx="713">
                  <c:v>-1.84</c:v>
                </c:pt>
                <c:pt idx="714">
                  <c:v>-1.84</c:v>
                </c:pt>
                <c:pt idx="715">
                  <c:v>-1.84</c:v>
                </c:pt>
                <c:pt idx="716">
                  <c:v>-1.84</c:v>
                </c:pt>
                <c:pt idx="717">
                  <c:v>-1.84</c:v>
                </c:pt>
                <c:pt idx="718">
                  <c:v>-1.84</c:v>
                </c:pt>
                <c:pt idx="719">
                  <c:v>-1.84</c:v>
                </c:pt>
                <c:pt idx="720">
                  <c:v>-1.84</c:v>
                </c:pt>
                <c:pt idx="721">
                  <c:v>-1.84</c:v>
                </c:pt>
                <c:pt idx="722">
                  <c:v>-1.84</c:v>
                </c:pt>
                <c:pt idx="723">
                  <c:v>-1.84</c:v>
                </c:pt>
                <c:pt idx="724">
                  <c:v>-1.84</c:v>
                </c:pt>
                <c:pt idx="725">
                  <c:v>-1.84</c:v>
                </c:pt>
                <c:pt idx="726">
                  <c:v>-1.84</c:v>
                </c:pt>
                <c:pt idx="727">
                  <c:v>-1.84</c:v>
                </c:pt>
                <c:pt idx="728">
                  <c:v>-1.84</c:v>
                </c:pt>
                <c:pt idx="729">
                  <c:v>-1.84</c:v>
                </c:pt>
                <c:pt idx="730">
                  <c:v>-1.84</c:v>
                </c:pt>
                <c:pt idx="731">
                  <c:v>-1.84</c:v>
                </c:pt>
                <c:pt idx="732">
                  <c:v>-1.84</c:v>
                </c:pt>
                <c:pt idx="733">
                  <c:v>-1.84</c:v>
                </c:pt>
                <c:pt idx="734">
                  <c:v>-1.84</c:v>
                </c:pt>
                <c:pt idx="735">
                  <c:v>-1.84</c:v>
                </c:pt>
                <c:pt idx="736">
                  <c:v>-1.84</c:v>
                </c:pt>
                <c:pt idx="737">
                  <c:v>-1.84</c:v>
                </c:pt>
                <c:pt idx="738">
                  <c:v>-1.84</c:v>
                </c:pt>
                <c:pt idx="739">
                  <c:v>-1.84</c:v>
                </c:pt>
                <c:pt idx="740">
                  <c:v>-1.84</c:v>
                </c:pt>
                <c:pt idx="741">
                  <c:v>-1.84</c:v>
                </c:pt>
                <c:pt idx="742">
                  <c:v>-1.84</c:v>
                </c:pt>
                <c:pt idx="743">
                  <c:v>-1.84</c:v>
                </c:pt>
                <c:pt idx="744">
                  <c:v>-1.84</c:v>
                </c:pt>
                <c:pt idx="745">
                  <c:v>-1.84</c:v>
                </c:pt>
                <c:pt idx="746">
                  <c:v>-1.84</c:v>
                </c:pt>
                <c:pt idx="747">
                  <c:v>-1.84</c:v>
                </c:pt>
                <c:pt idx="748">
                  <c:v>-1.84</c:v>
                </c:pt>
                <c:pt idx="749">
                  <c:v>-1.84</c:v>
                </c:pt>
                <c:pt idx="750">
                  <c:v>-1.84</c:v>
                </c:pt>
                <c:pt idx="751">
                  <c:v>-1.84</c:v>
                </c:pt>
                <c:pt idx="752">
                  <c:v>-1.84</c:v>
                </c:pt>
                <c:pt idx="753">
                  <c:v>-1.84</c:v>
                </c:pt>
                <c:pt idx="754">
                  <c:v>-1.84</c:v>
                </c:pt>
                <c:pt idx="755">
                  <c:v>-1.84</c:v>
                </c:pt>
                <c:pt idx="756">
                  <c:v>-1.84</c:v>
                </c:pt>
                <c:pt idx="757">
                  <c:v>-1.84</c:v>
                </c:pt>
                <c:pt idx="758">
                  <c:v>-1.84</c:v>
                </c:pt>
                <c:pt idx="759">
                  <c:v>-1.84</c:v>
                </c:pt>
                <c:pt idx="760">
                  <c:v>-1.84</c:v>
                </c:pt>
                <c:pt idx="761">
                  <c:v>-1.84</c:v>
                </c:pt>
                <c:pt idx="762">
                  <c:v>-1.84</c:v>
                </c:pt>
                <c:pt idx="763">
                  <c:v>-1.84</c:v>
                </c:pt>
                <c:pt idx="764">
                  <c:v>-1.84</c:v>
                </c:pt>
                <c:pt idx="765">
                  <c:v>-1.84</c:v>
                </c:pt>
                <c:pt idx="766">
                  <c:v>-1.84</c:v>
                </c:pt>
                <c:pt idx="767">
                  <c:v>-1.84</c:v>
                </c:pt>
                <c:pt idx="768">
                  <c:v>-1.84</c:v>
                </c:pt>
                <c:pt idx="769">
                  <c:v>-1.84</c:v>
                </c:pt>
                <c:pt idx="770">
                  <c:v>-1.84</c:v>
                </c:pt>
                <c:pt idx="771">
                  <c:v>-1.84</c:v>
                </c:pt>
                <c:pt idx="772">
                  <c:v>-1.84</c:v>
                </c:pt>
                <c:pt idx="773">
                  <c:v>-1.84</c:v>
                </c:pt>
                <c:pt idx="774">
                  <c:v>-1.84</c:v>
                </c:pt>
                <c:pt idx="775">
                  <c:v>-1.84</c:v>
                </c:pt>
                <c:pt idx="776">
                  <c:v>-1.84</c:v>
                </c:pt>
                <c:pt idx="777">
                  <c:v>-1.84</c:v>
                </c:pt>
                <c:pt idx="778">
                  <c:v>-1.84</c:v>
                </c:pt>
                <c:pt idx="779">
                  <c:v>-1.84</c:v>
                </c:pt>
                <c:pt idx="780">
                  <c:v>-1.84</c:v>
                </c:pt>
                <c:pt idx="781">
                  <c:v>-1.84</c:v>
                </c:pt>
                <c:pt idx="782">
                  <c:v>-1.84</c:v>
                </c:pt>
                <c:pt idx="783">
                  <c:v>-1.84</c:v>
                </c:pt>
                <c:pt idx="784">
                  <c:v>-1.84</c:v>
                </c:pt>
                <c:pt idx="785">
                  <c:v>-1.84</c:v>
                </c:pt>
                <c:pt idx="786">
                  <c:v>-1.84</c:v>
                </c:pt>
                <c:pt idx="787">
                  <c:v>-1.84</c:v>
                </c:pt>
                <c:pt idx="788">
                  <c:v>-1.84</c:v>
                </c:pt>
                <c:pt idx="789">
                  <c:v>-1.84</c:v>
                </c:pt>
                <c:pt idx="790">
                  <c:v>-1.84</c:v>
                </c:pt>
                <c:pt idx="791">
                  <c:v>-1.84</c:v>
                </c:pt>
                <c:pt idx="792">
                  <c:v>-1.84</c:v>
                </c:pt>
                <c:pt idx="793">
                  <c:v>-1.84</c:v>
                </c:pt>
                <c:pt idx="794">
                  <c:v>-1.84</c:v>
                </c:pt>
                <c:pt idx="795">
                  <c:v>-1.84</c:v>
                </c:pt>
                <c:pt idx="796">
                  <c:v>-1.84</c:v>
                </c:pt>
                <c:pt idx="797">
                  <c:v>-1.84</c:v>
                </c:pt>
                <c:pt idx="798">
                  <c:v>-1.84</c:v>
                </c:pt>
                <c:pt idx="799">
                  <c:v>-1.84</c:v>
                </c:pt>
                <c:pt idx="800">
                  <c:v>-1.84</c:v>
                </c:pt>
                <c:pt idx="801">
                  <c:v>-1.84</c:v>
                </c:pt>
                <c:pt idx="802">
                  <c:v>-1.84</c:v>
                </c:pt>
                <c:pt idx="803">
                  <c:v>-1.84</c:v>
                </c:pt>
                <c:pt idx="804">
                  <c:v>-1.84</c:v>
                </c:pt>
                <c:pt idx="805">
                  <c:v>-1.84</c:v>
                </c:pt>
                <c:pt idx="806">
                  <c:v>-1.84</c:v>
                </c:pt>
                <c:pt idx="807">
                  <c:v>-1.84</c:v>
                </c:pt>
                <c:pt idx="808">
                  <c:v>-1.84</c:v>
                </c:pt>
                <c:pt idx="809">
                  <c:v>-1.84</c:v>
                </c:pt>
                <c:pt idx="810">
                  <c:v>-1.84</c:v>
                </c:pt>
                <c:pt idx="811">
                  <c:v>-1.84</c:v>
                </c:pt>
                <c:pt idx="812">
                  <c:v>-1.84</c:v>
                </c:pt>
                <c:pt idx="813">
                  <c:v>-1.84</c:v>
                </c:pt>
                <c:pt idx="814">
                  <c:v>-1.84</c:v>
                </c:pt>
                <c:pt idx="815">
                  <c:v>-1.84</c:v>
                </c:pt>
                <c:pt idx="816">
                  <c:v>-1.84</c:v>
                </c:pt>
                <c:pt idx="817">
                  <c:v>-1.84</c:v>
                </c:pt>
                <c:pt idx="818">
                  <c:v>-1.84</c:v>
                </c:pt>
                <c:pt idx="819">
                  <c:v>-1.84</c:v>
                </c:pt>
                <c:pt idx="820">
                  <c:v>-1.84</c:v>
                </c:pt>
                <c:pt idx="821">
                  <c:v>-1.84</c:v>
                </c:pt>
                <c:pt idx="822">
                  <c:v>-1.84</c:v>
                </c:pt>
                <c:pt idx="823">
                  <c:v>-1.84</c:v>
                </c:pt>
                <c:pt idx="824">
                  <c:v>-1.84</c:v>
                </c:pt>
                <c:pt idx="825">
                  <c:v>-1.84</c:v>
                </c:pt>
                <c:pt idx="826">
                  <c:v>-1.84</c:v>
                </c:pt>
                <c:pt idx="827">
                  <c:v>-1.84</c:v>
                </c:pt>
                <c:pt idx="828">
                  <c:v>-1.84</c:v>
                </c:pt>
                <c:pt idx="829">
                  <c:v>-1.84</c:v>
                </c:pt>
                <c:pt idx="830">
                  <c:v>-1.84</c:v>
                </c:pt>
                <c:pt idx="831">
                  <c:v>-1.84</c:v>
                </c:pt>
                <c:pt idx="832">
                  <c:v>-1.84</c:v>
                </c:pt>
                <c:pt idx="833">
                  <c:v>-1.84</c:v>
                </c:pt>
                <c:pt idx="834">
                  <c:v>-1.84</c:v>
                </c:pt>
                <c:pt idx="835">
                  <c:v>-1.84</c:v>
                </c:pt>
                <c:pt idx="836">
                  <c:v>-1.84</c:v>
                </c:pt>
                <c:pt idx="837">
                  <c:v>-1.84</c:v>
                </c:pt>
                <c:pt idx="838">
                  <c:v>-1.84</c:v>
                </c:pt>
                <c:pt idx="839">
                  <c:v>-1.84</c:v>
                </c:pt>
                <c:pt idx="840">
                  <c:v>-1.84</c:v>
                </c:pt>
                <c:pt idx="841">
                  <c:v>-1.84</c:v>
                </c:pt>
                <c:pt idx="842">
                  <c:v>-1.84</c:v>
                </c:pt>
                <c:pt idx="843">
                  <c:v>-1.84</c:v>
                </c:pt>
                <c:pt idx="844">
                  <c:v>-1.84</c:v>
                </c:pt>
                <c:pt idx="845">
                  <c:v>-1.84</c:v>
                </c:pt>
                <c:pt idx="846">
                  <c:v>-1.84</c:v>
                </c:pt>
                <c:pt idx="847">
                  <c:v>-1.84</c:v>
                </c:pt>
                <c:pt idx="848">
                  <c:v>-1.84</c:v>
                </c:pt>
                <c:pt idx="849">
                  <c:v>-1.84</c:v>
                </c:pt>
                <c:pt idx="850">
                  <c:v>-1.84</c:v>
                </c:pt>
                <c:pt idx="851">
                  <c:v>-1.84</c:v>
                </c:pt>
                <c:pt idx="852">
                  <c:v>-1.84</c:v>
                </c:pt>
                <c:pt idx="853">
                  <c:v>-1.84</c:v>
                </c:pt>
                <c:pt idx="854">
                  <c:v>-1.84</c:v>
                </c:pt>
                <c:pt idx="855">
                  <c:v>-1.84</c:v>
                </c:pt>
                <c:pt idx="856">
                  <c:v>-1.84</c:v>
                </c:pt>
                <c:pt idx="857">
                  <c:v>-1.84</c:v>
                </c:pt>
                <c:pt idx="858">
                  <c:v>-1.84</c:v>
                </c:pt>
                <c:pt idx="859">
                  <c:v>-1.84</c:v>
                </c:pt>
                <c:pt idx="860">
                  <c:v>-1.84</c:v>
                </c:pt>
                <c:pt idx="861">
                  <c:v>-1.84</c:v>
                </c:pt>
                <c:pt idx="862">
                  <c:v>-1.84</c:v>
                </c:pt>
                <c:pt idx="863">
                  <c:v>-1.84</c:v>
                </c:pt>
                <c:pt idx="864">
                  <c:v>-1.84</c:v>
                </c:pt>
                <c:pt idx="865">
                  <c:v>-1.84</c:v>
                </c:pt>
                <c:pt idx="866">
                  <c:v>-1.84</c:v>
                </c:pt>
                <c:pt idx="867">
                  <c:v>-1.84</c:v>
                </c:pt>
                <c:pt idx="868">
                  <c:v>-1.84</c:v>
                </c:pt>
                <c:pt idx="869">
                  <c:v>-1.84</c:v>
                </c:pt>
                <c:pt idx="870">
                  <c:v>-1.84</c:v>
                </c:pt>
                <c:pt idx="871">
                  <c:v>-1.84</c:v>
                </c:pt>
                <c:pt idx="872">
                  <c:v>-1.84</c:v>
                </c:pt>
                <c:pt idx="873">
                  <c:v>-1.84</c:v>
                </c:pt>
                <c:pt idx="874">
                  <c:v>-1.84</c:v>
                </c:pt>
                <c:pt idx="875">
                  <c:v>-1.84</c:v>
                </c:pt>
                <c:pt idx="876">
                  <c:v>-1.84</c:v>
                </c:pt>
                <c:pt idx="877">
                  <c:v>-1.84</c:v>
                </c:pt>
                <c:pt idx="878">
                  <c:v>-1.84</c:v>
                </c:pt>
                <c:pt idx="879">
                  <c:v>-1.84</c:v>
                </c:pt>
                <c:pt idx="880">
                  <c:v>-1.84</c:v>
                </c:pt>
                <c:pt idx="881">
                  <c:v>-1.84</c:v>
                </c:pt>
                <c:pt idx="882">
                  <c:v>-1.84</c:v>
                </c:pt>
                <c:pt idx="883">
                  <c:v>-1.84</c:v>
                </c:pt>
                <c:pt idx="884">
                  <c:v>-1.84</c:v>
                </c:pt>
                <c:pt idx="885">
                  <c:v>-1.84</c:v>
                </c:pt>
                <c:pt idx="886">
                  <c:v>-1.84</c:v>
                </c:pt>
                <c:pt idx="887">
                  <c:v>-1.84</c:v>
                </c:pt>
                <c:pt idx="888">
                  <c:v>-1.84</c:v>
                </c:pt>
                <c:pt idx="889">
                  <c:v>-1.84</c:v>
                </c:pt>
                <c:pt idx="890">
                  <c:v>-1.84</c:v>
                </c:pt>
                <c:pt idx="891">
                  <c:v>-1.84</c:v>
                </c:pt>
                <c:pt idx="892">
                  <c:v>-1.84</c:v>
                </c:pt>
                <c:pt idx="893">
                  <c:v>-1.84</c:v>
                </c:pt>
                <c:pt idx="894">
                  <c:v>-1.84</c:v>
                </c:pt>
                <c:pt idx="895">
                  <c:v>-1.84</c:v>
                </c:pt>
                <c:pt idx="896">
                  <c:v>-1.84</c:v>
                </c:pt>
                <c:pt idx="897">
                  <c:v>-1.84</c:v>
                </c:pt>
                <c:pt idx="898">
                  <c:v>-1.84</c:v>
                </c:pt>
                <c:pt idx="899">
                  <c:v>-1.84</c:v>
                </c:pt>
                <c:pt idx="900">
                  <c:v>-1.84</c:v>
                </c:pt>
                <c:pt idx="901">
                  <c:v>-1.84</c:v>
                </c:pt>
                <c:pt idx="902">
                  <c:v>-1.84</c:v>
                </c:pt>
                <c:pt idx="903">
                  <c:v>-1.84</c:v>
                </c:pt>
                <c:pt idx="904">
                  <c:v>-1.84</c:v>
                </c:pt>
                <c:pt idx="905">
                  <c:v>-1.84</c:v>
                </c:pt>
                <c:pt idx="906">
                  <c:v>-1.84</c:v>
                </c:pt>
                <c:pt idx="907">
                  <c:v>-1.84</c:v>
                </c:pt>
                <c:pt idx="908">
                  <c:v>-1.84</c:v>
                </c:pt>
                <c:pt idx="909">
                  <c:v>-1.84</c:v>
                </c:pt>
                <c:pt idx="910">
                  <c:v>-1.84</c:v>
                </c:pt>
                <c:pt idx="911">
                  <c:v>-1.84</c:v>
                </c:pt>
                <c:pt idx="912">
                  <c:v>-1.84</c:v>
                </c:pt>
                <c:pt idx="913">
                  <c:v>-1.84</c:v>
                </c:pt>
                <c:pt idx="914">
                  <c:v>-1.84</c:v>
                </c:pt>
                <c:pt idx="915">
                  <c:v>-1.84</c:v>
                </c:pt>
                <c:pt idx="916">
                  <c:v>-1.84</c:v>
                </c:pt>
                <c:pt idx="917">
                  <c:v>-1.84</c:v>
                </c:pt>
                <c:pt idx="918">
                  <c:v>-1.84</c:v>
                </c:pt>
                <c:pt idx="919">
                  <c:v>-1.84</c:v>
                </c:pt>
                <c:pt idx="920">
                  <c:v>-1.84</c:v>
                </c:pt>
                <c:pt idx="921">
                  <c:v>-1.84</c:v>
                </c:pt>
                <c:pt idx="922">
                  <c:v>-1.84</c:v>
                </c:pt>
                <c:pt idx="923">
                  <c:v>-1.84</c:v>
                </c:pt>
                <c:pt idx="924">
                  <c:v>-1.84</c:v>
                </c:pt>
                <c:pt idx="925">
                  <c:v>-1.84</c:v>
                </c:pt>
                <c:pt idx="926">
                  <c:v>-1.84</c:v>
                </c:pt>
                <c:pt idx="927">
                  <c:v>-1.84</c:v>
                </c:pt>
                <c:pt idx="928">
                  <c:v>-1.84</c:v>
                </c:pt>
                <c:pt idx="929">
                  <c:v>-1.84</c:v>
                </c:pt>
                <c:pt idx="930">
                  <c:v>-1.84</c:v>
                </c:pt>
                <c:pt idx="931">
                  <c:v>-1.84</c:v>
                </c:pt>
                <c:pt idx="932">
                  <c:v>-1.84</c:v>
                </c:pt>
                <c:pt idx="933">
                  <c:v>-1.84</c:v>
                </c:pt>
                <c:pt idx="934">
                  <c:v>-1.84</c:v>
                </c:pt>
                <c:pt idx="935">
                  <c:v>-1.84</c:v>
                </c:pt>
                <c:pt idx="936">
                  <c:v>-1.84</c:v>
                </c:pt>
                <c:pt idx="937">
                  <c:v>-1.84</c:v>
                </c:pt>
                <c:pt idx="938">
                  <c:v>-1.84</c:v>
                </c:pt>
                <c:pt idx="939">
                  <c:v>-1.84</c:v>
                </c:pt>
                <c:pt idx="940">
                  <c:v>-1.84</c:v>
                </c:pt>
                <c:pt idx="941">
                  <c:v>-1.84</c:v>
                </c:pt>
                <c:pt idx="942">
                  <c:v>-1.84</c:v>
                </c:pt>
                <c:pt idx="943">
                  <c:v>-1.84</c:v>
                </c:pt>
                <c:pt idx="944">
                  <c:v>-1.84</c:v>
                </c:pt>
                <c:pt idx="945">
                  <c:v>-1.84</c:v>
                </c:pt>
                <c:pt idx="946">
                  <c:v>-1.84</c:v>
                </c:pt>
                <c:pt idx="947">
                  <c:v>-1.84</c:v>
                </c:pt>
                <c:pt idx="948">
                  <c:v>-1.84</c:v>
                </c:pt>
                <c:pt idx="949">
                  <c:v>-1.84</c:v>
                </c:pt>
                <c:pt idx="950">
                  <c:v>-1.84</c:v>
                </c:pt>
                <c:pt idx="951">
                  <c:v>-1.84</c:v>
                </c:pt>
                <c:pt idx="952">
                  <c:v>-1.84</c:v>
                </c:pt>
                <c:pt idx="953">
                  <c:v>-1.84</c:v>
                </c:pt>
                <c:pt idx="954">
                  <c:v>-1.84</c:v>
                </c:pt>
                <c:pt idx="955">
                  <c:v>-1.84</c:v>
                </c:pt>
                <c:pt idx="956">
                  <c:v>-1.84</c:v>
                </c:pt>
                <c:pt idx="957">
                  <c:v>-1.84</c:v>
                </c:pt>
                <c:pt idx="958">
                  <c:v>-1.84</c:v>
                </c:pt>
                <c:pt idx="959">
                  <c:v>-1.84</c:v>
                </c:pt>
                <c:pt idx="960">
                  <c:v>-1.84</c:v>
                </c:pt>
                <c:pt idx="961">
                  <c:v>-1.84</c:v>
                </c:pt>
                <c:pt idx="962">
                  <c:v>-1.84</c:v>
                </c:pt>
                <c:pt idx="963">
                  <c:v>-1.84</c:v>
                </c:pt>
                <c:pt idx="964">
                  <c:v>-1.84</c:v>
                </c:pt>
                <c:pt idx="965">
                  <c:v>-1.84</c:v>
                </c:pt>
                <c:pt idx="966">
                  <c:v>-1.84</c:v>
                </c:pt>
                <c:pt idx="967">
                  <c:v>-1.84</c:v>
                </c:pt>
                <c:pt idx="968">
                  <c:v>-1.84</c:v>
                </c:pt>
                <c:pt idx="969">
                  <c:v>-1.84</c:v>
                </c:pt>
                <c:pt idx="970">
                  <c:v>-1.84</c:v>
                </c:pt>
                <c:pt idx="971">
                  <c:v>-1.84</c:v>
                </c:pt>
                <c:pt idx="972">
                  <c:v>-1.84</c:v>
                </c:pt>
                <c:pt idx="973">
                  <c:v>-1.84</c:v>
                </c:pt>
                <c:pt idx="974">
                  <c:v>-1.84</c:v>
                </c:pt>
                <c:pt idx="975">
                  <c:v>-1.84</c:v>
                </c:pt>
                <c:pt idx="976">
                  <c:v>-1.84</c:v>
                </c:pt>
                <c:pt idx="977">
                  <c:v>-1.84</c:v>
                </c:pt>
                <c:pt idx="978">
                  <c:v>-1.84</c:v>
                </c:pt>
                <c:pt idx="979">
                  <c:v>-1.84</c:v>
                </c:pt>
                <c:pt idx="980">
                  <c:v>-1.84</c:v>
                </c:pt>
                <c:pt idx="981">
                  <c:v>-1.84</c:v>
                </c:pt>
                <c:pt idx="982">
                  <c:v>-1.84</c:v>
                </c:pt>
                <c:pt idx="983">
                  <c:v>-1.84</c:v>
                </c:pt>
                <c:pt idx="984">
                  <c:v>-1.84</c:v>
                </c:pt>
                <c:pt idx="985">
                  <c:v>-1.84</c:v>
                </c:pt>
                <c:pt idx="986">
                  <c:v>-1.84</c:v>
                </c:pt>
                <c:pt idx="987">
                  <c:v>-1.84</c:v>
                </c:pt>
                <c:pt idx="988">
                  <c:v>-1.84</c:v>
                </c:pt>
                <c:pt idx="989">
                  <c:v>-1.84</c:v>
                </c:pt>
                <c:pt idx="990">
                  <c:v>-1.84</c:v>
                </c:pt>
                <c:pt idx="991">
                  <c:v>-1.84</c:v>
                </c:pt>
                <c:pt idx="992">
                  <c:v>-1.84</c:v>
                </c:pt>
                <c:pt idx="993">
                  <c:v>-1.84</c:v>
                </c:pt>
                <c:pt idx="994">
                  <c:v>-1.84</c:v>
                </c:pt>
                <c:pt idx="995">
                  <c:v>-1.84</c:v>
                </c:pt>
                <c:pt idx="996">
                  <c:v>-1.84</c:v>
                </c:pt>
                <c:pt idx="997">
                  <c:v>-1.84</c:v>
                </c:pt>
                <c:pt idx="998">
                  <c:v>-1.84</c:v>
                </c:pt>
                <c:pt idx="999">
                  <c:v>-1.84</c:v>
                </c:pt>
                <c:pt idx="1000">
                  <c:v>-1.84</c:v>
                </c:pt>
                <c:pt idx="1001">
                  <c:v>-1.84</c:v>
                </c:pt>
                <c:pt idx="1002">
                  <c:v>-1.84</c:v>
                </c:pt>
                <c:pt idx="1003">
                  <c:v>-1.84</c:v>
                </c:pt>
                <c:pt idx="1004">
                  <c:v>-1.84</c:v>
                </c:pt>
                <c:pt idx="1005">
                  <c:v>-1.84</c:v>
                </c:pt>
                <c:pt idx="1006">
                  <c:v>-1.84</c:v>
                </c:pt>
                <c:pt idx="1007">
                  <c:v>-1.84</c:v>
                </c:pt>
                <c:pt idx="1008">
                  <c:v>-1.84</c:v>
                </c:pt>
                <c:pt idx="1009">
                  <c:v>-1.84</c:v>
                </c:pt>
                <c:pt idx="1010">
                  <c:v>-1.84</c:v>
                </c:pt>
                <c:pt idx="1011">
                  <c:v>-1.84</c:v>
                </c:pt>
                <c:pt idx="1012">
                  <c:v>-1.84</c:v>
                </c:pt>
                <c:pt idx="1013">
                  <c:v>-1.84</c:v>
                </c:pt>
                <c:pt idx="1014">
                  <c:v>-1.84</c:v>
                </c:pt>
                <c:pt idx="1015">
                  <c:v>-1.84</c:v>
                </c:pt>
                <c:pt idx="1016">
                  <c:v>-1.84</c:v>
                </c:pt>
                <c:pt idx="1017">
                  <c:v>-1.84</c:v>
                </c:pt>
                <c:pt idx="1018">
                  <c:v>-1.84</c:v>
                </c:pt>
                <c:pt idx="1019">
                  <c:v>-1.84</c:v>
                </c:pt>
                <c:pt idx="1020">
                  <c:v>-1.84</c:v>
                </c:pt>
                <c:pt idx="1021">
                  <c:v>-1.84</c:v>
                </c:pt>
                <c:pt idx="1022">
                  <c:v>-1.84</c:v>
                </c:pt>
                <c:pt idx="1023">
                  <c:v>-1.84</c:v>
                </c:pt>
                <c:pt idx="1024">
                  <c:v>-1.84</c:v>
                </c:pt>
                <c:pt idx="1025">
                  <c:v>-1.84</c:v>
                </c:pt>
                <c:pt idx="1026">
                  <c:v>-1.84</c:v>
                </c:pt>
                <c:pt idx="1027">
                  <c:v>-1.84</c:v>
                </c:pt>
                <c:pt idx="1028">
                  <c:v>-1.84</c:v>
                </c:pt>
                <c:pt idx="1029">
                  <c:v>-1.84</c:v>
                </c:pt>
                <c:pt idx="1030">
                  <c:v>-1.84</c:v>
                </c:pt>
                <c:pt idx="1031">
                  <c:v>-1.84</c:v>
                </c:pt>
                <c:pt idx="1032">
                  <c:v>-1.84</c:v>
                </c:pt>
                <c:pt idx="1033">
                  <c:v>-1.84</c:v>
                </c:pt>
                <c:pt idx="1034">
                  <c:v>-1.84</c:v>
                </c:pt>
                <c:pt idx="1035">
                  <c:v>-1.84</c:v>
                </c:pt>
                <c:pt idx="1036">
                  <c:v>-1.84</c:v>
                </c:pt>
                <c:pt idx="1037">
                  <c:v>-1.84</c:v>
                </c:pt>
                <c:pt idx="1038">
                  <c:v>-1.84</c:v>
                </c:pt>
                <c:pt idx="1039">
                  <c:v>-1.84</c:v>
                </c:pt>
                <c:pt idx="1040">
                  <c:v>-1.84</c:v>
                </c:pt>
                <c:pt idx="1041">
                  <c:v>-1.84</c:v>
                </c:pt>
                <c:pt idx="1042">
                  <c:v>-1.84</c:v>
                </c:pt>
                <c:pt idx="1043">
                  <c:v>-1.84</c:v>
                </c:pt>
                <c:pt idx="1044">
                  <c:v>-1.84</c:v>
                </c:pt>
                <c:pt idx="1045">
                  <c:v>-1.84</c:v>
                </c:pt>
                <c:pt idx="1046">
                  <c:v>-1.84</c:v>
                </c:pt>
                <c:pt idx="1047">
                  <c:v>-1.84</c:v>
                </c:pt>
                <c:pt idx="1048">
                  <c:v>-1.84</c:v>
                </c:pt>
                <c:pt idx="1049">
                  <c:v>-1.84</c:v>
                </c:pt>
                <c:pt idx="1050">
                  <c:v>-1.84</c:v>
                </c:pt>
                <c:pt idx="1051">
                  <c:v>-1.84</c:v>
                </c:pt>
                <c:pt idx="1052">
                  <c:v>-1.84</c:v>
                </c:pt>
                <c:pt idx="1053">
                  <c:v>-1.84</c:v>
                </c:pt>
                <c:pt idx="1054">
                  <c:v>-1.84</c:v>
                </c:pt>
                <c:pt idx="1055">
                  <c:v>-1.84</c:v>
                </c:pt>
                <c:pt idx="1056">
                  <c:v>-1.84</c:v>
                </c:pt>
                <c:pt idx="1057">
                  <c:v>-1.84</c:v>
                </c:pt>
                <c:pt idx="1058">
                  <c:v>-1.84</c:v>
                </c:pt>
                <c:pt idx="1059">
                  <c:v>-1.84</c:v>
                </c:pt>
                <c:pt idx="1060">
                  <c:v>-1.84</c:v>
                </c:pt>
                <c:pt idx="1061">
                  <c:v>-1.84</c:v>
                </c:pt>
                <c:pt idx="1062">
                  <c:v>-1.84</c:v>
                </c:pt>
                <c:pt idx="1063">
                  <c:v>-1.84</c:v>
                </c:pt>
                <c:pt idx="1064">
                  <c:v>-1.84</c:v>
                </c:pt>
                <c:pt idx="1065">
                  <c:v>-1.84</c:v>
                </c:pt>
                <c:pt idx="1066">
                  <c:v>-1.84</c:v>
                </c:pt>
                <c:pt idx="1067">
                  <c:v>-1.84</c:v>
                </c:pt>
                <c:pt idx="1068">
                  <c:v>-1.84</c:v>
                </c:pt>
                <c:pt idx="1069">
                  <c:v>-1.84</c:v>
                </c:pt>
                <c:pt idx="1070">
                  <c:v>-1.84</c:v>
                </c:pt>
                <c:pt idx="1071">
                  <c:v>-1.84</c:v>
                </c:pt>
                <c:pt idx="1072">
                  <c:v>-1.84</c:v>
                </c:pt>
                <c:pt idx="1073">
                  <c:v>-1.84</c:v>
                </c:pt>
                <c:pt idx="1074">
                  <c:v>-1.84</c:v>
                </c:pt>
                <c:pt idx="1075">
                  <c:v>-1.84</c:v>
                </c:pt>
                <c:pt idx="1076">
                  <c:v>-1.84</c:v>
                </c:pt>
                <c:pt idx="1077">
                  <c:v>-1.84</c:v>
                </c:pt>
                <c:pt idx="1078">
                  <c:v>-1.84</c:v>
                </c:pt>
                <c:pt idx="1079">
                  <c:v>-1.84</c:v>
                </c:pt>
                <c:pt idx="1080">
                  <c:v>-1.84</c:v>
                </c:pt>
                <c:pt idx="1081">
                  <c:v>-1.84</c:v>
                </c:pt>
                <c:pt idx="1082">
                  <c:v>-1.84</c:v>
                </c:pt>
                <c:pt idx="1083">
                  <c:v>-1.84</c:v>
                </c:pt>
                <c:pt idx="1084">
                  <c:v>-1.84</c:v>
                </c:pt>
                <c:pt idx="1085">
                  <c:v>-1.84</c:v>
                </c:pt>
                <c:pt idx="1086">
                  <c:v>-1.84</c:v>
                </c:pt>
                <c:pt idx="1087">
                  <c:v>-1.84</c:v>
                </c:pt>
                <c:pt idx="1088">
                  <c:v>-1.84</c:v>
                </c:pt>
                <c:pt idx="1089">
                  <c:v>-1.84</c:v>
                </c:pt>
                <c:pt idx="1090">
                  <c:v>-1.84</c:v>
                </c:pt>
                <c:pt idx="1091">
                  <c:v>-1.84</c:v>
                </c:pt>
                <c:pt idx="1092">
                  <c:v>-1.84</c:v>
                </c:pt>
                <c:pt idx="1093">
                  <c:v>-1.84</c:v>
                </c:pt>
                <c:pt idx="1094">
                  <c:v>-1.84</c:v>
                </c:pt>
                <c:pt idx="1095">
                  <c:v>-1.84</c:v>
                </c:pt>
                <c:pt idx="1096">
                  <c:v>-1.84</c:v>
                </c:pt>
                <c:pt idx="1097">
                  <c:v>-1.84</c:v>
                </c:pt>
                <c:pt idx="1098">
                  <c:v>-1.84</c:v>
                </c:pt>
                <c:pt idx="1099">
                  <c:v>-1.84</c:v>
                </c:pt>
                <c:pt idx="1100">
                  <c:v>-1.84</c:v>
                </c:pt>
                <c:pt idx="1101">
                  <c:v>-1.84</c:v>
                </c:pt>
                <c:pt idx="1102">
                  <c:v>-1.84</c:v>
                </c:pt>
                <c:pt idx="1103">
                  <c:v>-1.84</c:v>
                </c:pt>
                <c:pt idx="1104">
                  <c:v>-1.84</c:v>
                </c:pt>
                <c:pt idx="1105">
                  <c:v>-1.84</c:v>
                </c:pt>
                <c:pt idx="1106">
                  <c:v>-1.84</c:v>
                </c:pt>
                <c:pt idx="1107">
                  <c:v>-1.84</c:v>
                </c:pt>
                <c:pt idx="1108">
                  <c:v>-1.84</c:v>
                </c:pt>
                <c:pt idx="1109">
                  <c:v>-1.84</c:v>
                </c:pt>
                <c:pt idx="1110">
                  <c:v>-1.84</c:v>
                </c:pt>
                <c:pt idx="1111">
                  <c:v>-1.84</c:v>
                </c:pt>
                <c:pt idx="1112">
                  <c:v>-1.84</c:v>
                </c:pt>
                <c:pt idx="1113">
                  <c:v>-1.84</c:v>
                </c:pt>
                <c:pt idx="1114">
                  <c:v>-1.84</c:v>
                </c:pt>
                <c:pt idx="1115">
                  <c:v>-1.84</c:v>
                </c:pt>
                <c:pt idx="1116">
                  <c:v>-1.84</c:v>
                </c:pt>
                <c:pt idx="1117">
                  <c:v>-1.84</c:v>
                </c:pt>
                <c:pt idx="1118">
                  <c:v>-1.84</c:v>
                </c:pt>
                <c:pt idx="1119">
                  <c:v>-1.84</c:v>
                </c:pt>
                <c:pt idx="1120">
                  <c:v>-1.84</c:v>
                </c:pt>
                <c:pt idx="1121">
                  <c:v>-1.84</c:v>
                </c:pt>
                <c:pt idx="1122">
                  <c:v>-1.84</c:v>
                </c:pt>
                <c:pt idx="1123">
                  <c:v>-1.84</c:v>
                </c:pt>
                <c:pt idx="1124">
                  <c:v>-1.84</c:v>
                </c:pt>
                <c:pt idx="1125">
                  <c:v>-1.84</c:v>
                </c:pt>
                <c:pt idx="1126">
                  <c:v>-1.84</c:v>
                </c:pt>
                <c:pt idx="1127">
                  <c:v>-1.84</c:v>
                </c:pt>
                <c:pt idx="1128">
                  <c:v>-1.84</c:v>
                </c:pt>
                <c:pt idx="1129">
                  <c:v>-1.84</c:v>
                </c:pt>
                <c:pt idx="1130">
                  <c:v>-1.84</c:v>
                </c:pt>
                <c:pt idx="1131">
                  <c:v>-1.84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A75-400C-BF36-0602607CE2C5}"/>
            </c:ext>
          </c:extLst>
        </c:ser>
        <c:ser>
          <c:idx val="10"/>
          <c:order val="10"/>
          <c:tx>
            <c:strRef>
              <c:f>Plot_Data!$BK$11</c:f>
              <c:strCache>
                <c:ptCount val="1"/>
                <c:pt idx="0">
                  <c:v>Fuel tanks between the spars: 34 m3 total</c:v>
                </c:pt>
              </c:strCache>
            </c:strRef>
          </c:tx>
          <c:spPr>
            <a:ln w="12000">
              <a:solidFill>
                <a:srgbClr val="00B050"/>
              </a:solidFill>
              <a:prstDash val="solid"/>
            </a:ln>
          </c:spPr>
          <c:marker>
            <c:symbol val="none"/>
          </c:marker>
          <c:xVal>
            <c:numRef>
              <c:f>Plot_Data!$IC$5:$IC$9</c:f>
              <c:numCache>
                <c:formatCode>0.000</c:formatCode>
                <c:ptCount val="5"/>
                <c:pt idx="0">
                  <c:v>-5.3814091449150432</c:v>
                </c:pt>
                <c:pt idx="1">
                  <c:v>1.366672666549082</c:v>
                </c:pt>
                <c:pt idx="2">
                  <c:v>2.4475008557827724</c:v>
                </c:pt>
                <c:pt idx="3">
                  <c:v>-2.6512994032903441</c:v>
                </c:pt>
                <c:pt idx="4">
                  <c:v>-5.3814091449150432</c:v>
                </c:pt>
              </c:numCache>
            </c:numRef>
          </c:xVal>
          <c:yVal>
            <c:numRef>
              <c:f>Plot_Data!$ID$5:$ID$9</c:f>
              <c:numCache>
                <c:formatCode>0.000</c:formatCode>
                <c:ptCount val="5"/>
                <c:pt idx="0">
                  <c:v>1.9909249999999998</c:v>
                </c:pt>
                <c:pt idx="1">
                  <c:v>15.047737289762148</c:v>
                </c:pt>
                <c:pt idx="2">
                  <c:v>15.047737289762148</c:v>
                </c:pt>
                <c:pt idx="3">
                  <c:v>1.9909249999999998</c:v>
                </c:pt>
                <c:pt idx="4">
                  <c:v>1.9909249999999998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3A75-400C-BF36-0602607CE2C5}"/>
            </c:ext>
          </c:extLst>
        </c:ser>
        <c:ser>
          <c:idx val="11"/>
          <c:order val="11"/>
          <c:spPr>
            <a:ln w="12000">
              <a:solidFill>
                <a:srgbClr val="00B050"/>
              </a:solidFill>
              <a:prstDash val="solid"/>
            </a:ln>
          </c:spPr>
          <c:marker>
            <c:symbol val="none"/>
          </c:marker>
          <c:xVal>
            <c:numRef>
              <c:f>Plot_Data!$IC$11:$IC$15</c:f>
              <c:numCache>
                <c:formatCode>0.000</c:formatCode>
                <c:ptCount val="5"/>
                <c:pt idx="0">
                  <c:v>-5.3814091449150432</c:v>
                </c:pt>
                <c:pt idx="1">
                  <c:v>1.366672666549082</c:v>
                </c:pt>
                <c:pt idx="2">
                  <c:v>2.4475008557827724</c:v>
                </c:pt>
                <c:pt idx="3">
                  <c:v>-2.6512994032903441</c:v>
                </c:pt>
                <c:pt idx="4">
                  <c:v>-5.3814091449150432</c:v>
                </c:pt>
              </c:numCache>
            </c:numRef>
          </c:xVal>
          <c:yVal>
            <c:numRef>
              <c:f>Plot_Data!$ID$11:$ID$15</c:f>
              <c:numCache>
                <c:formatCode>0.000</c:formatCode>
                <c:ptCount val="5"/>
                <c:pt idx="0">
                  <c:v>-1.9909249999999998</c:v>
                </c:pt>
                <c:pt idx="1">
                  <c:v>-15.047737289762148</c:v>
                </c:pt>
                <c:pt idx="2">
                  <c:v>-15.047737289762148</c:v>
                </c:pt>
                <c:pt idx="3">
                  <c:v>-1.9909249999999998</c:v>
                </c:pt>
                <c:pt idx="4">
                  <c:v>-1.9909249999999998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3A75-400C-BF36-0602607CE2C5}"/>
            </c:ext>
          </c:extLst>
        </c:ser>
        <c:ser>
          <c:idx val="12"/>
          <c:order val="12"/>
          <c:tx>
            <c:strRef>
              <c:f>Plot_Data!$BK$15</c:f>
              <c:strCache>
                <c:ptCount val="1"/>
                <c:pt idx="0">
                  <c:v>Cabin: 25.3 x 3.73 m, aisle 0.50 m</c:v>
                </c:pt>
              </c:strCache>
            </c:strRef>
          </c:tx>
          <c:spPr>
            <a:ln w="9000">
              <a:solidFill>
                <a:srgbClr val="7F7F7F"/>
              </a:solidFill>
              <a:prstDash val="solid"/>
            </a:ln>
          </c:spPr>
          <c:marker>
            <c:symbol val="none"/>
          </c:marker>
          <c:xVal>
            <c:numRef>
              <c:f>Plot_Data!$BC$5:$BC$9</c:f>
              <c:numCache>
                <c:formatCode>0.000</c:formatCode>
                <c:ptCount val="5"/>
                <c:pt idx="0">
                  <c:v>-13.810479999999998</c:v>
                </c:pt>
                <c:pt idx="1">
                  <c:v>11.439520000000002</c:v>
                </c:pt>
                <c:pt idx="2">
                  <c:v>11.439520000000002</c:v>
                </c:pt>
                <c:pt idx="3">
                  <c:v>-13.810479999999998</c:v>
                </c:pt>
                <c:pt idx="4">
                  <c:v>-13.810479999999998</c:v>
                </c:pt>
              </c:numCache>
            </c:numRef>
          </c:xVal>
          <c:yVal>
            <c:numRef>
              <c:f>Plot_Data!$BB$5:$BB$9</c:f>
              <c:numCache>
                <c:formatCode>0.000</c:formatCode>
                <c:ptCount val="5"/>
                <c:pt idx="0">
                  <c:v>-1.865</c:v>
                </c:pt>
                <c:pt idx="1">
                  <c:v>-1.865</c:v>
                </c:pt>
                <c:pt idx="2">
                  <c:v>1.865</c:v>
                </c:pt>
                <c:pt idx="3">
                  <c:v>1.865</c:v>
                </c:pt>
                <c:pt idx="4">
                  <c:v>-1.865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3A75-400C-BF36-0602607CE2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x from fuselage mid-length (m)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low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y (m)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low"/>
        <c:crossAx val="10"/>
        <c:crosses val="autoZero"/>
        <c:crossBetween val="midCat"/>
      </c:valAx>
    </c:plotArea>
    <c:legend>
      <c:legendPos val="r"/>
      <c:legendEntry>
        <c:idx val="0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11"/>
        <c:delete val="1"/>
      </c:legendEntry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3D view (rotate with view_az / view_el in section 2)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0000000000000007E-2"/>
          <c:y val="0.09"/>
          <c:w val="0.54923076923076919"/>
          <c:h val="0.84"/>
        </c:manualLayout>
      </c:layout>
      <c:scatterChart>
        <c:scatterStyle val="lineMarker"/>
        <c:varyColors val="0"/>
        <c:ser>
          <c:idx val="0"/>
          <c:order val="0"/>
          <c:spPr>
            <a:ln>
              <a:noFill/>
              <a:prstDash val="solid"/>
            </a:ln>
          </c:spPr>
          <c:marker>
            <c:symbol val="none"/>
          </c:marker>
          <c:xVal>
            <c:numRef>
              <c:f>Plot_Data!$AS$5:$AS$6</c:f>
              <c:numCache>
                <c:formatCode>0.000</c:formatCode>
                <c:ptCount val="2"/>
                <c:pt idx="0">
                  <c:v>-19.591528</c:v>
                </c:pt>
                <c:pt idx="1">
                  <c:v>19.591528</c:v>
                </c:pt>
              </c:numCache>
            </c:numRef>
          </c:xVal>
          <c:yVal>
            <c:numRef>
              <c:f>Plot_Data!$AT$5:$AT$6</c:f>
              <c:numCache>
                <c:formatCode>0.000</c:formatCode>
                <c:ptCount val="2"/>
                <c:pt idx="0">
                  <c:v>-19.591528</c:v>
                </c:pt>
                <c:pt idx="1">
                  <c:v>19.591528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6E-421D-AC26-4D93C25A26CA}"/>
            </c:ext>
          </c:extLst>
        </c:ser>
        <c:ser>
          <c:idx val="1"/>
          <c:order val="1"/>
          <c:tx>
            <c:strRef>
              <c:f>Plot_Data!$BK$5</c:f>
              <c:strCache>
                <c:ptCount val="1"/>
                <c:pt idx="0">
                  <c:v>Fuselage: L = 35.6 m, d = 3.98 m</c:v>
                </c:pt>
              </c:strCache>
            </c:strRef>
          </c:tx>
          <c:spPr>
            <a:ln w="12000">
              <a:solidFill>
                <a:srgbClr val="1F3864"/>
              </a:solidFill>
              <a:prstDash val="solid"/>
            </a:ln>
          </c:spPr>
          <c:marker>
            <c:symbol val="none"/>
          </c:marker>
          <c:xVal>
            <c:numRef>
              <c:f>Plot_Data!$BG$5:$BG$232</c:f>
              <c:numCache>
                <c:formatCode>0.000</c:formatCode>
                <c:ptCount val="228"/>
                <c:pt idx="0">
                  <c:v>-13.643619233281694</c:v>
                </c:pt>
                <c:pt idx="1">
                  <c:v>-13.327670250843221</c:v>
                </c:pt>
                <c:pt idx="2">
                  <c:v>-12.958745463994934</c:v>
                </c:pt>
                <c:pt idx="3">
                  <c:v>-12.509846678347557</c:v>
                </c:pt>
                <c:pt idx="4">
                  <c:v>-11.810447367374026</c:v>
                </c:pt>
                <c:pt idx="5">
                  <c:v>-11.195944015782215</c:v>
                </c:pt>
                <c:pt idx="6">
                  <c:v>-10.63220972445089</c:v>
                </c:pt>
                <c:pt idx="7">
                  <c:v>-9.9383911309426054</c:v>
                </c:pt>
                <c:pt idx="8">
                  <c:v>-9.299699538990609</c:v>
                </c:pt>
                <c:pt idx="9">
                  <c:v>-2.8521588094058847</c:v>
                </c:pt>
                <c:pt idx="10">
                  <c:v>3.5953819201788395</c:v>
                </c:pt>
                <c:pt idx="11">
                  <c:v>10.042922649763582</c:v>
                </c:pt>
                <c:pt idx="12">
                  <c:v>10.679373937138166</c:v>
                </c:pt>
                <c:pt idx="13">
                  <c:v>11.271623714844019</c:v>
                </c:pt>
                <c:pt idx="14">
                  <c:v>11.840295929467608</c:v>
                </c:pt>
                <c:pt idx="15">
                  <c:v>12.391487896544316</c:v>
                </c:pt>
                <c:pt idx="16">
                  <c:v>12.928460271733329</c:v>
                </c:pt>
                <c:pt idx="17">
                  <c:v>13.453297308106574</c:v>
                </c:pt>
                <c:pt idx="18">
                  <c:v>13.797188263899514</c:v>
                </c:pt>
                <c:pt idx="19">
                  <c:v>13.776614620867646</c:v>
                </c:pt>
                <c:pt idx="20">
                  <c:v>13.413411501766335</c:v>
                </c:pt>
                <c:pt idx="21">
                  <c:v>12.860812031172088</c:v>
                </c:pt>
                <c:pt idx="22">
                  <c:v>12.297702993103222</c:v>
                </c:pt>
                <c:pt idx="23">
                  <c:v>11.722279361871855</c:v>
                </c:pt>
                <c:pt idx="24">
                  <c:v>11.131717311857463</c:v>
                </c:pt>
                <c:pt idx="25">
                  <c:v>10.52073638488694</c:v>
                </c:pt>
                <c:pt idx="26">
                  <c:v>9.8714756244980038</c:v>
                </c:pt>
                <c:pt idx="27">
                  <c:v>3.4239348949132609</c:v>
                </c:pt>
                <c:pt idx="28">
                  <c:v>-3.0236058346714634</c:v>
                </c:pt>
                <c:pt idx="29">
                  <c:v>-9.4711465642561876</c:v>
                </c:pt>
                <c:pt idx="30">
                  <c:v>-10.106374222870095</c:v>
                </c:pt>
                <c:pt idx="31">
                  <c:v>-10.789343518641793</c:v>
                </c:pt>
                <c:pt idx="32">
                  <c:v>-11.339130511390252</c:v>
                </c:pt>
                <c:pt idx="33">
                  <c:v>-11.932885033396097</c:v>
                </c:pt>
                <c:pt idx="34">
                  <c:v>-12.600162003105293</c:v>
                </c:pt>
                <c:pt idx="35">
                  <c:v>-13.02176245013378</c:v>
                </c:pt>
                <c:pt idx="36">
                  <c:v>-13.361787778096931</c:v>
                </c:pt>
                <c:pt idx="37">
                  <c:v>-13.643619233281694</c:v>
                </c:pt>
                <c:pt idx="38">
                  <c:v>-13.643619233281694</c:v>
                </c:pt>
                <c:pt idx="39">
                  <c:v>-13.455002964337698</c:v>
                </c:pt>
                <c:pt idx="40">
                  <c:v>-13.193936126601656</c:v>
                </c:pt>
                <c:pt idx="41">
                  <c:v>-12.846919622878932</c:v>
                </c:pt>
                <c:pt idx="42">
                  <c:v>-12.267406634456474</c:v>
                </c:pt>
                <c:pt idx="43">
                  <c:v>-11.730341625724874</c:v>
                </c:pt>
                <c:pt idx="44">
                  <c:v>-11.218661147123518</c:v>
                </c:pt>
                <c:pt idx="45">
                  <c:v>-10.565334073121786</c:v>
                </c:pt>
                <c:pt idx="46">
                  <c:v>-9.9395704998981955</c:v>
                </c:pt>
                <c:pt idx="47">
                  <c:v>-3.4920297703134713</c:v>
                </c:pt>
                <c:pt idx="48">
                  <c:v>2.955510959271253</c:v>
                </c:pt>
                <c:pt idx="49">
                  <c:v>9.4030516888559958</c:v>
                </c:pt>
                <c:pt idx="50">
                  <c:v>10.087310220443285</c:v>
                </c:pt>
                <c:pt idx="51">
                  <c:v>10.749467997196206</c:v>
                </c:pt>
                <c:pt idx="52">
                  <c:v>11.399836992407998</c:v>
                </c:pt>
                <c:pt idx="53">
                  <c:v>12.04146586384635</c:v>
                </c:pt>
                <c:pt idx="54">
                  <c:v>12.675984939340852</c:v>
                </c:pt>
                <c:pt idx="55">
                  <c:v>13.304436345427471</c:v>
                </c:pt>
                <c:pt idx="56">
                  <c:v>13.720403748590604</c:v>
                </c:pt>
                <c:pt idx="57">
                  <c:v>13.643619233281694</c:v>
                </c:pt>
                <c:pt idx="58">
                  <c:v>13.155575382748365</c:v>
                </c:pt>
                <c:pt idx="59">
                  <c:v>12.423509606948373</c:v>
                </c:pt>
                <c:pt idx="60">
                  <c:v>11.691443831148382</c:v>
                </c:pt>
                <c:pt idx="61">
                  <c:v>10.95937805534839</c:v>
                </c:pt>
                <c:pt idx="62">
                  <c:v>10.227312279548395</c:v>
                </c:pt>
                <c:pt idx="63">
                  <c:v>9.4952465037484028</c:v>
                </c:pt>
                <c:pt idx="64">
                  <c:v>8.7631807279484093</c:v>
                </c:pt>
                <c:pt idx="65">
                  <c:v>2.3156399983636664</c:v>
                </c:pt>
                <c:pt idx="66">
                  <c:v>-4.1319007312210578</c:v>
                </c:pt>
                <c:pt idx="67">
                  <c:v>-10.579441460805782</c:v>
                </c:pt>
                <c:pt idx="68">
                  <c:v>-11.192277015300965</c:v>
                </c:pt>
                <c:pt idx="69">
                  <c:v>-11.805112569796147</c:v>
                </c:pt>
                <c:pt idx="70">
                  <c:v>-12.264739235667534</c:v>
                </c:pt>
                <c:pt idx="71">
                  <c:v>-12.724365901538921</c:v>
                </c:pt>
                <c:pt idx="72">
                  <c:v>-13.183992567410307</c:v>
                </c:pt>
                <c:pt idx="73">
                  <c:v>-13.429126789208379</c:v>
                </c:pt>
                <c:pt idx="74">
                  <c:v>-13.582335677832177</c:v>
                </c:pt>
                <c:pt idx="75">
                  <c:v>-13.643619233281694</c:v>
                </c:pt>
                <c:pt idx="76">
                  <c:v>-13.643619233281694</c:v>
                </c:pt>
                <c:pt idx="77">
                  <c:v>-13.709668391326655</c:v>
                </c:pt>
                <c:pt idx="78">
                  <c:v>-13.664317451815101</c:v>
                </c:pt>
                <c:pt idx="79">
                  <c:v>-13.521065511941682</c:v>
                </c:pt>
                <c:pt idx="80">
                  <c:v>-13.181325168621367</c:v>
                </c:pt>
                <c:pt idx="81">
                  <c:v>-12.799136845610194</c:v>
                </c:pt>
                <c:pt idx="82">
                  <c:v>-12.391563992468777</c:v>
                </c:pt>
                <c:pt idx="83">
                  <c:v>-11.819219957480144</c:v>
                </c:pt>
                <c:pt idx="84">
                  <c:v>-11.219312421713369</c:v>
                </c:pt>
                <c:pt idx="85">
                  <c:v>-4.7717716921286444</c:v>
                </c:pt>
                <c:pt idx="86">
                  <c:v>1.6757690374560799</c:v>
                </c:pt>
                <c:pt idx="87">
                  <c:v>8.1233097670408227</c:v>
                </c:pt>
                <c:pt idx="88">
                  <c:v>8.9031827870535203</c:v>
                </c:pt>
                <c:pt idx="89">
                  <c:v>9.7051565619005835</c:v>
                </c:pt>
                <c:pt idx="90">
                  <c:v>10.518919118288782</c:v>
                </c:pt>
                <c:pt idx="91">
                  <c:v>11.341421798450414</c:v>
                </c:pt>
                <c:pt idx="92">
                  <c:v>12.171034274555895</c:v>
                </c:pt>
                <c:pt idx="93">
                  <c:v>13.00671442006926</c:v>
                </c:pt>
                <c:pt idx="94">
                  <c:v>13.566834717972784</c:v>
                </c:pt>
                <c:pt idx="95">
                  <c:v>13.510623845695742</c:v>
                </c:pt>
                <c:pt idx="96">
                  <c:v>12.897739263730395</c:v>
                </c:pt>
                <c:pt idx="97">
                  <c:v>11.986207182724659</c:v>
                </c:pt>
                <c:pt idx="98">
                  <c:v>11.085184669193541</c:v>
                </c:pt>
                <c:pt idx="99">
                  <c:v>10.196476748824924</c:v>
                </c:pt>
                <c:pt idx="100">
                  <c:v>9.3229072472393266</c:v>
                </c:pt>
                <c:pt idx="101">
                  <c:v>8.4697566226098662</c:v>
                </c:pt>
                <c:pt idx="102">
                  <c:v>7.6548858313988148</c:v>
                </c:pt>
                <c:pt idx="103">
                  <c:v>1.2073451018140722</c:v>
                </c:pt>
                <c:pt idx="104">
                  <c:v>-5.2401956277706523</c:v>
                </c:pt>
                <c:pt idx="105">
                  <c:v>-11.687736357355377</c:v>
                </c:pt>
                <c:pt idx="106">
                  <c:v>-12.278179807731835</c:v>
                </c:pt>
                <c:pt idx="107">
                  <c:v>-12.820881620950502</c:v>
                </c:pt>
                <c:pt idx="108">
                  <c:v>-13.190347959944816</c:v>
                </c:pt>
                <c:pt idx="109">
                  <c:v>-13.515846769681744</c:v>
                </c:pt>
                <c:pt idx="110">
                  <c:v>-13.767823131715321</c:v>
                </c:pt>
                <c:pt idx="111">
                  <c:v>-13.836491128282978</c:v>
                </c:pt>
                <c:pt idx="112">
                  <c:v>-13.802883577567423</c:v>
                </c:pt>
                <c:pt idx="113">
                  <c:v>-13.643619233281694</c:v>
                </c:pt>
                <c:pt idx="114">
                  <c:v>-13.643619233281694</c:v>
                </c:pt>
                <c:pt idx="115">
                  <c:v>-13.837001104821132</c:v>
                </c:pt>
                <c:pt idx="116">
                  <c:v>-13.899508114421824</c:v>
                </c:pt>
                <c:pt idx="117">
                  <c:v>-13.858138456473057</c:v>
                </c:pt>
                <c:pt idx="118">
                  <c:v>-13.638284435703815</c:v>
                </c:pt>
                <c:pt idx="119">
                  <c:v>-13.333534455552853</c:v>
                </c:pt>
                <c:pt idx="120">
                  <c:v>-12.978015415141405</c:v>
                </c:pt>
                <c:pt idx="121">
                  <c:v>-12.446162899659324</c:v>
                </c:pt>
                <c:pt idx="122">
                  <c:v>-11.859183382620955</c:v>
                </c:pt>
                <c:pt idx="123">
                  <c:v>-5.4116426530362309</c:v>
                </c:pt>
                <c:pt idx="124">
                  <c:v>1.0358980765484933</c:v>
                </c:pt>
                <c:pt idx="125">
                  <c:v>7.4834388061332362</c:v>
                </c:pt>
                <c:pt idx="126">
                  <c:v>8.3111190703586395</c:v>
                </c:pt>
                <c:pt idx="127">
                  <c:v>9.1830008442527706</c:v>
                </c:pt>
                <c:pt idx="128">
                  <c:v>10.078460181229172</c:v>
                </c:pt>
                <c:pt idx="129">
                  <c:v>10.991399765752448</c:v>
                </c:pt>
                <c:pt idx="130">
                  <c:v>11.918558942163418</c:v>
                </c:pt>
                <c:pt idx="131">
                  <c:v>12.857853457390156</c:v>
                </c:pt>
                <c:pt idx="132">
                  <c:v>13.490050202663873</c:v>
                </c:pt>
                <c:pt idx="133">
                  <c:v>13.510623845695742</c:v>
                </c:pt>
                <c:pt idx="134">
                  <c:v>12.897739263730395</c:v>
                </c:pt>
                <c:pt idx="135">
                  <c:v>11.986207182724659</c:v>
                </c:pt>
                <c:pt idx="136">
                  <c:v>11.085184669193541</c:v>
                </c:pt>
                <c:pt idx="137">
                  <c:v>10.196476748824924</c:v>
                </c:pt>
                <c:pt idx="138">
                  <c:v>9.3229072472393266</c:v>
                </c:pt>
                <c:pt idx="139">
                  <c:v>8.4697566226098662</c:v>
                </c:pt>
                <c:pt idx="140">
                  <c:v>7.6548858313988148</c:v>
                </c:pt>
                <c:pt idx="141">
                  <c:v>1.2073451018140722</c:v>
                </c:pt>
                <c:pt idx="142">
                  <c:v>-5.2401956277706523</c:v>
                </c:pt>
                <c:pt idx="143">
                  <c:v>-11.687736357355377</c:v>
                </c:pt>
                <c:pt idx="144">
                  <c:v>-12.278179807731835</c:v>
                </c:pt>
                <c:pt idx="145">
                  <c:v>-12.820881620950502</c:v>
                </c:pt>
                <c:pt idx="146">
                  <c:v>-13.190347959944816</c:v>
                </c:pt>
                <c:pt idx="147">
                  <c:v>-13.515846769681744</c:v>
                </c:pt>
                <c:pt idx="148">
                  <c:v>-13.767823131715321</c:v>
                </c:pt>
                <c:pt idx="149">
                  <c:v>-13.836491128282978</c:v>
                </c:pt>
                <c:pt idx="150">
                  <c:v>-13.802883577567423</c:v>
                </c:pt>
                <c:pt idx="151">
                  <c:v>-13.643619233281694</c:v>
                </c:pt>
                <c:pt idx="152">
                  <c:v>-13.643619233281694</c:v>
                </c:pt>
                <c:pt idx="153">
                  <c:v>-13.709668391326655</c:v>
                </c:pt>
                <c:pt idx="154">
                  <c:v>-13.664317451815101</c:v>
                </c:pt>
                <c:pt idx="155">
                  <c:v>-13.521065511941682</c:v>
                </c:pt>
                <c:pt idx="156">
                  <c:v>-13.181325168621367</c:v>
                </c:pt>
                <c:pt idx="157">
                  <c:v>-12.799136845610194</c:v>
                </c:pt>
                <c:pt idx="158">
                  <c:v>-12.391563992468777</c:v>
                </c:pt>
                <c:pt idx="159">
                  <c:v>-11.819219957480144</c:v>
                </c:pt>
                <c:pt idx="160">
                  <c:v>-11.219312421713369</c:v>
                </c:pt>
                <c:pt idx="161">
                  <c:v>-4.7717716921286444</c:v>
                </c:pt>
                <c:pt idx="162">
                  <c:v>1.6757690374560799</c:v>
                </c:pt>
                <c:pt idx="163">
                  <c:v>8.1233097670408227</c:v>
                </c:pt>
                <c:pt idx="164">
                  <c:v>8.9031827870535203</c:v>
                </c:pt>
                <c:pt idx="165">
                  <c:v>9.7051565619005835</c:v>
                </c:pt>
                <c:pt idx="166">
                  <c:v>10.518919118288782</c:v>
                </c:pt>
                <c:pt idx="167">
                  <c:v>11.341421798450414</c:v>
                </c:pt>
                <c:pt idx="168">
                  <c:v>12.171034274555895</c:v>
                </c:pt>
                <c:pt idx="169">
                  <c:v>13.00671442006926</c:v>
                </c:pt>
                <c:pt idx="170">
                  <c:v>13.566834717972784</c:v>
                </c:pt>
                <c:pt idx="171">
                  <c:v>13.643619233281694</c:v>
                </c:pt>
                <c:pt idx="172">
                  <c:v>13.155575382748365</c:v>
                </c:pt>
                <c:pt idx="173">
                  <c:v>12.423509606948373</c:v>
                </c:pt>
                <c:pt idx="174">
                  <c:v>11.691443831148382</c:v>
                </c:pt>
                <c:pt idx="175">
                  <c:v>10.95937805534839</c:v>
                </c:pt>
                <c:pt idx="176">
                  <c:v>10.227312279548395</c:v>
                </c:pt>
                <c:pt idx="177">
                  <c:v>9.4952465037484028</c:v>
                </c:pt>
                <c:pt idx="178">
                  <c:v>8.7631807279484093</c:v>
                </c:pt>
                <c:pt idx="179">
                  <c:v>2.3156399983636664</c:v>
                </c:pt>
                <c:pt idx="180">
                  <c:v>-4.1319007312210578</c:v>
                </c:pt>
                <c:pt idx="181">
                  <c:v>-10.579441460805782</c:v>
                </c:pt>
                <c:pt idx="182">
                  <c:v>-11.192277015300965</c:v>
                </c:pt>
                <c:pt idx="183">
                  <c:v>-11.805112569796147</c:v>
                </c:pt>
                <c:pt idx="184">
                  <c:v>-12.264739235667534</c:v>
                </c:pt>
                <c:pt idx="185">
                  <c:v>-12.724365901538921</c:v>
                </c:pt>
                <c:pt idx="186">
                  <c:v>-13.183992567410307</c:v>
                </c:pt>
                <c:pt idx="187">
                  <c:v>-13.429126789208379</c:v>
                </c:pt>
                <c:pt idx="188">
                  <c:v>-13.582335677832177</c:v>
                </c:pt>
                <c:pt idx="189">
                  <c:v>-13.643619233281694</c:v>
                </c:pt>
                <c:pt idx="190">
                  <c:v>-13.643619233281694</c:v>
                </c:pt>
                <c:pt idx="191">
                  <c:v>-13.455002964337698</c:v>
                </c:pt>
                <c:pt idx="192">
                  <c:v>-13.193936126601656</c:v>
                </c:pt>
                <c:pt idx="193">
                  <c:v>-12.846919622878932</c:v>
                </c:pt>
                <c:pt idx="194">
                  <c:v>-12.267406634456474</c:v>
                </c:pt>
                <c:pt idx="195">
                  <c:v>-11.730341625724874</c:v>
                </c:pt>
                <c:pt idx="196">
                  <c:v>-11.218661147123518</c:v>
                </c:pt>
                <c:pt idx="197">
                  <c:v>-10.565334073121786</c:v>
                </c:pt>
                <c:pt idx="198">
                  <c:v>-9.9395704998981955</c:v>
                </c:pt>
                <c:pt idx="199">
                  <c:v>-3.4920297703134713</c:v>
                </c:pt>
                <c:pt idx="200">
                  <c:v>2.955510959271253</c:v>
                </c:pt>
                <c:pt idx="201">
                  <c:v>9.4030516888559958</c:v>
                </c:pt>
                <c:pt idx="202">
                  <c:v>10.087310220443285</c:v>
                </c:pt>
                <c:pt idx="203">
                  <c:v>10.749467997196206</c:v>
                </c:pt>
                <c:pt idx="204">
                  <c:v>11.399836992407998</c:v>
                </c:pt>
                <c:pt idx="205">
                  <c:v>12.04146586384635</c:v>
                </c:pt>
                <c:pt idx="206">
                  <c:v>12.675984939340852</c:v>
                </c:pt>
                <c:pt idx="207">
                  <c:v>13.304436345427471</c:v>
                </c:pt>
                <c:pt idx="208">
                  <c:v>13.720403748590604</c:v>
                </c:pt>
                <c:pt idx="209">
                  <c:v>13.776614620867646</c:v>
                </c:pt>
                <c:pt idx="210">
                  <c:v>13.413411501766335</c:v>
                </c:pt>
                <c:pt idx="211">
                  <c:v>12.860812031172088</c:v>
                </c:pt>
                <c:pt idx="212">
                  <c:v>12.297702993103222</c:v>
                </c:pt>
                <c:pt idx="213">
                  <c:v>11.722279361871855</c:v>
                </c:pt>
                <c:pt idx="214">
                  <c:v>11.131717311857463</c:v>
                </c:pt>
                <c:pt idx="215">
                  <c:v>10.52073638488694</c:v>
                </c:pt>
                <c:pt idx="216">
                  <c:v>9.8714756244980038</c:v>
                </c:pt>
                <c:pt idx="217">
                  <c:v>3.4239348949132609</c:v>
                </c:pt>
                <c:pt idx="218">
                  <c:v>-3.0236058346714634</c:v>
                </c:pt>
                <c:pt idx="219">
                  <c:v>-9.4711465642561876</c:v>
                </c:pt>
                <c:pt idx="220">
                  <c:v>-10.106374222870095</c:v>
                </c:pt>
                <c:pt idx="221">
                  <c:v>-10.789343518641793</c:v>
                </c:pt>
                <c:pt idx="222">
                  <c:v>-11.339130511390252</c:v>
                </c:pt>
                <c:pt idx="223">
                  <c:v>-11.932885033396097</c:v>
                </c:pt>
                <c:pt idx="224">
                  <c:v>-12.600162003105293</c:v>
                </c:pt>
                <c:pt idx="225">
                  <c:v>-13.02176245013378</c:v>
                </c:pt>
                <c:pt idx="226">
                  <c:v>-13.361787778096931</c:v>
                </c:pt>
                <c:pt idx="227">
                  <c:v>-13.643619233281694</c:v>
                </c:pt>
              </c:numCache>
            </c:numRef>
          </c:xVal>
          <c:yVal>
            <c:numRef>
              <c:f>Plot_Data!$BH$5:$BH$232</c:f>
              <c:numCache>
                <c:formatCode>0.000</c:formatCode>
                <c:ptCount val="228"/>
                <c:pt idx="0">
                  <c:v>4.2969670068469323</c:v>
                </c:pt>
                <c:pt idx="1">
                  <c:v>4.5112194588751588</c:v>
                </c:pt>
                <c:pt idx="2">
                  <c:v>4.656781023533167</c:v>
                </c:pt>
                <c:pt idx="3">
                  <c:v>4.7586694755271761</c:v>
                </c:pt>
                <c:pt idx="4">
                  <c:v>4.8178616207715352</c:v>
                </c:pt>
                <c:pt idx="5">
                  <c:v>4.7983852463861822</c:v>
                </c:pt>
                <c:pt idx="6">
                  <c:v>4.7318639143518322</c:v>
                </c:pt>
                <c:pt idx="7">
                  <c:v>4.5895835153038069</c:v>
                </c:pt>
                <c:pt idx="8">
                  <c:v>4.3962198887895809</c:v>
                </c:pt>
                <c:pt idx="9">
                  <c:v>2.109800554648531</c:v>
                </c:pt>
                <c:pt idx="10">
                  <c:v>-0.17661877949251817</c:v>
                </c:pt>
                <c:pt idx="11">
                  <c:v>-2.4630381136335746</c:v>
                </c:pt>
                <c:pt idx="12">
                  <c:v>-2.6696895267579461</c:v>
                </c:pt>
                <c:pt idx="13">
                  <c:v>-2.8518614086529657</c:v>
                </c:pt>
                <c:pt idx="14">
                  <c:v>-3.0209756439628372</c:v>
                </c:pt>
                <c:pt idx="15">
                  <c:v>-3.1804090274437193</c:v>
                </c:pt>
                <c:pt idx="16">
                  <c:v>-3.3319673644320229</c:v>
                </c:pt>
                <c:pt idx="17">
                  <c:v>-3.4768049489449968</c:v>
                </c:pt>
                <c:pt idx="18">
                  <c:v>-3.5700402163086808</c:v>
                </c:pt>
                <c:pt idx="19">
                  <c:v>-3.4721388223208054</c:v>
                </c:pt>
                <c:pt idx="20">
                  <c:v>-3.2870050173047392</c:v>
                </c:pt>
                <c:pt idx="21">
                  <c:v>-3.0100575771613132</c:v>
                </c:pt>
                <c:pt idx="22">
                  <c:v>-2.7341257528832261</c:v>
                </c:pt>
                <c:pt idx="23">
                  <c:v>-2.4593839772176311</c:v>
                </c:pt>
                <c:pt idx="24">
                  <c:v>-2.1861051369515496</c:v>
                </c:pt>
                <c:pt idx="25">
                  <c:v>-1.9147995211249307</c:v>
                </c:pt>
                <c:pt idx="26">
                  <c:v>-1.6471931637346091</c:v>
                </c:pt>
                <c:pt idx="27">
                  <c:v>0.63922617040644703</c:v>
                </c:pt>
                <c:pt idx="28">
                  <c:v>2.9256455045474961</c:v>
                </c:pt>
                <c:pt idx="29">
                  <c:v>5.212064838688546</c:v>
                </c:pt>
                <c:pt idx="30">
                  <c:v>5.3889450498953968</c:v>
                </c:pt>
                <c:pt idx="31">
                  <c:v>5.4795981620037253</c:v>
                </c:pt>
                <c:pt idx="32">
                  <c:v>5.4797501120325265</c:v>
                </c:pt>
                <c:pt idx="33">
                  <c:v>5.4004914526206935</c:v>
                </c:pt>
                <c:pt idx="34">
                  <c:v>5.1884424709346266</c:v>
                </c:pt>
                <c:pt idx="35">
                  <c:v>4.9566526008882734</c:v>
                </c:pt>
                <c:pt idx="36">
                  <c:v>4.6735705540304293</c:v>
                </c:pt>
                <c:pt idx="37">
                  <c:v>4.2969670068469323</c:v>
                </c:pt>
                <c:pt idx="38">
                  <c:v>4.2969670068469323</c:v>
                </c:pt>
                <c:pt idx="39">
                  <c:v>4.7580522031905081</c:v>
                </c:pt>
                <c:pt idx="40">
                  <c:v>5.112694944593839</c:v>
                </c:pt>
                <c:pt idx="41">
                  <c:v>5.4120808232461046</c:v>
                </c:pt>
                <c:pt idx="42">
                  <c:v>5.7036709845936802</c:v>
                </c:pt>
                <c:pt idx="43">
                  <c:v>5.8343077913292811</c:v>
                </c:pt>
                <c:pt idx="44">
                  <c:v>5.8686920718088196</c:v>
                </c:pt>
                <c:pt idx="45">
                  <c:v>5.8049039361156787</c:v>
                </c:pt>
                <c:pt idx="46">
                  <c:v>5.6366010991952518</c:v>
                </c:pt>
                <c:pt idx="47">
                  <c:v>3.3501817650542027</c:v>
                </c:pt>
                <c:pt idx="48">
                  <c:v>1.0637624309131533</c:v>
                </c:pt>
                <c:pt idx="49">
                  <c:v>-1.2226569032279029</c:v>
                </c:pt>
                <c:pt idx="50">
                  <c:v>-1.5219820131842181</c:v>
                </c:pt>
                <c:pt idx="51">
                  <c:v>-1.8396696064846296</c:v>
                </c:pt>
                <c:pt idx="52">
                  <c:v>-2.1671519469019884</c:v>
                </c:pt>
                <c:pt idx="53">
                  <c:v>-2.5018960473098053</c:v>
                </c:pt>
                <c:pt idx="54">
                  <c:v>-2.8425473445793239</c:v>
                </c:pt>
                <c:pt idx="55">
                  <c:v>-3.1882399845212892</c:v>
                </c:pt>
                <c:pt idx="56">
                  <c:v>-3.4211944710599997</c:v>
                </c:pt>
                <c:pt idx="57">
                  <c:v>-3.4308594080120804</c:v>
                </c:pt>
                <c:pt idx="58">
                  <c:v>-3.2069772496213078</c:v>
                </c:pt>
                <c:pt idx="59">
                  <c:v>-2.8743266448680833</c:v>
                </c:pt>
                <c:pt idx="60">
                  <c:v>-2.5459536397065907</c:v>
                </c:pt>
                <c:pt idx="61">
                  <c:v>-2.2225929149088186</c:v>
                </c:pt>
                <c:pt idx="62">
                  <c:v>-1.9053938227531215</c:v>
                </c:pt>
                <c:pt idx="63">
                  <c:v>-1.596505613033081</c:v>
                </c:pt>
                <c:pt idx="64">
                  <c:v>-1.3031980444952349</c:v>
                </c:pt>
                <c:pt idx="65">
                  <c:v>0.98322128964582101</c:v>
                </c:pt>
                <c:pt idx="66">
                  <c:v>3.2696406237868705</c:v>
                </c:pt>
                <c:pt idx="67">
                  <c:v>5.5560599579279195</c:v>
                </c:pt>
                <c:pt idx="68">
                  <c:v>5.7259900563531252</c:v>
                </c:pt>
                <c:pt idx="69">
                  <c:v>5.7948748965256831</c:v>
                </c:pt>
                <c:pt idx="70">
                  <c:v>5.7670426769157945</c:v>
                </c:pt>
                <c:pt idx="71">
                  <c:v>5.6461531050022984</c:v>
                </c:pt>
                <c:pt idx="72">
                  <c:v>5.3696531443834941</c:v>
                </c:pt>
                <c:pt idx="73">
                  <c:v>5.0830912814507307</c:v>
                </c:pt>
                <c:pt idx="74">
                  <c:v>4.742024718444263</c:v>
                </c:pt>
                <c:pt idx="75">
                  <c:v>4.2969670068469323</c:v>
                </c:pt>
                <c:pt idx="76">
                  <c:v>4.2969670068469323</c:v>
                </c:pt>
                <c:pt idx="77">
                  <c:v>4.6297882210832553</c:v>
                </c:pt>
                <c:pt idx="78">
                  <c:v>4.875784176634042</c:v>
                </c:pt>
                <c:pt idx="79">
                  <c:v>5.0725426406400569</c:v>
                </c:pt>
                <c:pt idx="80">
                  <c:v>5.2433696712210693</c:v>
                </c:pt>
                <c:pt idx="81">
                  <c:v>5.2960017771185912</c:v>
                </c:pt>
                <c:pt idx="82">
                  <c:v>5.2779515408005224</c:v>
                </c:pt>
                <c:pt idx="83">
                  <c:v>5.1733757442545469</c:v>
                </c:pt>
                <c:pt idx="84">
                  <c:v>4.9920503374276493</c:v>
                </c:pt>
                <c:pt idx="85">
                  <c:v>2.7056310032865998</c:v>
                </c:pt>
                <c:pt idx="86">
                  <c:v>0.4192116691455503</c:v>
                </c:pt>
                <c:pt idx="87">
                  <c:v>-1.8672076649955058</c:v>
                </c:pt>
                <c:pt idx="88">
                  <c:v>-2.1183758846444349</c:v>
                </c:pt>
                <c:pt idx="89">
                  <c:v>-2.3656441953202272</c:v>
                </c:pt>
                <c:pt idx="90">
                  <c:v>-2.6108322523911482</c:v>
                </c:pt>
                <c:pt idx="91">
                  <c:v>-2.8544780233552887</c:v>
                </c:pt>
                <c:pt idx="92">
                  <c:v>-3.0968691965825492</c:v>
                </c:pt>
                <c:pt idx="93">
                  <c:v>-3.3381896661823904</c:v>
                </c:pt>
                <c:pt idx="94">
                  <c:v>-3.4985405624721126</c:v>
                </c:pt>
                <c:pt idx="95">
                  <c:v>-3.6061068934120684</c:v>
                </c:pt>
                <c:pt idx="96">
                  <c:v>-3.5467268629226676</c:v>
                </c:pt>
                <c:pt idx="97">
                  <c:v>-3.4505582841420175</c:v>
                </c:pt>
                <c:pt idx="98">
                  <c:v>-3.3448188903125682</c:v>
                </c:pt>
                <c:pt idx="99">
                  <c:v>-3.2278648871431841</c:v>
                </c:pt>
                <c:pt idx="100">
                  <c:v>-3.0971246832901347</c:v>
                </c:pt>
                <c:pt idx="101">
                  <c:v>-2.9477894901263126</c:v>
                </c:pt>
                <c:pt idx="102">
                  <c:v>-2.7635937561618031</c:v>
                </c:pt>
                <c:pt idx="103">
                  <c:v>-0.47717442202074711</c:v>
                </c:pt>
                <c:pt idx="104">
                  <c:v>1.8092449121203023</c:v>
                </c:pt>
                <c:pt idx="105">
                  <c:v>4.0956642462613519</c:v>
                </c:pt>
                <c:pt idx="106">
                  <c:v>4.2951003299004054</c:v>
                </c:pt>
                <c:pt idx="107">
                  <c:v>4.4564001178654928</c:v>
                </c:pt>
                <c:pt idx="108">
                  <c:v>4.5473717970587586</c:v>
                </c:pt>
                <c:pt idx="109">
                  <c:v>4.6032219597805284</c:v>
                </c:pt>
                <c:pt idx="110">
                  <c:v>4.6003419663699967</c:v>
                </c:pt>
                <c:pt idx="111">
                  <c:v>4.5463089361358255</c:v>
                </c:pt>
                <c:pt idx="112">
                  <c:v>4.4514096411817397</c:v>
                </c:pt>
                <c:pt idx="113">
                  <c:v>4.2969670068469323</c:v>
                </c:pt>
                <c:pt idx="114">
                  <c:v>4.2969670068469323</c:v>
                </c:pt>
                <c:pt idx="115">
                  <c:v>4.2546914946606513</c:v>
                </c:pt>
                <c:pt idx="116">
                  <c:v>4.1829594876135712</c:v>
                </c:pt>
                <c:pt idx="117">
                  <c:v>4.0795931103150833</c:v>
                </c:pt>
                <c:pt idx="118">
                  <c:v>3.8972589940263132</c:v>
                </c:pt>
                <c:pt idx="119">
                  <c:v>3.7217732179648011</c:v>
                </c:pt>
                <c:pt idx="120">
                  <c:v>3.5503828523352365</c:v>
                </c:pt>
                <c:pt idx="121">
                  <c:v>3.3265271315815461</c:v>
                </c:pt>
                <c:pt idx="122">
                  <c:v>3.1071183652543741</c:v>
                </c:pt>
                <c:pt idx="123">
                  <c:v>0.82069903111332509</c:v>
                </c:pt>
                <c:pt idx="124">
                  <c:v>-1.4657203030277242</c:v>
                </c:pt>
                <c:pt idx="125">
                  <c:v>-3.7521396371687801</c:v>
                </c:pt>
                <c:pt idx="126">
                  <c:v>-3.8624772696783789</c:v>
                </c:pt>
                <c:pt idx="127">
                  <c:v>-3.9038105863241603</c:v>
                </c:pt>
                <c:pt idx="128">
                  <c:v>-3.9083362549411556</c:v>
                </c:pt>
                <c:pt idx="129">
                  <c:v>-3.8855729795346878</c:v>
                </c:pt>
                <c:pt idx="130">
                  <c:v>-3.8406110684384709</c:v>
                </c:pt>
                <c:pt idx="131">
                  <c:v>-3.7767043122672002</c:v>
                </c:pt>
                <c:pt idx="132">
                  <c:v>-3.7247323991329058</c:v>
                </c:pt>
                <c:pt idx="133">
                  <c:v>-3.8226337931207812</c:v>
                </c:pt>
                <c:pt idx="134">
                  <c:v>-3.9665042439074587</c:v>
                </c:pt>
                <c:pt idx="135">
                  <c:v>-4.1625208557091806</c:v>
                </c:pt>
                <c:pt idx="136">
                  <c:v>-4.3318562540951815</c:v>
                </c:pt>
                <c:pt idx="137">
                  <c:v>-4.4699279216863612</c:v>
                </c:pt>
                <c:pt idx="138">
                  <c:v>-4.5695668580255759</c:v>
                </c:pt>
                <c:pt idx="139">
                  <c:v>-4.6173672753113939</c:v>
                </c:pt>
                <c:pt idx="140">
                  <c:v>-4.5679845870677456</c:v>
                </c:pt>
                <c:pt idx="141">
                  <c:v>-2.2815652529266894</c:v>
                </c:pt>
                <c:pt idx="142">
                  <c:v>4.8540812143600398E-3</c:v>
                </c:pt>
                <c:pt idx="143">
                  <c:v>2.2912734153554095</c:v>
                </c:pt>
                <c:pt idx="144">
                  <c:v>2.5271655969899571</c:v>
                </c:pt>
                <c:pt idx="145">
                  <c:v>2.8026486046833439</c:v>
                </c:pt>
                <c:pt idx="146">
                  <c:v>3.0404083523184555</c:v>
                </c:pt>
                <c:pt idx="147">
                  <c:v>3.3146291621771535</c:v>
                </c:pt>
                <c:pt idx="148">
                  <c:v>3.6498201149076337</c:v>
                </c:pt>
                <c:pt idx="149">
                  <c:v>3.8830879102584639</c:v>
                </c:pt>
                <c:pt idx="150">
                  <c:v>4.0923403995053818</c:v>
                </c:pt>
                <c:pt idx="151">
                  <c:v>4.2969670068469323</c:v>
                </c:pt>
                <c:pt idx="152">
                  <c:v>4.2969670068469323</c:v>
                </c:pt>
                <c:pt idx="153">
                  <c:v>4.0078587503453029</c:v>
                </c:pt>
                <c:pt idx="154">
                  <c:v>3.7270455665528988</c:v>
                </c:pt>
                <c:pt idx="155">
                  <c:v>3.4261817625961557</c:v>
                </c:pt>
                <c:pt idx="156">
                  <c:v>3.0114496302041678</c:v>
                </c:pt>
                <c:pt idx="157">
                  <c:v>2.6858506730217013</c:v>
                </c:pt>
                <c:pt idx="158">
                  <c:v>2.4135546948782496</c:v>
                </c:pt>
                <c:pt idx="159">
                  <c:v>2.1112067107696753</c:v>
                </c:pt>
                <c:pt idx="160">
                  <c:v>1.8667371548487033</c:v>
                </c:pt>
                <c:pt idx="161">
                  <c:v>-0.41968217929234641</c:v>
                </c:pt>
                <c:pt idx="162">
                  <c:v>-2.7061015134333957</c:v>
                </c:pt>
                <c:pt idx="163">
                  <c:v>-4.9925208475744522</c:v>
                </c:pt>
                <c:pt idx="164">
                  <c:v>-5.0101847832521065</c:v>
                </c:pt>
                <c:pt idx="165">
                  <c:v>-4.9160023884924957</c:v>
                </c:pt>
                <c:pt idx="166">
                  <c:v>-4.7621599520020048</c:v>
                </c:pt>
                <c:pt idx="167">
                  <c:v>-4.5640859596686019</c:v>
                </c:pt>
                <c:pt idx="168">
                  <c:v>-4.3300310882911699</c:v>
                </c:pt>
                <c:pt idx="169">
                  <c:v>-4.0652692766909082</c:v>
                </c:pt>
                <c:pt idx="170">
                  <c:v>-3.873578144381586</c:v>
                </c:pt>
                <c:pt idx="171">
                  <c:v>-3.8639132074295066</c:v>
                </c:pt>
                <c:pt idx="172">
                  <c:v>-4.04653201159089</c:v>
                </c:pt>
                <c:pt idx="173">
                  <c:v>-4.2982517880024096</c:v>
                </c:pt>
                <c:pt idx="174">
                  <c:v>-4.5200283672718164</c:v>
                </c:pt>
                <c:pt idx="175">
                  <c:v>-4.7067189839951737</c:v>
                </c:pt>
                <c:pt idx="176">
                  <c:v>-4.8502781722240043</c:v>
                </c:pt>
                <c:pt idx="177">
                  <c:v>-4.9356611834032442</c:v>
                </c:pt>
                <c:pt idx="178">
                  <c:v>-4.9119797063071191</c:v>
                </c:pt>
                <c:pt idx="179">
                  <c:v>-2.6255603721660634</c:v>
                </c:pt>
                <c:pt idx="180">
                  <c:v>-0.33914103802501394</c:v>
                </c:pt>
                <c:pt idx="181">
                  <c:v>1.9472782961160353</c:v>
                </c:pt>
                <c:pt idx="182">
                  <c:v>2.1901205905322287</c:v>
                </c:pt>
                <c:pt idx="183">
                  <c:v>2.4873718701613861</c:v>
                </c:pt>
                <c:pt idx="184">
                  <c:v>2.7531157874351875</c:v>
                </c:pt>
                <c:pt idx="185">
                  <c:v>3.0689675097955487</c:v>
                </c:pt>
                <c:pt idx="186">
                  <c:v>3.4686094414587672</c:v>
                </c:pt>
                <c:pt idx="187">
                  <c:v>3.7566492296960075</c:v>
                </c:pt>
                <c:pt idx="188">
                  <c:v>4.0238862350915472</c:v>
                </c:pt>
                <c:pt idx="189">
                  <c:v>4.2969670068469323</c:v>
                </c:pt>
                <c:pt idx="190">
                  <c:v>4.2969670068469323</c:v>
                </c:pt>
                <c:pt idx="191">
                  <c:v>4.1361227324525558</c:v>
                </c:pt>
                <c:pt idx="192">
                  <c:v>3.9639563345126958</c:v>
                </c:pt>
                <c:pt idx="193">
                  <c:v>3.7657199452022034</c:v>
                </c:pt>
                <c:pt idx="194">
                  <c:v>3.4717509435767786</c:v>
                </c:pt>
                <c:pt idx="195">
                  <c:v>3.2241566872323912</c:v>
                </c:pt>
                <c:pt idx="196">
                  <c:v>3.0042952258865467</c:v>
                </c:pt>
                <c:pt idx="197">
                  <c:v>2.742734902630807</c:v>
                </c:pt>
                <c:pt idx="198">
                  <c:v>2.5112879166163058</c:v>
                </c:pt>
                <c:pt idx="199">
                  <c:v>0.22486858247525676</c:v>
                </c:pt>
                <c:pt idx="200">
                  <c:v>-2.0615507516657927</c:v>
                </c:pt>
                <c:pt idx="201">
                  <c:v>-4.3479700858068489</c:v>
                </c:pt>
                <c:pt idx="202">
                  <c:v>-4.4137909117918896</c:v>
                </c:pt>
                <c:pt idx="203">
                  <c:v>-4.3900277996568988</c:v>
                </c:pt>
                <c:pt idx="204">
                  <c:v>-4.318479646512845</c:v>
                </c:pt>
                <c:pt idx="205">
                  <c:v>-4.2115039836231185</c:v>
                </c:pt>
                <c:pt idx="206">
                  <c:v>-4.0757092362879437</c:v>
                </c:pt>
                <c:pt idx="207">
                  <c:v>-3.9153195950298065</c:v>
                </c:pt>
                <c:pt idx="208">
                  <c:v>-3.7962320529694731</c:v>
                </c:pt>
                <c:pt idx="209">
                  <c:v>-3.6886657220295183</c:v>
                </c:pt>
                <c:pt idx="210">
                  <c:v>-3.7067823982895303</c:v>
                </c:pt>
                <c:pt idx="211">
                  <c:v>-3.7220201487284763</c:v>
                </c:pt>
                <c:pt idx="212">
                  <c:v>-3.7211631166658394</c:v>
                </c:pt>
                <c:pt idx="213">
                  <c:v>-3.7014470117608087</c:v>
                </c:pt>
                <c:pt idx="214">
                  <c:v>-3.6585473116869913</c:v>
                </c:pt>
                <c:pt idx="215">
                  <c:v>-3.5843773063100119</c:v>
                </c:pt>
                <c:pt idx="216">
                  <c:v>-3.4515839946405511</c:v>
                </c:pt>
                <c:pt idx="217">
                  <c:v>-1.1651646604994952</c:v>
                </c:pt>
                <c:pt idx="218">
                  <c:v>1.1212546736415541</c:v>
                </c:pt>
                <c:pt idx="219">
                  <c:v>3.4076740077826035</c:v>
                </c:pt>
                <c:pt idx="220">
                  <c:v>3.6210103169849486</c:v>
                </c:pt>
                <c:pt idx="221">
                  <c:v>3.8258466488215768</c:v>
                </c:pt>
                <c:pt idx="222">
                  <c:v>3.9727866672922234</c:v>
                </c:pt>
                <c:pt idx="223">
                  <c:v>4.1118986550173187</c:v>
                </c:pt>
                <c:pt idx="224">
                  <c:v>4.2379206194722636</c:v>
                </c:pt>
                <c:pt idx="225">
                  <c:v>4.2934315750109118</c:v>
                </c:pt>
                <c:pt idx="226">
                  <c:v>4.3145013123540714</c:v>
                </c:pt>
                <c:pt idx="227">
                  <c:v>4.2969670068469323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56E-421D-AC26-4D93C25A26CA}"/>
            </c:ext>
          </c:extLst>
        </c:ser>
        <c:ser>
          <c:idx val="2"/>
          <c:order val="2"/>
          <c:spPr>
            <a:ln w="9000">
              <a:solidFill>
                <a:srgbClr val="1F3864"/>
              </a:solidFill>
              <a:prstDash val="solid"/>
            </a:ln>
          </c:spPr>
          <c:marker>
            <c:symbol val="none"/>
          </c:marker>
          <c:xVal>
            <c:numRef>
              <c:f>Plot_Data!$BG$233:$BG$245</c:f>
              <c:numCache>
                <c:formatCode>0.000</c:formatCode>
                <c:ptCount val="13"/>
                <c:pt idx="0">
                  <c:v>-12.509846678347557</c:v>
                </c:pt>
                <c:pt idx="1">
                  <c:v>-12.600162003105293</c:v>
                </c:pt>
                <c:pt idx="2">
                  <c:v>-12.846919622878932</c:v>
                </c:pt>
                <c:pt idx="3">
                  <c:v>-13.183992567410307</c:v>
                </c:pt>
                <c:pt idx="4">
                  <c:v>-13.521065511941682</c:v>
                </c:pt>
                <c:pt idx="5">
                  <c:v>-13.767823131715321</c:v>
                </c:pt>
                <c:pt idx="6">
                  <c:v>-13.858138456473057</c:v>
                </c:pt>
                <c:pt idx="7">
                  <c:v>-13.767823131715321</c:v>
                </c:pt>
                <c:pt idx="8">
                  <c:v>-13.521065511941682</c:v>
                </c:pt>
                <c:pt idx="9">
                  <c:v>-13.183992567410307</c:v>
                </c:pt>
                <c:pt idx="10">
                  <c:v>-12.846919622878932</c:v>
                </c:pt>
                <c:pt idx="11">
                  <c:v>-12.600162003105293</c:v>
                </c:pt>
                <c:pt idx="12">
                  <c:v>-12.509846678347557</c:v>
                </c:pt>
              </c:numCache>
            </c:numRef>
          </c:xVal>
          <c:yVal>
            <c:numRef>
              <c:f>Plot_Data!$BH$233:$BH$245</c:f>
              <c:numCache>
                <c:formatCode>0.000</c:formatCode>
                <c:ptCount val="13"/>
                <c:pt idx="0">
                  <c:v>4.7586694755271761</c:v>
                </c:pt>
                <c:pt idx="1">
                  <c:v>5.1884424709346266</c:v>
                </c:pt>
                <c:pt idx="2">
                  <c:v>5.4120808232461046</c:v>
                </c:pt>
                <c:pt idx="3">
                  <c:v>5.3696531443834941</c:v>
                </c:pt>
                <c:pt idx="4">
                  <c:v>5.0725426406400569</c:v>
                </c:pt>
                <c:pt idx="5">
                  <c:v>4.6003419663699967</c:v>
                </c:pt>
                <c:pt idx="6">
                  <c:v>4.0795931103150833</c:v>
                </c:pt>
                <c:pt idx="7">
                  <c:v>3.6498201149076337</c:v>
                </c:pt>
                <c:pt idx="8">
                  <c:v>3.4261817625961557</c:v>
                </c:pt>
                <c:pt idx="9">
                  <c:v>3.4686094414587672</c:v>
                </c:pt>
                <c:pt idx="10">
                  <c:v>3.7657199452022034</c:v>
                </c:pt>
                <c:pt idx="11">
                  <c:v>4.2379206194722636</c:v>
                </c:pt>
                <c:pt idx="12">
                  <c:v>4.7586694755271761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56E-421D-AC26-4D93C25A26CA}"/>
            </c:ext>
          </c:extLst>
        </c:ser>
        <c:ser>
          <c:idx val="3"/>
          <c:order val="3"/>
          <c:spPr>
            <a:ln w="9000">
              <a:solidFill>
                <a:srgbClr val="1F3864"/>
              </a:solidFill>
              <a:prstDash val="solid"/>
            </a:ln>
          </c:spPr>
          <c:marker>
            <c:symbol val="none"/>
          </c:marker>
          <c:xVal>
            <c:numRef>
              <c:f>Plot_Data!$BG$246:$BG$258</c:f>
              <c:numCache>
                <c:formatCode>0.000</c:formatCode>
                <c:ptCount val="13"/>
                <c:pt idx="0">
                  <c:v>-11.195944015782215</c:v>
                </c:pt>
                <c:pt idx="1">
                  <c:v>-11.339130511390252</c:v>
                </c:pt>
                <c:pt idx="2">
                  <c:v>-11.730341625724874</c:v>
                </c:pt>
                <c:pt idx="3">
                  <c:v>-12.264739235667534</c:v>
                </c:pt>
                <c:pt idx="4">
                  <c:v>-12.799136845610194</c:v>
                </c:pt>
                <c:pt idx="5">
                  <c:v>-13.190347959944816</c:v>
                </c:pt>
                <c:pt idx="6">
                  <c:v>-13.333534455552853</c:v>
                </c:pt>
                <c:pt idx="7">
                  <c:v>-13.190347959944816</c:v>
                </c:pt>
                <c:pt idx="8">
                  <c:v>-12.799136845610194</c:v>
                </c:pt>
                <c:pt idx="9">
                  <c:v>-12.264739235667534</c:v>
                </c:pt>
                <c:pt idx="10">
                  <c:v>-11.730341625724874</c:v>
                </c:pt>
                <c:pt idx="11">
                  <c:v>-11.339130511390252</c:v>
                </c:pt>
                <c:pt idx="12">
                  <c:v>-11.195944015782215</c:v>
                </c:pt>
              </c:numCache>
            </c:numRef>
          </c:xVal>
          <c:yVal>
            <c:numRef>
              <c:f>Plot_Data!$BH$246:$BH$258</c:f>
              <c:numCache>
                <c:formatCode>0.000</c:formatCode>
                <c:ptCount val="13"/>
                <c:pt idx="0">
                  <c:v>4.7983852463861822</c:v>
                </c:pt>
                <c:pt idx="1">
                  <c:v>5.4797501120325265</c:v>
                </c:pt>
                <c:pt idx="2">
                  <c:v>5.8343077913292811</c:v>
                </c:pt>
                <c:pt idx="3">
                  <c:v>5.7670426769157945</c:v>
                </c:pt>
                <c:pt idx="4">
                  <c:v>5.2960017771185912</c:v>
                </c:pt>
                <c:pt idx="5">
                  <c:v>4.5473717970587586</c:v>
                </c:pt>
                <c:pt idx="6">
                  <c:v>3.7217732179648011</c:v>
                </c:pt>
                <c:pt idx="7">
                  <c:v>3.0404083523184555</c:v>
                </c:pt>
                <c:pt idx="8">
                  <c:v>2.6858506730217013</c:v>
                </c:pt>
                <c:pt idx="9">
                  <c:v>2.7531157874351875</c:v>
                </c:pt>
                <c:pt idx="10">
                  <c:v>3.2241566872323912</c:v>
                </c:pt>
                <c:pt idx="11">
                  <c:v>3.9727866672922234</c:v>
                </c:pt>
                <c:pt idx="12">
                  <c:v>4.7983852463861822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56E-421D-AC26-4D93C25A26CA}"/>
            </c:ext>
          </c:extLst>
        </c:ser>
        <c:ser>
          <c:idx val="4"/>
          <c:order val="4"/>
          <c:spPr>
            <a:ln w="9000">
              <a:solidFill>
                <a:srgbClr val="1F3864"/>
              </a:solidFill>
              <a:prstDash val="solid"/>
            </a:ln>
          </c:spPr>
          <c:marker>
            <c:symbol val="none"/>
          </c:marker>
          <c:xVal>
            <c:numRef>
              <c:f>Plot_Data!$BG$259:$BG$271</c:f>
              <c:numCache>
                <c:formatCode>0.000</c:formatCode>
                <c:ptCount val="13"/>
                <c:pt idx="0">
                  <c:v>-9.299699538990609</c:v>
                </c:pt>
                <c:pt idx="1">
                  <c:v>-9.4711465642561876</c:v>
                </c:pt>
                <c:pt idx="2">
                  <c:v>-9.9395704998981955</c:v>
                </c:pt>
                <c:pt idx="3">
                  <c:v>-10.579441460805782</c:v>
                </c:pt>
                <c:pt idx="4">
                  <c:v>-11.219312421713369</c:v>
                </c:pt>
                <c:pt idx="5">
                  <c:v>-11.687736357355377</c:v>
                </c:pt>
                <c:pt idx="6">
                  <c:v>-11.859183382620955</c:v>
                </c:pt>
                <c:pt idx="7">
                  <c:v>-11.687736357355377</c:v>
                </c:pt>
                <c:pt idx="8">
                  <c:v>-11.219312421713369</c:v>
                </c:pt>
                <c:pt idx="9">
                  <c:v>-10.579441460805782</c:v>
                </c:pt>
                <c:pt idx="10">
                  <c:v>-9.9395704998981955</c:v>
                </c:pt>
                <c:pt idx="11">
                  <c:v>-9.4711465642561876</c:v>
                </c:pt>
                <c:pt idx="12">
                  <c:v>-9.299699538990609</c:v>
                </c:pt>
              </c:numCache>
            </c:numRef>
          </c:xVal>
          <c:yVal>
            <c:numRef>
              <c:f>Plot_Data!$BH$259:$BH$271</c:f>
              <c:numCache>
                <c:formatCode>0.000</c:formatCode>
                <c:ptCount val="13"/>
                <c:pt idx="0">
                  <c:v>4.3962198887895809</c:v>
                </c:pt>
                <c:pt idx="1">
                  <c:v>5.212064838688546</c:v>
                </c:pt>
                <c:pt idx="2">
                  <c:v>5.6366010991952518</c:v>
                </c:pt>
                <c:pt idx="3">
                  <c:v>5.5560599579279195</c:v>
                </c:pt>
                <c:pt idx="4">
                  <c:v>4.9920503374276493</c:v>
                </c:pt>
                <c:pt idx="5">
                  <c:v>4.0956642462613519</c:v>
                </c:pt>
                <c:pt idx="6">
                  <c:v>3.1071183652543741</c:v>
                </c:pt>
                <c:pt idx="7">
                  <c:v>2.2912734153554095</c:v>
                </c:pt>
                <c:pt idx="8">
                  <c:v>1.8667371548487033</c:v>
                </c:pt>
                <c:pt idx="9">
                  <c:v>1.9472782961160353</c:v>
                </c:pt>
                <c:pt idx="10">
                  <c:v>2.5112879166163058</c:v>
                </c:pt>
                <c:pt idx="11">
                  <c:v>3.4076740077826035</c:v>
                </c:pt>
                <c:pt idx="12">
                  <c:v>4.3962198887895809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56E-421D-AC26-4D93C25A26CA}"/>
            </c:ext>
          </c:extLst>
        </c:ser>
        <c:ser>
          <c:idx val="5"/>
          <c:order val="5"/>
          <c:spPr>
            <a:ln w="9000">
              <a:solidFill>
                <a:srgbClr val="1F3864"/>
              </a:solidFill>
              <a:prstDash val="solid"/>
            </a:ln>
          </c:spPr>
          <c:marker>
            <c:symbol val="none"/>
          </c:marker>
          <c:xVal>
            <c:numRef>
              <c:f>Plot_Data!$BG$272:$BG$284</c:f>
              <c:numCache>
                <c:formatCode>0.000</c:formatCode>
                <c:ptCount val="13"/>
                <c:pt idx="0">
                  <c:v>-2.8521588094058847</c:v>
                </c:pt>
                <c:pt idx="1">
                  <c:v>-3.0236058346714634</c:v>
                </c:pt>
                <c:pt idx="2">
                  <c:v>-3.4920297703134713</c:v>
                </c:pt>
                <c:pt idx="3">
                  <c:v>-4.1319007312210578</c:v>
                </c:pt>
                <c:pt idx="4">
                  <c:v>-4.7717716921286444</c:v>
                </c:pt>
                <c:pt idx="5">
                  <c:v>-5.2401956277706523</c:v>
                </c:pt>
                <c:pt idx="6">
                  <c:v>-5.4116426530362309</c:v>
                </c:pt>
                <c:pt idx="7">
                  <c:v>-5.2401956277706523</c:v>
                </c:pt>
                <c:pt idx="8">
                  <c:v>-4.7717716921286444</c:v>
                </c:pt>
                <c:pt idx="9">
                  <c:v>-4.1319007312210578</c:v>
                </c:pt>
                <c:pt idx="10">
                  <c:v>-3.4920297703134713</c:v>
                </c:pt>
                <c:pt idx="11">
                  <c:v>-3.0236058346714634</c:v>
                </c:pt>
                <c:pt idx="12">
                  <c:v>-2.8521588094058847</c:v>
                </c:pt>
              </c:numCache>
            </c:numRef>
          </c:xVal>
          <c:yVal>
            <c:numRef>
              <c:f>Plot_Data!$BH$272:$BH$284</c:f>
              <c:numCache>
                <c:formatCode>0.000</c:formatCode>
                <c:ptCount val="13"/>
                <c:pt idx="0">
                  <c:v>2.109800554648531</c:v>
                </c:pt>
                <c:pt idx="1">
                  <c:v>2.9256455045474961</c:v>
                </c:pt>
                <c:pt idx="2">
                  <c:v>3.3501817650542027</c:v>
                </c:pt>
                <c:pt idx="3">
                  <c:v>3.2696406237868705</c:v>
                </c:pt>
                <c:pt idx="4">
                  <c:v>2.7056310032865998</c:v>
                </c:pt>
                <c:pt idx="5">
                  <c:v>1.8092449121203023</c:v>
                </c:pt>
                <c:pt idx="6">
                  <c:v>0.82069903111332509</c:v>
                </c:pt>
                <c:pt idx="7">
                  <c:v>4.8540812143600398E-3</c:v>
                </c:pt>
                <c:pt idx="8">
                  <c:v>-0.41968217929234641</c:v>
                </c:pt>
                <c:pt idx="9">
                  <c:v>-0.33914103802501394</c:v>
                </c:pt>
                <c:pt idx="10">
                  <c:v>0.22486858247525676</c:v>
                </c:pt>
                <c:pt idx="11">
                  <c:v>1.1212546736415541</c:v>
                </c:pt>
                <c:pt idx="12">
                  <c:v>2.109800554648531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56E-421D-AC26-4D93C25A26CA}"/>
            </c:ext>
          </c:extLst>
        </c:ser>
        <c:ser>
          <c:idx val="6"/>
          <c:order val="6"/>
          <c:spPr>
            <a:ln w="9000">
              <a:solidFill>
                <a:srgbClr val="1F3864"/>
              </a:solidFill>
              <a:prstDash val="solid"/>
            </a:ln>
          </c:spPr>
          <c:marker>
            <c:symbol val="none"/>
          </c:marker>
          <c:xVal>
            <c:numRef>
              <c:f>Plot_Data!$BG$285:$BG$297</c:f>
              <c:numCache>
                <c:formatCode>0.000</c:formatCode>
                <c:ptCount val="13"/>
                <c:pt idx="0">
                  <c:v>3.5953819201788395</c:v>
                </c:pt>
                <c:pt idx="1">
                  <c:v>3.4239348949132609</c:v>
                </c:pt>
                <c:pt idx="2">
                  <c:v>2.955510959271253</c:v>
                </c:pt>
                <c:pt idx="3">
                  <c:v>2.3156399983636664</c:v>
                </c:pt>
                <c:pt idx="4">
                  <c:v>1.6757690374560799</c:v>
                </c:pt>
                <c:pt idx="5">
                  <c:v>1.2073451018140722</c:v>
                </c:pt>
                <c:pt idx="6">
                  <c:v>1.0358980765484933</c:v>
                </c:pt>
                <c:pt idx="7">
                  <c:v>1.2073451018140722</c:v>
                </c:pt>
                <c:pt idx="8">
                  <c:v>1.6757690374560799</c:v>
                </c:pt>
                <c:pt idx="9">
                  <c:v>2.3156399983636664</c:v>
                </c:pt>
                <c:pt idx="10">
                  <c:v>2.955510959271253</c:v>
                </c:pt>
                <c:pt idx="11">
                  <c:v>3.4239348949132609</c:v>
                </c:pt>
                <c:pt idx="12">
                  <c:v>3.5953819201788395</c:v>
                </c:pt>
              </c:numCache>
            </c:numRef>
          </c:xVal>
          <c:yVal>
            <c:numRef>
              <c:f>Plot_Data!$BH$285:$BH$297</c:f>
              <c:numCache>
                <c:formatCode>0.000</c:formatCode>
                <c:ptCount val="13"/>
                <c:pt idx="0">
                  <c:v>-0.17661877949251817</c:v>
                </c:pt>
                <c:pt idx="1">
                  <c:v>0.63922617040644703</c:v>
                </c:pt>
                <c:pt idx="2">
                  <c:v>1.0637624309131533</c:v>
                </c:pt>
                <c:pt idx="3">
                  <c:v>0.98322128964582101</c:v>
                </c:pt>
                <c:pt idx="4">
                  <c:v>0.4192116691455503</c:v>
                </c:pt>
                <c:pt idx="5">
                  <c:v>-0.47717442202074711</c:v>
                </c:pt>
                <c:pt idx="6">
                  <c:v>-1.4657203030277242</c:v>
                </c:pt>
                <c:pt idx="7">
                  <c:v>-2.2815652529266894</c:v>
                </c:pt>
                <c:pt idx="8">
                  <c:v>-2.7061015134333957</c:v>
                </c:pt>
                <c:pt idx="9">
                  <c:v>-2.6255603721660634</c:v>
                </c:pt>
                <c:pt idx="10">
                  <c:v>-2.0615507516657927</c:v>
                </c:pt>
                <c:pt idx="11">
                  <c:v>-1.1651646604994952</c:v>
                </c:pt>
                <c:pt idx="12">
                  <c:v>-0.17661877949251817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56E-421D-AC26-4D93C25A26CA}"/>
            </c:ext>
          </c:extLst>
        </c:ser>
        <c:ser>
          <c:idx val="7"/>
          <c:order val="7"/>
          <c:spPr>
            <a:ln w="9000">
              <a:solidFill>
                <a:srgbClr val="1F3864"/>
              </a:solidFill>
              <a:prstDash val="solid"/>
            </a:ln>
          </c:spPr>
          <c:marker>
            <c:symbol val="none"/>
          </c:marker>
          <c:xVal>
            <c:numRef>
              <c:f>Plot_Data!$BG$298:$BG$310</c:f>
              <c:numCache>
                <c:formatCode>0.000</c:formatCode>
                <c:ptCount val="13"/>
                <c:pt idx="0">
                  <c:v>10.042922649763582</c:v>
                </c:pt>
                <c:pt idx="1">
                  <c:v>9.8714756244980038</c:v>
                </c:pt>
                <c:pt idx="2">
                  <c:v>9.4030516888559958</c:v>
                </c:pt>
                <c:pt idx="3">
                  <c:v>8.7631807279484093</c:v>
                </c:pt>
                <c:pt idx="4">
                  <c:v>8.1233097670408227</c:v>
                </c:pt>
                <c:pt idx="5">
                  <c:v>7.6548858313988148</c:v>
                </c:pt>
                <c:pt idx="6">
                  <c:v>7.4834388061332362</c:v>
                </c:pt>
                <c:pt idx="7">
                  <c:v>7.6548858313988148</c:v>
                </c:pt>
                <c:pt idx="8">
                  <c:v>8.1233097670408227</c:v>
                </c:pt>
                <c:pt idx="9">
                  <c:v>8.7631807279484093</c:v>
                </c:pt>
                <c:pt idx="10">
                  <c:v>9.4030516888559958</c:v>
                </c:pt>
                <c:pt idx="11">
                  <c:v>9.8714756244980038</c:v>
                </c:pt>
                <c:pt idx="12">
                  <c:v>10.042922649763582</c:v>
                </c:pt>
              </c:numCache>
            </c:numRef>
          </c:xVal>
          <c:yVal>
            <c:numRef>
              <c:f>Plot_Data!$BH$298:$BH$310</c:f>
              <c:numCache>
                <c:formatCode>0.000</c:formatCode>
                <c:ptCount val="13"/>
                <c:pt idx="0">
                  <c:v>-2.4630381136335746</c:v>
                </c:pt>
                <c:pt idx="1">
                  <c:v>-1.6471931637346091</c:v>
                </c:pt>
                <c:pt idx="2">
                  <c:v>-1.2226569032279029</c:v>
                </c:pt>
                <c:pt idx="3">
                  <c:v>-1.3031980444952349</c:v>
                </c:pt>
                <c:pt idx="4">
                  <c:v>-1.8672076649955058</c:v>
                </c:pt>
                <c:pt idx="5">
                  <c:v>-2.7635937561618031</c:v>
                </c:pt>
                <c:pt idx="6">
                  <c:v>-3.7521396371687801</c:v>
                </c:pt>
                <c:pt idx="7">
                  <c:v>-4.5679845870677456</c:v>
                </c:pt>
                <c:pt idx="8">
                  <c:v>-4.9925208475744522</c:v>
                </c:pt>
                <c:pt idx="9">
                  <c:v>-4.9119797063071191</c:v>
                </c:pt>
                <c:pt idx="10">
                  <c:v>-4.3479700858068489</c:v>
                </c:pt>
                <c:pt idx="11">
                  <c:v>-3.4515839946405511</c:v>
                </c:pt>
                <c:pt idx="12">
                  <c:v>-2.4630381136335746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56E-421D-AC26-4D93C25A26CA}"/>
            </c:ext>
          </c:extLst>
        </c:ser>
        <c:ser>
          <c:idx val="8"/>
          <c:order val="8"/>
          <c:spPr>
            <a:ln w="9000">
              <a:solidFill>
                <a:srgbClr val="1F3864"/>
              </a:solidFill>
              <a:prstDash val="solid"/>
            </a:ln>
          </c:spPr>
          <c:marker>
            <c:symbol val="none"/>
          </c:marker>
          <c:xVal>
            <c:numRef>
              <c:f>Plot_Data!$BG$311:$BG$323</c:f>
              <c:numCache>
                <c:formatCode>0.000</c:formatCode>
                <c:ptCount val="13"/>
                <c:pt idx="0">
                  <c:v>11.271623714844019</c:v>
                </c:pt>
                <c:pt idx="1">
                  <c:v>11.131717311857463</c:v>
                </c:pt>
                <c:pt idx="2">
                  <c:v>10.749467997196206</c:v>
                </c:pt>
                <c:pt idx="3">
                  <c:v>10.227312279548395</c:v>
                </c:pt>
                <c:pt idx="4">
                  <c:v>9.7051565619005835</c:v>
                </c:pt>
                <c:pt idx="5">
                  <c:v>9.3229072472393266</c:v>
                </c:pt>
                <c:pt idx="6">
                  <c:v>9.1830008442527706</c:v>
                </c:pt>
                <c:pt idx="7">
                  <c:v>9.3229072472393266</c:v>
                </c:pt>
                <c:pt idx="8">
                  <c:v>9.7051565619005835</c:v>
                </c:pt>
                <c:pt idx="9">
                  <c:v>10.227312279548395</c:v>
                </c:pt>
                <c:pt idx="10">
                  <c:v>10.749467997196206</c:v>
                </c:pt>
                <c:pt idx="11">
                  <c:v>11.131717311857463</c:v>
                </c:pt>
                <c:pt idx="12">
                  <c:v>11.271623714844019</c:v>
                </c:pt>
              </c:numCache>
            </c:numRef>
          </c:xVal>
          <c:yVal>
            <c:numRef>
              <c:f>Plot_Data!$BH$311:$BH$323</c:f>
              <c:numCache>
                <c:formatCode>0.000</c:formatCode>
                <c:ptCount val="13"/>
                <c:pt idx="0">
                  <c:v>-2.8518614086529657</c:v>
                </c:pt>
                <c:pt idx="1">
                  <c:v>-2.1861051369515496</c:v>
                </c:pt>
                <c:pt idx="2">
                  <c:v>-1.8396696064846296</c:v>
                </c:pt>
                <c:pt idx="3">
                  <c:v>-1.9053938227531215</c:v>
                </c:pt>
                <c:pt idx="4">
                  <c:v>-2.3656441953202272</c:v>
                </c:pt>
                <c:pt idx="5">
                  <c:v>-3.0971246832901347</c:v>
                </c:pt>
                <c:pt idx="6">
                  <c:v>-3.9038105863241603</c:v>
                </c:pt>
                <c:pt idx="7">
                  <c:v>-4.5695668580255759</c:v>
                </c:pt>
                <c:pt idx="8">
                  <c:v>-4.9160023884924957</c:v>
                </c:pt>
                <c:pt idx="9">
                  <c:v>-4.8502781722240043</c:v>
                </c:pt>
                <c:pt idx="10">
                  <c:v>-4.3900277996568988</c:v>
                </c:pt>
                <c:pt idx="11">
                  <c:v>-3.6585473116869913</c:v>
                </c:pt>
                <c:pt idx="12">
                  <c:v>-2.8518614086529657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56E-421D-AC26-4D93C25A26CA}"/>
            </c:ext>
          </c:extLst>
        </c:ser>
        <c:ser>
          <c:idx val="9"/>
          <c:order val="9"/>
          <c:spPr>
            <a:ln w="9000">
              <a:solidFill>
                <a:srgbClr val="1F3864"/>
              </a:solidFill>
              <a:prstDash val="solid"/>
            </a:ln>
          </c:spPr>
          <c:marker>
            <c:symbol val="none"/>
          </c:marker>
          <c:xVal>
            <c:numRef>
              <c:f>Plot_Data!$BG$324:$BG$336</c:f>
              <c:numCache>
                <c:formatCode>0.000</c:formatCode>
                <c:ptCount val="13"/>
                <c:pt idx="0">
                  <c:v>12.391487896544316</c:v>
                </c:pt>
                <c:pt idx="1">
                  <c:v>12.297702993103222</c:v>
                </c:pt>
                <c:pt idx="2">
                  <c:v>12.04146586384635</c:v>
                </c:pt>
                <c:pt idx="3">
                  <c:v>11.691443831148382</c:v>
                </c:pt>
                <c:pt idx="4">
                  <c:v>11.341421798450414</c:v>
                </c:pt>
                <c:pt idx="5">
                  <c:v>11.085184669193541</c:v>
                </c:pt>
                <c:pt idx="6">
                  <c:v>10.991399765752448</c:v>
                </c:pt>
                <c:pt idx="7">
                  <c:v>11.085184669193541</c:v>
                </c:pt>
                <c:pt idx="8">
                  <c:v>11.341421798450414</c:v>
                </c:pt>
                <c:pt idx="9">
                  <c:v>11.691443831148382</c:v>
                </c:pt>
                <c:pt idx="10">
                  <c:v>12.04146586384635</c:v>
                </c:pt>
                <c:pt idx="11">
                  <c:v>12.297702993103222</c:v>
                </c:pt>
                <c:pt idx="12">
                  <c:v>12.391487896544316</c:v>
                </c:pt>
              </c:numCache>
            </c:numRef>
          </c:xVal>
          <c:yVal>
            <c:numRef>
              <c:f>Plot_Data!$BH$324:$BH$336</c:f>
              <c:numCache>
                <c:formatCode>0.000</c:formatCode>
                <c:ptCount val="13"/>
                <c:pt idx="0">
                  <c:v>-3.1804090274437193</c:v>
                </c:pt>
                <c:pt idx="1">
                  <c:v>-2.7341257528832261</c:v>
                </c:pt>
                <c:pt idx="2">
                  <c:v>-2.5018960473098053</c:v>
                </c:pt>
                <c:pt idx="3">
                  <c:v>-2.5459536397065907</c:v>
                </c:pt>
                <c:pt idx="4">
                  <c:v>-2.8544780233552887</c:v>
                </c:pt>
                <c:pt idx="5">
                  <c:v>-3.3448188903125682</c:v>
                </c:pt>
                <c:pt idx="6">
                  <c:v>-3.8855729795346878</c:v>
                </c:pt>
                <c:pt idx="7">
                  <c:v>-4.3318562540951815</c:v>
                </c:pt>
                <c:pt idx="8">
                  <c:v>-4.5640859596686019</c:v>
                </c:pt>
                <c:pt idx="9">
                  <c:v>-4.5200283672718164</c:v>
                </c:pt>
                <c:pt idx="10">
                  <c:v>-4.2115039836231185</c:v>
                </c:pt>
                <c:pt idx="11">
                  <c:v>-3.7211631166658394</c:v>
                </c:pt>
                <c:pt idx="12">
                  <c:v>-3.1804090274437193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56E-421D-AC26-4D93C25A26CA}"/>
            </c:ext>
          </c:extLst>
        </c:ser>
        <c:ser>
          <c:idx val="10"/>
          <c:order val="10"/>
          <c:tx>
            <c:strRef>
              <c:f>Plot_Data!$BK$6</c:f>
              <c:strCache>
                <c:ptCount val="1"/>
                <c:pt idx="0">
                  <c:v>Wing: S = 132.0 m2, b = 35.4 m, c/4 sweep 26 deg</c:v>
                </c:pt>
              </c:strCache>
            </c:strRef>
          </c:tx>
          <c:spPr>
            <a:ln w="22000">
              <a:solidFill>
                <a:srgbClr val="0070C0"/>
              </a:solidFill>
              <a:prstDash val="solid"/>
            </a:ln>
          </c:spPr>
          <c:marker>
            <c:symbol val="none"/>
          </c:marker>
          <c:xVal>
            <c:numRef>
              <c:f>Plot_Data!$BG$337:$BG$343</c:f>
              <c:numCache>
                <c:formatCode>0.000</c:formatCode>
                <c:ptCount val="7"/>
                <c:pt idx="0">
                  <c:v>-5.5958371967396534</c:v>
                </c:pt>
                <c:pt idx="1">
                  <c:v>13.306374042896515</c:v>
                </c:pt>
                <c:pt idx="2">
                  <c:v>14.44839118541902</c:v>
                </c:pt>
                <c:pt idx="3">
                  <c:v>-1.0277686266496382</c:v>
                </c:pt>
                <c:pt idx="4">
                  <c:v>-8.3104301879391329</c:v>
                </c:pt>
                <c:pt idx="5">
                  <c:v>-9.4524473304616379</c:v>
                </c:pt>
                <c:pt idx="6">
                  <c:v>-5.5958371967396534</c:v>
                </c:pt>
              </c:numCache>
            </c:numRef>
          </c:xVal>
          <c:yVal>
            <c:numRef>
              <c:f>Plot_Data!$BH$337:$BH$343</c:f>
              <c:numCache>
                <c:formatCode>0.000</c:formatCode>
                <c:ptCount val="7"/>
                <c:pt idx="0">
                  <c:v>0.90175472735516959</c:v>
                </c:pt>
                <c:pt idx="1">
                  <c:v>5.3690636243014529</c:v>
                </c:pt>
                <c:pt idx="2">
                  <c:v>4.9640828441719496</c:v>
                </c:pt>
                <c:pt idx="3">
                  <c:v>-0.71816839316284264</c:v>
                </c:pt>
                <c:pt idx="4">
                  <c:v>-6.498553022537906</c:v>
                </c:pt>
                <c:pt idx="5">
                  <c:v>-6.0935722424084027</c:v>
                </c:pt>
                <c:pt idx="6">
                  <c:v>0.90175472735516959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856E-421D-AC26-4D93C25A26CA}"/>
            </c:ext>
          </c:extLst>
        </c:ser>
        <c:ser>
          <c:idx val="11"/>
          <c:order val="11"/>
          <c:tx>
            <c:strRef>
              <c:f>Plot_Data!$BK$7</c:f>
              <c:strCache>
                <c:ptCount val="1"/>
                <c:pt idx="0">
                  <c:v>Horizontal tail: S = 34.4 m2, b = 12.4 m</c:v>
                </c:pt>
              </c:strCache>
            </c:strRef>
          </c:tx>
          <c:spPr>
            <a:ln w="22000">
              <a:solidFill>
                <a:srgbClr val="008080"/>
              </a:solidFill>
              <a:prstDash val="solid"/>
            </a:ln>
          </c:spPr>
          <c:marker>
            <c:symbol val="none"/>
          </c:marker>
          <c:xVal>
            <c:numRef>
              <c:f>Plot_Data!$BG$344:$BG$350</c:f>
              <c:numCache>
                <c:formatCode>0.000</c:formatCode>
                <c:ptCount val="7"/>
                <c:pt idx="0">
                  <c:v>8.5525346938167743</c:v>
                </c:pt>
                <c:pt idx="1">
                  <c:v>15.76401527288121</c:v>
                </c:pt>
                <c:pt idx="2">
                  <c:v>16.973664370947567</c:v>
                </c:pt>
                <c:pt idx="3">
                  <c:v>11.576657438982663</c:v>
                </c:pt>
                <c:pt idx="4">
                  <c:v>8.9804124886214698</c:v>
                </c:pt>
                <c:pt idx="5">
                  <c:v>7.7707633905551141</c:v>
                </c:pt>
                <c:pt idx="6">
                  <c:v>8.5525346938167743</c:v>
                </c:pt>
              </c:numCache>
            </c:numRef>
          </c:xVal>
          <c:yVal>
            <c:numRef>
              <c:f>Plot_Data!$BH$344:$BH$350</c:f>
              <c:numCache>
                <c:formatCode>0.000</c:formatCode>
                <c:ptCount val="7"/>
                <c:pt idx="0">
                  <c:v>-1.9502553272046557</c:v>
                </c:pt>
                <c:pt idx="1">
                  <c:v>-1.0773753505405788</c:v>
                </c:pt>
                <c:pt idx="2">
                  <c:v>-1.5063396954503219</c:v>
                </c:pt>
                <c:pt idx="3">
                  <c:v>-3.022666189479013</c:v>
                </c:pt>
                <c:pt idx="4">
                  <c:v>-5.5321956136857624</c:v>
                </c:pt>
                <c:pt idx="5">
                  <c:v>-5.1032312687760193</c:v>
                </c:pt>
                <c:pt idx="6">
                  <c:v>-1.9502553272046557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856E-421D-AC26-4D93C25A26CA}"/>
            </c:ext>
          </c:extLst>
        </c:ser>
        <c:ser>
          <c:idx val="12"/>
          <c:order val="12"/>
          <c:tx>
            <c:strRef>
              <c:f>Plot_Data!$BK$8</c:f>
              <c:strCache>
                <c:ptCount val="1"/>
                <c:pt idx="0">
                  <c:v>Vertical tail: S = 26.2 m2, h = 6.7 m</c:v>
                </c:pt>
              </c:strCache>
            </c:strRef>
          </c:tx>
          <c:spPr>
            <a:ln w="22000">
              <a:solidFill>
                <a:srgbClr val="7030A0"/>
              </a:solidFill>
              <a:prstDash val="solid"/>
            </a:ln>
          </c:spPr>
          <c:marker>
            <c:symbol val="none"/>
          </c:marker>
          <c:xVal>
            <c:numRef>
              <c:f>Plot_Data!$BG$351:$BG$355</c:f>
              <c:numCache>
                <c:formatCode>0.000</c:formatCode>
                <c:ptCount val="5"/>
                <c:pt idx="0">
                  <c:v>8.0623383580713615</c:v>
                </c:pt>
                <c:pt idx="1">
                  <c:v>11.919786951455105</c:v>
                </c:pt>
                <c:pt idx="2">
                  <c:v>13.480120938614105</c:v>
                </c:pt>
                <c:pt idx="3">
                  <c:v>12.520435464239929</c:v>
                </c:pt>
                <c:pt idx="4">
                  <c:v>8.0623383580713615</c:v>
                </c:pt>
              </c:numCache>
            </c:numRef>
          </c:xVal>
          <c:yVal>
            <c:numRef>
              <c:f>Plot_Data!$BH$351:$BH$355</c:f>
              <c:numCache>
                <c:formatCode>0.000</c:formatCode>
                <c:ptCount val="5"/>
                <c:pt idx="0">
                  <c:v>-1.4155443111694737</c:v>
                </c:pt>
                <c:pt idx="1">
                  <c:v>3.2688807932680524</c:v>
                </c:pt>
                <c:pt idx="2">
                  <c:v>2.715556984146879</c:v>
                </c:pt>
                <c:pt idx="3">
                  <c:v>-2.9964694800871117</c:v>
                </c:pt>
                <c:pt idx="4">
                  <c:v>-1.4155443111694737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856E-421D-AC26-4D93C25A26CA}"/>
            </c:ext>
          </c:extLst>
        </c:ser>
        <c:ser>
          <c:idx val="13"/>
          <c:order val="13"/>
          <c:tx>
            <c:strRef>
              <c:f>Plot_Data!$BK$9</c:f>
              <c:strCache>
                <c:ptCount val="1"/>
                <c:pt idx="0">
                  <c:v>2 engines: 95 kN each, nacelle 4.3 x 2.2 m</c:v>
                </c:pt>
              </c:strCache>
            </c:strRef>
          </c:tx>
          <c:spPr>
            <a:ln w="12000">
              <a:solidFill>
                <a:srgbClr val="C00000"/>
              </a:solidFill>
              <a:prstDash val="solid"/>
            </a:ln>
          </c:spPr>
          <c:marker>
            <c:symbol val="none"/>
          </c:marker>
          <c:xVal>
            <c:numRef>
              <c:f>Plot_Data!$BG$356:$BG$381</c:f>
              <c:numCache>
                <c:formatCode>0.000</c:formatCode>
                <c:ptCount val="26"/>
                <c:pt idx="0">
                  <c:v>-1.1013217893802993</c:v>
                </c:pt>
                <c:pt idx="1">
                  <c:v>-1.1974507317288632</c:v>
                </c:pt>
                <c:pt idx="2">
                  <c:v>-1.4600921945029546</c:v>
                </c:pt>
                <c:pt idx="3">
                  <c:v>-1.8188625996256098</c:v>
                </c:pt>
                <c:pt idx="4">
                  <c:v>-2.177633004748265</c:v>
                </c:pt>
                <c:pt idx="5">
                  <c:v>-2.440274467522356</c:v>
                </c:pt>
                <c:pt idx="6">
                  <c:v>-2.5364034098709203</c:v>
                </c:pt>
                <c:pt idx="7">
                  <c:v>-2.440274467522356</c:v>
                </c:pt>
                <c:pt idx="8">
                  <c:v>-2.177633004748265</c:v>
                </c:pt>
                <c:pt idx="9">
                  <c:v>-1.8188625996256098</c:v>
                </c:pt>
                <c:pt idx="10">
                  <c:v>-1.4600921945029546</c:v>
                </c:pt>
                <c:pt idx="11">
                  <c:v>-1.1974507317288632</c:v>
                </c:pt>
                <c:pt idx="12">
                  <c:v>-1.1013217893802993</c:v>
                </c:pt>
                <c:pt idx="13">
                  <c:v>2.2108997410725189</c:v>
                </c:pt>
                <c:pt idx="14">
                  <c:v>2.114770798723955</c:v>
                </c:pt>
                <c:pt idx="15">
                  <c:v>1.8521293359498636</c:v>
                </c:pt>
                <c:pt idx="16">
                  <c:v>1.4933589308272084</c:v>
                </c:pt>
                <c:pt idx="17">
                  <c:v>1.1345885257045532</c:v>
                </c:pt>
                <c:pt idx="18">
                  <c:v>0.8719470629304622</c:v>
                </c:pt>
                <c:pt idx="19">
                  <c:v>0.77581812058189792</c:v>
                </c:pt>
                <c:pt idx="20">
                  <c:v>0.8719470629304622</c:v>
                </c:pt>
                <c:pt idx="21">
                  <c:v>1.1345885257045532</c:v>
                </c:pt>
                <c:pt idx="22">
                  <c:v>1.4933589308272084</c:v>
                </c:pt>
                <c:pt idx="23">
                  <c:v>1.8521293359498636</c:v>
                </c:pt>
                <c:pt idx="24">
                  <c:v>2.114770798723955</c:v>
                </c:pt>
                <c:pt idx="25">
                  <c:v>2.2108997410725189</c:v>
                </c:pt>
              </c:numCache>
            </c:numRef>
          </c:xVal>
          <c:yVal>
            <c:numRef>
              <c:f>Plot_Data!$BH$356:$BH$381</c:f>
              <c:numCache>
                <c:formatCode>0.000</c:formatCode>
                <c:ptCount val="26"/>
                <c:pt idx="0">
                  <c:v>2.5076463900686008</c:v>
                </c:pt>
                <c:pt idx="1">
                  <c:v>2.9650839690100783</c:v>
                </c:pt>
                <c:pt idx="2">
                  <c:v>3.2031179719209351</c:v>
                </c:pt>
                <c:pt idx="3">
                  <c:v>3.1579592139105124</c:v>
                </c:pt>
                <c:pt idx="4">
                  <c:v>2.8417236407991058</c:v>
                </c:pt>
                <c:pt idx="5">
                  <c:v>2.3391273038472047</c:v>
                </c:pt>
                <c:pt idx="6">
                  <c:v>1.7848577278249429</c:v>
                </c:pt>
                <c:pt idx="7">
                  <c:v>1.3274201488834638</c:v>
                </c:pt>
                <c:pt idx="8">
                  <c:v>1.0893861459726084</c:v>
                </c:pt>
                <c:pt idx="9">
                  <c:v>1.1345449039830302</c:v>
                </c:pt>
                <c:pt idx="10">
                  <c:v>1.4507804770944377</c:v>
                </c:pt>
                <c:pt idx="11">
                  <c:v>1.9533768140463375</c:v>
                </c:pt>
                <c:pt idx="12">
                  <c:v>2.5076463900686008</c:v>
                </c:pt>
                <c:pt idx="13">
                  <c:v>1.3330702743356559</c:v>
                </c:pt>
                <c:pt idx="14">
                  <c:v>1.7905078532771352</c:v>
                </c:pt>
                <c:pt idx="15">
                  <c:v>2.0285418561879904</c:v>
                </c:pt>
                <c:pt idx="16">
                  <c:v>1.9833830981775682</c:v>
                </c:pt>
                <c:pt idx="17">
                  <c:v>1.6671475250661616</c:v>
                </c:pt>
                <c:pt idx="18">
                  <c:v>1.1645511881142603</c:v>
                </c:pt>
                <c:pt idx="19">
                  <c:v>0.61028161209199827</c:v>
                </c:pt>
                <c:pt idx="20">
                  <c:v>0.1528440331505192</c:v>
                </c:pt>
                <c:pt idx="21">
                  <c:v>-8.5189969760335771E-2</c:v>
                </c:pt>
                <c:pt idx="22">
                  <c:v>-4.0031211749913975E-2</c:v>
                </c:pt>
                <c:pt idx="23">
                  <c:v>0.27620436136149307</c:v>
                </c:pt>
                <c:pt idx="24">
                  <c:v>0.77880069831339416</c:v>
                </c:pt>
                <c:pt idx="25">
                  <c:v>1.3330702743356559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856E-421D-AC26-4D93C25A26CA}"/>
            </c:ext>
          </c:extLst>
        </c:ser>
        <c:ser>
          <c:idx val="14"/>
          <c:order val="14"/>
          <c:spPr>
            <a:ln w="12000">
              <a:solidFill>
                <a:srgbClr val="C00000"/>
              </a:solidFill>
              <a:prstDash val="solid"/>
            </a:ln>
          </c:spPr>
          <c:marker>
            <c:symbol val="none"/>
          </c:marker>
          <c:xVal>
            <c:numRef>
              <c:f>Plot_Data!$BG$382:$BG$407</c:f>
              <c:numCache>
                <c:formatCode>0.000</c:formatCode>
                <c:ptCount val="26"/>
                <c:pt idx="0">
                  <c:v>-8.8393210563220705</c:v>
                </c:pt>
                <c:pt idx="1">
                  <c:v>-8.9354499986706362</c:v>
                </c:pt>
                <c:pt idx="2">
                  <c:v>-9.1980914614447258</c:v>
                </c:pt>
                <c:pt idx="3">
                  <c:v>-9.556861866567381</c:v>
                </c:pt>
                <c:pt idx="4">
                  <c:v>-9.9156322716900362</c:v>
                </c:pt>
                <c:pt idx="5">
                  <c:v>-10.178273734464128</c:v>
                </c:pt>
                <c:pt idx="6">
                  <c:v>-10.274402676812691</c:v>
                </c:pt>
                <c:pt idx="7">
                  <c:v>-10.178273734464128</c:v>
                </c:pt>
                <c:pt idx="8">
                  <c:v>-9.9156322716900362</c:v>
                </c:pt>
                <c:pt idx="9">
                  <c:v>-9.556861866567381</c:v>
                </c:pt>
                <c:pt idx="10">
                  <c:v>-9.1980914614447258</c:v>
                </c:pt>
                <c:pt idx="11">
                  <c:v>-8.9354499986706362</c:v>
                </c:pt>
                <c:pt idx="12">
                  <c:v>-8.8393210563220705</c:v>
                </c:pt>
                <c:pt idx="13">
                  <c:v>-5.5270995258692537</c:v>
                </c:pt>
                <c:pt idx="14">
                  <c:v>-5.6232284682178175</c:v>
                </c:pt>
                <c:pt idx="15">
                  <c:v>-5.8858699309919089</c:v>
                </c:pt>
                <c:pt idx="16">
                  <c:v>-6.2446403361145641</c:v>
                </c:pt>
                <c:pt idx="17">
                  <c:v>-6.6034107412372194</c:v>
                </c:pt>
                <c:pt idx="18">
                  <c:v>-6.8660522040113108</c:v>
                </c:pt>
                <c:pt idx="19">
                  <c:v>-6.9621811463598746</c:v>
                </c:pt>
                <c:pt idx="20">
                  <c:v>-6.8660522040113108</c:v>
                </c:pt>
                <c:pt idx="21">
                  <c:v>-6.6034107412372194</c:v>
                </c:pt>
                <c:pt idx="22">
                  <c:v>-6.2446403361145641</c:v>
                </c:pt>
                <c:pt idx="23">
                  <c:v>-5.8858699309919089</c:v>
                </c:pt>
                <c:pt idx="24">
                  <c:v>-5.6232284682178175</c:v>
                </c:pt>
                <c:pt idx="25">
                  <c:v>-5.5270995258692537</c:v>
                </c:pt>
              </c:numCache>
            </c:numRef>
          </c:xVal>
          <c:yVal>
            <c:numRef>
              <c:f>Plot_Data!$BH$382:$BH$407</c:f>
              <c:numCache>
                <c:formatCode>0.000</c:formatCode>
                <c:ptCount val="26"/>
                <c:pt idx="0">
                  <c:v>-1.389649804612751</c:v>
                </c:pt>
                <c:pt idx="1">
                  <c:v>-0.93221222567127193</c:v>
                </c:pt>
                <c:pt idx="2">
                  <c:v>-0.69417822276041674</c:v>
                </c:pt>
                <c:pt idx="3">
                  <c:v>-0.73933698077083843</c:v>
                </c:pt>
                <c:pt idx="4">
                  <c:v>-1.0555725538822456</c:v>
                </c:pt>
                <c:pt idx="5">
                  <c:v>-1.5581688908341467</c:v>
                </c:pt>
                <c:pt idx="6">
                  <c:v>-2.1124384668564082</c:v>
                </c:pt>
                <c:pt idx="7">
                  <c:v>-2.5698760457978875</c:v>
                </c:pt>
                <c:pt idx="8">
                  <c:v>-2.8079100487087429</c:v>
                </c:pt>
                <c:pt idx="9">
                  <c:v>-2.7627512906983207</c:v>
                </c:pt>
                <c:pt idx="10">
                  <c:v>-2.4465157175869141</c:v>
                </c:pt>
                <c:pt idx="11">
                  <c:v>-1.943919380635013</c:v>
                </c:pt>
                <c:pt idx="12">
                  <c:v>-1.389649804612751</c:v>
                </c:pt>
                <c:pt idx="13">
                  <c:v>-2.5642259203456952</c:v>
                </c:pt>
                <c:pt idx="14">
                  <c:v>-2.1067883414042163</c:v>
                </c:pt>
                <c:pt idx="15">
                  <c:v>-1.8687543384933609</c:v>
                </c:pt>
                <c:pt idx="16">
                  <c:v>-1.9139130965037827</c:v>
                </c:pt>
                <c:pt idx="17">
                  <c:v>-2.2301486696151898</c:v>
                </c:pt>
                <c:pt idx="18">
                  <c:v>-2.7327450065670909</c:v>
                </c:pt>
                <c:pt idx="19">
                  <c:v>-3.2870145825893529</c:v>
                </c:pt>
                <c:pt idx="20">
                  <c:v>-3.7444521615308322</c:v>
                </c:pt>
                <c:pt idx="21">
                  <c:v>-3.9824861644416871</c:v>
                </c:pt>
                <c:pt idx="22">
                  <c:v>-3.9373274064312649</c:v>
                </c:pt>
                <c:pt idx="23">
                  <c:v>-3.6210918333198583</c:v>
                </c:pt>
                <c:pt idx="24">
                  <c:v>-3.1184954963679576</c:v>
                </c:pt>
                <c:pt idx="25">
                  <c:v>-2.5642259203456952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856E-421D-AC26-4D93C25A26CA}"/>
            </c:ext>
          </c:extLst>
        </c:ser>
        <c:ser>
          <c:idx val="15"/>
          <c:order val="15"/>
          <c:spPr>
            <a:ln w="12000">
              <a:solidFill>
                <a:srgbClr val="C00000"/>
              </a:solidFill>
              <a:prstDash val="solid"/>
            </a:ln>
          </c:spPr>
          <c:marker>
            <c:symbol val="none"/>
          </c:marker>
          <c:xVal>
            <c:numRef>
              <c:f>Plot_Data!$BG$408:$BG$433</c:f>
              <c:numCache>
                <c:formatCode>0.000</c:formatCode>
                <c:ptCount val="26"/>
                <c:pt idx="0">
                  <c:v>-1.1013217893802993</c:v>
                </c:pt>
                <c:pt idx="1">
                  <c:v>-1.1974507317288632</c:v>
                </c:pt>
                <c:pt idx="2">
                  <c:v>-1.4600921945029546</c:v>
                </c:pt>
                <c:pt idx="3">
                  <c:v>-1.8188625996256098</c:v>
                </c:pt>
                <c:pt idx="4">
                  <c:v>-2.177633004748265</c:v>
                </c:pt>
                <c:pt idx="5">
                  <c:v>-2.440274467522356</c:v>
                </c:pt>
                <c:pt idx="6">
                  <c:v>-2.5364034098709203</c:v>
                </c:pt>
                <c:pt idx="7">
                  <c:v>-2.440274467522356</c:v>
                </c:pt>
                <c:pt idx="8">
                  <c:v>-2.177633004748265</c:v>
                </c:pt>
                <c:pt idx="9">
                  <c:v>-1.8188625996256098</c:v>
                </c:pt>
                <c:pt idx="10">
                  <c:v>-1.4600921945029546</c:v>
                </c:pt>
                <c:pt idx="11">
                  <c:v>-1.1974507317288632</c:v>
                </c:pt>
                <c:pt idx="12">
                  <c:v>-1.1013217893802993</c:v>
                </c:pt>
                <c:pt idx="13">
                  <c:v>2.2108997410725189</c:v>
                </c:pt>
                <c:pt idx="14">
                  <c:v>2.114770798723955</c:v>
                </c:pt>
                <c:pt idx="15">
                  <c:v>1.8521293359498636</c:v>
                </c:pt>
                <c:pt idx="16">
                  <c:v>1.4933589308272084</c:v>
                </c:pt>
                <c:pt idx="17">
                  <c:v>1.1345885257045532</c:v>
                </c:pt>
                <c:pt idx="18">
                  <c:v>0.8719470629304622</c:v>
                </c:pt>
                <c:pt idx="19">
                  <c:v>0.77581812058189792</c:v>
                </c:pt>
                <c:pt idx="20">
                  <c:v>0.8719470629304622</c:v>
                </c:pt>
                <c:pt idx="21">
                  <c:v>1.1345885257045532</c:v>
                </c:pt>
                <c:pt idx="22">
                  <c:v>1.4933589308272084</c:v>
                </c:pt>
                <c:pt idx="23">
                  <c:v>1.8521293359498636</c:v>
                </c:pt>
                <c:pt idx="24">
                  <c:v>2.114770798723955</c:v>
                </c:pt>
                <c:pt idx="25">
                  <c:v>2.2108997410725189</c:v>
                </c:pt>
              </c:numCache>
            </c:numRef>
          </c:xVal>
          <c:yVal>
            <c:numRef>
              <c:f>Plot_Data!$BH$408:$BH$433</c:f>
              <c:numCache>
                <c:formatCode>0.000</c:formatCode>
                <c:ptCount val="26"/>
                <c:pt idx="0">
                  <c:v>2.5076463900686008</c:v>
                </c:pt>
                <c:pt idx="1">
                  <c:v>2.9650839690100783</c:v>
                </c:pt>
                <c:pt idx="2">
                  <c:v>3.2031179719209351</c:v>
                </c:pt>
                <c:pt idx="3">
                  <c:v>3.1579592139105124</c:v>
                </c:pt>
                <c:pt idx="4">
                  <c:v>2.8417236407991058</c:v>
                </c:pt>
                <c:pt idx="5">
                  <c:v>2.3391273038472047</c:v>
                </c:pt>
                <c:pt idx="6">
                  <c:v>1.7848577278249429</c:v>
                </c:pt>
                <c:pt idx="7">
                  <c:v>1.3274201488834638</c:v>
                </c:pt>
                <c:pt idx="8">
                  <c:v>1.0893861459726084</c:v>
                </c:pt>
                <c:pt idx="9">
                  <c:v>1.1345449039830302</c:v>
                </c:pt>
                <c:pt idx="10">
                  <c:v>1.4507804770944377</c:v>
                </c:pt>
                <c:pt idx="11">
                  <c:v>1.9533768140463375</c:v>
                </c:pt>
                <c:pt idx="12">
                  <c:v>2.5076463900686008</c:v>
                </c:pt>
                <c:pt idx="13">
                  <c:v>1.3330702743356559</c:v>
                </c:pt>
                <c:pt idx="14">
                  <c:v>1.7905078532771352</c:v>
                </c:pt>
                <c:pt idx="15">
                  <c:v>2.0285418561879904</c:v>
                </c:pt>
                <c:pt idx="16">
                  <c:v>1.9833830981775682</c:v>
                </c:pt>
                <c:pt idx="17">
                  <c:v>1.6671475250661616</c:v>
                </c:pt>
                <c:pt idx="18">
                  <c:v>1.1645511881142603</c:v>
                </c:pt>
                <c:pt idx="19">
                  <c:v>0.61028161209199827</c:v>
                </c:pt>
                <c:pt idx="20">
                  <c:v>0.1528440331505192</c:v>
                </c:pt>
                <c:pt idx="21">
                  <c:v>-8.5189969760335771E-2</c:v>
                </c:pt>
                <c:pt idx="22">
                  <c:v>-4.0031211749913975E-2</c:v>
                </c:pt>
                <c:pt idx="23">
                  <c:v>0.27620436136149307</c:v>
                </c:pt>
                <c:pt idx="24">
                  <c:v>0.77880069831339416</c:v>
                </c:pt>
                <c:pt idx="25">
                  <c:v>1.3330702743356559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856E-421D-AC26-4D93C25A26CA}"/>
            </c:ext>
          </c:extLst>
        </c:ser>
        <c:ser>
          <c:idx val="16"/>
          <c:order val="16"/>
          <c:spPr>
            <a:ln w="12000">
              <a:solidFill>
                <a:srgbClr val="C00000"/>
              </a:solidFill>
              <a:prstDash val="solid"/>
            </a:ln>
          </c:spPr>
          <c:marker>
            <c:symbol val="none"/>
          </c:marker>
          <c:xVal>
            <c:numRef>
              <c:f>Plot_Data!$BG$434:$BG$459</c:f>
              <c:numCache>
                <c:formatCode>0.000</c:formatCode>
                <c:ptCount val="26"/>
                <c:pt idx="0">
                  <c:v>-8.8393210563220705</c:v>
                </c:pt>
                <c:pt idx="1">
                  <c:v>-8.9354499986706362</c:v>
                </c:pt>
                <c:pt idx="2">
                  <c:v>-9.1980914614447258</c:v>
                </c:pt>
                <c:pt idx="3">
                  <c:v>-9.556861866567381</c:v>
                </c:pt>
                <c:pt idx="4">
                  <c:v>-9.9156322716900362</c:v>
                </c:pt>
                <c:pt idx="5">
                  <c:v>-10.178273734464128</c:v>
                </c:pt>
                <c:pt idx="6">
                  <c:v>-10.274402676812691</c:v>
                </c:pt>
                <c:pt idx="7">
                  <c:v>-10.178273734464128</c:v>
                </c:pt>
                <c:pt idx="8">
                  <c:v>-9.9156322716900362</c:v>
                </c:pt>
                <c:pt idx="9">
                  <c:v>-9.556861866567381</c:v>
                </c:pt>
                <c:pt idx="10">
                  <c:v>-9.1980914614447258</c:v>
                </c:pt>
                <c:pt idx="11">
                  <c:v>-8.9354499986706362</c:v>
                </c:pt>
                <c:pt idx="12">
                  <c:v>-8.8393210563220705</c:v>
                </c:pt>
                <c:pt idx="13">
                  <c:v>-5.5270995258692537</c:v>
                </c:pt>
                <c:pt idx="14">
                  <c:v>-5.6232284682178175</c:v>
                </c:pt>
                <c:pt idx="15">
                  <c:v>-5.8858699309919089</c:v>
                </c:pt>
                <c:pt idx="16">
                  <c:v>-6.2446403361145641</c:v>
                </c:pt>
                <c:pt idx="17">
                  <c:v>-6.6034107412372194</c:v>
                </c:pt>
                <c:pt idx="18">
                  <c:v>-6.8660522040113108</c:v>
                </c:pt>
                <c:pt idx="19">
                  <c:v>-6.9621811463598746</c:v>
                </c:pt>
                <c:pt idx="20">
                  <c:v>-6.8660522040113108</c:v>
                </c:pt>
                <c:pt idx="21">
                  <c:v>-6.6034107412372194</c:v>
                </c:pt>
                <c:pt idx="22">
                  <c:v>-6.2446403361145641</c:v>
                </c:pt>
                <c:pt idx="23">
                  <c:v>-5.8858699309919089</c:v>
                </c:pt>
                <c:pt idx="24">
                  <c:v>-5.6232284682178175</c:v>
                </c:pt>
                <c:pt idx="25">
                  <c:v>-5.5270995258692537</c:v>
                </c:pt>
              </c:numCache>
            </c:numRef>
          </c:xVal>
          <c:yVal>
            <c:numRef>
              <c:f>Plot_Data!$BH$434:$BH$459</c:f>
              <c:numCache>
                <c:formatCode>0.000</c:formatCode>
                <c:ptCount val="26"/>
                <c:pt idx="0">
                  <c:v>-1.389649804612751</c:v>
                </c:pt>
                <c:pt idx="1">
                  <c:v>-0.93221222567127193</c:v>
                </c:pt>
                <c:pt idx="2">
                  <c:v>-0.69417822276041674</c:v>
                </c:pt>
                <c:pt idx="3">
                  <c:v>-0.73933698077083843</c:v>
                </c:pt>
                <c:pt idx="4">
                  <c:v>-1.0555725538822456</c:v>
                </c:pt>
                <c:pt idx="5">
                  <c:v>-1.5581688908341467</c:v>
                </c:pt>
                <c:pt idx="6">
                  <c:v>-2.1124384668564082</c:v>
                </c:pt>
                <c:pt idx="7">
                  <c:v>-2.5698760457978875</c:v>
                </c:pt>
                <c:pt idx="8">
                  <c:v>-2.8079100487087429</c:v>
                </c:pt>
                <c:pt idx="9">
                  <c:v>-2.7627512906983207</c:v>
                </c:pt>
                <c:pt idx="10">
                  <c:v>-2.4465157175869141</c:v>
                </c:pt>
                <c:pt idx="11">
                  <c:v>-1.943919380635013</c:v>
                </c:pt>
                <c:pt idx="12">
                  <c:v>-1.389649804612751</c:v>
                </c:pt>
                <c:pt idx="13">
                  <c:v>-2.5642259203456952</c:v>
                </c:pt>
                <c:pt idx="14">
                  <c:v>-2.1067883414042163</c:v>
                </c:pt>
                <c:pt idx="15">
                  <c:v>-1.8687543384933609</c:v>
                </c:pt>
                <c:pt idx="16">
                  <c:v>-1.9139130965037827</c:v>
                </c:pt>
                <c:pt idx="17">
                  <c:v>-2.2301486696151898</c:v>
                </c:pt>
                <c:pt idx="18">
                  <c:v>-2.7327450065670909</c:v>
                </c:pt>
                <c:pt idx="19">
                  <c:v>-3.2870145825893529</c:v>
                </c:pt>
                <c:pt idx="20">
                  <c:v>-3.7444521615308322</c:v>
                </c:pt>
                <c:pt idx="21">
                  <c:v>-3.9824861644416871</c:v>
                </c:pt>
                <c:pt idx="22">
                  <c:v>-3.9373274064312649</c:v>
                </c:pt>
                <c:pt idx="23">
                  <c:v>-3.6210918333198583</c:v>
                </c:pt>
                <c:pt idx="24">
                  <c:v>-3.1184954963679576</c:v>
                </c:pt>
                <c:pt idx="25">
                  <c:v>-2.5642259203456952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856E-421D-AC26-4D93C25A26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spPr>
          <a:ln>
            <a:noFill/>
            <a:prstDash val="solid"/>
          </a:ln>
        </c:spPr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one"/>
        <c:spPr>
          <a:ln>
            <a:noFill/>
            <a:prstDash val="solid"/>
          </a:ln>
        </c:spPr>
        <c:crossAx val="10"/>
        <c:crosses val="autoZero"/>
        <c:crossBetween val="midCat"/>
      </c:valAx>
    </c:plotArea>
    <c:legend>
      <c:legendPos val="r"/>
      <c:legendEntry>
        <c:idx val="0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4"/>
        <c:delete val="1"/>
      </c:legendEntry>
      <c:legendEntry>
        <c:idx val="15"/>
        <c:delete val="1"/>
      </c:legendEntry>
      <c:legendEntry>
        <c:idx val="16"/>
        <c:delete val="1"/>
      </c:legendEntry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Cabin layout - cockpit, lavatories and seat placement (axes in metres)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Plot_Data!$BK$5</c:f>
              <c:strCache>
                <c:ptCount val="1"/>
                <c:pt idx="0">
                  <c:v>Fuselage: L = 35.6 m, d = 3.98 m</c:v>
                </c:pt>
              </c:strCache>
            </c:strRef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xVal>
            <c:numRef>
              <c:f>Plot_Data!$AA$5:$AA$43</c:f>
              <c:numCache>
                <c:formatCode>0.000</c:formatCode>
                <c:ptCount val="39"/>
                <c:pt idx="0">
                  <c:v>0</c:v>
                </c:pt>
                <c:pt idx="1">
                  <c:v>0.08</c:v>
                </c:pt>
                <c:pt idx="2">
                  <c:v>0.28000000000000003</c:v>
                </c:pt>
                <c:pt idx="3">
                  <c:v>0.6</c:v>
                </c:pt>
                <c:pt idx="4">
                  <c:v>1.2</c:v>
                </c:pt>
                <c:pt idx="5">
                  <c:v>1.8</c:v>
                </c:pt>
                <c:pt idx="6">
                  <c:v>2.4</c:v>
                </c:pt>
                <c:pt idx="7">
                  <c:v>3.2</c:v>
                </c:pt>
                <c:pt idx="8">
                  <c:v>4</c:v>
                </c:pt>
                <c:pt idx="9">
                  <c:v>12.416666666666657</c:v>
                </c:pt>
                <c:pt idx="10">
                  <c:v>20.833333333333314</c:v>
                </c:pt>
                <c:pt idx="11">
                  <c:v>29.249999999999996</c:v>
                </c:pt>
                <c:pt idx="12">
                  <c:v>30.205643999999996</c:v>
                </c:pt>
                <c:pt idx="13">
                  <c:v>31.161287999999995</c:v>
                </c:pt>
                <c:pt idx="14">
                  <c:v>32.116931999999998</c:v>
                </c:pt>
                <c:pt idx="15">
                  <c:v>33.072575999999998</c:v>
                </c:pt>
                <c:pt idx="16">
                  <c:v>34.028219999999997</c:v>
                </c:pt>
                <c:pt idx="17">
                  <c:v>34.983863999999997</c:v>
                </c:pt>
                <c:pt idx="18">
                  <c:v>35.620959999999997</c:v>
                </c:pt>
                <c:pt idx="19">
                  <c:v>35.620959999999997</c:v>
                </c:pt>
                <c:pt idx="20">
                  <c:v>34.983863999999997</c:v>
                </c:pt>
                <c:pt idx="21">
                  <c:v>34.028219999999997</c:v>
                </c:pt>
                <c:pt idx="22">
                  <c:v>33.072575999999998</c:v>
                </c:pt>
                <c:pt idx="23">
                  <c:v>32.116931999999998</c:v>
                </c:pt>
                <c:pt idx="24">
                  <c:v>31.161287999999995</c:v>
                </c:pt>
                <c:pt idx="25">
                  <c:v>30.205643999999996</c:v>
                </c:pt>
                <c:pt idx="26">
                  <c:v>29.249999999999996</c:v>
                </c:pt>
                <c:pt idx="27">
                  <c:v>20.833333333333314</c:v>
                </c:pt>
                <c:pt idx="28">
                  <c:v>12.416666666666657</c:v>
                </c:pt>
                <c:pt idx="29">
                  <c:v>4</c:v>
                </c:pt>
                <c:pt idx="30">
                  <c:v>3.2</c:v>
                </c:pt>
                <c:pt idx="31">
                  <c:v>2.4</c:v>
                </c:pt>
                <c:pt idx="32">
                  <c:v>1.8</c:v>
                </c:pt>
                <c:pt idx="33">
                  <c:v>1.2</c:v>
                </c:pt>
                <c:pt idx="34">
                  <c:v>0.6</c:v>
                </c:pt>
                <c:pt idx="35">
                  <c:v>0.28000000000000003</c:v>
                </c:pt>
                <c:pt idx="36">
                  <c:v>0.08</c:v>
                </c:pt>
                <c:pt idx="37">
                  <c:v>0</c:v>
                </c:pt>
                <c:pt idx="38">
                  <c:v>0</c:v>
                </c:pt>
              </c:numCache>
            </c:numRef>
          </c:xVal>
          <c:yVal>
            <c:numRef>
              <c:f>Plot_Data!$Z$5:$Z$43</c:f>
              <c:numCache>
                <c:formatCode>0.000</c:formatCode>
                <c:ptCount val="39"/>
                <c:pt idx="0">
                  <c:v>0</c:v>
                </c:pt>
                <c:pt idx="1">
                  <c:v>0.39618907264429987</c:v>
                </c:pt>
                <c:pt idx="2">
                  <c:v>0.73178343534473222</c:v>
                </c:pt>
                <c:pt idx="3">
                  <c:v>1.048784822394917</c:v>
                </c:pt>
                <c:pt idx="4">
                  <c:v>1.4218048394096672</c:v>
                </c:pt>
                <c:pt idx="5">
                  <c:v>1.662750189610104</c:v>
                </c:pt>
                <c:pt idx="6">
                  <c:v>1.824712903095991</c:v>
                </c:pt>
                <c:pt idx="7">
                  <c:v>1.9507001464602394</c:v>
                </c:pt>
                <c:pt idx="8">
                  <c:v>1.9909249999999998</c:v>
                </c:pt>
                <c:pt idx="9">
                  <c:v>1.9909249999999998</c:v>
                </c:pt>
                <c:pt idx="10">
                  <c:v>1.9909249999999998</c:v>
                </c:pt>
                <c:pt idx="11">
                  <c:v>1.9909249999999998</c:v>
                </c:pt>
                <c:pt idx="12">
                  <c:v>1.8421752621635212</c:v>
                </c:pt>
                <c:pt idx="13">
                  <c:v>1.6246601825521971</c:v>
                </c:pt>
                <c:pt idx="14">
                  <c:v>1.370464926274489</c:v>
                </c:pt>
                <c:pt idx="15">
                  <c:v>1.0890752323886836</c:v>
                </c:pt>
                <c:pt idx="16">
                  <c:v>0.78556378059496024</c:v>
                </c:pt>
                <c:pt idx="17">
                  <c:v>0.46317309305852405</c:v>
                </c:pt>
                <c:pt idx="18">
                  <c:v>0.23891099999999998</c:v>
                </c:pt>
                <c:pt idx="19">
                  <c:v>-0.23891099999999998</c:v>
                </c:pt>
                <c:pt idx="20">
                  <c:v>-0.46317309305852405</c:v>
                </c:pt>
                <c:pt idx="21">
                  <c:v>-0.78556378059496024</c:v>
                </c:pt>
                <c:pt idx="22">
                  <c:v>-1.0890752323886836</c:v>
                </c:pt>
                <c:pt idx="23">
                  <c:v>-1.370464926274489</c:v>
                </c:pt>
                <c:pt idx="24">
                  <c:v>-1.6246601825521971</c:v>
                </c:pt>
                <c:pt idx="25">
                  <c:v>-1.8421752621635212</c:v>
                </c:pt>
                <c:pt idx="26">
                  <c:v>-1.9909249999999998</c:v>
                </c:pt>
                <c:pt idx="27">
                  <c:v>-1.9909249999999998</c:v>
                </c:pt>
                <c:pt idx="28">
                  <c:v>-1.9909249999999998</c:v>
                </c:pt>
                <c:pt idx="29">
                  <c:v>-1.9909249999999998</c:v>
                </c:pt>
                <c:pt idx="30">
                  <c:v>-1.9507001464602394</c:v>
                </c:pt>
                <c:pt idx="31">
                  <c:v>-1.824712903095991</c:v>
                </c:pt>
                <c:pt idx="32">
                  <c:v>-1.662750189610104</c:v>
                </c:pt>
                <c:pt idx="33">
                  <c:v>-1.4218048394096672</c:v>
                </c:pt>
                <c:pt idx="34">
                  <c:v>-1.048784822394917</c:v>
                </c:pt>
                <c:pt idx="35">
                  <c:v>-0.73178343534473222</c:v>
                </c:pt>
                <c:pt idx="36">
                  <c:v>-0.39618907264429987</c:v>
                </c:pt>
                <c:pt idx="37">
                  <c:v>0</c:v>
                </c:pt>
                <c:pt idx="3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3E-49A9-9C9E-8C700FD02F52}"/>
            </c:ext>
          </c:extLst>
        </c:ser>
        <c:ser>
          <c:idx val="1"/>
          <c:order val="1"/>
          <c:tx>
            <c:strRef>
              <c:f>Plot_Data!$BK$12</c:f>
              <c:strCache>
                <c:ptCount val="1"/>
                <c:pt idx="0">
                  <c:v>Economy: 150 seats: 6 abreast x 25 rows, seat 0.53 m wide, pitch 0.81 m</c:v>
                </c:pt>
              </c:strCache>
            </c:strRef>
          </c:tx>
          <c:spPr>
            <a:ln w="12000">
              <a:solidFill>
                <a:srgbClr val="ED7D31"/>
              </a:solidFill>
              <a:prstDash val="solid"/>
            </a:ln>
          </c:spPr>
          <c:marker>
            <c:symbol val="none"/>
          </c:marker>
          <c:xVal>
            <c:numRef>
              <c:f>Plot_Data!$BM$5:$BM$4822</c:f>
              <c:numCache>
                <c:formatCode>0.000</c:formatCode>
                <c:ptCount val="4818"/>
                <c:pt idx="0">
                  <c:v>6.6619999999999999</c:v>
                </c:pt>
                <c:pt idx="1">
                  <c:v>6.6619999999999999</c:v>
                </c:pt>
                <c:pt idx="2">
                  <c:v>6.5</c:v>
                </c:pt>
                <c:pt idx="3">
                  <c:v>7.3100000000000005</c:v>
                </c:pt>
                <c:pt idx="4">
                  <c:v>7.1479999999999997</c:v>
                </c:pt>
                <c:pt idx="5">
                  <c:v>7.1479999999999997</c:v>
                </c:pt>
                <c:pt idx="6">
                  <c:v>6.6619999999999999</c:v>
                </c:pt>
                <c:pt idx="7">
                  <c:v>7.3100000000000005</c:v>
                </c:pt>
                <c:pt idx="8">
                  <c:v>7.4720000000000004</c:v>
                </c:pt>
                <c:pt idx="9">
                  <c:v>7.4720000000000004</c:v>
                </c:pt>
                <c:pt idx="10">
                  <c:v>7.3100000000000005</c:v>
                </c:pt>
                <c:pt idx="11">
                  <c:v>8.120000000000001</c:v>
                </c:pt>
                <c:pt idx="12">
                  <c:v>7.9580000000000002</c:v>
                </c:pt>
                <c:pt idx="13">
                  <c:v>7.9580000000000002</c:v>
                </c:pt>
                <c:pt idx="14">
                  <c:v>7.4720000000000004</c:v>
                </c:pt>
                <c:pt idx="15">
                  <c:v>8.120000000000001</c:v>
                </c:pt>
                <c:pt idx="16">
                  <c:v>8.2820000000000018</c:v>
                </c:pt>
                <c:pt idx="17">
                  <c:v>8.2820000000000018</c:v>
                </c:pt>
                <c:pt idx="18">
                  <c:v>8.120000000000001</c:v>
                </c:pt>
                <c:pt idx="19">
                  <c:v>8.9300000000000015</c:v>
                </c:pt>
                <c:pt idx="20">
                  <c:v>8.7680000000000007</c:v>
                </c:pt>
                <c:pt idx="21">
                  <c:v>8.7680000000000007</c:v>
                </c:pt>
                <c:pt idx="22">
                  <c:v>8.2820000000000018</c:v>
                </c:pt>
                <c:pt idx="23">
                  <c:v>8.9300000000000015</c:v>
                </c:pt>
                <c:pt idx="24">
                  <c:v>9.0920000000000005</c:v>
                </c:pt>
                <c:pt idx="25">
                  <c:v>9.0920000000000005</c:v>
                </c:pt>
                <c:pt idx="26">
                  <c:v>8.93</c:v>
                </c:pt>
                <c:pt idx="27">
                  <c:v>9.74</c:v>
                </c:pt>
                <c:pt idx="28">
                  <c:v>9.5779999999999994</c:v>
                </c:pt>
                <c:pt idx="29">
                  <c:v>9.5779999999999994</c:v>
                </c:pt>
                <c:pt idx="30">
                  <c:v>9.0920000000000005</c:v>
                </c:pt>
                <c:pt idx="31">
                  <c:v>9.74</c:v>
                </c:pt>
                <c:pt idx="32">
                  <c:v>9.902000000000001</c:v>
                </c:pt>
                <c:pt idx="33">
                  <c:v>9.902000000000001</c:v>
                </c:pt>
                <c:pt idx="34">
                  <c:v>9.74</c:v>
                </c:pt>
                <c:pt idx="35">
                  <c:v>10.55</c:v>
                </c:pt>
                <c:pt idx="36">
                  <c:v>10.388</c:v>
                </c:pt>
                <c:pt idx="37">
                  <c:v>10.388</c:v>
                </c:pt>
                <c:pt idx="38">
                  <c:v>9.902000000000001</c:v>
                </c:pt>
                <c:pt idx="39">
                  <c:v>10.55</c:v>
                </c:pt>
                <c:pt idx="40">
                  <c:v>10.712000000000002</c:v>
                </c:pt>
                <c:pt idx="41">
                  <c:v>10.712000000000002</c:v>
                </c:pt>
                <c:pt idx="42">
                  <c:v>10.55</c:v>
                </c:pt>
                <c:pt idx="43">
                  <c:v>11.360000000000001</c:v>
                </c:pt>
                <c:pt idx="44">
                  <c:v>11.198</c:v>
                </c:pt>
                <c:pt idx="45">
                  <c:v>11.198</c:v>
                </c:pt>
                <c:pt idx="46">
                  <c:v>10.712000000000002</c:v>
                </c:pt>
                <c:pt idx="47">
                  <c:v>11.360000000000001</c:v>
                </c:pt>
                <c:pt idx="48">
                  <c:v>11.522</c:v>
                </c:pt>
                <c:pt idx="49">
                  <c:v>11.522</c:v>
                </c:pt>
                <c:pt idx="50">
                  <c:v>11.36</c:v>
                </c:pt>
                <c:pt idx="51">
                  <c:v>12.17</c:v>
                </c:pt>
                <c:pt idx="52">
                  <c:v>12.007999999999999</c:v>
                </c:pt>
                <c:pt idx="53">
                  <c:v>12.007999999999999</c:v>
                </c:pt>
                <c:pt idx="54">
                  <c:v>11.522</c:v>
                </c:pt>
                <c:pt idx="55">
                  <c:v>12.17</c:v>
                </c:pt>
                <c:pt idx="56">
                  <c:v>12.332000000000001</c:v>
                </c:pt>
                <c:pt idx="57">
                  <c:v>12.332000000000001</c:v>
                </c:pt>
                <c:pt idx="58">
                  <c:v>12.17</c:v>
                </c:pt>
                <c:pt idx="59">
                  <c:v>12.98</c:v>
                </c:pt>
                <c:pt idx="60">
                  <c:v>12.818</c:v>
                </c:pt>
                <c:pt idx="61">
                  <c:v>12.818</c:v>
                </c:pt>
                <c:pt idx="62">
                  <c:v>12.332000000000001</c:v>
                </c:pt>
                <c:pt idx="63">
                  <c:v>12.98</c:v>
                </c:pt>
                <c:pt idx="64">
                  <c:v>13.142000000000001</c:v>
                </c:pt>
                <c:pt idx="65">
                  <c:v>13.142000000000001</c:v>
                </c:pt>
                <c:pt idx="66">
                  <c:v>12.98</c:v>
                </c:pt>
                <c:pt idx="67">
                  <c:v>13.790000000000001</c:v>
                </c:pt>
                <c:pt idx="68">
                  <c:v>13.628</c:v>
                </c:pt>
                <c:pt idx="69">
                  <c:v>13.628</c:v>
                </c:pt>
                <c:pt idx="70">
                  <c:v>13.142000000000001</c:v>
                </c:pt>
                <c:pt idx="71">
                  <c:v>13.790000000000001</c:v>
                </c:pt>
                <c:pt idx="72">
                  <c:v>13.952000000000002</c:v>
                </c:pt>
                <c:pt idx="73">
                  <c:v>13.952000000000002</c:v>
                </c:pt>
                <c:pt idx="74">
                  <c:v>13.790000000000001</c:v>
                </c:pt>
                <c:pt idx="75">
                  <c:v>14.600000000000001</c:v>
                </c:pt>
                <c:pt idx="76">
                  <c:v>14.438000000000001</c:v>
                </c:pt>
                <c:pt idx="77">
                  <c:v>14.438000000000001</c:v>
                </c:pt>
                <c:pt idx="78">
                  <c:v>13.952000000000002</c:v>
                </c:pt>
                <c:pt idx="79">
                  <c:v>14.600000000000001</c:v>
                </c:pt>
                <c:pt idx="80">
                  <c:v>14.762000000000002</c:v>
                </c:pt>
                <c:pt idx="81">
                  <c:v>14.762000000000002</c:v>
                </c:pt>
                <c:pt idx="82">
                  <c:v>14.600000000000001</c:v>
                </c:pt>
                <c:pt idx="83">
                  <c:v>15.410000000000002</c:v>
                </c:pt>
                <c:pt idx="84">
                  <c:v>15.248000000000001</c:v>
                </c:pt>
                <c:pt idx="85">
                  <c:v>15.248000000000001</c:v>
                </c:pt>
                <c:pt idx="86">
                  <c:v>14.762000000000002</c:v>
                </c:pt>
                <c:pt idx="87">
                  <c:v>15.410000000000002</c:v>
                </c:pt>
                <c:pt idx="88">
                  <c:v>15.572000000000001</c:v>
                </c:pt>
                <c:pt idx="89">
                  <c:v>15.572000000000001</c:v>
                </c:pt>
                <c:pt idx="90">
                  <c:v>15.41</c:v>
                </c:pt>
                <c:pt idx="91">
                  <c:v>16.22</c:v>
                </c:pt>
                <c:pt idx="92">
                  <c:v>16.058</c:v>
                </c:pt>
                <c:pt idx="93">
                  <c:v>16.058</c:v>
                </c:pt>
                <c:pt idx="94">
                  <c:v>15.572000000000001</c:v>
                </c:pt>
                <c:pt idx="95">
                  <c:v>16.22</c:v>
                </c:pt>
                <c:pt idx="96">
                  <c:v>16.381999999999998</c:v>
                </c:pt>
                <c:pt idx="97">
                  <c:v>16.381999999999998</c:v>
                </c:pt>
                <c:pt idx="98">
                  <c:v>16.22</c:v>
                </c:pt>
                <c:pt idx="99">
                  <c:v>17.029999999999998</c:v>
                </c:pt>
                <c:pt idx="100">
                  <c:v>16.867999999999999</c:v>
                </c:pt>
                <c:pt idx="101">
                  <c:v>16.867999999999999</c:v>
                </c:pt>
                <c:pt idx="102">
                  <c:v>16.381999999999998</c:v>
                </c:pt>
                <c:pt idx="103">
                  <c:v>17.029999999999998</c:v>
                </c:pt>
                <c:pt idx="104">
                  <c:v>17.192</c:v>
                </c:pt>
                <c:pt idx="105">
                  <c:v>17.192</c:v>
                </c:pt>
                <c:pt idx="106">
                  <c:v>17.03</c:v>
                </c:pt>
                <c:pt idx="107">
                  <c:v>17.84</c:v>
                </c:pt>
                <c:pt idx="108">
                  <c:v>17.678000000000001</c:v>
                </c:pt>
                <c:pt idx="109">
                  <c:v>17.678000000000001</c:v>
                </c:pt>
                <c:pt idx="110">
                  <c:v>17.192</c:v>
                </c:pt>
                <c:pt idx="111">
                  <c:v>17.84</c:v>
                </c:pt>
                <c:pt idx="112">
                  <c:v>18.001999999999999</c:v>
                </c:pt>
                <c:pt idx="113">
                  <c:v>18.001999999999999</c:v>
                </c:pt>
                <c:pt idx="114">
                  <c:v>17.84</c:v>
                </c:pt>
                <c:pt idx="115">
                  <c:v>18.649999999999999</c:v>
                </c:pt>
                <c:pt idx="116">
                  <c:v>18.488</c:v>
                </c:pt>
                <c:pt idx="117">
                  <c:v>18.488</c:v>
                </c:pt>
                <c:pt idx="118">
                  <c:v>18.001999999999999</c:v>
                </c:pt>
                <c:pt idx="119">
                  <c:v>18.649999999999999</c:v>
                </c:pt>
                <c:pt idx="120">
                  <c:v>18.811999999999998</c:v>
                </c:pt>
                <c:pt idx="121">
                  <c:v>18.811999999999998</c:v>
                </c:pt>
                <c:pt idx="122">
                  <c:v>18.649999999999999</c:v>
                </c:pt>
                <c:pt idx="123">
                  <c:v>19.459999999999997</c:v>
                </c:pt>
                <c:pt idx="124">
                  <c:v>19.297999999999998</c:v>
                </c:pt>
                <c:pt idx="125">
                  <c:v>19.297999999999998</c:v>
                </c:pt>
                <c:pt idx="126">
                  <c:v>18.811999999999998</c:v>
                </c:pt>
                <c:pt idx="127">
                  <c:v>19.459999999999997</c:v>
                </c:pt>
                <c:pt idx="128">
                  <c:v>19.622</c:v>
                </c:pt>
                <c:pt idx="129">
                  <c:v>19.622</c:v>
                </c:pt>
                <c:pt idx="130">
                  <c:v>19.46</c:v>
                </c:pt>
                <c:pt idx="131">
                  <c:v>20.27</c:v>
                </c:pt>
                <c:pt idx="132">
                  <c:v>20.108000000000001</c:v>
                </c:pt>
                <c:pt idx="133">
                  <c:v>20.108000000000001</c:v>
                </c:pt>
                <c:pt idx="134">
                  <c:v>19.622</c:v>
                </c:pt>
                <c:pt idx="135">
                  <c:v>20.27</c:v>
                </c:pt>
                <c:pt idx="136">
                  <c:v>20.432000000000002</c:v>
                </c:pt>
                <c:pt idx="137">
                  <c:v>20.432000000000002</c:v>
                </c:pt>
                <c:pt idx="138">
                  <c:v>20.270000000000003</c:v>
                </c:pt>
                <c:pt idx="139">
                  <c:v>21.080000000000002</c:v>
                </c:pt>
                <c:pt idx="140">
                  <c:v>20.918000000000003</c:v>
                </c:pt>
                <c:pt idx="141">
                  <c:v>20.918000000000003</c:v>
                </c:pt>
                <c:pt idx="142">
                  <c:v>20.432000000000002</c:v>
                </c:pt>
                <c:pt idx="143">
                  <c:v>21.080000000000002</c:v>
                </c:pt>
                <c:pt idx="144">
                  <c:v>21.242000000000001</c:v>
                </c:pt>
                <c:pt idx="145">
                  <c:v>21.242000000000001</c:v>
                </c:pt>
                <c:pt idx="146">
                  <c:v>21.080000000000002</c:v>
                </c:pt>
                <c:pt idx="147">
                  <c:v>21.89</c:v>
                </c:pt>
                <c:pt idx="148">
                  <c:v>21.728000000000002</c:v>
                </c:pt>
                <c:pt idx="149">
                  <c:v>21.728000000000002</c:v>
                </c:pt>
                <c:pt idx="150">
                  <c:v>21.242000000000001</c:v>
                </c:pt>
                <c:pt idx="151">
                  <c:v>21.89</c:v>
                </c:pt>
                <c:pt idx="152">
                  <c:v>22.052</c:v>
                </c:pt>
                <c:pt idx="153">
                  <c:v>22.052</c:v>
                </c:pt>
                <c:pt idx="154">
                  <c:v>21.89</c:v>
                </c:pt>
                <c:pt idx="155">
                  <c:v>22.7</c:v>
                </c:pt>
                <c:pt idx="156">
                  <c:v>22.538</c:v>
                </c:pt>
                <c:pt idx="157">
                  <c:v>22.538</c:v>
                </c:pt>
                <c:pt idx="158">
                  <c:v>22.052</c:v>
                </c:pt>
                <c:pt idx="159">
                  <c:v>22.7</c:v>
                </c:pt>
                <c:pt idx="160">
                  <c:v>22.862000000000002</c:v>
                </c:pt>
                <c:pt idx="161">
                  <c:v>22.862000000000002</c:v>
                </c:pt>
                <c:pt idx="162">
                  <c:v>22.700000000000003</c:v>
                </c:pt>
                <c:pt idx="163">
                  <c:v>23.51</c:v>
                </c:pt>
                <c:pt idx="164">
                  <c:v>23.348000000000003</c:v>
                </c:pt>
                <c:pt idx="165">
                  <c:v>23.348000000000003</c:v>
                </c:pt>
                <c:pt idx="166">
                  <c:v>22.862000000000002</c:v>
                </c:pt>
                <c:pt idx="167">
                  <c:v>23.51</c:v>
                </c:pt>
                <c:pt idx="168">
                  <c:v>23.672000000000001</c:v>
                </c:pt>
                <c:pt idx="169">
                  <c:v>23.672000000000001</c:v>
                </c:pt>
                <c:pt idx="170">
                  <c:v>23.51</c:v>
                </c:pt>
                <c:pt idx="171">
                  <c:v>24.32</c:v>
                </c:pt>
                <c:pt idx="172">
                  <c:v>24.158000000000001</c:v>
                </c:pt>
                <c:pt idx="173">
                  <c:v>24.158000000000001</c:v>
                </c:pt>
                <c:pt idx="174">
                  <c:v>23.672000000000001</c:v>
                </c:pt>
                <c:pt idx="175">
                  <c:v>24.32</c:v>
                </c:pt>
                <c:pt idx="176">
                  <c:v>24.481999999999999</c:v>
                </c:pt>
                <c:pt idx="177">
                  <c:v>24.481999999999999</c:v>
                </c:pt>
                <c:pt idx="178">
                  <c:v>24.32</c:v>
                </c:pt>
                <c:pt idx="179">
                  <c:v>25.13</c:v>
                </c:pt>
                <c:pt idx="180">
                  <c:v>24.968</c:v>
                </c:pt>
                <c:pt idx="181">
                  <c:v>24.968</c:v>
                </c:pt>
                <c:pt idx="182">
                  <c:v>24.481999999999999</c:v>
                </c:pt>
                <c:pt idx="183">
                  <c:v>25.13</c:v>
                </c:pt>
                <c:pt idx="184">
                  <c:v>25.292000000000002</c:v>
                </c:pt>
                <c:pt idx="185">
                  <c:v>25.292000000000002</c:v>
                </c:pt>
                <c:pt idx="186">
                  <c:v>25.130000000000003</c:v>
                </c:pt>
                <c:pt idx="187">
                  <c:v>25.94</c:v>
                </c:pt>
                <c:pt idx="188">
                  <c:v>25.778000000000002</c:v>
                </c:pt>
                <c:pt idx="189">
                  <c:v>25.778000000000002</c:v>
                </c:pt>
                <c:pt idx="190">
                  <c:v>25.292000000000002</c:v>
                </c:pt>
                <c:pt idx="191">
                  <c:v>25.94</c:v>
                </c:pt>
                <c:pt idx="192">
                  <c:v>26.102</c:v>
                </c:pt>
                <c:pt idx="193">
                  <c:v>26.102</c:v>
                </c:pt>
                <c:pt idx="194">
                  <c:v>25.94</c:v>
                </c:pt>
                <c:pt idx="195">
                  <c:v>26.75</c:v>
                </c:pt>
                <c:pt idx="196">
                  <c:v>26.588000000000001</c:v>
                </c:pt>
                <c:pt idx="197">
                  <c:v>26.588000000000001</c:v>
                </c:pt>
                <c:pt idx="198">
                  <c:v>26.102</c:v>
                </c:pt>
                <c:pt idx="199">
                  <c:v>26.75</c:v>
                </c:pt>
                <c:pt idx="200">
                  <c:v>26.102</c:v>
                </c:pt>
                <c:pt idx="201">
                  <c:v>26.102</c:v>
                </c:pt>
                <c:pt idx="202">
                  <c:v>25.94</c:v>
                </c:pt>
                <c:pt idx="203">
                  <c:v>26.75</c:v>
                </c:pt>
                <c:pt idx="204">
                  <c:v>26.588000000000001</c:v>
                </c:pt>
                <c:pt idx="205">
                  <c:v>26.588000000000001</c:v>
                </c:pt>
                <c:pt idx="206">
                  <c:v>26.102</c:v>
                </c:pt>
                <c:pt idx="207">
                  <c:v>26.75</c:v>
                </c:pt>
                <c:pt idx="208">
                  <c:v>26.102</c:v>
                </c:pt>
                <c:pt idx="209">
                  <c:v>26.102</c:v>
                </c:pt>
                <c:pt idx="210">
                  <c:v>25.94</c:v>
                </c:pt>
                <c:pt idx="211">
                  <c:v>26.75</c:v>
                </c:pt>
                <c:pt idx="212">
                  <c:v>26.588000000000001</c:v>
                </c:pt>
                <c:pt idx="213">
                  <c:v>26.588000000000001</c:v>
                </c:pt>
                <c:pt idx="214">
                  <c:v>26.102</c:v>
                </c:pt>
                <c:pt idx="215">
                  <c:v>26.75</c:v>
                </c:pt>
                <c:pt idx="216">
                  <c:v>26.102</c:v>
                </c:pt>
                <c:pt idx="217">
                  <c:v>26.102</c:v>
                </c:pt>
                <c:pt idx="218">
                  <c:v>25.94</c:v>
                </c:pt>
                <c:pt idx="219">
                  <c:v>26.75</c:v>
                </c:pt>
                <c:pt idx="220">
                  <c:v>26.588000000000001</c:v>
                </c:pt>
                <c:pt idx="221">
                  <c:v>26.588000000000001</c:v>
                </c:pt>
                <c:pt idx="222">
                  <c:v>26.102</c:v>
                </c:pt>
                <c:pt idx="223">
                  <c:v>26.75</c:v>
                </c:pt>
                <c:pt idx="224">
                  <c:v>26.102</c:v>
                </c:pt>
                <c:pt idx="225">
                  <c:v>26.102</c:v>
                </c:pt>
                <c:pt idx="226">
                  <c:v>25.94</c:v>
                </c:pt>
                <c:pt idx="227">
                  <c:v>26.75</c:v>
                </c:pt>
                <c:pt idx="228">
                  <c:v>26.588000000000001</c:v>
                </c:pt>
                <c:pt idx="229">
                  <c:v>26.588000000000001</c:v>
                </c:pt>
                <c:pt idx="230">
                  <c:v>26.102</c:v>
                </c:pt>
                <c:pt idx="231">
                  <c:v>26.75</c:v>
                </c:pt>
                <c:pt idx="232">
                  <c:v>26.102</c:v>
                </c:pt>
                <c:pt idx="233">
                  <c:v>26.102</c:v>
                </c:pt>
                <c:pt idx="234">
                  <c:v>25.94</c:v>
                </c:pt>
                <c:pt idx="235">
                  <c:v>26.75</c:v>
                </c:pt>
                <c:pt idx="236">
                  <c:v>26.588000000000001</c:v>
                </c:pt>
                <c:pt idx="237">
                  <c:v>26.588000000000001</c:v>
                </c:pt>
                <c:pt idx="238">
                  <c:v>26.102</c:v>
                </c:pt>
                <c:pt idx="239">
                  <c:v>26.75</c:v>
                </c:pt>
                <c:pt idx="240">
                  <c:v>26.102</c:v>
                </c:pt>
                <c:pt idx="241">
                  <c:v>26.102</c:v>
                </c:pt>
                <c:pt idx="242">
                  <c:v>25.94</c:v>
                </c:pt>
                <c:pt idx="243">
                  <c:v>26.75</c:v>
                </c:pt>
                <c:pt idx="244">
                  <c:v>26.588000000000001</c:v>
                </c:pt>
                <c:pt idx="245">
                  <c:v>26.588000000000001</c:v>
                </c:pt>
                <c:pt idx="246">
                  <c:v>26.102</c:v>
                </c:pt>
                <c:pt idx="247">
                  <c:v>26.75</c:v>
                </c:pt>
                <c:pt idx="248">
                  <c:v>26.102</c:v>
                </c:pt>
                <c:pt idx="249">
                  <c:v>26.102</c:v>
                </c:pt>
                <c:pt idx="250">
                  <c:v>25.94</c:v>
                </c:pt>
                <c:pt idx="251">
                  <c:v>26.75</c:v>
                </c:pt>
                <c:pt idx="252">
                  <c:v>26.588000000000001</c:v>
                </c:pt>
                <c:pt idx="253">
                  <c:v>26.588000000000001</c:v>
                </c:pt>
                <c:pt idx="254">
                  <c:v>26.102</c:v>
                </c:pt>
                <c:pt idx="255">
                  <c:v>26.75</c:v>
                </c:pt>
                <c:pt idx="256">
                  <c:v>26.102</c:v>
                </c:pt>
                <c:pt idx="257">
                  <c:v>26.102</c:v>
                </c:pt>
                <c:pt idx="258">
                  <c:v>25.94</c:v>
                </c:pt>
                <c:pt idx="259">
                  <c:v>26.75</c:v>
                </c:pt>
                <c:pt idx="260">
                  <c:v>26.588000000000001</c:v>
                </c:pt>
                <c:pt idx="261">
                  <c:v>26.588000000000001</c:v>
                </c:pt>
                <c:pt idx="262">
                  <c:v>26.102</c:v>
                </c:pt>
                <c:pt idx="263">
                  <c:v>26.75</c:v>
                </c:pt>
                <c:pt idx="264">
                  <c:v>26.102</c:v>
                </c:pt>
                <c:pt idx="265">
                  <c:v>26.102</c:v>
                </c:pt>
                <c:pt idx="266">
                  <c:v>25.94</c:v>
                </c:pt>
                <c:pt idx="267">
                  <c:v>26.75</c:v>
                </c:pt>
                <c:pt idx="268">
                  <c:v>26.588000000000001</c:v>
                </c:pt>
                <c:pt idx="269">
                  <c:v>26.588000000000001</c:v>
                </c:pt>
                <c:pt idx="270">
                  <c:v>26.102</c:v>
                </c:pt>
                <c:pt idx="271">
                  <c:v>26.75</c:v>
                </c:pt>
                <c:pt idx="272">
                  <c:v>26.102</c:v>
                </c:pt>
                <c:pt idx="273">
                  <c:v>26.102</c:v>
                </c:pt>
                <c:pt idx="274">
                  <c:v>25.94</c:v>
                </c:pt>
                <c:pt idx="275">
                  <c:v>26.75</c:v>
                </c:pt>
                <c:pt idx="276">
                  <c:v>26.588000000000001</c:v>
                </c:pt>
                <c:pt idx="277">
                  <c:v>26.588000000000001</c:v>
                </c:pt>
                <c:pt idx="278">
                  <c:v>26.102</c:v>
                </c:pt>
                <c:pt idx="279">
                  <c:v>26.75</c:v>
                </c:pt>
                <c:pt idx="280">
                  <c:v>26.102</c:v>
                </c:pt>
                <c:pt idx="281">
                  <c:v>26.102</c:v>
                </c:pt>
                <c:pt idx="282">
                  <c:v>25.94</c:v>
                </c:pt>
                <c:pt idx="283">
                  <c:v>26.75</c:v>
                </c:pt>
                <c:pt idx="284">
                  <c:v>26.588000000000001</c:v>
                </c:pt>
                <c:pt idx="285">
                  <c:v>26.588000000000001</c:v>
                </c:pt>
                <c:pt idx="286">
                  <c:v>26.102</c:v>
                </c:pt>
                <c:pt idx="287">
                  <c:v>26.75</c:v>
                </c:pt>
                <c:pt idx="288">
                  <c:v>26.102</c:v>
                </c:pt>
                <c:pt idx="289">
                  <c:v>26.102</c:v>
                </c:pt>
                <c:pt idx="290">
                  <c:v>25.94</c:v>
                </c:pt>
                <c:pt idx="291">
                  <c:v>26.75</c:v>
                </c:pt>
                <c:pt idx="292">
                  <c:v>26.588000000000001</c:v>
                </c:pt>
                <c:pt idx="293">
                  <c:v>26.588000000000001</c:v>
                </c:pt>
                <c:pt idx="294">
                  <c:v>26.102</c:v>
                </c:pt>
                <c:pt idx="295">
                  <c:v>26.75</c:v>
                </c:pt>
                <c:pt idx="296">
                  <c:v>26.102</c:v>
                </c:pt>
                <c:pt idx="297">
                  <c:v>26.102</c:v>
                </c:pt>
                <c:pt idx="298">
                  <c:v>25.94</c:v>
                </c:pt>
                <c:pt idx="299">
                  <c:v>26.75</c:v>
                </c:pt>
                <c:pt idx="300">
                  <c:v>26.588000000000001</c:v>
                </c:pt>
                <c:pt idx="301">
                  <c:v>26.588000000000001</c:v>
                </c:pt>
                <c:pt idx="302">
                  <c:v>26.102</c:v>
                </c:pt>
                <c:pt idx="303">
                  <c:v>26.75</c:v>
                </c:pt>
                <c:pt idx="304">
                  <c:v>26.102</c:v>
                </c:pt>
                <c:pt idx="305">
                  <c:v>26.102</c:v>
                </c:pt>
                <c:pt idx="306">
                  <c:v>25.94</c:v>
                </c:pt>
                <c:pt idx="307">
                  <c:v>26.75</c:v>
                </c:pt>
                <c:pt idx="308">
                  <c:v>26.588000000000001</c:v>
                </c:pt>
                <c:pt idx="309">
                  <c:v>26.588000000000001</c:v>
                </c:pt>
                <c:pt idx="310">
                  <c:v>26.102</c:v>
                </c:pt>
                <c:pt idx="311">
                  <c:v>26.75</c:v>
                </c:pt>
                <c:pt idx="312">
                  <c:v>26.102</c:v>
                </c:pt>
                <c:pt idx="313">
                  <c:v>26.102</c:v>
                </c:pt>
                <c:pt idx="314">
                  <c:v>25.94</c:v>
                </c:pt>
                <c:pt idx="315">
                  <c:v>26.75</c:v>
                </c:pt>
                <c:pt idx="316">
                  <c:v>26.588000000000001</c:v>
                </c:pt>
                <c:pt idx="317">
                  <c:v>26.588000000000001</c:v>
                </c:pt>
                <c:pt idx="318">
                  <c:v>26.102</c:v>
                </c:pt>
                <c:pt idx="319">
                  <c:v>26.75</c:v>
                </c:pt>
                <c:pt idx="320">
                  <c:v>26.102</c:v>
                </c:pt>
                <c:pt idx="321">
                  <c:v>26.102</c:v>
                </c:pt>
                <c:pt idx="322">
                  <c:v>25.94</c:v>
                </c:pt>
                <c:pt idx="323">
                  <c:v>26.75</c:v>
                </c:pt>
                <c:pt idx="324">
                  <c:v>26.588000000000001</c:v>
                </c:pt>
                <c:pt idx="325">
                  <c:v>26.588000000000001</c:v>
                </c:pt>
                <c:pt idx="326">
                  <c:v>26.102</c:v>
                </c:pt>
                <c:pt idx="327">
                  <c:v>26.75</c:v>
                </c:pt>
                <c:pt idx="328">
                  <c:v>26.102</c:v>
                </c:pt>
                <c:pt idx="329">
                  <c:v>26.102</c:v>
                </c:pt>
                <c:pt idx="330">
                  <c:v>25.94</c:v>
                </c:pt>
                <c:pt idx="331">
                  <c:v>26.75</c:v>
                </c:pt>
                <c:pt idx="332">
                  <c:v>26.588000000000001</c:v>
                </c:pt>
                <c:pt idx="333">
                  <c:v>26.588000000000001</c:v>
                </c:pt>
                <c:pt idx="334">
                  <c:v>26.102</c:v>
                </c:pt>
                <c:pt idx="335">
                  <c:v>26.75</c:v>
                </c:pt>
                <c:pt idx="336">
                  <c:v>26.102</c:v>
                </c:pt>
                <c:pt idx="337">
                  <c:v>26.102</c:v>
                </c:pt>
                <c:pt idx="338">
                  <c:v>25.94</c:v>
                </c:pt>
                <c:pt idx="339">
                  <c:v>26.75</c:v>
                </c:pt>
                <c:pt idx="340">
                  <c:v>26.588000000000001</c:v>
                </c:pt>
                <c:pt idx="341">
                  <c:v>26.588000000000001</c:v>
                </c:pt>
                <c:pt idx="342">
                  <c:v>26.102</c:v>
                </c:pt>
                <c:pt idx="343">
                  <c:v>26.75</c:v>
                </c:pt>
                <c:pt idx="344">
                  <c:v>26.102</c:v>
                </c:pt>
                <c:pt idx="345">
                  <c:v>26.102</c:v>
                </c:pt>
                <c:pt idx="346">
                  <c:v>25.94</c:v>
                </c:pt>
                <c:pt idx="347">
                  <c:v>26.75</c:v>
                </c:pt>
                <c:pt idx="348">
                  <c:v>26.588000000000001</c:v>
                </c:pt>
                <c:pt idx="349">
                  <c:v>26.588000000000001</c:v>
                </c:pt>
                <c:pt idx="350">
                  <c:v>26.102</c:v>
                </c:pt>
                <c:pt idx="351">
                  <c:v>26.75</c:v>
                </c:pt>
                <c:pt idx="352">
                  <c:v>26.102</c:v>
                </c:pt>
                <c:pt idx="353">
                  <c:v>26.102</c:v>
                </c:pt>
                <c:pt idx="354">
                  <c:v>25.94</c:v>
                </c:pt>
                <c:pt idx="355">
                  <c:v>26.75</c:v>
                </c:pt>
                <c:pt idx="356">
                  <c:v>26.588000000000001</c:v>
                </c:pt>
                <c:pt idx="357">
                  <c:v>26.588000000000001</c:v>
                </c:pt>
                <c:pt idx="358">
                  <c:v>26.102</c:v>
                </c:pt>
                <c:pt idx="359">
                  <c:v>26.75</c:v>
                </c:pt>
                <c:pt idx="360">
                  <c:v>26.102</c:v>
                </c:pt>
                <c:pt idx="361">
                  <c:v>26.102</c:v>
                </c:pt>
                <c:pt idx="362">
                  <c:v>25.94</c:v>
                </c:pt>
                <c:pt idx="363">
                  <c:v>26.75</c:v>
                </c:pt>
                <c:pt idx="364">
                  <c:v>26.588000000000001</c:v>
                </c:pt>
                <c:pt idx="365">
                  <c:v>26.588000000000001</c:v>
                </c:pt>
                <c:pt idx="366">
                  <c:v>26.102</c:v>
                </c:pt>
                <c:pt idx="367">
                  <c:v>26.75</c:v>
                </c:pt>
                <c:pt idx="368">
                  <c:v>26.102</c:v>
                </c:pt>
                <c:pt idx="369">
                  <c:v>26.102</c:v>
                </c:pt>
                <c:pt idx="370">
                  <c:v>25.94</c:v>
                </c:pt>
                <c:pt idx="371">
                  <c:v>26.75</c:v>
                </c:pt>
                <c:pt idx="372">
                  <c:v>26.588000000000001</c:v>
                </c:pt>
                <c:pt idx="373">
                  <c:v>26.588000000000001</c:v>
                </c:pt>
                <c:pt idx="374">
                  <c:v>26.102</c:v>
                </c:pt>
                <c:pt idx="375">
                  <c:v>26.75</c:v>
                </c:pt>
                <c:pt idx="376">
                  <c:v>26.102</c:v>
                </c:pt>
                <c:pt idx="377">
                  <c:v>26.102</c:v>
                </c:pt>
                <c:pt idx="378">
                  <c:v>25.94</c:v>
                </c:pt>
                <c:pt idx="379">
                  <c:v>26.75</c:v>
                </c:pt>
                <c:pt idx="380">
                  <c:v>26.588000000000001</c:v>
                </c:pt>
                <c:pt idx="381">
                  <c:v>26.588000000000001</c:v>
                </c:pt>
                <c:pt idx="382">
                  <c:v>26.102</c:v>
                </c:pt>
                <c:pt idx="383">
                  <c:v>26.75</c:v>
                </c:pt>
                <c:pt idx="384">
                  <c:v>26.102</c:v>
                </c:pt>
                <c:pt idx="385">
                  <c:v>26.102</c:v>
                </c:pt>
                <c:pt idx="386">
                  <c:v>25.94</c:v>
                </c:pt>
                <c:pt idx="387">
                  <c:v>26.75</c:v>
                </c:pt>
                <c:pt idx="388">
                  <c:v>26.588000000000001</c:v>
                </c:pt>
                <c:pt idx="389">
                  <c:v>26.588000000000001</c:v>
                </c:pt>
                <c:pt idx="390">
                  <c:v>26.102</c:v>
                </c:pt>
                <c:pt idx="391">
                  <c:v>26.75</c:v>
                </c:pt>
                <c:pt idx="392">
                  <c:v>26.102</c:v>
                </c:pt>
                <c:pt idx="393">
                  <c:v>26.102</c:v>
                </c:pt>
                <c:pt idx="394">
                  <c:v>25.94</c:v>
                </c:pt>
                <c:pt idx="395">
                  <c:v>26.75</c:v>
                </c:pt>
                <c:pt idx="396">
                  <c:v>26.588000000000001</c:v>
                </c:pt>
                <c:pt idx="397">
                  <c:v>26.588000000000001</c:v>
                </c:pt>
                <c:pt idx="398">
                  <c:v>26.102</c:v>
                </c:pt>
                <c:pt idx="399">
                  <c:v>26.75</c:v>
                </c:pt>
                <c:pt idx="400">
                  <c:v>26.102</c:v>
                </c:pt>
                <c:pt idx="401">
                  <c:v>26.102</c:v>
                </c:pt>
                <c:pt idx="402">
                  <c:v>25.94</c:v>
                </c:pt>
                <c:pt idx="403">
                  <c:v>26.75</c:v>
                </c:pt>
                <c:pt idx="404">
                  <c:v>26.588000000000001</c:v>
                </c:pt>
                <c:pt idx="405">
                  <c:v>26.588000000000001</c:v>
                </c:pt>
                <c:pt idx="406">
                  <c:v>26.102</c:v>
                </c:pt>
                <c:pt idx="407">
                  <c:v>26.75</c:v>
                </c:pt>
                <c:pt idx="408">
                  <c:v>26.102</c:v>
                </c:pt>
                <c:pt idx="409">
                  <c:v>26.102</c:v>
                </c:pt>
                <c:pt idx="410">
                  <c:v>25.94</c:v>
                </c:pt>
                <c:pt idx="411">
                  <c:v>26.75</c:v>
                </c:pt>
                <c:pt idx="412">
                  <c:v>26.588000000000001</c:v>
                </c:pt>
                <c:pt idx="413">
                  <c:v>26.588000000000001</c:v>
                </c:pt>
                <c:pt idx="414">
                  <c:v>26.102</c:v>
                </c:pt>
                <c:pt idx="415">
                  <c:v>26.75</c:v>
                </c:pt>
                <c:pt idx="416">
                  <c:v>26.102</c:v>
                </c:pt>
                <c:pt idx="417">
                  <c:v>26.102</c:v>
                </c:pt>
                <c:pt idx="418">
                  <c:v>25.94</c:v>
                </c:pt>
                <c:pt idx="419">
                  <c:v>26.75</c:v>
                </c:pt>
                <c:pt idx="420">
                  <c:v>26.588000000000001</c:v>
                </c:pt>
                <c:pt idx="421">
                  <c:v>26.588000000000001</c:v>
                </c:pt>
                <c:pt idx="422">
                  <c:v>26.102</c:v>
                </c:pt>
                <c:pt idx="423">
                  <c:v>26.75</c:v>
                </c:pt>
                <c:pt idx="424">
                  <c:v>26.102</c:v>
                </c:pt>
                <c:pt idx="425">
                  <c:v>26.102</c:v>
                </c:pt>
                <c:pt idx="426">
                  <c:v>25.94</c:v>
                </c:pt>
                <c:pt idx="427">
                  <c:v>26.75</c:v>
                </c:pt>
                <c:pt idx="428">
                  <c:v>26.588000000000001</c:v>
                </c:pt>
                <c:pt idx="429">
                  <c:v>26.588000000000001</c:v>
                </c:pt>
                <c:pt idx="430">
                  <c:v>26.102</c:v>
                </c:pt>
                <c:pt idx="431">
                  <c:v>26.75</c:v>
                </c:pt>
                <c:pt idx="432">
                  <c:v>26.102</c:v>
                </c:pt>
                <c:pt idx="433">
                  <c:v>26.102</c:v>
                </c:pt>
                <c:pt idx="434">
                  <c:v>25.94</c:v>
                </c:pt>
                <c:pt idx="435">
                  <c:v>26.75</c:v>
                </c:pt>
                <c:pt idx="436">
                  <c:v>26.588000000000001</c:v>
                </c:pt>
                <c:pt idx="437">
                  <c:v>26.588000000000001</c:v>
                </c:pt>
                <c:pt idx="438">
                  <c:v>26.102</c:v>
                </c:pt>
                <c:pt idx="439">
                  <c:v>26.75</c:v>
                </c:pt>
                <c:pt idx="440">
                  <c:v>26.102</c:v>
                </c:pt>
                <c:pt idx="441">
                  <c:v>26.102</c:v>
                </c:pt>
                <c:pt idx="442">
                  <c:v>25.94</c:v>
                </c:pt>
                <c:pt idx="443">
                  <c:v>26.75</c:v>
                </c:pt>
                <c:pt idx="444">
                  <c:v>26.588000000000001</c:v>
                </c:pt>
                <c:pt idx="445">
                  <c:v>26.588000000000001</c:v>
                </c:pt>
                <c:pt idx="446">
                  <c:v>26.102</c:v>
                </c:pt>
                <c:pt idx="447">
                  <c:v>26.75</c:v>
                </c:pt>
                <c:pt idx="448">
                  <c:v>26.102</c:v>
                </c:pt>
                <c:pt idx="449">
                  <c:v>26.102</c:v>
                </c:pt>
                <c:pt idx="450">
                  <c:v>25.94</c:v>
                </c:pt>
                <c:pt idx="451">
                  <c:v>26.75</c:v>
                </c:pt>
                <c:pt idx="452">
                  <c:v>26.588000000000001</c:v>
                </c:pt>
                <c:pt idx="453">
                  <c:v>26.588000000000001</c:v>
                </c:pt>
                <c:pt idx="454">
                  <c:v>26.102</c:v>
                </c:pt>
                <c:pt idx="455">
                  <c:v>26.75</c:v>
                </c:pt>
                <c:pt idx="456">
                  <c:v>26.102</c:v>
                </c:pt>
                <c:pt idx="457">
                  <c:v>26.102</c:v>
                </c:pt>
                <c:pt idx="458">
                  <c:v>25.94</c:v>
                </c:pt>
                <c:pt idx="459">
                  <c:v>26.75</c:v>
                </c:pt>
                <c:pt idx="460">
                  <c:v>26.588000000000001</c:v>
                </c:pt>
                <c:pt idx="461">
                  <c:v>26.588000000000001</c:v>
                </c:pt>
                <c:pt idx="462">
                  <c:v>26.102</c:v>
                </c:pt>
                <c:pt idx="463">
                  <c:v>26.75</c:v>
                </c:pt>
                <c:pt idx="464">
                  <c:v>26.102</c:v>
                </c:pt>
                <c:pt idx="465">
                  <c:v>26.102</c:v>
                </c:pt>
                <c:pt idx="466">
                  <c:v>25.94</c:v>
                </c:pt>
                <c:pt idx="467">
                  <c:v>26.75</c:v>
                </c:pt>
                <c:pt idx="468">
                  <c:v>26.588000000000001</c:v>
                </c:pt>
                <c:pt idx="469">
                  <c:v>26.588000000000001</c:v>
                </c:pt>
                <c:pt idx="470">
                  <c:v>26.102</c:v>
                </c:pt>
                <c:pt idx="471">
                  <c:v>26.75</c:v>
                </c:pt>
                <c:pt idx="472">
                  <c:v>26.102</c:v>
                </c:pt>
                <c:pt idx="473">
                  <c:v>26.102</c:v>
                </c:pt>
                <c:pt idx="474">
                  <c:v>25.94</c:v>
                </c:pt>
                <c:pt idx="475">
                  <c:v>26.75</c:v>
                </c:pt>
                <c:pt idx="476">
                  <c:v>26.588000000000001</c:v>
                </c:pt>
                <c:pt idx="477">
                  <c:v>26.588000000000001</c:v>
                </c:pt>
                <c:pt idx="478">
                  <c:v>26.102</c:v>
                </c:pt>
                <c:pt idx="479">
                  <c:v>26.75</c:v>
                </c:pt>
                <c:pt idx="480">
                  <c:v>26.75</c:v>
                </c:pt>
                <c:pt idx="481">
                  <c:v>6.5</c:v>
                </c:pt>
                <c:pt idx="482">
                  <c:v>6.6619999999999999</c:v>
                </c:pt>
                <c:pt idx="483">
                  <c:v>6.6619999999999999</c:v>
                </c:pt>
                <c:pt idx="484">
                  <c:v>6.5</c:v>
                </c:pt>
                <c:pt idx="485">
                  <c:v>7.3100000000000005</c:v>
                </c:pt>
                <c:pt idx="486">
                  <c:v>7.1479999999999997</c:v>
                </c:pt>
                <c:pt idx="487">
                  <c:v>7.1479999999999997</c:v>
                </c:pt>
                <c:pt idx="488">
                  <c:v>6.6619999999999999</c:v>
                </c:pt>
                <c:pt idx="489">
                  <c:v>7.3100000000000005</c:v>
                </c:pt>
                <c:pt idx="490">
                  <c:v>7.4720000000000004</c:v>
                </c:pt>
                <c:pt idx="491">
                  <c:v>7.4720000000000004</c:v>
                </c:pt>
                <c:pt idx="492">
                  <c:v>7.3100000000000005</c:v>
                </c:pt>
                <c:pt idx="493">
                  <c:v>8.120000000000001</c:v>
                </c:pt>
                <c:pt idx="494">
                  <c:v>7.9580000000000002</c:v>
                </c:pt>
                <c:pt idx="495">
                  <c:v>7.9580000000000002</c:v>
                </c:pt>
                <c:pt idx="496">
                  <c:v>7.4720000000000004</c:v>
                </c:pt>
                <c:pt idx="497">
                  <c:v>8.120000000000001</c:v>
                </c:pt>
                <c:pt idx="498">
                  <c:v>8.2820000000000018</c:v>
                </c:pt>
                <c:pt idx="499">
                  <c:v>8.2820000000000018</c:v>
                </c:pt>
                <c:pt idx="500">
                  <c:v>8.120000000000001</c:v>
                </c:pt>
                <c:pt idx="501">
                  <c:v>8.9300000000000015</c:v>
                </c:pt>
                <c:pt idx="502">
                  <c:v>8.7680000000000007</c:v>
                </c:pt>
                <c:pt idx="503">
                  <c:v>8.7680000000000007</c:v>
                </c:pt>
                <c:pt idx="504">
                  <c:v>8.2820000000000018</c:v>
                </c:pt>
                <c:pt idx="505">
                  <c:v>8.9300000000000015</c:v>
                </c:pt>
                <c:pt idx="506">
                  <c:v>9.0920000000000005</c:v>
                </c:pt>
                <c:pt idx="507">
                  <c:v>9.0920000000000005</c:v>
                </c:pt>
                <c:pt idx="508">
                  <c:v>8.93</c:v>
                </c:pt>
                <c:pt idx="509">
                  <c:v>9.74</c:v>
                </c:pt>
                <c:pt idx="510">
                  <c:v>9.5779999999999994</c:v>
                </c:pt>
                <c:pt idx="511">
                  <c:v>9.5779999999999994</c:v>
                </c:pt>
                <c:pt idx="512">
                  <c:v>9.0920000000000005</c:v>
                </c:pt>
                <c:pt idx="513">
                  <c:v>9.74</c:v>
                </c:pt>
                <c:pt idx="514">
                  <c:v>9.902000000000001</c:v>
                </c:pt>
                <c:pt idx="515">
                  <c:v>9.902000000000001</c:v>
                </c:pt>
                <c:pt idx="516">
                  <c:v>9.74</c:v>
                </c:pt>
                <c:pt idx="517">
                  <c:v>10.55</c:v>
                </c:pt>
                <c:pt idx="518">
                  <c:v>10.388</c:v>
                </c:pt>
                <c:pt idx="519">
                  <c:v>10.388</c:v>
                </c:pt>
                <c:pt idx="520">
                  <c:v>9.902000000000001</c:v>
                </c:pt>
                <c:pt idx="521">
                  <c:v>10.55</c:v>
                </c:pt>
                <c:pt idx="522">
                  <c:v>10.712000000000002</c:v>
                </c:pt>
                <c:pt idx="523">
                  <c:v>10.712000000000002</c:v>
                </c:pt>
                <c:pt idx="524">
                  <c:v>10.55</c:v>
                </c:pt>
                <c:pt idx="525">
                  <c:v>11.360000000000001</c:v>
                </c:pt>
                <c:pt idx="526">
                  <c:v>11.198</c:v>
                </c:pt>
                <c:pt idx="527">
                  <c:v>11.198</c:v>
                </c:pt>
                <c:pt idx="528">
                  <c:v>10.712000000000002</c:v>
                </c:pt>
                <c:pt idx="529">
                  <c:v>11.360000000000001</c:v>
                </c:pt>
                <c:pt idx="530">
                  <c:v>11.522</c:v>
                </c:pt>
                <c:pt idx="531">
                  <c:v>11.522</c:v>
                </c:pt>
                <c:pt idx="532">
                  <c:v>11.36</c:v>
                </c:pt>
                <c:pt idx="533">
                  <c:v>12.17</c:v>
                </c:pt>
                <c:pt idx="534">
                  <c:v>12.007999999999999</c:v>
                </c:pt>
                <c:pt idx="535">
                  <c:v>12.007999999999999</c:v>
                </c:pt>
                <c:pt idx="536">
                  <c:v>11.522</c:v>
                </c:pt>
                <c:pt idx="537">
                  <c:v>12.17</c:v>
                </c:pt>
                <c:pt idx="538">
                  <c:v>12.332000000000001</c:v>
                </c:pt>
                <c:pt idx="539">
                  <c:v>12.332000000000001</c:v>
                </c:pt>
                <c:pt idx="540">
                  <c:v>12.17</c:v>
                </c:pt>
                <c:pt idx="541">
                  <c:v>12.98</c:v>
                </c:pt>
                <c:pt idx="542">
                  <c:v>12.818</c:v>
                </c:pt>
                <c:pt idx="543">
                  <c:v>12.818</c:v>
                </c:pt>
                <c:pt idx="544">
                  <c:v>12.332000000000001</c:v>
                </c:pt>
                <c:pt idx="545">
                  <c:v>12.98</c:v>
                </c:pt>
                <c:pt idx="546">
                  <c:v>13.142000000000001</c:v>
                </c:pt>
                <c:pt idx="547">
                  <c:v>13.142000000000001</c:v>
                </c:pt>
                <c:pt idx="548">
                  <c:v>12.98</c:v>
                </c:pt>
                <c:pt idx="549">
                  <c:v>13.790000000000001</c:v>
                </c:pt>
                <c:pt idx="550">
                  <c:v>13.628</c:v>
                </c:pt>
                <c:pt idx="551">
                  <c:v>13.628</c:v>
                </c:pt>
                <c:pt idx="552">
                  <c:v>13.142000000000001</c:v>
                </c:pt>
                <c:pt idx="553">
                  <c:v>13.790000000000001</c:v>
                </c:pt>
                <c:pt idx="554">
                  <c:v>13.952000000000002</c:v>
                </c:pt>
                <c:pt idx="555">
                  <c:v>13.952000000000002</c:v>
                </c:pt>
                <c:pt idx="556">
                  <c:v>13.790000000000001</c:v>
                </c:pt>
                <c:pt idx="557">
                  <c:v>14.600000000000001</c:v>
                </c:pt>
                <c:pt idx="558">
                  <c:v>14.438000000000001</c:v>
                </c:pt>
                <c:pt idx="559">
                  <c:v>14.438000000000001</c:v>
                </c:pt>
                <c:pt idx="560">
                  <c:v>13.952000000000002</c:v>
                </c:pt>
                <c:pt idx="561">
                  <c:v>14.600000000000001</c:v>
                </c:pt>
                <c:pt idx="562">
                  <c:v>14.762000000000002</c:v>
                </c:pt>
                <c:pt idx="563">
                  <c:v>14.762000000000002</c:v>
                </c:pt>
                <c:pt idx="564">
                  <c:v>14.600000000000001</c:v>
                </c:pt>
                <c:pt idx="565">
                  <c:v>15.410000000000002</c:v>
                </c:pt>
                <c:pt idx="566">
                  <c:v>15.248000000000001</c:v>
                </c:pt>
                <c:pt idx="567">
                  <c:v>15.248000000000001</c:v>
                </c:pt>
                <c:pt idx="568">
                  <c:v>14.762000000000002</c:v>
                </c:pt>
                <c:pt idx="569">
                  <c:v>15.410000000000002</c:v>
                </c:pt>
                <c:pt idx="570">
                  <c:v>15.572000000000001</c:v>
                </c:pt>
                <c:pt idx="571">
                  <c:v>15.572000000000001</c:v>
                </c:pt>
                <c:pt idx="572">
                  <c:v>15.41</c:v>
                </c:pt>
                <c:pt idx="573">
                  <c:v>16.22</c:v>
                </c:pt>
                <c:pt idx="574">
                  <c:v>16.058</c:v>
                </c:pt>
                <c:pt idx="575">
                  <c:v>16.058</c:v>
                </c:pt>
                <c:pt idx="576">
                  <c:v>15.572000000000001</c:v>
                </c:pt>
                <c:pt idx="577">
                  <c:v>16.22</c:v>
                </c:pt>
                <c:pt idx="578">
                  <c:v>16.381999999999998</c:v>
                </c:pt>
                <c:pt idx="579">
                  <c:v>16.381999999999998</c:v>
                </c:pt>
                <c:pt idx="580">
                  <c:v>16.22</c:v>
                </c:pt>
                <c:pt idx="581">
                  <c:v>17.029999999999998</c:v>
                </c:pt>
                <c:pt idx="582">
                  <c:v>16.867999999999999</c:v>
                </c:pt>
                <c:pt idx="583">
                  <c:v>16.867999999999999</c:v>
                </c:pt>
                <c:pt idx="584">
                  <c:v>16.381999999999998</c:v>
                </c:pt>
                <c:pt idx="585">
                  <c:v>17.029999999999998</c:v>
                </c:pt>
                <c:pt idx="586">
                  <c:v>17.192</c:v>
                </c:pt>
                <c:pt idx="587">
                  <c:v>17.192</c:v>
                </c:pt>
                <c:pt idx="588">
                  <c:v>17.03</c:v>
                </c:pt>
                <c:pt idx="589">
                  <c:v>17.84</c:v>
                </c:pt>
                <c:pt idx="590">
                  <c:v>17.678000000000001</c:v>
                </c:pt>
                <c:pt idx="591">
                  <c:v>17.678000000000001</c:v>
                </c:pt>
                <c:pt idx="592">
                  <c:v>17.192</c:v>
                </c:pt>
                <c:pt idx="593">
                  <c:v>17.84</c:v>
                </c:pt>
                <c:pt idx="594">
                  <c:v>18.001999999999999</c:v>
                </c:pt>
                <c:pt idx="595">
                  <c:v>18.001999999999999</c:v>
                </c:pt>
                <c:pt idx="596">
                  <c:v>17.84</c:v>
                </c:pt>
                <c:pt idx="597">
                  <c:v>18.649999999999999</c:v>
                </c:pt>
                <c:pt idx="598">
                  <c:v>18.488</c:v>
                </c:pt>
                <c:pt idx="599">
                  <c:v>18.488</c:v>
                </c:pt>
                <c:pt idx="600">
                  <c:v>18.001999999999999</c:v>
                </c:pt>
                <c:pt idx="601">
                  <c:v>18.649999999999999</c:v>
                </c:pt>
                <c:pt idx="602">
                  <c:v>18.811999999999998</c:v>
                </c:pt>
                <c:pt idx="603">
                  <c:v>18.811999999999998</c:v>
                </c:pt>
                <c:pt idx="604">
                  <c:v>18.649999999999999</c:v>
                </c:pt>
                <c:pt idx="605">
                  <c:v>19.459999999999997</c:v>
                </c:pt>
                <c:pt idx="606">
                  <c:v>19.297999999999998</c:v>
                </c:pt>
                <c:pt idx="607">
                  <c:v>19.297999999999998</c:v>
                </c:pt>
                <c:pt idx="608">
                  <c:v>18.811999999999998</c:v>
                </c:pt>
                <c:pt idx="609">
                  <c:v>19.459999999999997</c:v>
                </c:pt>
                <c:pt idx="610">
                  <c:v>19.622</c:v>
                </c:pt>
                <c:pt idx="611">
                  <c:v>19.622</c:v>
                </c:pt>
                <c:pt idx="612">
                  <c:v>19.46</c:v>
                </c:pt>
                <c:pt idx="613">
                  <c:v>20.27</c:v>
                </c:pt>
                <c:pt idx="614">
                  <c:v>20.108000000000001</c:v>
                </c:pt>
                <c:pt idx="615">
                  <c:v>20.108000000000001</c:v>
                </c:pt>
                <c:pt idx="616">
                  <c:v>19.622</c:v>
                </c:pt>
                <c:pt idx="617">
                  <c:v>20.27</c:v>
                </c:pt>
                <c:pt idx="618">
                  <c:v>20.432000000000002</c:v>
                </c:pt>
                <c:pt idx="619">
                  <c:v>20.432000000000002</c:v>
                </c:pt>
                <c:pt idx="620">
                  <c:v>20.270000000000003</c:v>
                </c:pt>
                <c:pt idx="621">
                  <c:v>21.080000000000002</c:v>
                </c:pt>
                <c:pt idx="622">
                  <c:v>20.918000000000003</c:v>
                </c:pt>
                <c:pt idx="623">
                  <c:v>20.918000000000003</c:v>
                </c:pt>
                <c:pt idx="624">
                  <c:v>20.432000000000002</c:v>
                </c:pt>
                <c:pt idx="625">
                  <c:v>21.080000000000002</c:v>
                </c:pt>
                <c:pt idx="626">
                  <c:v>21.242000000000001</c:v>
                </c:pt>
                <c:pt idx="627">
                  <c:v>21.242000000000001</c:v>
                </c:pt>
                <c:pt idx="628">
                  <c:v>21.080000000000002</c:v>
                </c:pt>
                <c:pt idx="629">
                  <c:v>21.89</c:v>
                </c:pt>
                <c:pt idx="630">
                  <c:v>21.728000000000002</c:v>
                </c:pt>
                <c:pt idx="631">
                  <c:v>21.728000000000002</c:v>
                </c:pt>
                <c:pt idx="632">
                  <c:v>21.242000000000001</c:v>
                </c:pt>
                <c:pt idx="633">
                  <c:v>21.89</c:v>
                </c:pt>
                <c:pt idx="634">
                  <c:v>22.052</c:v>
                </c:pt>
                <c:pt idx="635">
                  <c:v>22.052</c:v>
                </c:pt>
                <c:pt idx="636">
                  <c:v>21.89</c:v>
                </c:pt>
                <c:pt idx="637">
                  <c:v>22.7</c:v>
                </c:pt>
                <c:pt idx="638">
                  <c:v>22.538</c:v>
                </c:pt>
                <c:pt idx="639">
                  <c:v>22.538</c:v>
                </c:pt>
                <c:pt idx="640">
                  <c:v>22.052</c:v>
                </c:pt>
                <c:pt idx="641">
                  <c:v>22.7</c:v>
                </c:pt>
                <c:pt idx="642">
                  <c:v>22.862000000000002</c:v>
                </c:pt>
                <c:pt idx="643">
                  <c:v>22.862000000000002</c:v>
                </c:pt>
                <c:pt idx="644">
                  <c:v>22.700000000000003</c:v>
                </c:pt>
                <c:pt idx="645">
                  <c:v>23.51</c:v>
                </c:pt>
                <c:pt idx="646">
                  <c:v>23.348000000000003</c:v>
                </c:pt>
                <c:pt idx="647">
                  <c:v>23.348000000000003</c:v>
                </c:pt>
                <c:pt idx="648">
                  <c:v>22.862000000000002</c:v>
                </c:pt>
                <c:pt idx="649">
                  <c:v>23.51</c:v>
                </c:pt>
                <c:pt idx="650">
                  <c:v>23.672000000000001</c:v>
                </c:pt>
                <c:pt idx="651">
                  <c:v>23.672000000000001</c:v>
                </c:pt>
                <c:pt idx="652">
                  <c:v>23.51</c:v>
                </c:pt>
                <c:pt idx="653">
                  <c:v>24.32</c:v>
                </c:pt>
                <c:pt idx="654">
                  <c:v>24.158000000000001</c:v>
                </c:pt>
                <c:pt idx="655">
                  <c:v>24.158000000000001</c:v>
                </c:pt>
                <c:pt idx="656">
                  <c:v>23.672000000000001</c:v>
                </c:pt>
                <c:pt idx="657">
                  <c:v>24.32</c:v>
                </c:pt>
                <c:pt idx="658">
                  <c:v>24.481999999999999</c:v>
                </c:pt>
                <c:pt idx="659">
                  <c:v>24.481999999999999</c:v>
                </c:pt>
                <c:pt idx="660">
                  <c:v>24.32</c:v>
                </c:pt>
                <c:pt idx="661">
                  <c:v>25.13</c:v>
                </c:pt>
                <c:pt idx="662">
                  <c:v>24.968</c:v>
                </c:pt>
                <c:pt idx="663">
                  <c:v>24.968</c:v>
                </c:pt>
                <c:pt idx="664">
                  <c:v>24.481999999999999</c:v>
                </c:pt>
                <c:pt idx="665">
                  <c:v>25.13</c:v>
                </c:pt>
                <c:pt idx="666">
                  <c:v>25.292000000000002</c:v>
                </c:pt>
                <c:pt idx="667">
                  <c:v>25.292000000000002</c:v>
                </c:pt>
                <c:pt idx="668">
                  <c:v>25.130000000000003</c:v>
                </c:pt>
                <c:pt idx="669">
                  <c:v>25.94</c:v>
                </c:pt>
                <c:pt idx="670">
                  <c:v>25.778000000000002</c:v>
                </c:pt>
                <c:pt idx="671">
                  <c:v>25.778000000000002</c:v>
                </c:pt>
                <c:pt idx="672">
                  <c:v>25.292000000000002</c:v>
                </c:pt>
                <c:pt idx="673">
                  <c:v>25.94</c:v>
                </c:pt>
                <c:pt idx="674">
                  <c:v>26.102</c:v>
                </c:pt>
                <c:pt idx="675">
                  <c:v>26.102</c:v>
                </c:pt>
                <c:pt idx="676">
                  <c:v>25.94</c:v>
                </c:pt>
                <c:pt idx="677">
                  <c:v>26.75</c:v>
                </c:pt>
                <c:pt idx="678">
                  <c:v>26.588000000000001</c:v>
                </c:pt>
                <c:pt idx="679">
                  <c:v>26.588000000000001</c:v>
                </c:pt>
                <c:pt idx="680">
                  <c:v>26.102</c:v>
                </c:pt>
                <c:pt idx="681">
                  <c:v>26.75</c:v>
                </c:pt>
                <c:pt idx="682">
                  <c:v>26.102</c:v>
                </c:pt>
                <c:pt idx="683">
                  <c:v>26.102</c:v>
                </c:pt>
                <c:pt idx="684">
                  <c:v>25.94</c:v>
                </c:pt>
                <c:pt idx="685">
                  <c:v>26.75</c:v>
                </c:pt>
                <c:pt idx="686">
                  <c:v>26.588000000000001</c:v>
                </c:pt>
                <c:pt idx="687">
                  <c:v>26.588000000000001</c:v>
                </c:pt>
                <c:pt idx="688">
                  <c:v>26.102</c:v>
                </c:pt>
                <c:pt idx="689">
                  <c:v>26.75</c:v>
                </c:pt>
                <c:pt idx="690">
                  <c:v>26.102</c:v>
                </c:pt>
                <c:pt idx="691">
                  <c:v>26.102</c:v>
                </c:pt>
                <c:pt idx="692">
                  <c:v>25.94</c:v>
                </c:pt>
                <c:pt idx="693">
                  <c:v>26.75</c:v>
                </c:pt>
                <c:pt idx="694">
                  <c:v>26.588000000000001</c:v>
                </c:pt>
                <c:pt idx="695">
                  <c:v>26.588000000000001</c:v>
                </c:pt>
                <c:pt idx="696">
                  <c:v>26.102</c:v>
                </c:pt>
                <c:pt idx="697">
                  <c:v>26.75</c:v>
                </c:pt>
                <c:pt idx="698">
                  <c:v>26.102</c:v>
                </c:pt>
                <c:pt idx="699">
                  <c:v>26.102</c:v>
                </c:pt>
                <c:pt idx="700">
                  <c:v>25.94</c:v>
                </c:pt>
                <c:pt idx="701">
                  <c:v>26.75</c:v>
                </c:pt>
                <c:pt idx="702">
                  <c:v>26.588000000000001</c:v>
                </c:pt>
                <c:pt idx="703">
                  <c:v>26.588000000000001</c:v>
                </c:pt>
                <c:pt idx="704">
                  <c:v>26.102</c:v>
                </c:pt>
                <c:pt idx="705">
                  <c:v>26.75</c:v>
                </c:pt>
                <c:pt idx="706">
                  <c:v>26.102</c:v>
                </c:pt>
                <c:pt idx="707">
                  <c:v>26.102</c:v>
                </c:pt>
                <c:pt idx="708">
                  <c:v>25.94</c:v>
                </c:pt>
                <c:pt idx="709">
                  <c:v>26.75</c:v>
                </c:pt>
                <c:pt idx="710">
                  <c:v>26.588000000000001</c:v>
                </c:pt>
                <c:pt idx="711">
                  <c:v>26.588000000000001</c:v>
                </c:pt>
                <c:pt idx="712">
                  <c:v>26.102</c:v>
                </c:pt>
                <c:pt idx="713">
                  <c:v>26.75</c:v>
                </c:pt>
                <c:pt idx="714">
                  <c:v>26.102</c:v>
                </c:pt>
                <c:pt idx="715">
                  <c:v>26.102</c:v>
                </c:pt>
                <c:pt idx="716">
                  <c:v>25.94</c:v>
                </c:pt>
                <c:pt idx="717">
                  <c:v>26.75</c:v>
                </c:pt>
                <c:pt idx="718">
                  <c:v>26.588000000000001</c:v>
                </c:pt>
                <c:pt idx="719">
                  <c:v>26.588000000000001</c:v>
                </c:pt>
                <c:pt idx="720">
                  <c:v>26.102</c:v>
                </c:pt>
                <c:pt idx="721">
                  <c:v>26.75</c:v>
                </c:pt>
                <c:pt idx="722">
                  <c:v>26.102</c:v>
                </c:pt>
                <c:pt idx="723">
                  <c:v>26.102</c:v>
                </c:pt>
                <c:pt idx="724">
                  <c:v>25.94</c:v>
                </c:pt>
                <c:pt idx="725">
                  <c:v>26.75</c:v>
                </c:pt>
                <c:pt idx="726">
                  <c:v>26.588000000000001</c:v>
                </c:pt>
                <c:pt idx="727">
                  <c:v>26.588000000000001</c:v>
                </c:pt>
                <c:pt idx="728">
                  <c:v>26.102</c:v>
                </c:pt>
                <c:pt idx="729">
                  <c:v>26.75</c:v>
                </c:pt>
                <c:pt idx="730">
                  <c:v>26.102</c:v>
                </c:pt>
                <c:pt idx="731">
                  <c:v>26.102</c:v>
                </c:pt>
                <c:pt idx="732">
                  <c:v>25.94</c:v>
                </c:pt>
                <c:pt idx="733">
                  <c:v>26.75</c:v>
                </c:pt>
                <c:pt idx="734">
                  <c:v>26.588000000000001</c:v>
                </c:pt>
                <c:pt idx="735">
                  <c:v>26.588000000000001</c:v>
                </c:pt>
                <c:pt idx="736">
                  <c:v>26.102</c:v>
                </c:pt>
                <c:pt idx="737">
                  <c:v>26.75</c:v>
                </c:pt>
                <c:pt idx="738">
                  <c:v>26.102</c:v>
                </c:pt>
                <c:pt idx="739">
                  <c:v>26.102</c:v>
                </c:pt>
                <c:pt idx="740">
                  <c:v>25.94</c:v>
                </c:pt>
                <c:pt idx="741">
                  <c:v>26.75</c:v>
                </c:pt>
                <c:pt idx="742">
                  <c:v>26.588000000000001</c:v>
                </c:pt>
                <c:pt idx="743">
                  <c:v>26.588000000000001</c:v>
                </c:pt>
                <c:pt idx="744">
                  <c:v>26.102</c:v>
                </c:pt>
                <c:pt idx="745">
                  <c:v>26.75</c:v>
                </c:pt>
                <c:pt idx="746">
                  <c:v>26.102</c:v>
                </c:pt>
                <c:pt idx="747">
                  <c:v>26.102</c:v>
                </c:pt>
                <c:pt idx="748">
                  <c:v>25.94</c:v>
                </c:pt>
                <c:pt idx="749">
                  <c:v>26.75</c:v>
                </c:pt>
                <c:pt idx="750">
                  <c:v>26.588000000000001</c:v>
                </c:pt>
                <c:pt idx="751">
                  <c:v>26.588000000000001</c:v>
                </c:pt>
                <c:pt idx="752">
                  <c:v>26.102</c:v>
                </c:pt>
                <c:pt idx="753">
                  <c:v>26.75</c:v>
                </c:pt>
                <c:pt idx="754">
                  <c:v>26.102</c:v>
                </c:pt>
                <c:pt idx="755">
                  <c:v>26.102</c:v>
                </c:pt>
                <c:pt idx="756">
                  <c:v>25.94</c:v>
                </c:pt>
                <c:pt idx="757">
                  <c:v>26.75</c:v>
                </c:pt>
                <c:pt idx="758">
                  <c:v>26.588000000000001</c:v>
                </c:pt>
                <c:pt idx="759">
                  <c:v>26.588000000000001</c:v>
                </c:pt>
                <c:pt idx="760">
                  <c:v>26.102</c:v>
                </c:pt>
                <c:pt idx="761">
                  <c:v>26.75</c:v>
                </c:pt>
                <c:pt idx="762">
                  <c:v>26.102</c:v>
                </c:pt>
                <c:pt idx="763">
                  <c:v>26.102</c:v>
                </c:pt>
                <c:pt idx="764">
                  <c:v>25.94</c:v>
                </c:pt>
                <c:pt idx="765">
                  <c:v>26.75</c:v>
                </c:pt>
                <c:pt idx="766">
                  <c:v>26.588000000000001</c:v>
                </c:pt>
                <c:pt idx="767">
                  <c:v>26.588000000000001</c:v>
                </c:pt>
                <c:pt idx="768">
                  <c:v>26.102</c:v>
                </c:pt>
                <c:pt idx="769">
                  <c:v>26.75</c:v>
                </c:pt>
                <c:pt idx="770">
                  <c:v>26.102</c:v>
                </c:pt>
                <c:pt idx="771">
                  <c:v>26.102</c:v>
                </c:pt>
                <c:pt idx="772">
                  <c:v>25.94</c:v>
                </c:pt>
                <c:pt idx="773">
                  <c:v>26.75</c:v>
                </c:pt>
                <c:pt idx="774">
                  <c:v>26.588000000000001</c:v>
                </c:pt>
                <c:pt idx="775">
                  <c:v>26.588000000000001</c:v>
                </c:pt>
                <c:pt idx="776">
                  <c:v>26.102</c:v>
                </c:pt>
                <c:pt idx="777">
                  <c:v>26.75</c:v>
                </c:pt>
                <c:pt idx="778">
                  <c:v>26.102</c:v>
                </c:pt>
                <c:pt idx="779">
                  <c:v>26.102</c:v>
                </c:pt>
                <c:pt idx="780">
                  <c:v>25.94</c:v>
                </c:pt>
                <c:pt idx="781">
                  <c:v>26.75</c:v>
                </c:pt>
                <c:pt idx="782">
                  <c:v>26.588000000000001</c:v>
                </c:pt>
                <c:pt idx="783">
                  <c:v>26.588000000000001</c:v>
                </c:pt>
                <c:pt idx="784">
                  <c:v>26.102</c:v>
                </c:pt>
                <c:pt idx="785">
                  <c:v>26.75</c:v>
                </c:pt>
                <c:pt idx="786">
                  <c:v>26.102</c:v>
                </c:pt>
                <c:pt idx="787">
                  <c:v>26.102</c:v>
                </c:pt>
                <c:pt idx="788">
                  <c:v>25.94</c:v>
                </c:pt>
                <c:pt idx="789">
                  <c:v>26.75</c:v>
                </c:pt>
                <c:pt idx="790">
                  <c:v>26.588000000000001</c:v>
                </c:pt>
                <c:pt idx="791">
                  <c:v>26.588000000000001</c:v>
                </c:pt>
                <c:pt idx="792">
                  <c:v>26.102</c:v>
                </c:pt>
                <c:pt idx="793">
                  <c:v>26.75</c:v>
                </c:pt>
                <c:pt idx="794">
                  <c:v>26.102</c:v>
                </c:pt>
                <c:pt idx="795">
                  <c:v>26.102</c:v>
                </c:pt>
                <c:pt idx="796">
                  <c:v>25.94</c:v>
                </c:pt>
                <c:pt idx="797">
                  <c:v>26.75</c:v>
                </c:pt>
                <c:pt idx="798">
                  <c:v>26.588000000000001</c:v>
                </c:pt>
                <c:pt idx="799">
                  <c:v>26.588000000000001</c:v>
                </c:pt>
                <c:pt idx="800">
                  <c:v>26.102</c:v>
                </c:pt>
                <c:pt idx="801">
                  <c:v>26.75</c:v>
                </c:pt>
                <c:pt idx="802">
                  <c:v>26.102</c:v>
                </c:pt>
                <c:pt idx="803">
                  <c:v>26.102</c:v>
                </c:pt>
                <c:pt idx="804">
                  <c:v>25.94</c:v>
                </c:pt>
                <c:pt idx="805">
                  <c:v>26.75</c:v>
                </c:pt>
                <c:pt idx="806">
                  <c:v>26.588000000000001</c:v>
                </c:pt>
                <c:pt idx="807">
                  <c:v>26.588000000000001</c:v>
                </c:pt>
                <c:pt idx="808">
                  <c:v>26.102</c:v>
                </c:pt>
                <c:pt idx="809">
                  <c:v>26.75</c:v>
                </c:pt>
                <c:pt idx="810">
                  <c:v>26.102</c:v>
                </c:pt>
                <c:pt idx="811">
                  <c:v>26.102</c:v>
                </c:pt>
                <c:pt idx="812">
                  <c:v>25.94</c:v>
                </c:pt>
                <c:pt idx="813">
                  <c:v>26.75</c:v>
                </c:pt>
                <c:pt idx="814">
                  <c:v>26.588000000000001</c:v>
                </c:pt>
                <c:pt idx="815">
                  <c:v>26.588000000000001</c:v>
                </c:pt>
                <c:pt idx="816">
                  <c:v>26.102</c:v>
                </c:pt>
                <c:pt idx="817">
                  <c:v>26.75</c:v>
                </c:pt>
                <c:pt idx="818">
                  <c:v>26.102</c:v>
                </c:pt>
                <c:pt idx="819">
                  <c:v>26.102</c:v>
                </c:pt>
                <c:pt idx="820">
                  <c:v>25.94</c:v>
                </c:pt>
                <c:pt idx="821">
                  <c:v>26.75</c:v>
                </c:pt>
                <c:pt idx="822">
                  <c:v>26.588000000000001</c:v>
                </c:pt>
                <c:pt idx="823">
                  <c:v>26.588000000000001</c:v>
                </c:pt>
                <c:pt idx="824">
                  <c:v>26.102</c:v>
                </c:pt>
                <c:pt idx="825">
                  <c:v>26.75</c:v>
                </c:pt>
                <c:pt idx="826">
                  <c:v>26.102</c:v>
                </c:pt>
                <c:pt idx="827">
                  <c:v>26.102</c:v>
                </c:pt>
                <c:pt idx="828">
                  <c:v>25.94</c:v>
                </c:pt>
                <c:pt idx="829">
                  <c:v>26.75</c:v>
                </c:pt>
                <c:pt idx="830">
                  <c:v>26.588000000000001</c:v>
                </c:pt>
                <c:pt idx="831">
                  <c:v>26.588000000000001</c:v>
                </c:pt>
                <c:pt idx="832">
                  <c:v>26.102</c:v>
                </c:pt>
                <c:pt idx="833">
                  <c:v>26.75</c:v>
                </c:pt>
                <c:pt idx="834">
                  <c:v>26.102</c:v>
                </c:pt>
                <c:pt idx="835">
                  <c:v>26.102</c:v>
                </c:pt>
                <c:pt idx="836">
                  <c:v>25.94</c:v>
                </c:pt>
                <c:pt idx="837">
                  <c:v>26.75</c:v>
                </c:pt>
                <c:pt idx="838">
                  <c:v>26.588000000000001</c:v>
                </c:pt>
                <c:pt idx="839">
                  <c:v>26.588000000000001</c:v>
                </c:pt>
                <c:pt idx="840">
                  <c:v>26.102</c:v>
                </c:pt>
                <c:pt idx="841">
                  <c:v>26.75</c:v>
                </c:pt>
                <c:pt idx="842">
                  <c:v>26.102</c:v>
                </c:pt>
                <c:pt idx="843">
                  <c:v>26.102</c:v>
                </c:pt>
                <c:pt idx="844">
                  <c:v>25.94</c:v>
                </c:pt>
                <c:pt idx="845">
                  <c:v>26.75</c:v>
                </c:pt>
                <c:pt idx="846">
                  <c:v>26.588000000000001</c:v>
                </c:pt>
                <c:pt idx="847">
                  <c:v>26.588000000000001</c:v>
                </c:pt>
                <c:pt idx="848">
                  <c:v>26.102</c:v>
                </c:pt>
                <c:pt idx="849">
                  <c:v>26.75</c:v>
                </c:pt>
                <c:pt idx="850">
                  <c:v>26.102</c:v>
                </c:pt>
                <c:pt idx="851">
                  <c:v>26.102</c:v>
                </c:pt>
                <c:pt idx="852">
                  <c:v>25.94</c:v>
                </c:pt>
                <c:pt idx="853">
                  <c:v>26.75</c:v>
                </c:pt>
                <c:pt idx="854">
                  <c:v>26.588000000000001</c:v>
                </c:pt>
                <c:pt idx="855">
                  <c:v>26.588000000000001</c:v>
                </c:pt>
                <c:pt idx="856">
                  <c:v>26.102</c:v>
                </c:pt>
                <c:pt idx="857">
                  <c:v>26.75</c:v>
                </c:pt>
                <c:pt idx="858">
                  <c:v>26.102</c:v>
                </c:pt>
                <c:pt idx="859">
                  <c:v>26.102</c:v>
                </c:pt>
                <c:pt idx="860">
                  <c:v>25.94</c:v>
                </c:pt>
                <c:pt idx="861">
                  <c:v>26.75</c:v>
                </c:pt>
                <c:pt idx="862">
                  <c:v>26.588000000000001</c:v>
                </c:pt>
                <c:pt idx="863">
                  <c:v>26.588000000000001</c:v>
                </c:pt>
                <c:pt idx="864">
                  <c:v>26.102</c:v>
                </c:pt>
                <c:pt idx="865">
                  <c:v>26.75</c:v>
                </c:pt>
                <c:pt idx="866">
                  <c:v>26.102</c:v>
                </c:pt>
                <c:pt idx="867">
                  <c:v>26.102</c:v>
                </c:pt>
                <c:pt idx="868">
                  <c:v>25.94</c:v>
                </c:pt>
                <c:pt idx="869">
                  <c:v>26.75</c:v>
                </c:pt>
                <c:pt idx="870">
                  <c:v>26.588000000000001</c:v>
                </c:pt>
                <c:pt idx="871">
                  <c:v>26.588000000000001</c:v>
                </c:pt>
                <c:pt idx="872">
                  <c:v>26.102</c:v>
                </c:pt>
                <c:pt idx="873">
                  <c:v>26.75</c:v>
                </c:pt>
                <c:pt idx="874">
                  <c:v>26.102</c:v>
                </c:pt>
                <c:pt idx="875">
                  <c:v>26.102</c:v>
                </c:pt>
                <c:pt idx="876">
                  <c:v>25.94</c:v>
                </c:pt>
                <c:pt idx="877">
                  <c:v>26.75</c:v>
                </c:pt>
                <c:pt idx="878">
                  <c:v>26.588000000000001</c:v>
                </c:pt>
                <c:pt idx="879">
                  <c:v>26.588000000000001</c:v>
                </c:pt>
                <c:pt idx="880">
                  <c:v>26.102</c:v>
                </c:pt>
                <c:pt idx="881">
                  <c:v>26.75</c:v>
                </c:pt>
                <c:pt idx="882">
                  <c:v>26.102</c:v>
                </c:pt>
                <c:pt idx="883">
                  <c:v>26.102</c:v>
                </c:pt>
                <c:pt idx="884">
                  <c:v>25.94</c:v>
                </c:pt>
                <c:pt idx="885">
                  <c:v>26.75</c:v>
                </c:pt>
                <c:pt idx="886">
                  <c:v>26.588000000000001</c:v>
                </c:pt>
                <c:pt idx="887">
                  <c:v>26.588000000000001</c:v>
                </c:pt>
                <c:pt idx="888">
                  <c:v>26.102</c:v>
                </c:pt>
                <c:pt idx="889">
                  <c:v>26.75</c:v>
                </c:pt>
                <c:pt idx="890">
                  <c:v>26.102</c:v>
                </c:pt>
                <c:pt idx="891">
                  <c:v>26.102</c:v>
                </c:pt>
                <c:pt idx="892">
                  <c:v>25.94</c:v>
                </c:pt>
                <c:pt idx="893">
                  <c:v>26.75</c:v>
                </c:pt>
                <c:pt idx="894">
                  <c:v>26.588000000000001</c:v>
                </c:pt>
                <c:pt idx="895">
                  <c:v>26.588000000000001</c:v>
                </c:pt>
                <c:pt idx="896">
                  <c:v>26.102</c:v>
                </c:pt>
                <c:pt idx="897">
                  <c:v>26.75</c:v>
                </c:pt>
                <c:pt idx="898">
                  <c:v>26.102</c:v>
                </c:pt>
                <c:pt idx="899">
                  <c:v>26.102</c:v>
                </c:pt>
                <c:pt idx="900">
                  <c:v>25.94</c:v>
                </c:pt>
                <c:pt idx="901">
                  <c:v>26.75</c:v>
                </c:pt>
                <c:pt idx="902">
                  <c:v>26.588000000000001</c:v>
                </c:pt>
                <c:pt idx="903">
                  <c:v>26.588000000000001</c:v>
                </c:pt>
                <c:pt idx="904">
                  <c:v>26.102</c:v>
                </c:pt>
                <c:pt idx="905">
                  <c:v>26.75</c:v>
                </c:pt>
                <c:pt idx="906">
                  <c:v>26.102</c:v>
                </c:pt>
                <c:pt idx="907">
                  <c:v>26.102</c:v>
                </c:pt>
                <c:pt idx="908">
                  <c:v>25.94</c:v>
                </c:pt>
                <c:pt idx="909">
                  <c:v>26.75</c:v>
                </c:pt>
                <c:pt idx="910">
                  <c:v>26.588000000000001</c:v>
                </c:pt>
                <c:pt idx="911">
                  <c:v>26.588000000000001</c:v>
                </c:pt>
                <c:pt idx="912">
                  <c:v>26.102</c:v>
                </c:pt>
                <c:pt idx="913">
                  <c:v>26.75</c:v>
                </c:pt>
                <c:pt idx="914">
                  <c:v>26.102</c:v>
                </c:pt>
                <c:pt idx="915">
                  <c:v>26.102</c:v>
                </c:pt>
                <c:pt idx="916">
                  <c:v>25.94</c:v>
                </c:pt>
                <c:pt idx="917">
                  <c:v>26.75</c:v>
                </c:pt>
                <c:pt idx="918">
                  <c:v>26.588000000000001</c:v>
                </c:pt>
                <c:pt idx="919">
                  <c:v>26.588000000000001</c:v>
                </c:pt>
                <c:pt idx="920">
                  <c:v>26.102</c:v>
                </c:pt>
                <c:pt idx="921">
                  <c:v>26.75</c:v>
                </c:pt>
                <c:pt idx="922">
                  <c:v>26.102</c:v>
                </c:pt>
                <c:pt idx="923">
                  <c:v>26.102</c:v>
                </c:pt>
                <c:pt idx="924">
                  <c:v>25.94</c:v>
                </c:pt>
                <c:pt idx="925">
                  <c:v>26.75</c:v>
                </c:pt>
                <c:pt idx="926">
                  <c:v>26.588000000000001</c:v>
                </c:pt>
                <c:pt idx="927">
                  <c:v>26.588000000000001</c:v>
                </c:pt>
                <c:pt idx="928">
                  <c:v>26.102</c:v>
                </c:pt>
                <c:pt idx="929">
                  <c:v>26.75</c:v>
                </c:pt>
                <c:pt idx="930">
                  <c:v>26.102</c:v>
                </c:pt>
                <c:pt idx="931">
                  <c:v>26.102</c:v>
                </c:pt>
                <c:pt idx="932">
                  <c:v>25.94</c:v>
                </c:pt>
                <c:pt idx="933">
                  <c:v>26.75</c:v>
                </c:pt>
                <c:pt idx="934">
                  <c:v>26.588000000000001</c:v>
                </c:pt>
                <c:pt idx="935">
                  <c:v>26.588000000000001</c:v>
                </c:pt>
                <c:pt idx="936">
                  <c:v>26.102</c:v>
                </c:pt>
                <c:pt idx="937">
                  <c:v>26.75</c:v>
                </c:pt>
                <c:pt idx="938">
                  <c:v>26.102</c:v>
                </c:pt>
                <c:pt idx="939">
                  <c:v>26.102</c:v>
                </c:pt>
                <c:pt idx="940">
                  <c:v>25.94</c:v>
                </c:pt>
                <c:pt idx="941">
                  <c:v>26.75</c:v>
                </c:pt>
                <c:pt idx="942">
                  <c:v>26.588000000000001</c:v>
                </c:pt>
                <c:pt idx="943">
                  <c:v>26.588000000000001</c:v>
                </c:pt>
                <c:pt idx="944">
                  <c:v>26.102</c:v>
                </c:pt>
                <c:pt idx="945">
                  <c:v>26.75</c:v>
                </c:pt>
                <c:pt idx="946">
                  <c:v>26.102</c:v>
                </c:pt>
                <c:pt idx="947">
                  <c:v>26.102</c:v>
                </c:pt>
                <c:pt idx="948">
                  <c:v>25.94</c:v>
                </c:pt>
                <c:pt idx="949">
                  <c:v>26.75</c:v>
                </c:pt>
                <c:pt idx="950">
                  <c:v>26.588000000000001</c:v>
                </c:pt>
                <c:pt idx="951">
                  <c:v>26.588000000000001</c:v>
                </c:pt>
                <c:pt idx="952">
                  <c:v>26.102</c:v>
                </c:pt>
                <c:pt idx="953">
                  <c:v>26.75</c:v>
                </c:pt>
                <c:pt idx="954">
                  <c:v>26.102</c:v>
                </c:pt>
                <c:pt idx="955">
                  <c:v>26.102</c:v>
                </c:pt>
                <c:pt idx="956">
                  <c:v>25.94</c:v>
                </c:pt>
                <c:pt idx="957">
                  <c:v>26.75</c:v>
                </c:pt>
                <c:pt idx="958">
                  <c:v>26.588000000000001</c:v>
                </c:pt>
                <c:pt idx="959">
                  <c:v>26.588000000000001</c:v>
                </c:pt>
                <c:pt idx="960">
                  <c:v>26.102</c:v>
                </c:pt>
                <c:pt idx="961">
                  <c:v>26.75</c:v>
                </c:pt>
                <c:pt idx="962">
                  <c:v>26.75</c:v>
                </c:pt>
                <c:pt idx="963">
                  <c:v>6.5</c:v>
                </c:pt>
                <c:pt idx="964">
                  <c:v>6.6619999999999999</c:v>
                </c:pt>
                <c:pt idx="965">
                  <c:v>6.6619999999999999</c:v>
                </c:pt>
                <c:pt idx="966">
                  <c:v>6.5</c:v>
                </c:pt>
                <c:pt idx="967">
                  <c:v>7.3100000000000005</c:v>
                </c:pt>
                <c:pt idx="968">
                  <c:v>7.1479999999999997</c:v>
                </c:pt>
                <c:pt idx="969">
                  <c:v>7.1479999999999997</c:v>
                </c:pt>
                <c:pt idx="970">
                  <c:v>6.6619999999999999</c:v>
                </c:pt>
                <c:pt idx="971">
                  <c:v>7.3100000000000005</c:v>
                </c:pt>
                <c:pt idx="972">
                  <c:v>7.4720000000000004</c:v>
                </c:pt>
                <c:pt idx="973">
                  <c:v>7.4720000000000004</c:v>
                </c:pt>
                <c:pt idx="974">
                  <c:v>7.3100000000000005</c:v>
                </c:pt>
                <c:pt idx="975">
                  <c:v>8.120000000000001</c:v>
                </c:pt>
                <c:pt idx="976">
                  <c:v>7.9580000000000002</c:v>
                </c:pt>
                <c:pt idx="977">
                  <c:v>7.9580000000000002</c:v>
                </c:pt>
                <c:pt idx="978">
                  <c:v>7.4720000000000004</c:v>
                </c:pt>
                <c:pt idx="979">
                  <c:v>8.120000000000001</c:v>
                </c:pt>
                <c:pt idx="980">
                  <c:v>8.2820000000000018</c:v>
                </c:pt>
                <c:pt idx="981">
                  <c:v>8.2820000000000018</c:v>
                </c:pt>
                <c:pt idx="982">
                  <c:v>8.120000000000001</c:v>
                </c:pt>
                <c:pt idx="983">
                  <c:v>8.9300000000000015</c:v>
                </c:pt>
                <c:pt idx="984">
                  <c:v>8.7680000000000007</c:v>
                </c:pt>
                <c:pt idx="985">
                  <c:v>8.7680000000000007</c:v>
                </c:pt>
                <c:pt idx="986">
                  <c:v>8.2820000000000018</c:v>
                </c:pt>
                <c:pt idx="987">
                  <c:v>8.9300000000000015</c:v>
                </c:pt>
                <c:pt idx="988">
                  <c:v>9.0920000000000005</c:v>
                </c:pt>
                <c:pt idx="989">
                  <c:v>9.0920000000000005</c:v>
                </c:pt>
                <c:pt idx="990">
                  <c:v>8.93</c:v>
                </c:pt>
                <c:pt idx="991">
                  <c:v>9.74</c:v>
                </c:pt>
                <c:pt idx="992">
                  <c:v>9.5779999999999994</c:v>
                </c:pt>
                <c:pt idx="993">
                  <c:v>9.5779999999999994</c:v>
                </c:pt>
                <c:pt idx="994">
                  <c:v>9.0920000000000005</c:v>
                </c:pt>
                <c:pt idx="995">
                  <c:v>9.74</c:v>
                </c:pt>
                <c:pt idx="996">
                  <c:v>9.902000000000001</c:v>
                </c:pt>
                <c:pt idx="997">
                  <c:v>9.902000000000001</c:v>
                </c:pt>
                <c:pt idx="998">
                  <c:v>9.74</c:v>
                </c:pt>
                <c:pt idx="999">
                  <c:v>10.55</c:v>
                </c:pt>
                <c:pt idx="1000">
                  <c:v>10.388</c:v>
                </c:pt>
                <c:pt idx="1001">
                  <c:v>10.388</c:v>
                </c:pt>
                <c:pt idx="1002">
                  <c:v>9.902000000000001</c:v>
                </c:pt>
                <c:pt idx="1003">
                  <c:v>10.55</c:v>
                </c:pt>
                <c:pt idx="1004">
                  <c:v>10.712000000000002</c:v>
                </c:pt>
                <c:pt idx="1005">
                  <c:v>10.712000000000002</c:v>
                </c:pt>
                <c:pt idx="1006">
                  <c:v>10.55</c:v>
                </c:pt>
                <c:pt idx="1007">
                  <c:v>11.360000000000001</c:v>
                </c:pt>
                <c:pt idx="1008">
                  <c:v>11.198</c:v>
                </c:pt>
                <c:pt idx="1009">
                  <c:v>11.198</c:v>
                </c:pt>
                <c:pt idx="1010">
                  <c:v>10.712000000000002</c:v>
                </c:pt>
                <c:pt idx="1011">
                  <c:v>11.360000000000001</c:v>
                </c:pt>
                <c:pt idx="1012">
                  <c:v>11.522</c:v>
                </c:pt>
                <c:pt idx="1013">
                  <c:v>11.522</c:v>
                </c:pt>
                <c:pt idx="1014">
                  <c:v>11.36</c:v>
                </c:pt>
                <c:pt idx="1015">
                  <c:v>12.17</c:v>
                </c:pt>
                <c:pt idx="1016">
                  <c:v>12.007999999999999</c:v>
                </c:pt>
                <c:pt idx="1017">
                  <c:v>12.007999999999999</c:v>
                </c:pt>
                <c:pt idx="1018">
                  <c:v>11.522</c:v>
                </c:pt>
                <c:pt idx="1019">
                  <c:v>12.17</c:v>
                </c:pt>
                <c:pt idx="1020">
                  <c:v>12.332000000000001</c:v>
                </c:pt>
                <c:pt idx="1021">
                  <c:v>12.332000000000001</c:v>
                </c:pt>
                <c:pt idx="1022">
                  <c:v>12.17</c:v>
                </c:pt>
                <c:pt idx="1023">
                  <c:v>12.98</c:v>
                </c:pt>
                <c:pt idx="1024">
                  <c:v>12.818</c:v>
                </c:pt>
                <c:pt idx="1025">
                  <c:v>12.818</c:v>
                </c:pt>
                <c:pt idx="1026">
                  <c:v>12.332000000000001</c:v>
                </c:pt>
                <c:pt idx="1027">
                  <c:v>12.98</c:v>
                </c:pt>
                <c:pt idx="1028">
                  <c:v>13.142000000000001</c:v>
                </c:pt>
                <c:pt idx="1029">
                  <c:v>13.142000000000001</c:v>
                </c:pt>
                <c:pt idx="1030">
                  <c:v>12.98</c:v>
                </c:pt>
                <c:pt idx="1031">
                  <c:v>13.790000000000001</c:v>
                </c:pt>
                <c:pt idx="1032">
                  <c:v>13.628</c:v>
                </c:pt>
                <c:pt idx="1033">
                  <c:v>13.628</c:v>
                </c:pt>
                <c:pt idx="1034">
                  <c:v>13.142000000000001</c:v>
                </c:pt>
                <c:pt idx="1035">
                  <c:v>13.790000000000001</c:v>
                </c:pt>
                <c:pt idx="1036">
                  <c:v>13.952000000000002</c:v>
                </c:pt>
                <c:pt idx="1037">
                  <c:v>13.952000000000002</c:v>
                </c:pt>
                <c:pt idx="1038">
                  <c:v>13.790000000000001</c:v>
                </c:pt>
                <c:pt idx="1039">
                  <c:v>14.600000000000001</c:v>
                </c:pt>
                <c:pt idx="1040">
                  <c:v>14.438000000000001</c:v>
                </c:pt>
                <c:pt idx="1041">
                  <c:v>14.438000000000001</c:v>
                </c:pt>
                <c:pt idx="1042">
                  <c:v>13.952000000000002</c:v>
                </c:pt>
                <c:pt idx="1043">
                  <c:v>14.600000000000001</c:v>
                </c:pt>
                <c:pt idx="1044">
                  <c:v>14.762000000000002</c:v>
                </c:pt>
                <c:pt idx="1045">
                  <c:v>14.762000000000002</c:v>
                </c:pt>
                <c:pt idx="1046">
                  <c:v>14.600000000000001</c:v>
                </c:pt>
                <c:pt idx="1047">
                  <c:v>15.410000000000002</c:v>
                </c:pt>
                <c:pt idx="1048">
                  <c:v>15.248000000000001</c:v>
                </c:pt>
                <c:pt idx="1049">
                  <c:v>15.248000000000001</c:v>
                </c:pt>
                <c:pt idx="1050">
                  <c:v>14.762000000000002</c:v>
                </c:pt>
                <c:pt idx="1051">
                  <c:v>15.410000000000002</c:v>
                </c:pt>
                <c:pt idx="1052">
                  <c:v>15.572000000000001</c:v>
                </c:pt>
                <c:pt idx="1053">
                  <c:v>15.572000000000001</c:v>
                </c:pt>
                <c:pt idx="1054">
                  <c:v>15.41</c:v>
                </c:pt>
                <c:pt idx="1055">
                  <c:v>16.22</c:v>
                </c:pt>
                <c:pt idx="1056">
                  <c:v>16.058</c:v>
                </c:pt>
                <c:pt idx="1057">
                  <c:v>16.058</c:v>
                </c:pt>
                <c:pt idx="1058">
                  <c:v>15.572000000000001</c:v>
                </c:pt>
                <c:pt idx="1059">
                  <c:v>16.22</c:v>
                </c:pt>
                <c:pt idx="1060">
                  <c:v>16.381999999999998</c:v>
                </c:pt>
                <c:pt idx="1061">
                  <c:v>16.381999999999998</c:v>
                </c:pt>
                <c:pt idx="1062">
                  <c:v>16.22</c:v>
                </c:pt>
                <c:pt idx="1063">
                  <c:v>17.029999999999998</c:v>
                </c:pt>
                <c:pt idx="1064">
                  <c:v>16.867999999999999</c:v>
                </c:pt>
                <c:pt idx="1065">
                  <c:v>16.867999999999999</c:v>
                </c:pt>
                <c:pt idx="1066">
                  <c:v>16.381999999999998</c:v>
                </c:pt>
                <c:pt idx="1067">
                  <c:v>17.029999999999998</c:v>
                </c:pt>
                <c:pt idx="1068">
                  <c:v>17.192</c:v>
                </c:pt>
                <c:pt idx="1069">
                  <c:v>17.192</c:v>
                </c:pt>
                <c:pt idx="1070">
                  <c:v>17.03</c:v>
                </c:pt>
                <c:pt idx="1071">
                  <c:v>17.84</c:v>
                </c:pt>
                <c:pt idx="1072">
                  <c:v>17.678000000000001</c:v>
                </c:pt>
                <c:pt idx="1073">
                  <c:v>17.678000000000001</c:v>
                </c:pt>
                <c:pt idx="1074">
                  <c:v>17.192</c:v>
                </c:pt>
                <c:pt idx="1075">
                  <c:v>17.84</c:v>
                </c:pt>
                <c:pt idx="1076">
                  <c:v>18.001999999999999</c:v>
                </c:pt>
                <c:pt idx="1077">
                  <c:v>18.001999999999999</c:v>
                </c:pt>
                <c:pt idx="1078">
                  <c:v>17.84</c:v>
                </c:pt>
                <c:pt idx="1079">
                  <c:v>18.649999999999999</c:v>
                </c:pt>
                <c:pt idx="1080">
                  <c:v>18.488</c:v>
                </c:pt>
                <c:pt idx="1081">
                  <c:v>18.488</c:v>
                </c:pt>
                <c:pt idx="1082">
                  <c:v>18.001999999999999</c:v>
                </c:pt>
                <c:pt idx="1083">
                  <c:v>18.649999999999999</c:v>
                </c:pt>
                <c:pt idx="1084">
                  <c:v>18.811999999999998</c:v>
                </c:pt>
                <c:pt idx="1085">
                  <c:v>18.811999999999998</c:v>
                </c:pt>
                <c:pt idx="1086">
                  <c:v>18.649999999999999</c:v>
                </c:pt>
                <c:pt idx="1087">
                  <c:v>19.459999999999997</c:v>
                </c:pt>
                <c:pt idx="1088">
                  <c:v>19.297999999999998</c:v>
                </c:pt>
                <c:pt idx="1089">
                  <c:v>19.297999999999998</c:v>
                </c:pt>
                <c:pt idx="1090">
                  <c:v>18.811999999999998</c:v>
                </c:pt>
                <c:pt idx="1091">
                  <c:v>19.459999999999997</c:v>
                </c:pt>
                <c:pt idx="1092">
                  <c:v>19.622</c:v>
                </c:pt>
                <c:pt idx="1093">
                  <c:v>19.622</c:v>
                </c:pt>
                <c:pt idx="1094">
                  <c:v>19.46</c:v>
                </c:pt>
                <c:pt idx="1095">
                  <c:v>20.27</c:v>
                </c:pt>
                <c:pt idx="1096">
                  <c:v>20.108000000000001</c:v>
                </c:pt>
                <c:pt idx="1097">
                  <c:v>20.108000000000001</c:v>
                </c:pt>
                <c:pt idx="1098">
                  <c:v>19.622</c:v>
                </c:pt>
                <c:pt idx="1099">
                  <c:v>20.27</c:v>
                </c:pt>
                <c:pt idx="1100">
                  <c:v>20.432000000000002</c:v>
                </c:pt>
                <c:pt idx="1101">
                  <c:v>20.432000000000002</c:v>
                </c:pt>
                <c:pt idx="1102">
                  <c:v>20.270000000000003</c:v>
                </c:pt>
                <c:pt idx="1103">
                  <c:v>21.080000000000002</c:v>
                </c:pt>
                <c:pt idx="1104">
                  <c:v>20.918000000000003</c:v>
                </c:pt>
                <c:pt idx="1105">
                  <c:v>20.918000000000003</c:v>
                </c:pt>
                <c:pt idx="1106">
                  <c:v>20.432000000000002</c:v>
                </c:pt>
                <c:pt idx="1107">
                  <c:v>21.080000000000002</c:v>
                </c:pt>
                <c:pt idx="1108">
                  <c:v>21.242000000000001</c:v>
                </c:pt>
                <c:pt idx="1109">
                  <c:v>21.242000000000001</c:v>
                </c:pt>
                <c:pt idx="1110">
                  <c:v>21.080000000000002</c:v>
                </c:pt>
                <c:pt idx="1111">
                  <c:v>21.89</c:v>
                </c:pt>
                <c:pt idx="1112">
                  <c:v>21.728000000000002</c:v>
                </c:pt>
                <c:pt idx="1113">
                  <c:v>21.728000000000002</c:v>
                </c:pt>
                <c:pt idx="1114">
                  <c:v>21.242000000000001</c:v>
                </c:pt>
                <c:pt idx="1115">
                  <c:v>21.89</c:v>
                </c:pt>
                <c:pt idx="1116">
                  <c:v>22.052</c:v>
                </c:pt>
                <c:pt idx="1117">
                  <c:v>22.052</c:v>
                </c:pt>
                <c:pt idx="1118">
                  <c:v>21.89</c:v>
                </c:pt>
                <c:pt idx="1119">
                  <c:v>22.7</c:v>
                </c:pt>
                <c:pt idx="1120">
                  <c:v>22.538</c:v>
                </c:pt>
                <c:pt idx="1121">
                  <c:v>22.538</c:v>
                </c:pt>
                <c:pt idx="1122">
                  <c:v>22.052</c:v>
                </c:pt>
                <c:pt idx="1123">
                  <c:v>22.7</c:v>
                </c:pt>
                <c:pt idx="1124">
                  <c:v>22.862000000000002</c:v>
                </c:pt>
                <c:pt idx="1125">
                  <c:v>22.862000000000002</c:v>
                </c:pt>
                <c:pt idx="1126">
                  <c:v>22.700000000000003</c:v>
                </c:pt>
                <c:pt idx="1127">
                  <c:v>23.51</c:v>
                </c:pt>
                <c:pt idx="1128">
                  <c:v>23.348000000000003</c:v>
                </c:pt>
                <c:pt idx="1129">
                  <c:v>23.348000000000003</c:v>
                </c:pt>
                <c:pt idx="1130">
                  <c:v>22.862000000000002</c:v>
                </c:pt>
                <c:pt idx="1131">
                  <c:v>23.51</c:v>
                </c:pt>
                <c:pt idx="1132">
                  <c:v>23.672000000000001</c:v>
                </c:pt>
                <c:pt idx="1133">
                  <c:v>23.672000000000001</c:v>
                </c:pt>
                <c:pt idx="1134">
                  <c:v>23.51</c:v>
                </c:pt>
                <c:pt idx="1135">
                  <c:v>24.32</c:v>
                </c:pt>
                <c:pt idx="1136">
                  <c:v>24.158000000000001</c:v>
                </c:pt>
                <c:pt idx="1137">
                  <c:v>24.158000000000001</c:v>
                </c:pt>
                <c:pt idx="1138">
                  <c:v>23.672000000000001</c:v>
                </c:pt>
                <c:pt idx="1139">
                  <c:v>24.32</c:v>
                </c:pt>
                <c:pt idx="1140">
                  <c:v>24.481999999999999</c:v>
                </c:pt>
                <c:pt idx="1141">
                  <c:v>24.481999999999999</c:v>
                </c:pt>
                <c:pt idx="1142">
                  <c:v>24.32</c:v>
                </c:pt>
                <c:pt idx="1143">
                  <c:v>25.13</c:v>
                </c:pt>
                <c:pt idx="1144">
                  <c:v>24.968</c:v>
                </c:pt>
                <c:pt idx="1145">
                  <c:v>24.968</c:v>
                </c:pt>
                <c:pt idx="1146">
                  <c:v>24.481999999999999</c:v>
                </c:pt>
                <c:pt idx="1147">
                  <c:v>25.13</c:v>
                </c:pt>
                <c:pt idx="1148">
                  <c:v>25.292000000000002</c:v>
                </c:pt>
                <c:pt idx="1149">
                  <c:v>25.292000000000002</c:v>
                </c:pt>
                <c:pt idx="1150">
                  <c:v>25.130000000000003</c:v>
                </c:pt>
                <c:pt idx="1151">
                  <c:v>25.94</c:v>
                </c:pt>
                <c:pt idx="1152">
                  <c:v>25.778000000000002</c:v>
                </c:pt>
                <c:pt idx="1153">
                  <c:v>25.778000000000002</c:v>
                </c:pt>
                <c:pt idx="1154">
                  <c:v>25.292000000000002</c:v>
                </c:pt>
                <c:pt idx="1155">
                  <c:v>25.94</c:v>
                </c:pt>
                <c:pt idx="1156">
                  <c:v>26.102</c:v>
                </c:pt>
                <c:pt idx="1157">
                  <c:v>26.102</c:v>
                </c:pt>
                <c:pt idx="1158">
                  <c:v>25.94</c:v>
                </c:pt>
                <c:pt idx="1159">
                  <c:v>26.75</c:v>
                </c:pt>
                <c:pt idx="1160">
                  <c:v>26.588000000000001</c:v>
                </c:pt>
                <c:pt idx="1161">
                  <c:v>26.588000000000001</c:v>
                </c:pt>
                <c:pt idx="1162">
                  <c:v>26.102</c:v>
                </c:pt>
                <c:pt idx="1163">
                  <c:v>26.75</c:v>
                </c:pt>
                <c:pt idx="1164">
                  <c:v>26.102</c:v>
                </c:pt>
                <c:pt idx="1165">
                  <c:v>26.102</c:v>
                </c:pt>
                <c:pt idx="1166">
                  <c:v>25.94</c:v>
                </c:pt>
                <c:pt idx="1167">
                  <c:v>26.75</c:v>
                </c:pt>
                <c:pt idx="1168">
                  <c:v>26.588000000000001</c:v>
                </c:pt>
                <c:pt idx="1169">
                  <c:v>26.588000000000001</c:v>
                </c:pt>
                <c:pt idx="1170">
                  <c:v>26.102</c:v>
                </c:pt>
                <c:pt idx="1171">
                  <c:v>26.75</c:v>
                </c:pt>
                <c:pt idx="1172">
                  <c:v>26.102</c:v>
                </c:pt>
                <c:pt idx="1173">
                  <c:v>26.102</c:v>
                </c:pt>
                <c:pt idx="1174">
                  <c:v>25.94</c:v>
                </c:pt>
                <c:pt idx="1175">
                  <c:v>26.75</c:v>
                </c:pt>
                <c:pt idx="1176">
                  <c:v>26.588000000000001</c:v>
                </c:pt>
                <c:pt idx="1177">
                  <c:v>26.588000000000001</c:v>
                </c:pt>
                <c:pt idx="1178">
                  <c:v>26.102</c:v>
                </c:pt>
                <c:pt idx="1179">
                  <c:v>26.75</c:v>
                </c:pt>
                <c:pt idx="1180">
                  <c:v>26.102</c:v>
                </c:pt>
                <c:pt idx="1181">
                  <c:v>26.102</c:v>
                </c:pt>
                <c:pt idx="1182">
                  <c:v>25.94</c:v>
                </c:pt>
                <c:pt idx="1183">
                  <c:v>26.75</c:v>
                </c:pt>
                <c:pt idx="1184">
                  <c:v>26.588000000000001</c:v>
                </c:pt>
                <c:pt idx="1185">
                  <c:v>26.588000000000001</c:v>
                </c:pt>
                <c:pt idx="1186">
                  <c:v>26.102</c:v>
                </c:pt>
                <c:pt idx="1187">
                  <c:v>26.75</c:v>
                </c:pt>
                <c:pt idx="1188">
                  <c:v>26.102</c:v>
                </c:pt>
                <c:pt idx="1189">
                  <c:v>26.102</c:v>
                </c:pt>
                <c:pt idx="1190">
                  <c:v>25.94</c:v>
                </c:pt>
                <c:pt idx="1191">
                  <c:v>26.75</c:v>
                </c:pt>
                <c:pt idx="1192">
                  <c:v>26.588000000000001</c:v>
                </c:pt>
                <c:pt idx="1193">
                  <c:v>26.588000000000001</c:v>
                </c:pt>
                <c:pt idx="1194">
                  <c:v>26.102</c:v>
                </c:pt>
                <c:pt idx="1195">
                  <c:v>26.75</c:v>
                </c:pt>
                <c:pt idx="1196">
                  <c:v>26.102</c:v>
                </c:pt>
                <c:pt idx="1197">
                  <c:v>26.102</c:v>
                </c:pt>
                <c:pt idx="1198">
                  <c:v>25.94</c:v>
                </c:pt>
                <c:pt idx="1199">
                  <c:v>26.75</c:v>
                </c:pt>
                <c:pt idx="1200">
                  <c:v>26.588000000000001</c:v>
                </c:pt>
                <c:pt idx="1201">
                  <c:v>26.588000000000001</c:v>
                </c:pt>
                <c:pt idx="1202">
                  <c:v>26.102</c:v>
                </c:pt>
                <c:pt idx="1203">
                  <c:v>26.75</c:v>
                </c:pt>
                <c:pt idx="1204">
                  <c:v>26.102</c:v>
                </c:pt>
                <c:pt idx="1205">
                  <c:v>26.102</c:v>
                </c:pt>
                <c:pt idx="1206">
                  <c:v>25.94</c:v>
                </c:pt>
                <c:pt idx="1207">
                  <c:v>26.75</c:v>
                </c:pt>
                <c:pt idx="1208">
                  <c:v>26.588000000000001</c:v>
                </c:pt>
                <c:pt idx="1209">
                  <c:v>26.588000000000001</c:v>
                </c:pt>
                <c:pt idx="1210">
                  <c:v>26.102</c:v>
                </c:pt>
                <c:pt idx="1211">
                  <c:v>26.75</c:v>
                </c:pt>
                <c:pt idx="1212">
                  <c:v>26.102</c:v>
                </c:pt>
                <c:pt idx="1213">
                  <c:v>26.102</c:v>
                </c:pt>
                <c:pt idx="1214">
                  <c:v>25.94</c:v>
                </c:pt>
                <c:pt idx="1215">
                  <c:v>26.75</c:v>
                </c:pt>
                <c:pt idx="1216">
                  <c:v>26.588000000000001</c:v>
                </c:pt>
                <c:pt idx="1217">
                  <c:v>26.588000000000001</c:v>
                </c:pt>
                <c:pt idx="1218">
                  <c:v>26.102</c:v>
                </c:pt>
                <c:pt idx="1219">
                  <c:v>26.75</c:v>
                </c:pt>
                <c:pt idx="1220">
                  <c:v>26.102</c:v>
                </c:pt>
                <c:pt idx="1221">
                  <c:v>26.102</c:v>
                </c:pt>
                <c:pt idx="1222">
                  <c:v>25.94</c:v>
                </c:pt>
                <c:pt idx="1223">
                  <c:v>26.75</c:v>
                </c:pt>
                <c:pt idx="1224">
                  <c:v>26.588000000000001</c:v>
                </c:pt>
                <c:pt idx="1225">
                  <c:v>26.588000000000001</c:v>
                </c:pt>
                <c:pt idx="1226">
                  <c:v>26.102</c:v>
                </c:pt>
                <c:pt idx="1227">
                  <c:v>26.75</c:v>
                </c:pt>
                <c:pt idx="1228">
                  <c:v>26.102</c:v>
                </c:pt>
                <c:pt idx="1229">
                  <c:v>26.102</c:v>
                </c:pt>
                <c:pt idx="1230">
                  <c:v>25.94</c:v>
                </c:pt>
                <c:pt idx="1231">
                  <c:v>26.75</c:v>
                </c:pt>
                <c:pt idx="1232">
                  <c:v>26.588000000000001</c:v>
                </c:pt>
                <c:pt idx="1233">
                  <c:v>26.588000000000001</c:v>
                </c:pt>
                <c:pt idx="1234">
                  <c:v>26.102</c:v>
                </c:pt>
                <c:pt idx="1235">
                  <c:v>26.75</c:v>
                </c:pt>
                <c:pt idx="1236">
                  <c:v>26.102</c:v>
                </c:pt>
                <c:pt idx="1237">
                  <c:v>26.102</c:v>
                </c:pt>
                <c:pt idx="1238">
                  <c:v>25.94</c:v>
                </c:pt>
                <c:pt idx="1239">
                  <c:v>26.75</c:v>
                </c:pt>
                <c:pt idx="1240">
                  <c:v>26.588000000000001</c:v>
                </c:pt>
                <c:pt idx="1241">
                  <c:v>26.588000000000001</c:v>
                </c:pt>
                <c:pt idx="1242">
                  <c:v>26.102</c:v>
                </c:pt>
                <c:pt idx="1243">
                  <c:v>26.75</c:v>
                </c:pt>
                <c:pt idx="1244">
                  <c:v>26.102</c:v>
                </c:pt>
                <c:pt idx="1245">
                  <c:v>26.102</c:v>
                </c:pt>
                <c:pt idx="1246">
                  <c:v>25.94</c:v>
                </c:pt>
                <c:pt idx="1247">
                  <c:v>26.75</c:v>
                </c:pt>
                <c:pt idx="1248">
                  <c:v>26.588000000000001</c:v>
                </c:pt>
                <c:pt idx="1249">
                  <c:v>26.588000000000001</c:v>
                </c:pt>
                <c:pt idx="1250">
                  <c:v>26.102</c:v>
                </c:pt>
                <c:pt idx="1251">
                  <c:v>26.75</c:v>
                </c:pt>
                <c:pt idx="1252">
                  <c:v>26.102</c:v>
                </c:pt>
                <c:pt idx="1253">
                  <c:v>26.102</c:v>
                </c:pt>
                <c:pt idx="1254">
                  <c:v>25.94</c:v>
                </c:pt>
                <c:pt idx="1255">
                  <c:v>26.75</c:v>
                </c:pt>
                <c:pt idx="1256">
                  <c:v>26.588000000000001</c:v>
                </c:pt>
                <c:pt idx="1257">
                  <c:v>26.588000000000001</c:v>
                </c:pt>
                <c:pt idx="1258">
                  <c:v>26.102</c:v>
                </c:pt>
                <c:pt idx="1259">
                  <c:v>26.75</c:v>
                </c:pt>
                <c:pt idx="1260">
                  <c:v>26.102</c:v>
                </c:pt>
                <c:pt idx="1261">
                  <c:v>26.102</c:v>
                </c:pt>
                <c:pt idx="1262">
                  <c:v>25.94</c:v>
                </c:pt>
                <c:pt idx="1263">
                  <c:v>26.75</c:v>
                </c:pt>
                <c:pt idx="1264">
                  <c:v>26.588000000000001</c:v>
                </c:pt>
                <c:pt idx="1265">
                  <c:v>26.588000000000001</c:v>
                </c:pt>
                <c:pt idx="1266">
                  <c:v>26.102</c:v>
                </c:pt>
                <c:pt idx="1267">
                  <c:v>26.75</c:v>
                </c:pt>
                <c:pt idx="1268">
                  <c:v>26.102</c:v>
                </c:pt>
                <c:pt idx="1269">
                  <c:v>26.102</c:v>
                </c:pt>
                <c:pt idx="1270">
                  <c:v>25.94</c:v>
                </c:pt>
                <c:pt idx="1271">
                  <c:v>26.75</c:v>
                </c:pt>
                <c:pt idx="1272">
                  <c:v>26.588000000000001</c:v>
                </c:pt>
                <c:pt idx="1273">
                  <c:v>26.588000000000001</c:v>
                </c:pt>
                <c:pt idx="1274">
                  <c:v>26.102</c:v>
                </c:pt>
                <c:pt idx="1275">
                  <c:v>26.75</c:v>
                </c:pt>
                <c:pt idx="1276">
                  <c:v>26.102</c:v>
                </c:pt>
                <c:pt idx="1277">
                  <c:v>26.102</c:v>
                </c:pt>
                <c:pt idx="1278">
                  <c:v>25.94</c:v>
                </c:pt>
                <c:pt idx="1279">
                  <c:v>26.75</c:v>
                </c:pt>
                <c:pt idx="1280">
                  <c:v>26.588000000000001</c:v>
                </c:pt>
                <c:pt idx="1281">
                  <c:v>26.588000000000001</c:v>
                </c:pt>
                <c:pt idx="1282">
                  <c:v>26.102</c:v>
                </c:pt>
                <c:pt idx="1283">
                  <c:v>26.75</c:v>
                </c:pt>
                <c:pt idx="1284">
                  <c:v>26.102</c:v>
                </c:pt>
                <c:pt idx="1285">
                  <c:v>26.102</c:v>
                </c:pt>
                <c:pt idx="1286">
                  <c:v>25.94</c:v>
                </c:pt>
                <c:pt idx="1287">
                  <c:v>26.75</c:v>
                </c:pt>
                <c:pt idx="1288">
                  <c:v>26.588000000000001</c:v>
                </c:pt>
                <c:pt idx="1289">
                  <c:v>26.588000000000001</c:v>
                </c:pt>
                <c:pt idx="1290">
                  <c:v>26.102</c:v>
                </c:pt>
                <c:pt idx="1291">
                  <c:v>26.75</c:v>
                </c:pt>
                <c:pt idx="1292">
                  <c:v>26.102</c:v>
                </c:pt>
                <c:pt idx="1293">
                  <c:v>26.102</c:v>
                </c:pt>
                <c:pt idx="1294">
                  <c:v>25.94</c:v>
                </c:pt>
                <c:pt idx="1295">
                  <c:v>26.75</c:v>
                </c:pt>
                <c:pt idx="1296">
                  <c:v>26.588000000000001</c:v>
                </c:pt>
                <c:pt idx="1297">
                  <c:v>26.588000000000001</c:v>
                </c:pt>
                <c:pt idx="1298">
                  <c:v>26.102</c:v>
                </c:pt>
                <c:pt idx="1299">
                  <c:v>26.75</c:v>
                </c:pt>
                <c:pt idx="1300">
                  <c:v>26.102</c:v>
                </c:pt>
                <c:pt idx="1301">
                  <c:v>26.102</c:v>
                </c:pt>
                <c:pt idx="1302">
                  <c:v>25.94</c:v>
                </c:pt>
                <c:pt idx="1303">
                  <c:v>26.75</c:v>
                </c:pt>
                <c:pt idx="1304">
                  <c:v>26.588000000000001</c:v>
                </c:pt>
                <c:pt idx="1305">
                  <c:v>26.588000000000001</c:v>
                </c:pt>
                <c:pt idx="1306">
                  <c:v>26.102</c:v>
                </c:pt>
                <c:pt idx="1307">
                  <c:v>26.75</c:v>
                </c:pt>
                <c:pt idx="1308">
                  <c:v>26.102</c:v>
                </c:pt>
                <c:pt idx="1309">
                  <c:v>26.102</c:v>
                </c:pt>
                <c:pt idx="1310">
                  <c:v>25.94</c:v>
                </c:pt>
                <c:pt idx="1311">
                  <c:v>26.75</c:v>
                </c:pt>
                <c:pt idx="1312">
                  <c:v>26.588000000000001</c:v>
                </c:pt>
                <c:pt idx="1313">
                  <c:v>26.588000000000001</c:v>
                </c:pt>
                <c:pt idx="1314">
                  <c:v>26.102</c:v>
                </c:pt>
                <c:pt idx="1315">
                  <c:v>26.75</c:v>
                </c:pt>
                <c:pt idx="1316">
                  <c:v>26.102</c:v>
                </c:pt>
                <c:pt idx="1317">
                  <c:v>26.102</c:v>
                </c:pt>
                <c:pt idx="1318">
                  <c:v>25.94</c:v>
                </c:pt>
                <c:pt idx="1319">
                  <c:v>26.75</c:v>
                </c:pt>
                <c:pt idx="1320">
                  <c:v>26.588000000000001</c:v>
                </c:pt>
                <c:pt idx="1321">
                  <c:v>26.588000000000001</c:v>
                </c:pt>
                <c:pt idx="1322">
                  <c:v>26.102</c:v>
                </c:pt>
                <c:pt idx="1323">
                  <c:v>26.75</c:v>
                </c:pt>
                <c:pt idx="1324">
                  <c:v>26.102</c:v>
                </c:pt>
                <c:pt idx="1325">
                  <c:v>26.102</c:v>
                </c:pt>
                <c:pt idx="1326">
                  <c:v>25.94</c:v>
                </c:pt>
                <c:pt idx="1327">
                  <c:v>26.75</c:v>
                </c:pt>
                <c:pt idx="1328">
                  <c:v>26.588000000000001</c:v>
                </c:pt>
                <c:pt idx="1329">
                  <c:v>26.588000000000001</c:v>
                </c:pt>
                <c:pt idx="1330">
                  <c:v>26.102</c:v>
                </c:pt>
                <c:pt idx="1331">
                  <c:v>26.75</c:v>
                </c:pt>
                <c:pt idx="1332">
                  <c:v>26.102</c:v>
                </c:pt>
                <c:pt idx="1333">
                  <c:v>26.102</c:v>
                </c:pt>
                <c:pt idx="1334">
                  <c:v>25.94</c:v>
                </c:pt>
                <c:pt idx="1335">
                  <c:v>26.75</c:v>
                </c:pt>
                <c:pt idx="1336">
                  <c:v>26.588000000000001</c:v>
                </c:pt>
                <c:pt idx="1337">
                  <c:v>26.588000000000001</c:v>
                </c:pt>
                <c:pt idx="1338">
                  <c:v>26.102</c:v>
                </c:pt>
                <c:pt idx="1339">
                  <c:v>26.75</c:v>
                </c:pt>
                <c:pt idx="1340">
                  <c:v>26.102</c:v>
                </c:pt>
                <c:pt idx="1341">
                  <c:v>26.102</c:v>
                </c:pt>
                <c:pt idx="1342">
                  <c:v>25.94</c:v>
                </c:pt>
                <c:pt idx="1343">
                  <c:v>26.75</c:v>
                </c:pt>
                <c:pt idx="1344">
                  <c:v>26.588000000000001</c:v>
                </c:pt>
                <c:pt idx="1345">
                  <c:v>26.588000000000001</c:v>
                </c:pt>
                <c:pt idx="1346">
                  <c:v>26.102</c:v>
                </c:pt>
                <c:pt idx="1347">
                  <c:v>26.75</c:v>
                </c:pt>
                <c:pt idx="1348">
                  <c:v>26.102</c:v>
                </c:pt>
                <c:pt idx="1349">
                  <c:v>26.102</c:v>
                </c:pt>
                <c:pt idx="1350">
                  <c:v>25.94</c:v>
                </c:pt>
                <c:pt idx="1351">
                  <c:v>26.75</c:v>
                </c:pt>
                <c:pt idx="1352">
                  <c:v>26.588000000000001</c:v>
                </c:pt>
                <c:pt idx="1353">
                  <c:v>26.588000000000001</c:v>
                </c:pt>
                <c:pt idx="1354">
                  <c:v>26.102</c:v>
                </c:pt>
                <c:pt idx="1355">
                  <c:v>26.75</c:v>
                </c:pt>
                <c:pt idx="1356">
                  <c:v>26.102</c:v>
                </c:pt>
                <c:pt idx="1357">
                  <c:v>26.102</c:v>
                </c:pt>
                <c:pt idx="1358">
                  <c:v>25.94</c:v>
                </c:pt>
                <c:pt idx="1359">
                  <c:v>26.75</c:v>
                </c:pt>
                <c:pt idx="1360">
                  <c:v>26.588000000000001</c:v>
                </c:pt>
                <c:pt idx="1361">
                  <c:v>26.588000000000001</c:v>
                </c:pt>
                <c:pt idx="1362">
                  <c:v>26.102</c:v>
                </c:pt>
                <c:pt idx="1363">
                  <c:v>26.75</c:v>
                </c:pt>
                <c:pt idx="1364">
                  <c:v>26.102</c:v>
                </c:pt>
                <c:pt idx="1365">
                  <c:v>26.102</c:v>
                </c:pt>
                <c:pt idx="1366">
                  <c:v>25.94</c:v>
                </c:pt>
                <c:pt idx="1367">
                  <c:v>26.75</c:v>
                </c:pt>
                <c:pt idx="1368">
                  <c:v>26.588000000000001</c:v>
                </c:pt>
                <c:pt idx="1369">
                  <c:v>26.588000000000001</c:v>
                </c:pt>
                <c:pt idx="1370">
                  <c:v>26.102</c:v>
                </c:pt>
                <c:pt idx="1371">
                  <c:v>26.75</c:v>
                </c:pt>
                <c:pt idx="1372">
                  <c:v>26.102</c:v>
                </c:pt>
                <c:pt idx="1373">
                  <c:v>26.102</c:v>
                </c:pt>
                <c:pt idx="1374">
                  <c:v>25.94</c:v>
                </c:pt>
                <c:pt idx="1375">
                  <c:v>26.75</c:v>
                </c:pt>
                <c:pt idx="1376">
                  <c:v>26.588000000000001</c:v>
                </c:pt>
                <c:pt idx="1377">
                  <c:v>26.588000000000001</c:v>
                </c:pt>
                <c:pt idx="1378">
                  <c:v>26.102</c:v>
                </c:pt>
                <c:pt idx="1379">
                  <c:v>26.75</c:v>
                </c:pt>
                <c:pt idx="1380">
                  <c:v>26.102</c:v>
                </c:pt>
                <c:pt idx="1381">
                  <c:v>26.102</c:v>
                </c:pt>
                <c:pt idx="1382">
                  <c:v>25.94</c:v>
                </c:pt>
                <c:pt idx="1383">
                  <c:v>26.75</c:v>
                </c:pt>
                <c:pt idx="1384">
                  <c:v>26.588000000000001</c:v>
                </c:pt>
                <c:pt idx="1385">
                  <c:v>26.588000000000001</c:v>
                </c:pt>
                <c:pt idx="1386">
                  <c:v>26.102</c:v>
                </c:pt>
                <c:pt idx="1387">
                  <c:v>26.75</c:v>
                </c:pt>
                <c:pt idx="1388">
                  <c:v>26.102</c:v>
                </c:pt>
                <c:pt idx="1389">
                  <c:v>26.102</c:v>
                </c:pt>
                <c:pt idx="1390">
                  <c:v>25.94</c:v>
                </c:pt>
                <c:pt idx="1391">
                  <c:v>26.75</c:v>
                </c:pt>
                <c:pt idx="1392">
                  <c:v>26.588000000000001</c:v>
                </c:pt>
                <c:pt idx="1393">
                  <c:v>26.588000000000001</c:v>
                </c:pt>
                <c:pt idx="1394">
                  <c:v>26.102</c:v>
                </c:pt>
                <c:pt idx="1395">
                  <c:v>26.75</c:v>
                </c:pt>
                <c:pt idx="1396">
                  <c:v>26.102</c:v>
                </c:pt>
                <c:pt idx="1397">
                  <c:v>26.102</c:v>
                </c:pt>
                <c:pt idx="1398">
                  <c:v>25.94</c:v>
                </c:pt>
                <c:pt idx="1399">
                  <c:v>26.75</c:v>
                </c:pt>
                <c:pt idx="1400">
                  <c:v>26.588000000000001</c:v>
                </c:pt>
                <c:pt idx="1401">
                  <c:v>26.588000000000001</c:v>
                </c:pt>
                <c:pt idx="1402">
                  <c:v>26.102</c:v>
                </c:pt>
                <c:pt idx="1403">
                  <c:v>26.75</c:v>
                </c:pt>
                <c:pt idx="1404">
                  <c:v>26.102</c:v>
                </c:pt>
                <c:pt idx="1405">
                  <c:v>26.102</c:v>
                </c:pt>
                <c:pt idx="1406">
                  <c:v>25.94</c:v>
                </c:pt>
                <c:pt idx="1407">
                  <c:v>26.75</c:v>
                </c:pt>
                <c:pt idx="1408">
                  <c:v>26.588000000000001</c:v>
                </c:pt>
                <c:pt idx="1409">
                  <c:v>26.588000000000001</c:v>
                </c:pt>
                <c:pt idx="1410">
                  <c:v>26.102</c:v>
                </c:pt>
                <c:pt idx="1411">
                  <c:v>26.75</c:v>
                </c:pt>
                <c:pt idx="1412">
                  <c:v>26.102</c:v>
                </c:pt>
                <c:pt idx="1413">
                  <c:v>26.102</c:v>
                </c:pt>
                <c:pt idx="1414">
                  <c:v>25.94</c:v>
                </c:pt>
                <c:pt idx="1415">
                  <c:v>26.75</c:v>
                </c:pt>
                <c:pt idx="1416">
                  <c:v>26.588000000000001</c:v>
                </c:pt>
                <c:pt idx="1417">
                  <c:v>26.588000000000001</c:v>
                </c:pt>
                <c:pt idx="1418">
                  <c:v>26.102</c:v>
                </c:pt>
                <c:pt idx="1419">
                  <c:v>26.75</c:v>
                </c:pt>
                <c:pt idx="1420">
                  <c:v>26.102</c:v>
                </c:pt>
                <c:pt idx="1421">
                  <c:v>26.102</c:v>
                </c:pt>
                <c:pt idx="1422">
                  <c:v>25.94</c:v>
                </c:pt>
                <c:pt idx="1423">
                  <c:v>26.75</c:v>
                </c:pt>
                <c:pt idx="1424">
                  <c:v>26.588000000000001</c:v>
                </c:pt>
                <c:pt idx="1425">
                  <c:v>26.588000000000001</c:v>
                </c:pt>
                <c:pt idx="1426">
                  <c:v>26.102</c:v>
                </c:pt>
                <c:pt idx="1427">
                  <c:v>26.75</c:v>
                </c:pt>
                <c:pt idx="1428">
                  <c:v>26.102</c:v>
                </c:pt>
                <c:pt idx="1429">
                  <c:v>26.102</c:v>
                </c:pt>
                <c:pt idx="1430">
                  <c:v>25.94</c:v>
                </c:pt>
                <c:pt idx="1431">
                  <c:v>26.75</c:v>
                </c:pt>
                <c:pt idx="1432">
                  <c:v>26.588000000000001</c:v>
                </c:pt>
                <c:pt idx="1433">
                  <c:v>26.588000000000001</c:v>
                </c:pt>
                <c:pt idx="1434">
                  <c:v>26.102</c:v>
                </c:pt>
                <c:pt idx="1435">
                  <c:v>26.75</c:v>
                </c:pt>
                <c:pt idx="1436">
                  <c:v>26.102</c:v>
                </c:pt>
                <c:pt idx="1437">
                  <c:v>26.102</c:v>
                </c:pt>
                <c:pt idx="1438">
                  <c:v>25.94</c:v>
                </c:pt>
                <c:pt idx="1439">
                  <c:v>26.75</c:v>
                </c:pt>
                <c:pt idx="1440">
                  <c:v>26.588000000000001</c:v>
                </c:pt>
                <c:pt idx="1441">
                  <c:v>26.588000000000001</c:v>
                </c:pt>
                <c:pt idx="1442">
                  <c:v>26.102</c:v>
                </c:pt>
                <c:pt idx="1443">
                  <c:v>26.75</c:v>
                </c:pt>
                <c:pt idx="1444">
                  <c:v>26.75</c:v>
                </c:pt>
                <c:pt idx="1445">
                  <c:v>6.5</c:v>
                </c:pt>
                <c:pt idx="1446">
                  <c:v>6.6619999999999999</c:v>
                </c:pt>
                <c:pt idx="1447">
                  <c:v>6.6619999999999999</c:v>
                </c:pt>
                <c:pt idx="1448">
                  <c:v>6.5</c:v>
                </c:pt>
                <c:pt idx="1449">
                  <c:v>7.3100000000000005</c:v>
                </c:pt>
                <c:pt idx="1450">
                  <c:v>7.1479999999999997</c:v>
                </c:pt>
                <c:pt idx="1451">
                  <c:v>7.1479999999999997</c:v>
                </c:pt>
                <c:pt idx="1452">
                  <c:v>6.6619999999999999</c:v>
                </c:pt>
                <c:pt idx="1453">
                  <c:v>7.3100000000000005</c:v>
                </c:pt>
                <c:pt idx="1454">
                  <c:v>7.4720000000000004</c:v>
                </c:pt>
                <c:pt idx="1455">
                  <c:v>7.4720000000000004</c:v>
                </c:pt>
                <c:pt idx="1456">
                  <c:v>7.3100000000000005</c:v>
                </c:pt>
                <c:pt idx="1457">
                  <c:v>8.120000000000001</c:v>
                </c:pt>
                <c:pt idx="1458">
                  <c:v>7.9580000000000002</c:v>
                </c:pt>
                <c:pt idx="1459">
                  <c:v>7.9580000000000002</c:v>
                </c:pt>
                <c:pt idx="1460">
                  <c:v>7.4720000000000004</c:v>
                </c:pt>
                <c:pt idx="1461">
                  <c:v>8.120000000000001</c:v>
                </c:pt>
                <c:pt idx="1462">
                  <c:v>8.2820000000000018</c:v>
                </c:pt>
                <c:pt idx="1463">
                  <c:v>8.2820000000000018</c:v>
                </c:pt>
                <c:pt idx="1464">
                  <c:v>8.120000000000001</c:v>
                </c:pt>
                <c:pt idx="1465">
                  <c:v>8.9300000000000015</c:v>
                </c:pt>
                <c:pt idx="1466">
                  <c:v>8.7680000000000007</c:v>
                </c:pt>
                <c:pt idx="1467">
                  <c:v>8.7680000000000007</c:v>
                </c:pt>
                <c:pt idx="1468">
                  <c:v>8.2820000000000018</c:v>
                </c:pt>
                <c:pt idx="1469">
                  <c:v>8.9300000000000015</c:v>
                </c:pt>
                <c:pt idx="1470">
                  <c:v>9.0920000000000005</c:v>
                </c:pt>
                <c:pt idx="1471">
                  <c:v>9.0920000000000005</c:v>
                </c:pt>
                <c:pt idx="1472">
                  <c:v>8.93</c:v>
                </c:pt>
                <c:pt idx="1473">
                  <c:v>9.74</c:v>
                </c:pt>
                <c:pt idx="1474">
                  <c:v>9.5779999999999994</c:v>
                </c:pt>
                <c:pt idx="1475">
                  <c:v>9.5779999999999994</c:v>
                </c:pt>
                <c:pt idx="1476">
                  <c:v>9.0920000000000005</c:v>
                </c:pt>
                <c:pt idx="1477">
                  <c:v>9.74</c:v>
                </c:pt>
                <c:pt idx="1478">
                  <c:v>9.902000000000001</c:v>
                </c:pt>
                <c:pt idx="1479">
                  <c:v>9.902000000000001</c:v>
                </c:pt>
                <c:pt idx="1480">
                  <c:v>9.74</c:v>
                </c:pt>
                <c:pt idx="1481">
                  <c:v>10.55</c:v>
                </c:pt>
                <c:pt idx="1482">
                  <c:v>10.388</c:v>
                </c:pt>
                <c:pt idx="1483">
                  <c:v>10.388</c:v>
                </c:pt>
                <c:pt idx="1484">
                  <c:v>9.902000000000001</c:v>
                </c:pt>
                <c:pt idx="1485">
                  <c:v>10.55</c:v>
                </c:pt>
                <c:pt idx="1486">
                  <c:v>10.712000000000002</c:v>
                </c:pt>
                <c:pt idx="1487">
                  <c:v>10.712000000000002</c:v>
                </c:pt>
                <c:pt idx="1488">
                  <c:v>10.55</c:v>
                </c:pt>
                <c:pt idx="1489">
                  <c:v>11.360000000000001</c:v>
                </c:pt>
                <c:pt idx="1490">
                  <c:v>11.198</c:v>
                </c:pt>
                <c:pt idx="1491">
                  <c:v>11.198</c:v>
                </c:pt>
                <c:pt idx="1492">
                  <c:v>10.712000000000002</c:v>
                </c:pt>
                <c:pt idx="1493">
                  <c:v>11.360000000000001</c:v>
                </c:pt>
                <c:pt idx="1494">
                  <c:v>11.522</c:v>
                </c:pt>
                <c:pt idx="1495">
                  <c:v>11.522</c:v>
                </c:pt>
                <c:pt idx="1496">
                  <c:v>11.36</c:v>
                </c:pt>
                <c:pt idx="1497">
                  <c:v>12.17</c:v>
                </c:pt>
                <c:pt idx="1498">
                  <c:v>12.007999999999999</c:v>
                </c:pt>
                <c:pt idx="1499">
                  <c:v>12.007999999999999</c:v>
                </c:pt>
                <c:pt idx="1500">
                  <c:v>11.522</c:v>
                </c:pt>
                <c:pt idx="1501">
                  <c:v>12.17</c:v>
                </c:pt>
                <c:pt idx="1502">
                  <c:v>12.332000000000001</c:v>
                </c:pt>
                <c:pt idx="1503">
                  <c:v>12.332000000000001</c:v>
                </c:pt>
                <c:pt idx="1504">
                  <c:v>12.17</c:v>
                </c:pt>
                <c:pt idx="1505">
                  <c:v>12.98</c:v>
                </c:pt>
                <c:pt idx="1506">
                  <c:v>12.818</c:v>
                </c:pt>
                <c:pt idx="1507">
                  <c:v>12.818</c:v>
                </c:pt>
                <c:pt idx="1508">
                  <c:v>12.332000000000001</c:v>
                </c:pt>
                <c:pt idx="1509">
                  <c:v>12.98</c:v>
                </c:pt>
                <c:pt idx="1510">
                  <c:v>13.142000000000001</c:v>
                </c:pt>
                <c:pt idx="1511">
                  <c:v>13.142000000000001</c:v>
                </c:pt>
                <c:pt idx="1512">
                  <c:v>12.98</c:v>
                </c:pt>
                <c:pt idx="1513">
                  <c:v>13.790000000000001</c:v>
                </c:pt>
                <c:pt idx="1514">
                  <c:v>13.628</c:v>
                </c:pt>
                <c:pt idx="1515">
                  <c:v>13.628</c:v>
                </c:pt>
                <c:pt idx="1516">
                  <c:v>13.142000000000001</c:v>
                </c:pt>
                <c:pt idx="1517">
                  <c:v>13.790000000000001</c:v>
                </c:pt>
                <c:pt idx="1518">
                  <c:v>13.952000000000002</c:v>
                </c:pt>
                <c:pt idx="1519">
                  <c:v>13.952000000000002</c:v>
                </c:pt>
                <c:pt idx="1520">
                  <c:v>13.790000000000001</c:v>
                </c:pt>
                <c:pt idx="1521">
                  <c:v>14.600000000000001</c:v>
                </c:pt>
                <c:pt idx="1522">
                  <c:v>14.438000000000001</c:v>
                </c:pt>
                <c:pt idx="1523">
                  <c:v>14.438000000000001</c:v>
                </c:pt>
                <c:pt idx="1524">
                  <c:v>13.952000000000002</c:v>
                </c:pt>
                <c:pt idx="1525">
                  <c:v>14.600000000000001</c:v>
                </c:pt>
                <c:pt idx="1526">
                  <c:v>14.762000000000002</c:v>
                </c:pt>
                <c:pt idx="1527">
                  <c:v>14.762000000000002</c:v>
                </c:pt>
                <c:pt idx="1528">
                  <c:v>14.600000000000001</c:v>
                </c:pt>
                <c:pt idx="1529">
                  <c:v>15.410000000000002</c:v>
                </c:pt>
                <c:pt idx="1530">
                  <c:v>15.248000000000001</c:v>
                </c:pt>
                <c:pt idx="1531">
                  <c:v>15.248000000000001</c:v>
                </c:pt>
                <c:pt idx="1532">
                  <c:v>14.762000000000002</c:v>
                </c:pt>
                <c:pt idx="1533">
                  <c:v>15.410000000000002</c:v>
                </c:pt>
                <c:pt idx="1534">
                  <c:v>15.572000000000001</c:v>
                </c:pt>
                <c:pt idx="1535">
                  <c:v>15.572000000000001</c:v>
                </c:pt>
                <c:pt idx="1536">
                  <c:v>15.41</c:v>
                </c:pt>
                <c:pt idx="1537">
                  <c:v>16.22</c:v>
                </c:pt>
                <c:pt idx="1538">
                  <c:v>16.058</c:v>
                </c:pt>
                <c:pt idx="1539">
                  <c:v>16.058</c:v>
                </c:pt>
                <c:pt idx="1540">
                  <c:v>15.572000000000001</c:v>
                </c:pt>
                <c:pt idx="1541">
                  <c:v>16.22</c:v>
                </c:pt>
                <c:pt idx="1542">
                  <c:v>16.381999999999998</c:v>
                </c:pt>
                <c:pt idx="1543">
                  <c:v>16.381999999999998</c:v>
                </c:pt>
                <c:pt idx="1544">
                  <c:v>16.22</c:v>
                </c:pt>
                <c:pt idx="1545">
                  <c:v>17.029999999999998</c:v>
                </c:pt>
                <c:pt idx="1546">
                  <c:v>16.867999999999999</c:v>
                </c:pt>
                <c:pt idx="1547">
                  <c:v>16.867999999999999</c:v>
                </c:pt>
                <c:pt idx="1548">
                  <c:v>16.381999999999998</c:v>
                </c:pt>
                <c:pt idx="1549">
                  <c:v>17.029999999999998</c:v>
                </c:pt>
                <c:pt idx="1550">
                  <c:v>17.192</c:v>
                </c:pt>
                <c:pt idx="1551">
                  <c:v>17.192</c:v>
                </c:pt>
                <c:pt idx="1552">
                  <c:v>17.03</c:v>
                </c:pt>
                <c:pt idx="1553">
                  <c:v>17.84</c:v>
                </c:pt>
                <c:pt idx="1554">
                  <c:v>17.678000000000001</c:v>
                </c:pt>
                <c:pt idx="1555">
                  <c:v>17.678000000000001</c:v>
                </c:pt>
                <c:pt idx="1556">
                  <c:v>17.192</c:v>
                </c:pt>
                <c:pt idx="1557">
                  <c:v>17.84</c:v>
                </c:pt>
                <c:pt idx="1558">
                  <c:v>18.001999999999999</c:v>
                </c:pt>
                <c:pt idx="1559">
                  <c:v>18.001999999999999</c:v>
                </c:pt>
                <c:pt idx="1560">
                  <c:v>17.84</c:v>
                </c:pt>
                <c:pt idx="1561">
                  <c:v>18.649999999999999</c:v>
                </c:pt>
                <c:pt idx="1562">
                  <c:v>18.488</c:v>
                </c:pt>
                <c:pt idx="1563">
                  <c:v>18.488</c:v>
                </c:pt>
                <c:pt idx="1564">
                  <c:v>18.001999999999999</c:v>
                </c:pt>
                <c:pt idx="1565">
                  <c:v>18.649999999999999</c:v>
                </c:pt>
                <c:pt idx="1566">
                  <c:v>18.811999999999998</c:v>
                </c:pt>
                <c:pt idx="1567">
                  <c:v>18.811999999999998</c:v>
                </c:pt>
                <c:pt idx="1568">
                  <c:v>18.649999999999999</c:v>
                </c:pt>
                <c:pt idx="1569">
                  <c:v>19.459999999999997</c:v>
                </c:pt>
                <c:pt idx="1570">
                  <c:v>19.297999999999998</c:v>
                </c:pt>
                <c:pt idx="1571">
                  <c:v>19.297999999999998</c:v>
                </c:pt>
                <c:pt idx="1572">
                  <c:v>18.811999999999998</c:v>
                </c:pt>
                <c:pt idx="1573">
                  <c:v>19.459999999999997</c:v>
                </c:pt>
                <c:pt idx="1574">
                  <c:v>19.622</c:v>
                </c:pt>
                <c:pt idx="1575">
                  <c:v>19.622</c:v>
                </c:pt>
                <c:pt idx="1576">
                  <c:v>19.46</c:v>
                </c:pt>
                <c:pt idx="1577">
                  <c:v>20.27</c:v>
                </c:pt>
                <c:pt idx="1578">
                  <c:v>20.108000000000001</c:v>
                </c:pt>
                <c:pt idx="1579">
                  <c:v>20.108000000000001</c:v>
                </c:pt>
                <c:pt idx="1580">
                  <c:v>19.622</c:v>
                </c:pt>
                <c:pt idx="1581">
                  <c:v>20.27</c:v>
                </c:pt>
                <c:pt idx="1582">
                  <c:v>20.432000000000002</c:v>
                </c:pt>
                <c:pt idx="1583">
                  <c:v>20.432000000000002</c:v>
                </c:pt>
                <c:pt idx="1584">
                  <c:v>20.270000000000003</c:v>
                </c:pt>
                <c:pt idx="1585">
                  <c:v>21.080000000000002</c:v>
                </c:pt>
                <c:pt idx="1586">
                  <c:v>20.918000000000003</c:v>
                </c:pt>
                <c:pt idx="1587">
                  <c:v>20.918000000000003</c:v>
                </c:pt>
                <c:pt idx="1588">
                  <c:v>20.432000000000002</c:v>
                </c:pt>
                <c:pt idx="1589">
                  <c:v>21.080000000000002</c:v>
                </c:pt>
                <c:pt idx="1590">
                  <c:v>21.242000000000001</c:v>
                </c:pt>
                <c:pt idx="1591">
                  <c:v>21.242000000000001</c:v>
                </c:pt>
                <c:pt idx="1592">
                  <c:v>21.080000000000002</c:v>
                </c:pt>
                <c:pt idx="1593">
                  <c:v>21.89</c:v>
                </c:pt>
                <c:pt idx="1594">
                  <c:v>21.728000000000002</c:v>
                </c:pt>
                <c:pt idx="1595">
                  <c:v>21.728000000000002</c:v>
                </c:pt>
                <c:pt idx="1596">
                  <c:v>21.242000000000001</c:v>
                </c:pt>
                <c:pt idx="1597">
                  <c:v>21.89</c:v>
                </c:pt>
                <c:pt idx="1598">
                  <c:v>22.052</c:v>
                </c:pt>
                <c:pt idx="1599">
                  <c:v>22.052</c:v>
                </c:pt>
                <c:pt idx="1600">
                  <c:v>21.89</c:v>
                </c:pt>
                <c:pt idx="1601">
                  <c:v>22.7</c:v>
                </c:pt>
                <c:pt idx="1602">
                  <c:v>22.538</c:v>
                </c:pt>
                <c:pt idx="1603">
                  <c:v>22.538</c:v>
                </c:pt>
                <c:pt idx="1604">
                  <c:v>22.052</c:v>
                </c:pt>
                <c:pt idx="1605">
                  <c:v>22.7</c:v>
                </c:pt>
                <c:pt idx="1606">
                  <c:v>22.862000000000002</c:v>
                </c:pt>
                <c:pt idx="1607">
                  <c:v>22.862000000000002</c:v>
                </c:pt>
                <c:pt idx="1608">
                  <c:v>22.700000000000003</c:v>
                </c:pt>
                <c:pt idx="1609">
                  <c:v>23.51</c:v>
                </c:pt>
                <c:pt idx="1610">
                  <c:v>23.348000000000003</c:v>
                </c:pt>
                <c:pt idx="1611">
                  <c:v>23.348000000000003</c:v>
                </c:pt>
                <c:pt idx="1612">
                  <c:v>22.862000000000002</c:v>
                </c:pt>
                <c:pt idx="1613">
                  <c:v>23.51</c:v>
                </c:pt>
                <c:pt idx="1614">
                  <c:v>23.672000000000001</c:v>
                </c:pt>
                <c:pt idx="1615">
                  <c:v>23.672000000000001</c:v>
                </c:pt>
                <c:pt idx="1616">
                  <c:v>23.51</c:v>
                </c:pt>
                <c:pt idx="1617">
                  <c:v>24.32</c:v>
                </c:pt>
                <c:pt idx="1618">
                  <c:v>24.158000000000001</c:v>
                </c:pt>
                <c:pt idx="1619">
                  <c:v>24.158000000000001</c:v>
                </c:pt>
                <c:pt idx="1620">
                  <c:v>23.672000000000001</c:v>
                </c:pt>
                <c:pt idx="1621">
                  <c:v>24.32</c:v>
                </c:pt>
                <c:pt idx="1622">
                  <c:v>24.481999999999999</c:v>
                </c:pt>
                <c:pt idx="1623">
                  <c:v>24.481999999999999</c:v>
                </c:pt>
                <c:pt idx="1624">
                  <c:v>24.32</c:v>
                </c:pt>
                <c:pt idx="1625">
                  <c:v>25.13</c:v>
                </c:pt>
                <c:pt idx="1626">
                  <c:v>24.968</c:v>
                </c:pt>
                <c:pt idx="1627">
                  <c:v>24.968</c:v>
                </c:pt>
                <c:pt idx="1628">
                  <c:v>24.481999999999999</c:v>
                </c:pt>
                <c:pt idx="1629">
                  <c:v>25.13</c:v>
                </c:pt>
                <c:pt idx="1630">
                  <c:v>25.292000000000002</c:v>
                </c:pt>
                <c:pt idx="1631">
                  <c:v>25.292000000000002</c:v>
                </c:pt>
                <c:pt idx="1632">
                  <c:v>25.130000000000003</c:v>
                </c:pt>
                <c:pt idx="1633">
                  <c:v>25.94</c:v>
                </c:pt>
                <c:pt idx="1634">
                  <c:v>25.778000000000002</c:v>
                </c:pt>
                <c:pt idx="1635">
                  <c:v>25.778000000000002</c:v>
                </c:pt>
                <c:pt idx="1636">
                  <c:v>25.292000000000002</c:v>
                </c:pt>
                <c:pt idx="1637">
                  <c:v>25.94</c:v>
                </c:pt>
                <c:pt idx="1638">
                  <c:v>26.102</c:v>
                </c:pt>
                <c:pt idx="1639">
                  <c:v>26.102</c:v>
                </c:pt>
                <c:pt idx="1640">
                  <c:v>25.94</c:v>
                </c:pt>
                <c:pt idx="1641">
                  <c:v>26.75</c:v>
                </c:pt>
                <c:pt idx="1642">
                  <c:v>26.588000000000001</c:v>
                </c:pt>
                <c:pt idx="1643">
                  <c:v>26.588000000000001</c:v>
                </c:pt>
                <c:pt idx="1644">
                  <c:v>26.102</c:v>
                </c:pt>
                <c:pt idx="1645">
                  <c:v>26.75</c:v>
                </c:pt>
                <c:pt idx="1646">
                  <c:v>26.102</c:v>
                </c:pt>
                <c:pt idx="1647">
                  <c:v>26.102</c:v>
                </c:pt>
                <c:pt idx="1648">
                  <c:v>25.94</c:v>
                </c:pt>
                <c:pt idx="1649">
                  <c:v>26.75</c:v>
                </c:pt>
                <c:pt idx="1650">
                  <c:v>26.588000000000001</c:v>
                </c:pt>
                <c:pt idx="1651">
                  <c:v>26.588000000000001</c:v>
                </c:pt>
                <c:pt idx="1652">
                  <c:v>26.102</c:v>
                </c:pt>
                <c:pt idx="1653">
                  <c:v>26.75</c:v>
                </c:pt>
                <c:pt idx="1654">
                  <c:v>26.102</c:v>
                </c:pt>
                <c:pt idx="1655">
                  <c:v>26.102</c:v>
                </c:pt>
                <c:pt idx="1656">
                  <c:v>25.94</c:v>
                </c:pt>
                <c:pt idx="1657">
                  <c:v>26.75</c:v>
                </c:pt>
                <c:pt idx="1658">
                  <c:v>26.588000000000001</c:v>
                </c:pt>
                <c:pt idx="1659">
                  <c:v>26.588000000000001</c:v>
                </c:pt>
                <c:pt idx="1660">
                  <c:v>26.102</c:v>
                </c:pt>
                <c:pt idx="1661">
                  <c:v>26.75</c:v>
                </c:pt>
                <c:pt idx="1662">
                  <c:v>26.102</c:v>
                </c:pt>
                <c:pt idx="1663">
                  <c:v>26.102</c:v>
                </c:pt>
                <c:pt idx="1664">
                  <c:v>25.94</c:v>
                </c:pt>
                <c:pt idx="1665">
                  <c:v>26.75</c:v>
                </c:pt>
                <c:pt idx="1666">
                  <c:v>26.588000000000001</c:v>
                </c:pt>
                <c:pt idx="1667">
                  <c:v>26.588000000000001</c:v>
                </c:pt>
                <c:pt idx="1668">
                  <c:v>26.102</c:v>
                </c:pt>
                <c:pt idx="1669">
                  <c:v>26.75</c:v>
                </c:pt>
                <c:pt idx="1670">
                  <c:v>26.102</c:v>
                </c:pt>
                <c:pt idx="1671">
                  <c:v>26.102</c:v>
                </c:pt>
                <c:pt idx="1672">
                  <c:v>25.94</c:v>
                </c:pt>
                <c:pt idx="1673">
                  <c:v>26.75</c:v>
                </c:pt>
                <c:pt idx="1674">
                  <c:v>26.588000000000001</c:v>
                </c:pt>
                <c:pt idx="1675">
                  <c:v>26.588000000000001</c:v>
                </c:pt>
                <c:pt idx="1676">
                  <c:v>26.102</c:v>
                </c:pt>
                <c:pt idx="1677">
                  <c:v>26.75</c:v>
                </c:pt>
                <c:pt idx="1678">
                  <c:v>26.102</c:v>
                </c:pt>
                <c:pt idx="1679">
                  <c:v>26.102</c:v>
                </c:pt>
                <c:pt idx="1680">
                  <c:v>25.94</c:v>
                </c:pt>
                <c:pt idx="1681">
                  <c:v>26.75</c:v>
                </c:pt>
                <c:pt idx="1682">
                  <c:v>26.588000000000001</c:v>
                </c:pt>
                <c:pt idx="1683">
                  <c:v>26.588000000000001</c:v>
                </c:pt>
                <c:pt idx="1684">
                  <c:v>26.102</c:v>
                </c:pt>
                <c:pt idx="1685">
                  <c:v>26.75</c:v>
                </c:pt>
                <c:pt idx="1686">
                  <c:v>26.102</c:v>
                </c:pt>
                <c:pt idx="1687">
                  <c:v>26.102</c:v>
                </c:pt>
                <c:pt idx="1688">
                  <c:v>25.94</c:v>
                </c:pt>
                <c:pt idx="1689">
                  <c:v>26.75</c:v>
                </c:pt>
                <c:pt idx="1690">
                  <c:v>26.588000000000001</c:v>
                </c:pt>
                <c:pt idx="1691">
                  <c:v>26.588000000000001</c:v>
                </c:pt>
                <c:pt idx="1692">
                  <c:v>26.102</c:v>
                </c:pt>
                <c:pt idx="1693">
                  <c:v>26.75</c:v>
                </c:pt>
                <c:pt idx="1694">
                  <c:v>26.102</c:v>
                </c:pt>
                <c:pt idx="1695">
                  <c:v>26.102</c:v>
                </c:pt>
                <c:pt idx="1696">
                  <c:v>25.94</c:v>
                </c:pt>
                <c:pt idx="1697">
                  <c:v>26.75</c:v>
                </c:pt>
                <c:pt idx="1698">
                  <c:v>26.588000000000001</c:v>
                </c:pt>
                <c:pt idx="1699">
                  <c:v>26.588000000000001</c:v>
                </c:pt>
                <c:pt idx="1700">
                  <c:v>26.102</c:v>
                </c:pt>
                <c:pt idx="1701">
                  <c:v>26.75</c:v>
                </c:pt>
                <c:pt idx="1702">
                  <c:v>26.102</c:v>
                </c:pt>
                <c:pt idx="1703">
                  <c:v>26.102</c:v>
                </c:pt>
                <c:pt idx="1704">
                  <c:v>25.94</c:v>
                </c:pt>
                <c:pt idx="1705">
                  <c:v>26.75</c:v>
                </c:pt>
                <c:pt idx="1706">
                  <c:v>26.588000000000001</c:v>
                </c:pt>
                <c:pt idx="1707">
                  <c:v>26.588000000000001</c:v>
                </c:pt>
                <c:pt idx="1708">
                  <c:v>26.102</c:v>
                </c:pt>
                <c:pt idx="1709">
                  <c:v>26.75</c:v>
                </c:pt>
                <c:pt idx="1710">
                  <c:v>26.102</c:v>
                </c:pt>
                <c:pt idx="1711">
                  <c:v>26.102</c:v>
                </c:pt>
                <c:pt idx="1712">
                  <c:v>25.94</c:v>
                </c:pt>
                <c:pt idx="1713">
                  <c:v>26.75</c:v>
                </c:pt>
                <c:pt idx="1714">
                  <c:v>26.588000000000001</c:v>
                </c:pt>
                <c:pt idx="1715">
                  <c:v>26.588000000000001</c:v>
                </c:pt>
                <c:pt idx="1716">
                  <c:v>26.102</c:v>
                </c:pt>
                <c:pt idx="1717">
                  <c:v>26.75</c:v>
                </c:pt>
                <c:pt idx="1718">
                  <c:v>26.102</c:v>
                </c:pt>
                <c:pt idx="1719">
                  <c:v>26.102</c:v>
                </c:pt>
                <c:pt idx="1720">
                  <c:v>25.94</c:v>
                </c:pt>
                <c:pt idx="1721">
                  <c:v>26.75</c:v>
                </c:pt>
                <c:pt idx="1722">
                  <c:v>26.588000000000001</c:v>
                </c:pt>
                <c:pt idx="1723">
                  <c:v>26.588000000000001</c:v>
                </c:pt>
                <c:pt idx="1724">
                  <c:v>26.102</c:v>
                </c:pt>
                <c:pt idx="1725">
                  <c:v>26.75</c:v>
                </c:pt>
                <c:pt idx="1726">
                  <c:v>26.102</c:v>
                </c:pt>
                <c:pt idx="1727">
                  <c:v>26.102</c:v>
                </c:pt>
                <c:pt idx="1728">
                  <c:v>25.94</c:v>
                </c:pt>
                <c:pt idx="1729">
                  <c:v>26.75</c:v>
                </c:pt>
                <c:pt idx="1730">
                  <c:v>26.588000000000001</c:v>
                </c:pt>
                <c:pt idx="1731">
                  <c:v>26.588000000000001</c:v>
                </c:pt>
                <c:pt idx="1732">
                  <c:v>26.102</c:v>
                </c:pt>
                <c:pt idx="1733">
                  <c:v>26.75</c:v>
                </c:pt>
                <c:pt idx="1734">
                  <c:v>26.102</c:v>
                </c:pt>
                <c:pt idx="1735">
                  <c:v>26.102</c:v>
                </c:pt>
                <c:pt idx="1736">
                  <c:v>25.94</c:v>
                </c:pt>
                <c:pt idx="1737">
                  <c:v>26.75</c:v>
                </c:pt>
                <c:pt idx="1738">
                  <c:v>26.588000000000001</c:v>
                </c:pt>
                <c:pt idx="1739">
                  <c:v>26.588000000000001</c:v>
                </c:pt>
                <c:pt idx="1740">
                  <c:v>26.102</c:v>
                </c:pt>
                <c:pt idx="1741">
                  <c:v>26.75</c:v>
                </c:pt>
                <c:pt idx="1742">
                  <c:v>26.102</c:v>
                </c:pt>
                <c:pt idx="1743">
                  <c:v>26.102</c:v>
                </c:pt>
                <c:pt idx="1744">
                  <c:v>25.94</c:v>
                </c:pt>
                <c:pt idx="1745">
                  <c:v>26.75</c:v>
                </c:pt>
                <c:pt idx="1746">
                  <c:v>26.588000000000001</c:v>
                </c:pt>
                <c:pt idx="1747">
                  <c:v>26.588000000000001</c:v>
                </c:pt>
                <c:pt idx="1748">
                  <c:v>26.102</c:v>
                </c:pt>
                <c:pt idx="1749">
                  <c:v>26.75</c:v>
                </c:pt>
                <c:pt idx="1750">
                  <c:v>26.102</c:v>
                </c:pt>
                <c:pt idx="1751">
                  <c:v>26.102</c:v>
                </c:pt>
                <c:pt idx="1752">
                  <c:v>25.94</c:v>
                </c:pt>
                <c:pt idx="1753">
                  <c:v>26.75</c:v>
                </c:pt>
                <c:pt idx="1754">
                  <c:v>26.588000000000001</c:v>
                </c:pt>
                <c:pt idx="1755">
                  <c:v>26.588000000000001</c:v>
                </c:pt>
                <c:pt idx="1756">
                  <c:v>26.102</c:v>
                </c:pt>
                <c:pt idx="1757">
                  <c:v>26.75</c:v>
                </c:pt>
                <c:pt idx="1758">
                  <c:v>26.102</c:v>
                </c:pt>
                <c:pt idx="1759">
                  <c:v>26.102</c:v>
                </c:pt>
                <c:pt idx="1760">
                  <c:v>25.94</c:v>
                </c:pt>
                <c:pt idx="1761">
                  <c:v>26.75</c:v>
                </c:pt>
                <c:pt idx="1762">
                  <c:v>26.588000000000001</c:v>
                </c:pt>
                <c:pt idx="1763">
                  <c:v>26.588000000000001</c:v>
                </c:pt>
                <c:pt idx="1764">
                  <c:v>26.102</c:v>
                </c:pt>
                <c:pt idx="1765">
                  <c:v>26.75</c:v>
                </c:pt>
                <c:pt idx="1766">
                  <c:v>26.102</c:v>
                </c:pt>
                <c:pt idx="1767">
                  <c:v>26.102</c:v>
                </c:pt>
                <c:pt idx="1768">
                  <c:v>25.94</c:v>
                </c:pt>
                <c:pt idx="1769">
                  <c:v>26.75</c:v>
                </c:pt>
                <c:pt idx="1770">
                  <c:v>26.588000000000001</c:v>
                </c:pt>
                <c:pt idx="1771">
                  <c:v>26.588000000000001</c:v>
                </c:pt>
                <c:pt idx="1772">
                  <c:v>26.102</c:v>
                </c:pt>
                <c:pt idx="1773">
                  <c:v>26.75</c:v>
                </c:pt>
                <c:pt idx="1774">
                  <c:v>26.102</c:v>
                </c:pt>
                <c:pt idx="1775">
                  <c:v>26.102</c:v>
                </c:pt>
                <c:pt idx="1776">
                  <c:v>25.94</c:v>
                </c:pt>
                <c:pt idx="1777">
                  <c:v>26.75</c:v>
                </c:pt>
                <c:pt idx="1778">
                  <c:v>26.588000000000001</c:v>
                </c:pt>
                <c:pt idx="1779">
                  <c:v>26.588000000000001</c:v>
                </c:pt>
                <c:pt idx="1780">
                  <c:v>26.102</c:v>
                </c:pt>
                <c:pt idx="1781">
                  <c:v>26.75</c:v>
                </c:pt>
                <c:pt idx="1782">
                  <c:v>26.102</c:v>
                </c:pt>
                <c:pt idx="1783">
                  <c:v>26.102</c:v>
                </c:pt>
                <c:pt idx="1784">
                  <c:v>25.94</c:v>
                </c:pt>
                <c:pt idx="1785">
                  <c:v>26.75</c:v>
                </c:pt>
                <c:pt idx="1786">
                  <c:v>26.588000000000001</c:v>
                </c:pt>
                <c:pt idx="1787">
                  <c:v>26.588000000000001</c:v>
                </c:pt>
                <c:pt idx="1788">
                  <c:v>26.102</c:v>
                </c:pt>
                <c:pt idx="1789">
                  <c:v>26.75</c:v>
                </c:pt>
                <c:pt idx="1790">
                  <c:v>26.102</c:v>
                </c:pt>
                <c:pt idx="1791">
                  <c:v>26.102</c:v>
                </c:pt>
                <c:pt idx="1792">
                  <c:v>25.94</c:v>
                </c:pt>
                <c:pt idx="1793">
                  <c:v>26.75</c:v>
                </c:pt>
                <c:pt idx="1794">
                  <c:v>26.588000000000001</c:v>
                </c:pt>
                <c:pt idx="1795">
                  <c:v>26.588000000000001</c:v>
                </c:pt>
                <c:pt idx="1796">
                  <c:v>26.102</c:v>
                </c:pt>
                <c:pt idx="1797">
                  <c:v>26.75</c:v>
                </c:pt>
                <c:pt idx="1798">
                  <c:v>26.102</c:v>
                </c:pt>
                <c:pt idx="1799">
                  <c:v>26.102</c:v>
                </c:pt>
                <c:pt idx="1800">
                  <c:v>25.94</c:v>
                </c:pt>
                <c:pt idx="1801">
                  <c:v>26.75</c:v>
                </c:pt>
                <c:pt idx="1802">
                  <c:v>26.588000000000001</c:v>
                </c:pt>
                <c:pt idx="1803">
                  <c:v>26.588000000000001</c:v>
                </c:pt>
                <c:pt idx="1804">
                  <c:v>26.102</c:v>
                </c:pt>
                <c:pt idx="1805">
                  <c:v>26.75</c:v>
                </c:pt>
                <c:pt idx="1806">
                  <c:v>26.102</c:v>
                </c:pt>
                <c:pt idx="1807">
                  <c:v>26.102</c:v>
                </c:pt>
                <c:pt idx="1808">
                  <c:v>25.94</c:v>
                </c:pt>
                <c:pt idx="1809">
                  <c:v>26.75</c:v>
                </c:pt>
                <c:pt idx="1810">
                  <c:v>26.588000000000001</c:v>
                </c:pt>
                <c:pt idx="1811">
                  <c:v>26.588000000000001</c:v>
                </c:pt>
                <c:pt idx="1812">
                  <c:v>26.102</c:v>
                </c:pt>
                <c:pt idx="1813">
                  <c:v>26.75</c:v>
                </c:pt>
                <c:pt idx="1814">
                  <c:v>26.102</c:v>
                </c:pt>
                <c:pt idx="1815">
                  <c:v>26.102</c:v>
                </c:pt>
                <c:pt idx="1816">
                  <c:v>25.94</c:v>
                </c:pt>
                <c:pt idx="1817">
                  <c:v>26.75</c:v>
                </c:pt>
                <c:pt idx="1818">
                  <c:v>26.588000000000001</c:v>
                </c:pt>
                <c:pt idx="1819">
                  <c:v>26.588000000000001</c:v>
                </c:pt>
                <c:pt idx="1820">
                  <c:v>26.102</c:v>
                </c:pt>
                <c:pt idx="1821">
                  <c:v>26.75</c:v>
                </c:pt>
                <c:pt idx="1822">
                  <c:v>26.102</c:v>
                </c:pt>
                <c:pt idx="1823">
                  <c:v>26.102</c:v>
                </c:pt>
                <c:pt idx="1824">
                  <c:v>25.94</c:v>
                </c:pt>
                <c:pt idx="1825">
                  <c:v>26.75</c:v>
                </c:pt>
                <c:pt idx="1826">
                  <c:v>26.588000000000001</c:v>
                </c:pt>
                <c:pt idx="1827">
                  <c:v>26.588000000000001</c:v>
                </c:pt>
                <c:pt idx="1828">
                  <c:v>26.102</c:v>
                </c:pt>
                <c:pt idx="1829">
                  <c:v>26.75</c:v>
                </c:pt>
                <c:pt idx="1830">
                  <c:v>26.102</c:v>
                </c:pt>
                <c:pt idx="1831">
                  <c:v>26.102</c:v>
                </c:pt>
                <c:pt idx="1832">
                  <c:v>25.94</c:v>
                </c:pt>
                <c:pt idx="1833">
                  <c:v>26.75</c:v>
                </c:pt>
                <c:pt idx="1834">
                  <c:v>26.588000000000001</c:v>
                </c:pt>
                <c:pt idx="1835">
                  <c:v>26.588000000000001</c:v>
                </c:pt>
                <c:pt idx="1836">
                  <c:v>26.102</c:v>
                </c:pt>
                <c:pt idx="1837">
                  <c:v>26.75</c:v>
                </c:pt>
                <c:pt idx="1838">
                  <c:v>26.102</c:v>
                </c:pt>
                <c:pt idx="1839">
                  <c:v>26.102</c:v>
                </c:pt>
                <c:pt idx="1840">
                  <c:v>25.94</c:v>
                </c:pt>
                <c:pt idx="1841">
                  <c:v>26.75</c:v>
                </c:pt>
                <c:pt idx="1842">
                  <c:v>26.588000000000001</c:v>
                </c:pt>
                <c:pt idx="1843">
                  <c:v>26.588000000000001</c:v>
                </c:pt>
                <c:pt idx="1844">
                  <c:v>26.102</c:v>
                </c:pt>
                <c:pt idx="1845">
                  <c:v>26.75</c:v>
                </c:pt>
                <c:pt idx="1846">
                  <c:v>26.102</c:v>
                </c:pt>
                <c:pt idx="1847">
                  <c:v>26.102</c:v>
                </c:pt>
                <c:pt idx="1848">
                  <c:v>25.94</c:v>
                </c:pt>
                <c:pt idx="1849">
                  <c:v>26.75</c:v>
                </c:pt>
                <c:pt idx="1850">
                  <c:v>26.588000000000001</c:v>
                </c:pt>
                <c:pt idx="1851">
                  <c:v>26.588000000000001</c:v>
                </c:pt>
                <c:pt idx="1852">
                  <c:v>26.102</c:v>
                </c:pt>
                <c:pt idx="1853">
                  <c:v>26.75</c:v>
                </c:pt>
                <c:pt idx="1854">
                  <c:v>26.102</c:v>
                </c:pt>
                <c:pt idx="1855">
                  <c:v>26.102</c:v>
                </c:pt>
                <c:pt idx="1856">
                  <c:v>25.94</c:v>
                </c:pt>
                <c:pt idx="1857">
                  <c:v>26.75</c:v>
                </c:pt>
                <c:pt idx="1858">
                  <c:v>26.588000000000001</c:v>
                </c:pt>
                <c:pt idx="1859">
                  <c:v>26.588000000000001</c:v>
                </c:pt>
                <c:pt idx="1860">
                  <c:v>26.102</c:v>
                </c:pt>
                <c:pt idx="1861">
                  <c:v>26.75</c:v>
                </c:pt>
                <c:pt idx="1862">
                  <c:v>26.102</c:v>
                </c:pt>
                <c:pt idx="1863">
                  <c:v>26.102</c:v>
                </c:pt>
                <c:pt idx="1864">
                  <c:v>25.94</c:v>
                </c:pt>
                <c:pt idx="1865">
                  <c:v>26.75</c:v>
                </c:pt>
                <c:pt idx="1866">
                  <c:v>26.588000000000001</c:v>
                </c:pt>
                <c:pt idx="1867">
                  <c:v>26.588000000000001</c:v>
                </c:pt>
                <c:pt idx="1868">
                  <c:v>26.102</c:v>
                </c:pt>
                <c:pt idx="1869">
                  <c:v>26.75</c:v>
                </c:pt>
                <c:pt idx="1870">
                  <c:v>26.102</c:v>
                </c:pt>
                <c:pt idx="1871">
                  <c:v>26.102</c:v>
                </c:pt>
                <c:pt idx="1872">
                  <c:v>25.94</c:v>
                </c:pt>
                <c:pt idx="1873">
                  <c:v>26.75</c:v>
                </c:pt>
                <c:pt idx="1874">
                  <c:v>26.588000000000001</c:v>
                </c:pt>
                <c:pt idx="1875">
                  <c:v>26.588000000000001</c:v>
                </c:pt>
                <c:pt idx="1876">
                  <c:v>26.102</c:v>
                </c:pt>
                <c:pt idx="1877">
                  <c:v>26.75</c:v>
                </c:pt>
                <c:pt idx="1878">
                  <c:v>26.102</c:v>
                </c:pt>
                <c:pt idx="1879">
                  <c:v>26.102</c:v>
                </c:pt>
                <c:pt idx="1880">
                  <c:v>25.94</c:v>
                </c:pt>
                <c:pt idx="1881">
                  <c:v>26.75</c:v>
                </c:pt>
                <c:pt idx="1882">
                  <c:v>26.588000000000001</c:v>
                </c:pt>
                <c:pt idx="1883">
                  <c:v>26.588000000000001</c:v>
                </c:pt>
                <c:pt idx="1884">
                  <c:v>26.102</c:v>
                </c:pt>
                <c:pt idx="1885">
                  <c:v>26.75</c:v>
                </c:pt>
                <c:pt idx="1886">
                  <c:v>26.102</c:v>
                </c:pt>
                <c:pt idx="1887">
                  <c:v>26.102</c:v>
                </c:pt>
                <c:pt idx="1888">
                  <c:v>25.94</c:v>
                </c:pt>
                <c:pt idx="1889">
                  <c:v>26.75</c:v>
                </c:pt>
                <c:pt idx="1890">
                  <c:v>26.588000000000001</c:v>
                </c:pt>
                <c:pt idx="1891">
                  <c:v>26.588000000000001</c:v>
                </c:pt>
                <c:pt idx="1892">
                  <c:v>26.102</c:v>
                </c:pt>
                <c:pt idx="1893">
                  <c:v>26.75</c:v>
                </c:pt>
                <c:pt idx="1894">
                  <c:v>26.102</c:v>
                </c:pt>
                <c:pt idx="1895">
                  <c:v>26.102</c:v>
                </c:pt>
                <c:pt idx="1896">
                  <c:v>25.94</c:v>
                </c:pt>
                <c:pt idx="1897">
                  <c:v>26.75</c:v>
                </c:pt>
                <c:pt idx="1898">
                  <c:v>26.588000000000001</c:v>
                </c:pt>
                <c:pt idx="1899">
                  <c:v>26.588000000000001</c:v>
                </c:pt>
                <c:pt idx="1900">
                  <c:v>26.102</c:v>
                </c:pt>
                <c:pt idx="1901">
                  <c:v>26.75</c:v>
                </c:pt>
                <c:pt idx="1902">
                  <c:v>26.102</c:v>
                </c:pt>
                <c:pt idx="1903">
                  <c:v>26.102</c:v>
                </c:pt>
                <c:pt idx="1904">
                  <c:v>25.94</c:v>
                </c:pt>
                <c:pt idx="1905">
                  <c:v>26.75</c:v>
                </c:pt>
                <c:pt idx="1906">
                  <c:v>26.588000000000001</c:v>
                </c:pt>
                <c:pt idx="1907">
                  <c:v>26.588000000000001</c:v>
                </c:pt>
                <c:pt idx="1908">
                  <c:v>26.102</c:v>
                </c:pt>
                <c:pt idx="1909">
                  <c:v>26.75</c:v>
                </c:pt>
                <c:pt idx="1910">
                  <c:v>26.102</c:v>
                </c:pt>
                <c:pt idx="1911">
                  <c:v>26.102</c:v>
                </c:pt>
                <c:pt idx="1912">
                  <c:v>25.94</c:v>
                </c:pt>
                <c:pt idx="1913">
                  <c:v>26.75</c:v>
                </c:pt>
                <c:pt idx="1914">
                  <c:v>26.588000000000001</c:v>
                </c:pt>
                <c:pt idx="1915">
                  <c:v>26.588000000000001</c:v>
                </c:pt>
                <c:pt idx="1916">
                  <c:v>26.102</c:v>
                </c:pt>
                <c:pt idx="1917">
                  <c:v>26.75</c:v>
                </c:pt>
                <c:pt idx="1918">
                  <c:v>26.102</c:v>
                </c:pt>
                <c:pt idx="1919">
                  <c:v>26.102</c:v>
                </c:pt>
                <c:pt idx="1920">
                  <c:v>25.94</c:v>
                </c:pt>
                <c:pt idx="1921">
                  <c:v>26.75</c:v>
                </c:pt>
                <c:pt idx="1922">
                  <c:v>26.588000000000001</c:v>
                </c:pt>
                <c:pt idx="1923">
                  <c:v>26.588000000000001</c:v>
                </c:pt>
                <c:pt idx="1924">
                  <c:v>26.102</c:v>
                </c:pt>
                <c:pt idx="1925">
                  <c:v>26.75</c:v>
                </c:pt>
                <c:pt idx="1926">
                  <c:v>26.75</c:v>
                </c:pt>
                <c:pt idx="1927">
                  <c:v>6.5</c:v>
                </c:pt>
                <c:pt idx="1928">
                  <c:v>6.6619999999999999</c:v>
                </c:pt>
                <c:pt idx="1929">
                  <c:v>6.6619999999999999</c:v>
                </c:pt>
                <c:pt idx="1930">
                  <c:v>6.5</c:v>
                </c:pt>
                <c:pt idx="1931">
                  <c:v>7.3100000000000005</c:v>
                </c:pt>
                <c:pt idx="1932">
                  <c:v>7.1479999999999997</c:v>
                </c:pt>
                <c:pt idx="1933">
                  <c:v>7.1479999999999997</c:v>
                </c:pt>
                <c:pt idx="1934">
                  <c:v>6.6619999999999999</c:v>
                </c:pt>
                <c:pt idx="1935">
                  <c:v>7.3100000000000005</c:v>
                </c:pt>
                <c:pt idx="1936">
                  <c:v>7.4720000000000004</c:v>
                </c:pt>
                <c:pt idx="1937">
                  <c:v>7.4720000000000004</c:v>
                </c:pt>
                <c:pt idx="1938">
                  <c:v>7.3100000000000005</c:v>
                </c:pt>
                <c:pt idx="1939">
                  <c:v>8.120000000000001</c:v>
                </c:pt>
                <c:pt idx="1940">
                  <c:v>7.9580000000000002</c:v>
                </c:pt>
                <c:pt idx="1941">
                  <c:v>7.9580000000000002</c:v>
                </c:pt>
                <c:pt idx="1942">
                  <c:v>7.4720000000000004</c:v>
                </c:pt>
                <c:pt idx="1943">
                  <c:v>8.120000000000001</c:v>
                </c:pt>
                <c:pt idx="1944">
                  <c:v>8.2820000000000018</c:v>
                </c:pt>
                <c:pt idx="1945">
                  <c:v>8.2820000000000018</c:v>
                </c:pt>
                <c:pt idx="1946">
                  <c:v>8.120000000000001</c:v>
                </c:pt>
                <c:pt idx="1947">
                  <c:v>8.9300000000000015</c:v>
                </c:pt>
                <c:pt idx="1948">
                  <c:v>8.7680000000000007</c:v>
                </c:pt>
                <c:pt idx="1949">
                  <c:v>8.7680000000000007</c:v>
                </c:pt>
                <c:pt idx="1950">
                  <c:v>8.2820000000000018</c:v>
                </c:pt>
                <c:pt idx="1951">
                  <c:v>8.9300000000000015</c:v>
                </c:pt>
                <c:pt idx="1952">
                  <c:v>9.0920000000000005</c:v>
                </c:pt>
                <c:pt idx="1953">
                  <c:v>9.0920000000000005</c:v>
                </c:pt>
                <c:pt idx="1954">
                  <c:v>8.93</c:v>
                </c:pt>
                <c:pt idx="1955">
                  <c:v>9.74</c:v>
                </c:pt>
                <c:pt idx="1956">
                  <c:v>9.5779999999999994</c:v>
                </c:pt>
                <c:pt idx="1957">
                  <c:v>9.5779999999999994</c:v>
                </c:pt>
                <c:pt idx="1958">
                  <c:v>9.0920000000000005</c:v>
                </c:pt>
                <c:pt idx="1959">
                  <c:v>9.74</c:v>
                </c:pt>
                <c:pt idx="1960">
                  <c:v>9.902000000000001</c:v>
                </c:pt>
                <c:pt idx="1961">
                  <c:v>9.902000000000001</c:v>
                </c:pt>
                <c:pt idx="1962">
                  <c:v>9.74</c:v>
                </c:pt>
                <c:pt idx="1963">
                  <c:v>10.55</c:v>
                </c:pt>
                <c:pt idx="1964">
                  <c:v>10.388</c:v>
                </c:pt>
                <c:pt idx="1965">
                  <c:v>10.388</c:v>
                </c:pt>
                <c:pt idx="1966">
                  <c:v>9.902000000000001</c:v>
                </c:pt>
                <c:pt idx="1967">
                  <c:v>10.55</c:v>
                </c:pt>
                <c:pt idx="1968">
                  <c:v>10.712000000000002</c:v>
                </c:pt>
                <c:pt idx="1969">
                  <c:v>10.712000000000002</c:v>
                </c:pt>
                <c:pt idx="1970">
                  <c:v>10.55</c:v>
                </c:pt>
                <c:pt idx="1971">
                  <c:v>11.360000000000001</c:v>
                </c:pt>
                <c:pt idx="1972">
                  <c:v>11.198</c:v>
                </c:pt>
                <c:pt idx="1973">
                  <c:v>11.198</c:v>
                </c:pt>
                <c:pt idx="1974">
                  <c:v>10.712000000000002</c:v>
                </c:pt>
                <c:pt idx="1975">
                  <c:v>11.360000000000001</c:v>
                </c:pt>
                <c:pt idx="1976">
                  <c:v>11.522</c:v>
                </c:pt>
                <c:pt idx="1977">
                  <c:v>11.522</c:v>
                </c:pt>
                <c:pt idx="1978">
                  <c:v>11.36</c:v>
                </c:pt>
                <c:pt idx="1979">
                  <c:v>12.17</c:v>
                </c:pt>
                <c:pt idx="1980">
                  <c:v>12.007999999999999</c:v>
                </c:pt>
                <c:pt idx="1981">
                  <c:v>12.007999999999999</c:v>
                </c:pt>
                <c:pt idx="1982">
                  <c:v>11.522</c:v>
                </c:pt>
                <c:pt idx="1983">
                  <c:v>12.17</c:v>
                </c:pt>
                <c:pt idx="1984">
                  <c:v>12.332000000000001</c:v>
                </c:pt>
                <c:pt idx="1985">
                  <c:v>12.332000000000001</c:v>
                </c:pt>
                <c:pt idx="1986">
                  <c:v>12.17</c:v>
                </c:pt>
                <c:pt idx="1987">
                  <c:v>12.98</c:v>
                </c:pt>
                <c:pt idx="1988">
                  <c:v>12.818</c:v>
                </c:pt>
                <c:pt idx="1989">
                  <c:v>12.818</c:v>
                </c:pt>
                <c:pt idx="1990">
                  <c:v>12.332000000000001</c:v>
                </c:pt>
                <c:pt idx="1991">
                  <c:v>12.98</c:v>
                </c:pt>
                <c:pt idx="1992">
                  <c:v>13.142000000000001</c:v>
                </c:pt>
                <c:pt idx="1993">
                  <c:v>13.142000000000001</c:v>
                </c:pt>
                <c:pt idx="1994">
                  <c:v>12.98</c:v>
                </c:pt>
                <c:pt idx="1995">
                  <c:v>13.790000000000001</c:v>
                </c:pt>
                <c:pt idx="1996">
                  <c:v>13.628</c:v>
                </c:pt>
                <c:pt idx="1997">
                  <c:v>13.628</c:v>
                </c:pt>
                <c:pt idx="1998">
                  <c:v>13.142000000000001</c:v>
                </c:pt>
                <c:pt idx="1999">
                  <c:v>13.790000000000001</c:v>
                </c:pt>
                <c:pt idx="2000">
                  <c:v>13.952000000000002</c:v>
                </c:pt>
                <c:pt idx="2001">
                  <c:v>13.952000000000002</c:v>
                </c:pt>
                <c:pt idx="2002">
                  <c:v>13.790000000000001</c:v>
                </c:pt>
                <c:pt idx="2003">
                  <c:v>14.600000000000001</c:v>
                </c:pt>
                <c:pt idx="2004">
                  <c:v>14.438000000000001</c:v>
                </c:pt>
                <c:pt idx="2005">
                  <c:v>14.438000000000001</c:v>
                </c:pt>
                <c:pt idx="2006">
                  <c:v>13.952000000000002</c:v>
                </c:pt>
                <c:pt idx="2007">
                  <c:v>14.600000000000001</c:v>
                </c:pt>
                <c:pt idx="2008">
                  <c:v>14.762000000000002</c:v>
                </c:pt>
                <c:pt idx="2009">
                  <c:v>14.762000000000002</c:v>
                </c:pt>
                <c:pt idx="2010">
                  <c:v>14.600000000000001</c:v>
                </c:pt>
                <c:pt idx="2011">
                  <c:v>15.410000000000002</c:v>
                </c:pt>
                <c:pt idx="2012">
                  <c:v>15.248000000000001</c:v>
                </c:pt>
                <c:pt idx="2013">
                  <c:v>15.248000000000001</c:v>
                </c:pt>
                <c:pt idx="2014">
                  <c:v>14.762000000000002</c:v>
                </c:pt>
                <c:pt idx="2015">
                  <c:v>15.410000000000002</c:v>
                </c:pt>
                <c:pt idx="2016">
                  <c:v>15.572000000000001</c:v>
                </c:pt>
                <c:pt idx="2017">
                  <c:v>15.572000000000001</c:v>
                </c:pt>
                <c:pt idx="2018">
                  <c:v>15.41</c:v>
                </c:pt>
                <c:pt idx="2019">
                  <c:v>16.22</c:v>
                </c:pt>
                <c:pt idx="2020">
                  <c:v>16.058</c:v>
                </c:pt>
                <c:pt idx="2021">
                  <c:v>16.058</c:v>
                </c:pt>
                <c:pt idx="2022">
                  <c:v>15.572000000000001</c:v>
                </c:pt>
                <c:pt idx="2023">
                  <c:v>16.22</c:v>
                </c:pt>
                <c:pt idx="2024">
                  <c:v>16.381999999999998</c:v>
                </c:pt>
                <c:pt idx="2025">
                  <c:v>16.381999999999998</c:v>
                </c:pt>
                <c:pt idx="2026">
                  <c:v>16.22</c:v>
                </c:pt>
                <c:pt idx="2027">
                  <c:v>17.029999999999998</c:v>
                </c:pt>
                <c:pt idx="2028">
                  <c:v>16.867999999999999</c:v>
                </c:pt>
                <c:pt idx="2029">
                  <c:v>16.867999999999999</c:v>
                </c:pt>
                <c:pt idx="2030">
                  <c:v>16.381999999999998</c:v>
                </c:pt>
                <c:pt idx="2031">
                  <c:v>17.029999999999998</c:v>
                </c:pt>
                <c:pt idx="2032">
                  <c:v>17.192</c:v>
                </c:pt>
                <c:pt idx="2033">
                  <c:v>17.192</c:v>
                </c:pt>
                <c:pt idx="2034">
                  <c:v>17.03</c:v>
                </c:pt>
                <c:pt idx="2035">
                  <c:v>17.84</c:v>
                </c:pt>
                <c:pt idx="2036">
                  <c:v>17.678000000000001</c:v>
                </c:pt>
                <c:pt idx="2037">
                  <c:v>17.678000000000001</c:v>
                </c:pt>
                <c:pt idx="2038">
                  <c:v>17.192</c:v>
                </c:pt>
                <c:pt idx="2039">
                  <c:v>17.84</c:v>
                </c:pt>
                <c:pt idx="2040">
                  <c:v>18.001999999999999</c:v>
                </c:pt>
                <c:pt idx="2041">
                  <c:v>18.001999999999999</c:v>
                </c:pt>
                <c:pt idx="2042">
                  <c:v>17.84</c:v>
                </c:pt>
                <c:pt idx="2043">
                  <c:v>18.649999999999999</c:v>
                </c:pt>
                <c:pt idx="2044">
                  <c:v>18.488</c:v>
                </c:pt>
                <c:pt idx="2045">
                  <c:v>18.488</c:v>
                </c:pt>
                <c:pt idx="2046">
                  <c:v>18.001999999999999</c:v>
                </c:pt>
                <c:pt idx="2047">
                  <c:v>18.649999999999999</c:v>
                </c:pt>
                <c:pt idx="2048">
                  <c:v>18.811999999999998</c:v>
                </c:pt>
                <c:pt idx="2049">
                  <c:v>18.811999999999998</c:v>
                </c:pt>
                <c:pt idx="2050">
                  <c:v>18.649999999999999</c:v>
                </c:pt>
                <c:pt idx="2051">
                  <c:v>19.459999999999997</c:v>
                </c:pt>
                <c:pt idx="2052">
                  <c:v>19.297999999999998</c:v>
                </c:pt>
                <c:pt idx="2053">
                  <c:v>19.297999999999998</c:v>
                </c:pt>
                <c:pt idx="2054">
                  <c:v>18.811999999999998</c:v>
                </c:pt>
                <c:pt idx="2055">
                  <c:v>19.459999999999997</c:v>
                </c:pt>
                <c:pt idx="2056">
                  <c:v>19.622</c:v>
                </c:pt>
                <c:pt idx="2057">
                  <c:v>19.622</c:v>
                </c:pt>
                <c:pt idx="2058">
                  <c:v>19.46</c:v>
                </c:pt>
                <c:pt idx="2059">
                  <c:v>20.27</c:v>
                </c:pt>
                <c:pt idx="2060">
                  <c:v>20.108000000000001</c:v>
                </c:pt>
                <c:pt idx="2061">
                  <c:v>20.108000000000001</c:v>
                </c:pt>
                <c:pt idx="2062">
                  <c:v>19.622</c:v>
                </c:pt>
                <c:pt idx="2063">
                  <c:v>20.27</c:v>
                </c:pt>
                <c:pt idx="2064">
                  <c:v>20.432000000000002</c:v>
                </c:pt>
                <c:pt idx="2065">
                  <c:v>20.432000000000002</c:v>
                </c:pt>
                <c:pt idx="2066">
                  <c:v>20.270000000000003</c:v>
                </c:pt>
                <c:pt idx="2067">
                  <c:v>21.080000000000002</c:v>
                </c:pt>
                <c:pt idx="2068">
                  <c:v>20.918000000000003</c:v>
                </c:pt>
                <c:pt idx="2069">
                  <c:v>20.918000000000003</c:v>
                </c:pt>
                <c:pt idx="2070">
                  <c:v>20.432000000000002</c:v>
                </c:pt>
                <c:pt idx="2071">
                  <c:v>21.080000000000002</c:v>
                </c:pt>
                <c:pt idx="2072">
                  <c:v>21.242000000000001</c:v>
                </c:pt>
                <c:pt idx="2073">
                  <c:v>21.242000000000001</c:v>
                </c:pt>
                <c:pt idx="2074">
                  <c:v>21.080000000000002</c:v>
                </c:pt>
                <c:pt idx="2075">
                  <c:v>21.89</c:v>
                </c:pt>
                <c:pt idx="2076">
                  <c:v>21.728000000000002</c:v>
                </c:pt>
                <c:pt idx="2077">
                  <c:v>21.728000000000002</c:v>
                </c:pt>
                <c:pt idx="2078">
                  <c:v>21.242000000000001</c:v>
                </c:pt>
                <c:pt idx="2079">
                  <c:v>21.89</c:v>
                </c:pt>
                <c:pt idx="2080">
                  <c:v>22.052</c:v>
                </c:pt>
                <c:pt idx="2081">
                  <c:v>22.052</c:v>
                </c:pt>
                <c:pt idx="2082">
                  <c:v>21.89</c:v>
                </c:pt>
                <c:pt idx="2083">
                  <c:v>22.7</c:v>
                </c:pt>
                <c:pt idx="2084">
                  <c:v>22.538</c:v>
                </c:pt>
                <c:pt idx="2085">
                  <c:v>22.538</c:v>
                </c:pt>
                <c:pt idx="2086">
                  <c:v>22.052</c:v>
                </c:pt>
                <c:pt idx="2087">
                  <c:v>22.7</c:v>
                </c:pt>
                <c:pt idx="2088">
                  <c:v>22.862000000000002</c:v>
                </c:pt>
                <c:pt idx="2089">
                  <c:v>22.862000000000002</c:v>
                </c:pt>
                <c:pt idx="2090">
                  <c:v>22.700000000000003</c:v>
                </c:pt>
                <c:pt idx="2091">
                  <c:v>23.51</c:v>
                </c:pt>
                <c:pt idx="2092">
                  <c:v>23.348000000000003</c:v>
                </c:pt>
                <c:pt idx="2093">
                  <c:v>23.348000000000003</c:v>
                </c:pt>
                <c:pt idx="2094">
                  <c:v>22.862000000000002</c:v>
                </c:pt>
                <c:pt idx="2095">
                  <c:v>23.51</c:v>
                </c:pt>
                <c:pt idx="2096">
                  <c:v>23.672000000000001</c:v>
                </c:pt>
                <c:pt idx="2097">
                  <c:v>23.672000000000001</c:v>
                </c:pt>
                <c:pt idx="2098">
                  <c:v>23.51</c:v>
                </c:pt>
                <c:pt idx="2099">
                  <c:v>24.32</c:v>
                </c:pt>
                <c:pt idx="2100">
                  <c:v>24.158000000000001</c:v>
                </c:pt>
                <c:pt idx="2101">
                  <c:v>24.158000000000001</c:v>
                </c:pt>
                <c:pt idx="2102">
                  <c:v>23.672000000000001</c:v>
                </c:pt>
                <c:pt idx="2103">
                  <c:v>24.32</c:v>
                </c:pt>
                <c:pt idx="2104">
                  <c:v>24.481999999999999</c:v>
                </c:pt>
                <c:pt idx="2105">
                  <c:v>24.481999999999999</c:v>
                </c:pt>
                <c:pt idx="2106">
                  <c:v>24.32</c:v>
                </c:pt>
                <c:pt idx="2107">
                  <c:v>25.13</c:v>
                </c:pt>
                <c:pt idx="2108">
                  <c:v>24.968</c:v>
                </c:pt>
                <c:pt idx="2109">
                  <c:v>24.968</c:v>
                </c:pt>
                <c:pt idx="2110">
                  <c:v>24.481999999999999</c:v>
                </c:pt>
                <c:pt idx="2111">
                  <c:v>25.13</c:v>
                </c:pt>
                <c:pt idx="2112">
                  <c:v>25.292000000000002</c:v>
                </c:pt>
                <c:pt idx="2113">
                  <c:v>25.292000000000002</c:v>
                </c:pt>
                <c:pt idx="2114">
                  <c:v>25.130000000000003</c:v>
                </c:pt>
                <c:pt idx="2115">
                  <c:v>25.94</c:v>
                </c:pt>
                <c:pt idx="2116">
                  <c:v>25.778000000000002</c:v>
                </c:pt>
                <c:pt idx="2117">
                  <c:v>25.778000000000002</c:v>
                </c:pt>
                <c:pt idx="2118">
                  <c:v>25.292000000000002</c:v>
                </c:pt>
                <c:pt idx="2119">
                  <c:v>25.94</c:v>
                </c:pt>
                <c:pt idx="2120">
                  <c:v>26.102</c:v>
                </c:pt>
                <c:pt idx="2121">
                  <c:v>26.102</c:v>
                </c:pt>
                <c:pt idx="2122">
                  <c:v>25.94</c:v>
                </c:pt>
                <c:pt idx="2123">
                  <c:v>26.75</c:v>
                </c:pt>
                <c:pt idx="2124">
                  <c:v>26.588000000000001</c:v>
                </c:pt>
                <c:pt idx="2125">
                  <c:v>26.588000000000001</c:v>
                </c:pt>
                <c:pt idx="2126">
                  <c:v>26.102</c:v>
                </c:pt>
                <c:pt idx="2127">
                  <c:v>26.75</c:v>
                </c:pt>
                <c:pt idx="2128">
                  <c:v>26.102</c:v>
                </c:pt>
                <c:pt idx="2129">
                  <c:v>26.102</c:v>
                </c:pt>
                <c:pt idx="2130">
                  <c:v>25.94</c:v>
                </c:pt>
                <c:pt idx="2131">
                  <c:v>26.75</c:v>
                </c:pt>
                <c:pt idx="2132">
                  <c:v>26.588000000000001</c:v>
                </c:pt>
                <c:pt idx="2133">
                  <c:v>26.588000000000001</c:v>
                </c:pt>
                <c:pt idx="2134">
                  <c:v>26.102</c:v>
                </c:pt>
                <c:pt idx="2135">
                  <c:v>26.75</c:v>
                </c:pt>
                <c:pt idx="2136">
                  <c:v>26.102</c:v>
                </c:pt>
                <c:pt idx="2137">
                  <c:v>26.102</c:v>
                </c:pt>
                <c:pt idx="2138">
                  <c:v>25.94</c:v>
                </c:pt>
                <c:pt idx="2139">
                  <c:v>26.75</c:v>
                </c:pt>
                <c:pt idx="2140">
                  <c:v>26.588000000000001</c:v>
                </c:pt>
                <c:pt idx="2141">
                  <c:v>26.588000000000001</c:v>
                </c:pt>
                <c:pt idx="2142">
                  <c:v>26.102</c:v>
                </c:pt>
                <c:pt idx="2143">
                  <c:v>26.75</c:v>
                </c:pt>
                <c:pt idx="2144">
                  <c:v>26.102</c:v>
                </c:pt>
                <c:pt idx="2145">
                  <c:v>26.102</c:v>
                </c:pt>
                <c:pt idx="2146">
                  <c:v>25.94</c:v>
                </c:pt>
                <c:pt idx="2147">
                  <c:v>26.75</c:v>
                </c:pt>
                <c:pt idx="2148">
                  <c:v>26.588000000000001</c:v>
                </c:pt>
                <c:pt idx="2149">
                  <c:v>26.588000000000001</c:v>
                </c:pt>
                <c:pt idx="2150">
                  <c:v>26.102</c:v>
                </c:pt>
                <c:pt idx="2151">
                  <c:v>26.75</c:v>
                </c:pt>
                <c:pt idx="2152">
                  <c:v>26.102</c:v>
                </c:pt>
                <c:pt idx="2153">
                  <c:v>26.102</c:v>
                </c:pt>
                <c:pt idx="2154">
                  <c:v>25.94</c:v>
                </c:pt>
                <c:pt idx="2155">
                  <c:v>26.75</c:v>
                </c:pt>
                <c:pt idx="2156">
                  <c:v>26.588000000000001</c:v>
                </c:pt>
                <c:pt idx="2157">
                  <c:v>26.588000000000001</c:v>
                </c:pt>
                <c:pt idx="2158">
                  <c:v>26.102</c:v>
                </c:pt>
                <c:pt idx="2159">
                  <c:v>26.75</c:v>
                </c:pt>
                <c:pt idx="2160">
                  <c:v>26.102</c:v>
                </c:pt>
                <c:pt idx="2161">
                  <c:v>26.102</c:v>
                </c:pt>
                <c:pt idx="2162">
                  <c:v>25.94</c:v>
                </c:pt>
                <c:pt idx="2163">
                  <c:v>26.75</c:v>
                </c:pt>
                <c:pt idx="2164">
                  <c:v>26.588000000000001</c:v>
                </c:pt>
                <c:pt idx="2165">
                  <c:v>26.588000000000001</c:v>
                </c:pt>
                <c:pt idx="2166">
                  <c:v>26.102</c:v>
                </c:pt>
                <c:pt idx="2167">
                  <c:v>26.75</c:v>
                </c:pt>
                <c:pt idx="2168">
                  <c:v>26.102</c:v>
                </c:pt>
                <c:pt idx="2169">
                  <c:v>26.102</c:v>
                </c:pt>
                <c:pt idx="2170">
                  <c:v>25.94</c:v>
                </c:pt>
                <c:pt idx="2171">
                  <c:v>26.75</c:v>
                </c:pt>
                <c:pt idx="2172">
                  <c:v>26.588000000000001</c:v>
                </c:pt>
                <c:pt idx="2173">
                  <c:v>26.588000000000001</c:v>
                </c:pt>
                <c:pt idx="2174">
                  <c:v>26.102</c:v>
                </c:pt>
                <c:pt idx="2175">
                  <c:v>26.75</c:v>
                </c:pt>
                <c:pt idx="2176">
                  <c:v>26.102</c:v>
                </c:pt>
                <c:pt idx="2177">
                  <c:v>26.102</c:v>
                </c:pt>
                <c:pt idx="2178">
                  <c:v>25.94</c:v>
                </c:pt>
                <c:pt idx="2179">
                  <c:v>26.75</c:v>
                </c:pt>
                <c:pt idx="2180">
                  <c:v>26.588000000000001</c:v>
                </c:pt>
                <c:pt idx="2181">
                  <c:v>26.588000000000001</c:v>
                </c:pt>
                <c:pt idx="2182">
                  <c:v>26.102</c:v>
                </c:pt>
                <c:pt idx="2183">
                  <c:v>26.75</c:v>
                </c:pt>
                <c:pt idx="2184">
                  <c:v>26.102</c:v>
                </c:pt>
                <c:pt idx="2185">
                  <c:v>26.102</c:v>
                </c:pt>
                <c:pt idx="2186">
                  <c:v>25.94</c:v>
                </c:pt>
                <c:pt idx="2187">
                  <c:v>26.75</c:v>
                </c:pt>
                <c:pt idx="2188">
                  <c:v>26.588000000000001</c:v>
                </c:pt>
                <c:pt idx="2189">
                  <c:v>26.588000000000001</c:v>
                </c:pt>
                <c:pt idx="2190">
                  <c:v>26.102</c:v>
                </c:pt>
                <c:pt idx="2191">
                  <c:v>26.75</c:v>
                </c:pt>
                <c:pt idx="2192">
                  <c:v>26.102</c:v>
                </c:pt>
                <c:pt idx="2193">
                  <c:v>26.102</c:v>
                </c:pt>
                <c:pt idx="2194">
                  <c:v>25.94</c:v>
                </c:pt>
                <c:pt idx="2195">
                  <c:v>26.75</c:v>
                </c:pt>
                <c:pt idx="2196">
                  <c:v>26.588000000000001</c:v>
                </c:pt>
                <c:pt idx="2197">
                  <c:v>26.588000000000001</c:v>
                </c:pt>
                <c:pt idx="2198">
                  <c:v>26.102</c:v>
                </c:pt>
                <c:pt idx="2199">
                  <c:v>26.75</c:v>
                </c:pt>
                <c:pt idx="2200">
                  <c:v>26.102</c:v>
                </c:pt>
                <c:pt idx="2201">
                  <c:v>26.102</c:v>
                </c:pt>
                <c:pt idx="2202">
                  <c:v>25.94</c:v>
                </c:pt>
                <c:pt idx="2203">
                  <c:v>26.75</c:v>
                </c:pt>
                <c:pt idx="2204">
                  <c:v>26.588000000000001</c:v>
                </c:pt>
                <c:pt idx="2205">
                  <c:v>26.588000000000001</c:v>
                </c:pt>
                <c:pt idx="2206">
                  <c:v>26.102</c:v>
                </c:pt>
                <c:pt idx="2207">
                  <c:v>26.75</c:v>
                </c:pt>
                <c:pt idx="2208">
                  <c:v>26.102</c:v>
                </c:pt>
                <c:pt idx="2209">
                  <c:v>26.102</c:v>
                </c:pt>
                <c:pt idx="2210">
                  <c:v>25.94</c:v>
                </c:pt>
                <c:pt idx="2211">
                  <c:v>26.75</c:v>
                </c:pt>
                <c:pt idx="2212">
                  <c:v>26.588000000000001</c:v>
                </c:pt>
                <c:pt idx="2213">
                  <c:v>26.588000000000001</c:v>
                </c:pt>
                <c:pt idx="2214">
                  <c:v>26.102</c:v>
                </c:pt>
                <c:pt idx="2215">
                  <c:v>26.75</c:v>
                </c:pt>
                <c:pt idx="2216">
                  <c:v>26.102</c:v>
                </c:pt>
                <c:pt idx="2217">
                  <c:v>26.102</c:v>
                </c:pt>
                <c:pt idx="2218">
                  <c:v>25.94</c:v>
                </c:pt>
                <c:pt idx="2219">
                  <c:v>26.75</c:v>
                </c:pt>
                <c:pt idx="2220">
                  <c:v>26.588000000000001</c:v>
                </c:pt>
                <c:pt idx="2221">
                  <c:v>26.588000000000001</c:v>
                </c:pt>
                <c:pt idx="2222">
                  <c:v>26.102</c:v>
                </c:pt>
                <c:pt idx="2223">
                  <c:v>26.75</c:v>
                </c:pt>
                <c:pt idx="2224">
                  <c:v>26.102</c:v>
                </c:pt>
                <c:pt idx="2225">
                  <c:v>26.102</c:v>
                </c:pt>
                <c:pt idx="2226">
                  <c:v>25.94</c:v>
                </c:pt>
                <c:pt idx="2227">
                  <c:v>26.75</c:v>
                </c:pt>
                <c:pt idx="2228">
                  <c:v>26.588000000000001</c:v>
                </c:pt>
                <c:pt idx="2229">
                  <c:v>26.588000000000001</c:v>
                </c:pt>
                <c:pt idx="2230">
                  <c:v>26.102</c:v>
                </c:pt>
                <c:pt idx="2231">
                  <c:v>26.75</c:v>
                </c:pt>
                <c:pt idx="2232">
                  <c:v>26.102</c:v>
                </c:pt>
                <c:pt idx="2233">
                  <c:v>26.102</c:v>
                </c:pt>
                <c:pt idx="2234">
                  <c:v>25.94</c:v>
                </c:pt>
                <c:pt idx="2235">
                  <c:v>26.75</c:v>
                </c:pt>
                <c:pt idx="2236">
                  <c:v>26.588000000000001</c:v>
                </c:pt>
                <c:pt idx="2237">
                  <c:v>26.588000000000001</c:v>
                </c:pt>
                <c:pt idx="2238">
                  <c:v>26.102</c:v>
                </c:pt>
                <c:pt idx="2239">
                  <c:v>26.75</c:v>
                </c:pt>
                <c:pt idx="2240">
                  <c:v>26.102</c:v>
                </c:pt>
                <c:pt idx="2241">
                  <c:v>26.102</c:v>
                </c:pt>
                <c:pt idx="2242">
                  <c:v>25.94</c:v>
                </c:pt>
                <c:pt idx="2243">
                  <c:v>26.75</c:v>
                </c:pt>
                <c:pt idx="2244">
                  <c:v>26.588000000000001</c:v>
                </c:pt>
                <c:pt idx="2245">
                  <c:v>26.588000000000001</c:v>
                </c:pt>
                <c:pt idx="2246">
                  <c:v>26.102</c:v>
                </c:pt>
                <c:pt idx="2247">
                  <c:v>26.75</c:v>
                </c:pt>
                <c:pt idx="2248">
                  <c:v>26.102</c:v>
                </c:pt>
                <c:pt idx="2249">
                  <c:v>26.102</c:v>
                </c:pt>
                <c:pt idx="2250">
                  <c:v>25.94</c:v>
                </c:pt>
                <c:pt idx="2251">
                  <c:v>26.75</c:v>
                </c:pt>
                <c:pt idx="2252">
                  <c:v>26.588000000000001</c:v>
                </c:pt>
                <c:pt idx="2253">
                  <c:v>26.588000000000001</c:v>
                </c:pt>
                <c:pt idx="2254">
                  <c:v>26.102</c:v>
                </c:pt>
                <c:pt idx="2255">
                  <c:v>26.75</c:v>
                </c:pt>
                <c:pt idx="2256">
                  <c:v>26.102</c:v>
                </c:pt>
                <c:pt idx="2257">
                  <c:v>26.102</c:v>
                </c:pt>
                <c:pt idx="2258">
                  <c:v>25.94</c:v>
                </c:pt>
                <c:pt idx="2259">
                  <c:v>26.75</c:v>
                </c:pt>
                <c:pt idx="2260">
                  <c:v>26.588000000000001</c:v>
                </c:pt>
                <c:pt idx="2261">
                  <c:v>26.588000000000001</c:v>
                </c:pt>
                <c:pt idx="2262">
                  <c:v>26.102</c:v>
                </c:pt>
                <c:pt idx="2263">
                  <c:v>26.75</c:v>
                </c:pt>
                <c:pt idx="2264">
                  <c:v>26.102</c:v>
                </c:pt>
                <c:pt idx="2265">
                  <c:v>26.102</c:v>
                </c:pt>
                <c:pt idx="2266">
                  <c:v>25.94</c:v>
                </c:pt>
                <c:pt idx="2267">
                  <c:v>26.75</c:v>
                </c:pt>
                <c:pt idx="2268">
                  <c:v>26.588000000000001</c:v>
                </c:pt>
                <c:pt idx="2269">
                  <c:v>26.588000000000001</c:v>
                </c:pt>
                <c:pt idx="2270">
                  <c:v>26.102</c:v>
                </c:pt>
                <c:pt idx="2271">
                  <c:v>26.75</c:v>
                </c:pt>
                <c:pt idx="2272">
                  <c:v>26.102</c:v>
                </c:pt>
                <c:pt idx="2273">
                  <c:v>26.102</c:v>
                </c:pt>
                <c:pt idx="2274">
                  <c:v>25.94</c:v>
                </c:pt>
                <c:pt idx="2275">
                  <c:v>26.75</c:v>
                </c:pt>
                <c:pt idx="2276">
                  <c:v>26.588000000000001</c:v>
                </c:pt>
                <c:pt idx="2277">
                  <c:v>26.588000000000001</c:v>
                </c:pt>
                <c:pt idx="2278">
                  <c:v>26.102</c:v>
                </c:pt>
                <c:pt idx="2279">
                  <c:v>26.75</c:v>
                </c:pt>
                <c:pt idx="2280">
                  <c:v>26.102</c:v>
                </c:pt>
                <c:pt idx="2281">
                  <c:v>26.102</c:v>
                </c:pt>
                <c:pt idx="2282">
                  <c:v>25.94</c:v>
                </c:pt>
                <c:pt idx="2283">
                  <c:v>26.75</c:v>
                </c:pt>
                <c:pt idx="2284">
                  <c:v>26.588000000000001</c:v>
                </c:pt>
                <c:pt idx="2285">
                  <c:v>26.588000000000001</c:v>
                </c:pt>
                <c:pt idx="2286">
                  <c:v>26.102</c:v>
                </c:pt>
                <c:pt idx="2287">
                  <c:v>26.75</c:v>
                </c:pt>
                <c:pt idx="2288">
                  <c:v>26.102</c:v>
                </c:pt>
                <c:pt idx="2289">
                  <c:v>26.102</c:v>
                </c:pt>
                <c:pt idx="2290">
                  <c:v>25.94</c:v>
                </c:pt>
                <c:pt idx="2291">
                  <c:v>26.75</c:v>
                </c:pt>
                <c:pt idx="2292">
                  <c:v>26.588000000000001</c:v>
                </c:pt>
                <c:pt idx="2293">
                  <c:v>26.588000000000001</c:v>
                </c:pt>
                <c:pt idx="2294">
                  <c:v>26.102</c:v>
                </c:pt>
                <c:pt idx="2295">
                  <c:v>26.75</c:v>
                </c:pt>
                <c:pt idx="2296">
                  <c:v>26.102</c:v>
                </c:pt>
                <c:pt idx="2297">
                  <c:v>26.102</c:v>
                </c:pt>
                <c:pt idx="2298">
                  <c:v>25.94</c:v>
                </c:pt>
                <c:pt idx="2299">
                  <c:v>26.75</c:v>
                </c:pt>
                <c:pt idx="2300">
                  <c:v>26.588000000000001</c:v>
                </c:pt>
                <c:pt idx="2301">
                  <c:v>26.588000000000001</c:v>
                </c:pt>
                <c:pt idx="2302">
                  <c:v>26.102</c:v>
                </c:pt>
                <c:pt idx="2303">
                  <c:v>26.75</c:v>
                </c:pt>
                <c:pt idx="2304">
                  <c:v>26.102</c:v>
                </c:pt>
                <c:pt idx="2305">
                  <c:v>26.102</c:v>
                </c:pt>
                <c:pt idx="2306">
                  <c:v>25.94</c:v>
                </c:pt>
                <c:pt idx="2307">
                  <c:v>26.75</c:v>
                </c:pt>
                <c:pt idx="2308">
                  <c:v>26.588000000000001</c:v>
                </c:pt>
                <c:pt idx="2309">
                  <c:v>26.588000000000001</c:v>
                </c:pt>
                <c:pt idx="2310">
                  <c:v>26.102</c:v>
                </c:pt>
                <c:pt idx="2311">
                  <c:v>26.75</c:v>
                </c:pt>
                <c:pt idx="2312">
                  <c:v>26.102</c:v>
                </c:pt>
                <c:pt idx="2313">
                  <c:v>26.102</c:v>
                </c:pt>
                <c:pt idx="2314">
                  <c:v>25.94</c:v>
                </c:pt>
                <c:pt idx="2315">
                  <c:v>26.75</c:v>
                </c:pt>
                <c:pt idx="2316">
                  <c:v>26.588000000000001</c:v>
                </c:pt>
                <c:pt idx="2317">
                  <c:v>26.588000000000001</c:v>
                </c:pt>
                <c:pt idx="2318">
                  <c:v>26.102</c:v>
                </c:pt>
                <c:pt idx="2319">
                  <c:v>26.75</c:v>
                </c:pt>
                <c:pt idx="2320">
                  <c:v>26.102</c:v>
                </c:pt>
                <c:pt idx="2321">
                  <c:v>26.102</c:v>
                </c:pt>
                <c:pt idx="2322">
                  <c:v>25.94</c:v>
                </c:pt>
                <c:pt idx="2323">
                  <c:v>26.75</c:v>
                </c:pt>
                <c:pt idx="2324">
                  <c:v>26.588000000000001</c:v>
                </c:pt>
                <c:pt idx="2325">
                  <c:v>26.588000000000001</c:v>
                </c:pt>
                <c:pt idx="2326">
                  <c:v>26.102</c:v>
                </c:pt>
                <c:pt idx="2327">
                  <c:v>26.75</c:v>
                </c:pt>
                <c:pt idx="2328">
                  <c:v>26.102</c:v>
                </c:pt>
                <c:pt idx="2329">
                  <c:v>26.102</c:v>
                </c:pt>
                <c:pt idx="2330">
                  <c:v>25.94</c:v>
                </c:pt>
                <c:pt idx="2331">
                  <c:v>26.75</c:v>
                </c:pt>
                <c:pt idx="2332">
                  <c:v>26.588000000000001</c:v>
                </c:pt>
                <c:pt idx="2333">
                  <c:v>26.588000000000001</c:v>
                </c:pt>
                <c:pt idx="2334">
                  <c:v>26.102</c:v>
                </c:pt>
                <c:pt idx="2335">
                  <c:v>26.75</c:v>
                </c:pt>
                <c:pt idx="2336">
                  <c:v>26.102</c:v>
                </c:pt>
                <c:pt idx="2337">
                  <c:v>26.102</c:v>
                </c:pt>
                <c:pt idx="2338">
                  <c:v>25.94</c:v>
                </c:pt>
                <c:pt idx="2339">
                  <c:v>26.75</c:v>
                </c:pt>
                <c:pt idx="2340">
                  <c:v>26.588000000000001</c:v>
                </c:pt>
                <c:pt idx="2341">
                  <c:v>26.588000000000001</c:v>
                </c:pt>
                <c:pt idx="2342">
                  <c:v>26.102</c:v>
                </c:pt>
                <c:pt idx="2343">
                  <c:v>26.75</c:v>
                </c:pt>
                <c:pt idx="2344">
                  <c:v>26.102</c:v>
                </c:pt>
                <c:pt idx="2345">
                  <c:v>26.102</c:v>
                </c:pt>
                <c:pt idx="2346">
                  <c:v>25.94</c:v>
                </c:pt>
                <c:pt idx="2347">
                  <c:v>26.75</c:v>
                </c:pt>
                <c:pt idx="2348">
                  <c:v>26.588000000000001</c:v>
                </c:pt>
                <c:pt idx="2349">
                  <c:v>26.588000000000001</c:v>
                </c:pt>
                <c:pt idx="2350">
                  <c:v>26.102</c:v>
                </c:pt>
                <c:pt idx="2351">
                  <c:v>26.75</c:v>
                </c:pt>
                <c:pt idx="2352">
                  <c:v>26.102</c:v>
                </c:pt>
                <c:pt idx="2353">
                  <c:v>26.102</c:v>
                </c:pt>
                <c:pt idx="2354">
                  <c:v>25.94</c:v>
                </c:pt>
                <c:pt idx="2355">
                  <c:v>26.75</c:v>
                </c:pt>
                <c:pt idx="2356">
                  <c:v>26.588000000000001</c:v>
                </c:pt>
                <c:pt idx="2357">
                  <c:v>26.588000000000001</c:v>
                </c:pt>
                <c:pt idx="2358">
                  <c:v>26.102</c:v>
                </c:pt>
                <c:pt idx="2359">
                  <c:v>26.75</c:v>
                </c:pt>
                <c:pt idx="2360">
                  <c:v>26.102</c:v>
                </c:pt>
                <c:pt idx="2361">
                  <c:v>26.102</c:v>
                </c:pt>
                <c:pt idx="2362">
                  <c:v>25.94</c:v>
                </c:pt>
                <c:pt idx="2363">
                  <c:v>26.75</c:v>
                </c:pt>
                <c:pt idx="2364">
                  <c:v>26.588000000000001</c:v>
                </c:pt>
                <c:pt idx="2365">
                  <c:v>26.588000000000001</c:v>
                </c:pt>
                <c:pt idx="2366">
                  <c:v>26.102</c:v>
                </c:pt>
                <c:pt idx="2367">
                  <c:v>26.75</c:v>
                </c:pt>
                <c:pt idx="2368">
                  <c:v>26.102</c:v>
                </c:pt>
                <c:pt idx="2369">
                  <c:v>26.102</c:v>
                </c:pt>
                <c:pt idx="2370">
                  <c:v>25.94</c:v>
                </c:pt>
                <c:pt idx="2371">
                  <c:v>26.75</c:v>
                </c:pt>
                <c:pt idx="2372">
                  <c:v>26.588000000000001</c:v>
                </c:pt>
                <c:pt idx="2373">
                  <c:v>26.588000000000001</c:v>
                </c:pt>
                <c:pt idx="2374">
                  <c:v>26.102</c:v>
                </c:pt>
                <c:pt idx="2375">
                  <c:v>26.75</c:v>
                </c:pt>
                <c:pt idx="2376">
                  <c:v>26.102</c:v>
                </c:pt>
                <c:pt idx="2377">
                  <c:v>26.102</c:v>
                </c:pt>
                <c:pt idx="2378">
                  <c:v>25.94</c:v>
                </c:pt>
                <c:pt idx="2379">
                  <c:v>26.75</c:v>
                </c:pt>
                <c:pt idx="2380">
                  <c:v>26.588000000000001</c:v>
                </c:pt>
                <c:pt idx="2381">
                  <c:v>26.588000000000001</c:v>
                </c:pt>
                <c:pt idx="2382">
                  <c:v>26.102</c:v>
                </c:pt>
                <c:pt idx="2383">
                  <c:v>26.75</c:v>
                </c:pt>
                <c:pt idx="2384">
                  <c:v>26.102</c:v>
                </c:pt>
                <c:pt idx="2385">
                  <c:v>26.102</c:v>
                </c:pt>
                <c:pt idx="2386">
                  <c:v>25.94</c:v>
                </c:pt>
                <c:pt idx="2387">
                  <c:v>26.75</c:v>
                </c:pt>
                <c:pt idx="2388">
                  <c:v>26.588000000000001</c:v>
                </c:pt>
                <c:pt idx="2389">
                  <c:v>26.588000000000001</c:v>
                </c:pt>
                <c:pt idx="2390">
                  <c:v>26.102</c:v>
                </c:pt>
                <c:pt idx="2391">
                  <c:v>26.75</c:v>
                </c:pt>
                <c:pt idx="2392">
                  <c:v>26.102</c:v>
                </c:pt>
                <c:pt idx="2393">
                  <c:v>26.102</c:v>
                </c:pt>
                <c:pt idx="2394">
                  <c:v>25.94</c:v>
                </c:pt>
                <c:pt idx="2395">
                  <c:v>26.75</c:v>
                </c:pt>
                <c:pt idx="2396">
                  <c:v>26.588000000000001</c:v>
                </c:pt>
                <c:pt idx="2397">
                  <c:v>26.588000000000001</c:v>
                </c:pt>
                <c:pt idx="2398">
                  <c:v>26.102</c:v>
                </c:pt>
                <c:pt idx="2399">
                  <c:v>26.75</c:v>
                </c:pt>
                <c:pt idx="2400">
                  <c:v>26.102</c:v>
                </c:pt>
                <c:pt idx="2401">
                  <c:v>26.102</c:v>
                </c:pt>
                <c:pt idx="2402">
                  <c:v>25.94</c:v>
                </c:pt>
                <c:pt idx="2403">
                  <c:v>26.75</c:v>
                </c:pt>
                <c:pt idx="2404">
                  <c:v>26.588000000000001</c:v>
                </c:pt>
                <c:pt idx="2405">
                  <c:v>26.588000000000001</c:v>
                </c:pt>
                <c:pt idx="2406">
                  <c:v>26.102</c:v>
                </c:pt>
                <c:pt idx="2407">
                  <c:v>26.75</c:v>
                </c:pt>
                <c:pt idx="2408">
                  <c:v>26.75</c:v>
                </c:pt>
                <c:pt idx="2409">
                  <c:v>6.5</c:v>
                </c:pt>
                <c:pt idx="2410">
                  <c:v>6.6619999999999999</c:v>
                </c:pt>
                <c:pt idx="2411">
                  <c:v>6.6619999999999999</c:v>
                </c:pt>
                <c:pt idx="2412">
                  <c:v>6.5</c:v>
                </c:pt>
                <c:pt idx="2413">
                  <c:v>7.3100000000000005</c:v>
                </c:pt>
                <c:pt idx="2414">
                  <c:v>7.1479999999999997</c:v>
                </c:pt>
                <c:pt idx="2415">
                  <c:v>7.1479999999999997</c:v>
                </c:pt>
                <c:pt idx="2416">
                  <c:v>6.6619999999999999</c:v>
                </c:pt>
                <c:pt idx="2417">
                  <c:v>7.3100000000000005</c:v>
                </c:pt>
                <c:pt idx="2418">
                  <c:v>7.4720000000000004</c:v>
                </c:pt>
                <c:pt idx="2419">
                  <c:v>7.4720000000000004</c:v>
                </c:pt>
                <c:pt idx="2420">
                  <c:v>7.3100000000000005</c:v>
                </c:pt>
                <c:pt idx="2421">
                  <c:v>8.120000000000001</c:v>
                </c:pt>
                <c:pt idx="2422">
                  <c:v>7.9580000000000002</c:v>
                </c:pt>
                <c:pt idx="2423">
                  <c:v>7.9580000000000002</c:v>
                </c:pt>
                <c:pt idx="2424">
                  <c:v>7.4720000000000004</c:v>
                </c:pt>
                <c:pt idx="2425">
                  <c:v>8.120000000000001</c:v>
                </c:pt>
                <c:pt idx="2426">
                  <c:v>8.2820000000000018</c:v>
                </c:pt>
                <c:pt idx="2427">
                  <c:v>8.2820000000000018</c:v>
                </c:pt>
                <c:pt idx="2428">
                  <c:v>8.120000000000001</c:v>
                </c:pt>
                <c:pt idx="2429">
                  <c:v>8.9300000000000015</c:v>
                </c:pt>
                <c:pt idx="2430">
                  <c:v>8.7680000000000007</c:v>
                </c:pt>
                <c:pt idx="2431">
                  <c:v>8.7680000000000007</c:v>
                </c:pt>
                <c:pt idx="2432">
                  <c:v>8.2820000000000018</c:v>
                </c:pt>
                <c:pt idx="2433">
                  <c:v>8.9300000000000015</c:v>
                </c:pt>
                <c:pt idx="2434">
                  <c:v>9.0920000000000005</c:v>
                </c:pt>
                <c:pt idx="2435">
                  <c:v>9.0920000000000005</c:v>
                </c:pt>
                <c:pt idx="2436">
                  <c:v>8.93</c:v>
                </c:pt>
                <c:pt idx="2437">
                  <c:v>9.74</c:v>
                </c:pt>
                <c:pt idx="2438">
                  <c:v>9.5779999999999994</c:v>
                </c:pt>
                <c:pt idx="2439">
                  <c:v>9.5779999999999994</c:v>
                </c:pt>
                <c:pt idx="2440">
                  <c:v>9.0920000000000005</c:v>
                </c:pt>
                <c:pt idx="2441">
                  <c:v>9.74</c:v>
                </c:pt>
                <c:pt idx="2442">
                  <c:v>9.902000000000001</c:v>
                </c:pt>
                <c:pt idx="2443">
                  <c:v>9.902000000000001</c:v>
                </c:pt>
                <c:pt idx="2444">
                  <c:v>9.74</c:v>
                </c:pt>
                <c:pt idx="2445">
                  <c:v>10.55</c:v>
                </c:pt>
                <c:pt idx="2446">
                  <c:v>10.388</c:v>
                </c:pt>
                <c:pt idx="2447">
                  <c:v>10.388</c:v>
                </c:pt>
                <c:pt idx="2448">
                  <c:v>9.902000000000001</c:v>
                </c:pt>
                <c:pt idx="2449">
                  <c:v>10.55</c:v>
                </c:pt>
                <c:pt idx="2450">
                  <c:v>10.712000000000002</c:v>
                </c:pt>
                <c:pt idx="2451">
                  <c:v>10.712000000000002</c:v>
                </c:pt>
                <c:pt idx="2452">
                  <c:v>10.55</c:v>
                </c:pt>
                <c:pt idx="2453">
                  <c:v>11.360000000000001</c:v>
                </c:pt>
                <c:pt idx="2454">
                  <c:v>11.198</c:v>
                </c:pt>
                <c:pt idx="2455">
                  <c:v>11.198</c:v>
                </c:pt>
                <c:pt idx="2456">
                  <c:v>10.712000000000002</c:v>
                </c:pt>
                <c:pt idx="2457">
                  <c:v>11.360000000000001</c:v>
                </c:pt>
                <c:pt idx="2458">
                  <c:v>11.522</c:v>
                </c:pt>
                <c:pt idx="2459">
                  <c:v>11.522</c:v>
                </c:pt>
                <c:pt idx="2460">
                  <c:v>11.36</c:v>
                </c:pt>
                <c:pt idx="2461">
                  <c:v>12.17</c:v>
                </c:pt>
                <c:pt idx="2462">
                  <c:v>12.007999999999999</c:v>
                </c:pt>
                <c:pt idx="2463">
                  <c:v>12.007999999999999</c:v>
                </c:pt>
                <c:pt idx="2464">
                  <c:v>11.522</c:v>
                </c:pt>
                <c:pt idx="2465">
                  <c:v>12.17</c:v>
                </c:pt>
                <c:pt idx="2466">
                  <c:v>12.332000000000001</c:v>
                </c:pt>
                <c:pt idx="2467">
                  <c:v>12.332000000000001</c:v>
                </c:pt>
                <c:pt idx="2468">
                  <c:v>12.17</c:v>
                </c:pt>
                <c:pt idx="2469">
                  <c:v>12.98</c:v>
                </c:pt>
                <c:pt idx="2470">
                  <c:v>12.818</c:v>
                </c:pt>
                <c:pt idx="2471">
                  <c:v>12.818</c:v>
                </c:pt>
                <c:pt idx="2472">
                  <c:v>12.332000000000001</c:v>
                </c:pt>
                <c:pt idx="2473">
                  <c:v>12.98</c:v>
                </c:pt>
                <c:pt idx="2474">
                  <c:v>13.142000000000001</c:v>
                </c:pt>
                <c:pt idx="2475">
                  <c:v>13.142000000000001</c:v>
                </c:pt>
                <c:pt idx="2476">
                  <c:v>12.98</c:v>
                </c:pt>
                <c:pt idx="2477">
                  <c:v>13.790000000000001</c:v>
                </c:pt>
                <c:pt idx="2478">
                  <c:v>13.628</c:v>
                </c:pt>
                <c:pt idx="2479">
                  <c:v>13.628</c:v>
                </c:pt>
                <c:pt idx="2480">
                  <c:v>13.142000000000001</c:v>
                </c:pt>
                <c:pt idx="2481">
                  <c:v>13.790000000000001</c:v>
                </c:pt>
                <c:pt idx="2482">
                  <c:v>13.952000000000002</c:v>
                </c:pt>
                <c:pt idx="2483">
                  <c:v>13.952000000000002</c:v>
                </c:pt>
                <c:pt idx="2484">
                  <c:v>13.790000000000001</c:v>
                </c:pt>
                <c:pt idx="2485">
                  <c:v>14.600000000000001</c:v>
                </c:pt>
                <c:pt idx="2486">
                  <c:v>14.438000000000001</c:v>
                </c:pt>
                <c:pt idx="2487">
                  <c:v>14.438000000000001</c:v>
                </c:pt>
                <c:pt idx="2488">
                  <c:v>13.952000000000002</c:v>
                </c:pt>
                <c:pt idx="2489">
                  <c:v>14.600000000000001</c:v>
                </c:pt>
                <c:pt idx="2490">
                  <c:v>14.762000000000002</c:v>
                </c:pt>
                <c:pt idx="2491">
                  <c:v>14.762000000000002</c:v>
                </c:pt>
                <c:pt idx="2492">
                  <c:v>14.600000000000001</c:v>
                </c:pt>
                <c:pt idx="2493">
                  <c:v>15.410000000000002</c:v>
                </c:pt>
                <c:pt idx="2494">
                  <c:v>15.248000000000001</c:v>
                </c:pt>
                <c:pt idx="2495">
                  <c:v>15.248000000000001</c:v>
                </c:pt>
                <c:pt idx="2496">
                  <c:v>14.762000000000002</c:v>
                </c:pt>
                <c:pt idx="2497">
                  <c:v>15.410000000000002</c:v>
                </c:pt>
                <c:pt idx="2498">
                  <c:v>15.572000000000001</c:v>
                </c:pt>
                <c:pt idx="2499">
                  <c:v>15.572000000000001</c:v>
                </c:pt>
                <c:pt idx="2500">
                  <c:v>15.41</c:v>
                </c:pt>
                <c:pt idx="2501">
                  <c:v>16.22</c:v>
                </c:pt>
                <c:pt idx="2502">
                  <c:v>16.058</c:v>
                </c:pt>
                <c:pt idx="2503">
                  <c:v>16.058</c:v>
                </c:pt>
                <c:pt idx="2504">
                  <c:v>15.572000000000001</c:v>
                </c:pt>
                <c:pt idx="2505">
                  <c:v>16.22</c:v>
                </c:pt>
                <c:pt idx="2506">
                  <c:v>16.381999999999998</c:v>
                </c:pt>
                <c:pt idx="2507">
                  <c:v>16.381999999999998</c:v>
                </c:pt>
                <c:pt idx="2508">
                  <c:v>16.22</c:v>
                </c:pt>
                <c:pt idx="2509">
                  <c:v>17.029999999999998</c:v>
                </c:pt>
                <c:pt idx="2510">
                  <c:v>16.867999999999999</c:v>
                </c:pt>
                <c:pt idx="2511">
                  <c:v>16.867999999999999</c:v>
                </c:pt>
                <c:pt idx="2512">
                  <c:v>16.381999999999998</c:v>
                </c:pt>
                <c:pt idx="2513">
                  <c:v>17.029999999999998</c:v>
                </c:pt>
                <c:pt idx="2514">
                  <c:v>17.192</c:v>
                </c:pt>
                <c:pt idx="2515">
                  <c:v>17.192</c:v>
                </c:pt>
                <c:pt idx="2516">
                  <c:v>17.03</c:v>
                </c:pt>
                <c:pt idx="2517">
                  <c:v>17.84</c:v>
                </c:pt>
                <c:pt idx="2518">
                  <c:v>17.678000000000001</c:v>
                </c:pt>
                <c:pt idx="2519">
                  <c:v>17.678000000000001</c:v>
                </c:pt>
                <c:pt idx="2520">
                  <c:v>17.192</c:v>
                </c:pt>
                <c:pt idx="2521">
                  <c:v>17.84</c:v>
                </c:pt>
                <c:pt idx="2522">
                  <c:v>18.001999999999999</c:v>
                </c:pt>
                <c:pt idx="2523">
                  <c:v>18.001999999999999</c:v>
                </c:pt>
                <c:pt idx="2524">
                  <c:v>17.84</c:v>
                </c:pt>
                <c:pt idx="2525">
                  <c:v>18.649999999999999</c:v>
                </c:pt>
                <c:pt idx="2526">
                  <c:v>18.488</c:v>
                </c:pt>
                <c:pt idx="2527">
                  <c:v>18.488</c:v>
                </c:pt>
                <c:pt idx="2528">
                  <c:v>18.001999999999999</c:v>
                </c:pt>
                <c:pt idx="2529">
                  <c:v>18.649999999999999</c:v>
                </c:pt>
                <c:pt idx="2530">
                  <c:v>18.811999999999998</c:v>
                </c:pt>
                <c:pt idx="2531">
                  <c:v>18.811999999999998</c:v>
                </c:pt>
                <c:pt idx="2532">
                  <c:v>18.649999999999999</c:v>
                </c:pt>
                <c:pt idx="2533">
                  <c:v>19.459999999999997</c:v>
                </c:pt>
                <c:pt idx="2534">
                  <c:v>19.297999999999998</c:v>
                </c:pt>
                <c:pt idx="2535">
                  <c:v>19.297999999999998</c:v>
                </c:pt>
                <c:pt idx="2536">
                  <c:v>18.811999999999998</c:v>
                </c:pt>
                <c:pt idx="2537">
                  <c:v>19.459999999999997</c:v>
                </c:pt>
                <c:pt idx="2538">
                  <c:v>19.622</c:v>
                </c:pt>
                <c:pt idx="2539">
                  <c:v>19.622</c:v>
                </c:pt>
                <c:pt idx="2540">
                  <c:v>19.46</c:v>
                </c:pt>
                <c:pt idx="2541">
                  <c:v>20.27</c:v>
                </c:pt>
                <c:pt idx="2542">
                  <c:v>20.108000000000001</c:v>
                </c:pt>
                <c:pt idx="2543">
                  <c:v>20.108000000000001</c:v>
                </c:pt>
                <c:pt idx="2544">
                  <c:v>19.622</c:v>
                </c:pt>
                <c:pt idx="2545">
                  <c:v>20.27</c:v>
                </c:pt>
                <c:pt idx="2546">
                  <c:v>20.432000000000002</c:v>
                </c:pt>
                <c:pt idx="2547">
                  <c:v>20.432000000000002</c:v>
                </c:pt>
                <c:pt idx="2548">
                  <c:v>20.270000000000003</c:v>
                </c:pt>
                <c:pt idx="2549">
                  <c:v>21.080000000000002</c:v>
                </c:pt>
                <c:pt idx="2550">
                  <c:v>20.918000000000003</c:v>
                </c:pt>
                <c:pt idx="2551">
                  <c:v>20.918000000000003</c:v>
                </c:pt>
                <c:pt idx="2552">
                  <c:v>20.432000000000002</c:v>
                </c:pt>
                <c:pt idx="2553">
                  <c:v>21.080000000000002</c:v>
                </c:pt>
                <c:pt idx="2554">
                  <c:v>21.242000000000001</c:v>
                </c:pt>
                <c:pt idx="2555">
                  <c:v>21.242000000000001</c:v>
                </c:pt>
                <c:pt idx="2556">
                  <c:v>21.080000000000002</c:v>
                </c:pt>
                <c:pt idx="2557">
                  <c:v>21.89</c:v>
                </c:pt>
                <c:pt idx="2558">
                  <c:v>21.728000000000002</c:v>
                </c:pt>
                <c:pt idx="2559">
                  <c:v>21.728000000000002</c:v>
                </c:pt>
                <c:pt idx="2560">
                  <c:v>21.242000000000001</c:v>
                </c:pt>
                <c:pt idx="2561">
                  <c:v>21.89</c:v>
                </c:pt>
                <c:pt idx="2562">
                  <c:v>22.052</c:v>
                </c:pt>
                <c:pt idx="2563">
                  <c:v>22.052</c:v>
                </c:pt>
                <c:pt idx="2564">
                  <c:v>21.89</c:v>
                </c:pt>
                <c:pt idx="2565">
                  <c:v>22.7</c:v>
                </c:pt>
                <c:pt idx="2566">
                  <c:v>22.538</c:v>
                </c:pt>
                <c:pt idx="2567">
                  <c:v>22.538</c:v>
                </c:pt>
                <c:pt idx="2568">
                  <c:v>22.052</c:v>
                </c:pt>
                <c:pt idx="2569">
                  <c:v>22.7</c:v>
                </c:pt>
                <c:pt idx="2570">
                  <c:v>22.862000000000002</c:v>
                </c:pt>
                <c:pt idx="2571">
                  <c:v>22.862000000000002</c:v>
                </c:pt>
                <c:pt idx="2572">
                  <c:v>22.700000000000003</c:v>
                </c:pt>
                <c:pt idx="2573">
                  <c:v>23.51</c:v>
                </c:pt>
                <c:pt idx="2574">
                  <c:v>23.348000000000003</c:v>
                </c:pt>
                <c:pt idx="2575">
                  <c:v>23.348000000000003</c:v>
                </c:pt>
                <c:pt idx="2576">
                  <c:v>22.862000000000002</c:v>
                </c:pt>
                <c:pt idx="2577">
                  <c:v>23.51</c:v>
                </c:pt>
                <c:pt idx="2578">
                  <c:v>23.672000000000001</c:v>
                </c:pt>
                <c:pt idx="2579">
                  <c:v>23.672000000000001</c:v>
                </c:pt>
                <c:pt idx="2580">
                  <c:v>23.51</c:v>
                </c:pt>
                <c:pt idx="2581">
                  <c:v>24.32</c:v>
                </c:pt>
                <c:pt idx="2582">
                  <c:v>24.158000000000001</c:v>
                </c:pt>
                <c:pt idx="2583">
                  <c:v>24.158000000000001</c:v>
                </c:pt>
                <c:pt idx="2584">
                  <c:v>23.672000000000001</c:v>
                </c:pt>
                <c:pt idx="2585">
                  <c:v>24.32</c:v>
                </c:pt>
                <c:pt idx="2586">
                  <c:v>24.481999999999999</c:v>
                </c:pt>
                <c:pt idx="2587">
                  <c:v>24.481999999999999</c:v>
                </c:pt>
                <c:pt idx="2588">
                  <c:v>24.32</c:v>
                </c:pt>
                <c:pt idx="2589">
                  <c:v>25.13</c:v>
                </c:pt>
                <c:pt idx="2590">
                  <c:v>24.968</c:v>
                </c:pt>
                <c:pt idx="2591">
                  <c:v>24.968</c:v>
                </c:pt>
                <c:pt idx="2592">
                  <c:v>24.481999999999999</c:v>
                </c:pt>
                <c:pt idx="2593">
                  <c:v>25.13</c:v>
                </c:pt>
                <c:pt idx="2594">
                  <c:v>25.292000000000002</c:v>
                </c:pt>
                <c:pt idx="2595">
                  <c:v>25.292000000000002</c:v>
                </c:pt>
                <c:pt idx="2596">
                  <c:v>25.130000000000003</c:v>
                </c:pt>
                <c:pt idx="2597">
                  <c:v>25.94</c:v>
                </c:pt>
                <c:pt idx="2598">
                  <c:v>25.778000000000002</c:v>
                </c:pt>
                <c:pt idx="2599">
                  <c:v>25.778000000000002</c:v>
                </c:pt>
                <c:pt idx="2600">
                  <c:v>25.292000000000002</c:v>
                </c:pt>
                <c:pt idx="2601">
                  <c:v>25.94</c:v>
                </c:pt>
                <c:pt idx="2602">
                  <c:v>26.102</c:v>
                </c:pt>
                <c:pt idx="2603">
                  <c:v>26.102</c:v>
                </c:pt>
                <c:pt idx="2604">
                  <c:v>25.94</c:v>
                </c:pt>
                <c:pt idx="2605">
                  <c:v>26.75</c:v>
                </c:pt>
                <c:pt idx="2606">
                  <c:v>26.588000000000001</c:v>
                </c:pt>
                <c:pt idx="2607">
                  <c:v>26.588000000000001</c:v>
                </c:pt>
                <c:pt idx="2608">
                  <c:v>26.102</c:v>
                </c:pt>
                <c:pt idx="2609">
                  <c:v>26.75</c:v>
                </c:pt>
                <c:pt idx="2610">
                  <c:v>26.102</c:v>
                </c:pt>
                <c:pt idx="2611">
                  <c:v>26.102</c:v>
                </c:pt>
                <c:pt idx="2612">
                  <c:v>25.94</c:v>
                </c:pt>
                <c:pt idx="2613">
                  <c:v>26.75</c:v>
                </c:pt>
                <c:pt idx="2614">
                  <c:v>26.588000000000001</c:v>
                </c:pt>
                <c:pt idx="2615">
                  <c:v>26.588000000000001</c:v>
                </c:pt>
                <c:pt idx="2616">
                  <c:v>26.102</c:v>
                </c:pt>
                <c:pt idx="2617">
                  <c:v>26.75</c:v>
                </c:pt>
                <c:pt idx="2618">
                  <c:v>26.102</c:v>
                </c:pt>
                <c:pt idx="2619">
                  <c:v>26.102</c:v>
                </c:pt>
                <c:pt idx="2620">
                  <c:v>25.94</c:v>
                </c:pt>
                <c:pt idx="2621">
                  <c:v>26.75</c:v>
                </c:pt>
                <c:pt idx="2622">
                  <c:v>26.588000000000001</c:v>
                </c:pt>
                <c:pt idx="2623">
                  <c:v>26.588000000000001</c:v>
                </c:pt>
                <c:pt idx="2624">
                  <c:v>26.102</c:v>
                </c:pt>
                <c:pt idx="2625">
                  <c:v>26.75</c:v>
                </c:pt>
                <c:pt idx="2626">
                  <c:v>26.102</c:v>
                </c:pt>
                <c:pt idx="2627">
                  <c:v>26.102</c:v>
                </c:pt>
                <c:pt idx="2628">
                  <c:v>25.94</c:v>
                </c:pt>
                <c:pt idx="2629">
                  <c:v>26.75</c:v>
                </c:pt>
                <c:pt idx="2630">
                  <c:v>26.588000000000001</c:v>
                </c:pt>
                <c:pt idx="2631">
                  <c:v>26.588000000000001</c:v>
                </c:pt>
                <c:pt idx="2632">
                  <c:v>26.102</c:v>
                </c:pt>
                <c:pt idx="2633">
                  <c:v>26.75</c:v>
                </c:pt>
                <c:pt idx="2634">
                  <c:v>26.102</c:v>
                </c:pt>
                <c:pt idx="2635">
                  <c:v>26.102</c:v>
                </c:pt>
                <c:pt idx="2636">
                  <c:v>25.94</c:v>
                </c:pt>
                <c:pt idx="2637">
                  <c:v>26.75</c:v>
                </c:pt>
                <c:pt idx="2638">
                  <c:v>26.588000000000001</c:v>
                </c:pt>
                <c:pt idx="2639">
                  <c:v>26.588000000000001</c:v>
                </c:pt>
                <c:pt idx="2640">
                  <c:v>26.102</c:v>
                </c:pt>
                <c:pt idx="2641">
                  <c:v>26.75</c:v>
                </c:pt>
                <c:pt idx="2642">
                  <c:v>26.102</c:v>
                </c:pt>
                <c:pt idx="2643">
                  <c:v>26.102</c:v>
                </c:pt>
                <c:pt idx="2644">
                  <c:v>25.94</c:v>
                </c:pt>
                <c:pt idx="2645">
                  <c:v>26.75</c:v>
                </c:pt>
                <c:pt idx="2646">
                  <c:v>26.588000000000001</c:v>
                </c:pt>
                <c:pt idx="2647">
                  <c:v>26.588000000000001</c:v>
                </c:pt>
                <c:pt idx="2648">
                  <c:v>26.102</c:v>
                </c:pt>
                <c:pt idx="2649">
                  <c:v>26.75</c:v>
                </c:pt>
                <c:pt idx="2650">
                  <c:v>26.102</c:v>
                </c:pt>
                <c:pt idx="2651">
                  <c:v>26.102</c:v>
                </c:pt>
                <c:pt idx="2652">
                  <c:v>25.94</c:v>
                </c:pt>
                <c:pt idx="2653">
                  <c:v>26.75</c:v>
                </c:pt>
                <c:pt idx="2654">
                  <c:v>26.588000000000001</c:v>
                </c:pt>
                <c:pt idx="2655">
                  <c:v>26.588000000000001</c:v>
                </c:pt>
                <c:pt idx="2656">
                  <c:v>26.102</c:v>
                </c:pt>
                <c:pt idx="2657">
                  <c:v>26.75</c:v>
                </c:pt>
                <c:pt idx="2658">
                  <c:v>26.102</c:v>
                </c:pt>
                <c:pt idx="2659">
                  <c:v>26.102</c:v>
                </c:pt>
                <c:pt idx="2660">
                  <c:v>25.94</c:v>
                </c:pt>
                <c:pt idx="2661">
                  <c:v>26.75</c:v>
                </c:pt>
                <c:pt idx="2662">
                  <c:v>26.588000000000001</c:v>
                </c:pt>
                <c:pt idx="2663">
                  <c:v>26.588000000000001</c:v>
                </c:pt>
                <c:pt idx="2664">
                  <c:v>26.102</c:v>
                </c:pt>
                <c:pt idx="2665">
                  <c:v>26.75</c:v>
                </c:pt>
                <c:pt idx="2666">
                  <c:v>26.102</c:v>
                </c:pt>
                <c:pt idx="2667">
                  <c:v>26.102</c:v>
                </c:pt>
                <c:pt idx="2668">
                  <c:v>25.94</c:v>
                </c:pt>
                <c:pt idx="2669">
                  <c:v>26.75</c:v>
                </c:pt>
                <c:pt idx="2670">
                  <c:v>26.588000000000001</c:v>
                </c:pt>
                <c:pt idx="2671">
                  <c:v>26.588000000000001</c:v>
                </c:pt>
                <c:pt idx="2672">
                  <c:v>26.102</c:v>
                </c:pt>
                <c:pt idx="2673">
                  <c:v>26.75</c:v>
                </c:pt>
                <c:pt idx="2674">
                  <c:v>26.102</c:v>
                </c:pt>
                <c:pt idx="2675">
                  <c:v>26.102</c:v>
                </c:pt>
                <c:pt idx="2676">
                  <c:v>25.94</c:v>
                </c:pt>
                <c:pt idx="2677">
                  <c:v>26.75</c:v>
                </c:pt>
                <c:pt idx="2678">
                  <c:v>26.588000000000001</c:v>
                </c:pt>
                <c:pt idx="2679">
                  <c:v>26.588000000000001</c:v>
                </c:pt>
                <c:pt idx="2680">
                  <c:v>26.102</c:v>
                </c:pt>
                <c:pt idx="2681">
                  <c:v>26.75</c:v>
                </c:pt>
                <c:pt idx="2682">
                  <c:v>26.102</c:v>
                </c:pt>
                <c:pt idx="2683">
                  <c:v>26.102</c:v>
                </c:pt>
                <c:pt idx="2684">
                  <c:v>25.94</c:v>
                </c:pt>
                <c:pt idx="2685">
                  <c:v>26.75</c:v>
                </c:pt>
                <c:pt idx="2686">
                  <c:v>26.588000000000001</c:v>
                </c:pt>
                <c:pt idx="2687">
                  <c:v>26.588000000000001</c:v>
                </c:pt>
                <c:pt idx="2688">
                  <c:v>26.102</c:v>
                </c:pt>
                <c:pt idx="2689">
                  <c:v>26.75</c:v>
                </c:pt>
                <c:pt idx="2690">
                  <c:v>26.102</c:v>
                </c:pt>
                <c:pt idx="2691">
                  <c:v>26.102</c:v>
                </c:pt>
                <c:pt idx="2692">
                  <c:v>25.94</c:v>
                </c:pt>
                <c:pt idx="2693">
                  <c:v>26.75</c:v>
                </c:pt>
                <c:pt idx="2694">
                  <c:v>26.588000000000001</c:v>
                </c:pt>
                <c:pt idx="2695">
                  <c:v>26.588000000000001</c:v>
                </c:pt>
                <c:pt idx="2696">
                  <c:v>26.102</c:v>
                </c:pt>
                <c:pt idx="2697">
                  <c:v>26.75</c:v>
                </c:pt>
                <c:pt idx="2698">
                  <c:v>26.102</c:v>
                </c:pt>
                <c:pt idx="2699">
                  <c:v>26.102</c:v>
                </c:pt>
                <c:pt idx="2700">
                  <c:v>25.94</c:v>
                </c:pt>
                <c:pt idx="2701">
                  <c:v>26.75</c:v>
                </c:pt>
                <c:pt idx="2702">
                  <c:v>26.588000000000001</c:v>
                </c:pt>
                <c:pt idx="2703">
                  <c:v>26.588000000000001</c:v>
                </c:pt>
                <c:pt idx="2704">
                  <c:v>26.102</c:v>
                </c:pt>
                <c:pt idx="2705">
                  <c:v>26.75</c:v>
                </c:pt>
                <c:pt idx="2706">
                  <c:v>26.102</c:v>
                </c:pt>
                <c:pt idx="2707">
                  <c:v>26.102</c:v>
                </c:pt>
                <c:pt idx="2708">
                  <c:v>25.94</c:v>
                </c:pt>
                <c:pt idx="2709">
                  <c:v>26.75</c:v>
                </c:pt>
                <c:pt idx="2710">
                  <c:v>26.588000000000001</c:v>
                </c:pt>
                <c:pt idx="2711">
                  <c:v>26.588000000000001</c:v>
                </c:pt>
                <c:pt idx="2712">
                  <c:v>26.102</c:v>
                </c:pt>
                <c:pt idx="2713">
                  <c:v>26.75</c:v>
                </c:pt>
                <c:pt idx="2714">
                  <c:v>26.102</c:v>
                </c:pt>
                <c:pt idx="2715">
                  <c:v>26.102</c:v>
                </c:pt>
                <c:pt idx="2716">
                  <c:v>25.94</c:v>
                </c:pt>
                <c:pt idx="2717">
                  <c:v>26.75</c:v>
                </c:pt>
                <c:pt idx="2718">
                  <c:v>26.588000000000001</c:v>
                </c:pt>
                <c:pt idx="2719">
                  <c:v>26.588000000000001</c:v>
                </c:pt>
                <c:pt idx="2720">
                  <c:v>26.102</c:v>
                </c:pt>
                <c:pt idx="2721">
                  <c:v>26.75</c:v>
                </c:pt>
                <c:pt idx="2722">
                  <c:v>26.102</c:v>
                </c:pt>
                <c:pt idx="2723">
                  <c:v>26.102</c:v>
                </c:pt>
                <c:pt idx="2724">
                  <c:v>25.94</c:v>
                </c:pt>
                <c:pt idx="2725">
                  <c:v>26.75</c:v>
                </c:pt>
                <c:pt idx="2726">
                  <c:v>26.588000000000001</c:v>
                </c:pt>
                <c:pt idx="2727">
                  <c:v>26.588000000000001</c:v>
                </c:pt>
                <c:pt idx="2728">
                  <c:v>26.102</c:v>
                </c:pt>
                <c:pt idx="2729">
                  <c:v>26.75</c:v>
                </c:pt>
                <c:pt idx="2730">
                  <c:v>26.102</c:v>
                </c:pt>
                <c:pt idx="2731">
                  <c:v>26.102</c:v>
                </c:pt>
                <c:pt idx="2732">
                  <c:v>25.94</c:v>
                </c:pt>
                <c:pt idx="2733">
                  <c:v>26.75</c:v>
                </c:pt>
                <c:pt idx="2734">
                  <c:v>26.588000000000001</c:v>
                </c:pt>
                <c:pt idx="2735">
                  <c:v>26.588000000000001</c:v>
                </c:pt>
                <c:pt idx="2736">
                  <c:v>26.102</c:v>
                </c:pt>
                <c:pt idx="2737">
                  <c:v>26.75</c:v>
                </c:pt>
                <c:pt idx="2738">
                  <c:v>26.102</c:v>
                </c:pt>
                <c:pt idx="2739">
                  <c:v>26.102</c:v>
                </c:pt>
                <c:pt idx="2740">
                  <c:v>25.94</c:v>
                </c:pt>
                <c:pt idx="2741">
                  <c:v>26.75</c:v>
                </c:pt>
                <c:pt idx="2742">
                  <c:v>26.588000000000001</c:v>
                </c:pt>
                <c:pt idx="2743">
                  <c:v>26.588000000000001</c:v>
                </c:pt>
                <c:pt idx="2744">
                  <c:v>26.102</c:v>
                </c:pt>
                <c:pt idx="2745">
                  <c:v>26.75</c:v>
                </c:pt>
                <c:pt idx="2746">
                  <c:v>26.102</c:v>
                </c:pt>
                <c:pt idx="2747">
                  <c:v>26.102</c:v>
                </c:pt>
                <c:pt idx="2748">
                  <c:v>25.94</c:v>
                </c:pt>
                <c:pt idx="2749">
                  <c:v>26.75</c:v>
                </c:pt>
                <c:pt idx="2750">
                  <c:v>26.588000000000001</c:v>
                </c:pt>
                <c:pt idx="2751">
                  <c:v>26.588000000000001</c:v>
                </c:pt>
                <c:pt idx="2752">
                  <c:v>26.102</c:v>
                </c:pt>
                <c:pt idx="2753">
                  <c:v>26.75</c:v>
                </c:pt>
                <c:pt idx="2754">
                  <c:v>26.102</c:v>
                </c:pt>
                <c:pt idx="2755">
                  <c:v>26.102</c:v>
                </c:pt>
                <c:pt idx="2756">
                  <c:v>25.94</c:v>
                </c:pt>
                <c:pt idx="2757">
                  <c:v>26.75</c:v>
                </c:pt>
                <c:pt idx="2758">
                  <c:v>26.588000000000001</c:v>
                </c:pt>
                <c:pt idx="2759">
                  <c:v>26.588000000000001</c:v>
                </c:pt>
                <c:pt idx="2760">
                  <c:v>26.102</c:v>
                </c:pt>
                <c:pt idx="2761">
                  <c:v>26.75</c:v>
                </c:pt>
                <c:pt idx="2762">
                  <c:v>26.102</c:v>
                </c:pt>
                <c:pt idx="2763">
                  <c:v>26.102</c:v>
                </c:pt>
                <c:pt idx="2764">
                  <c:v>25.94</c:v>
                </c:pt>
                <c:pt idx="2765">
                  <c:v>26.75</c:v>
                </c:pt>
                <c:pt idx="2766">
                  <c:v>26.588000000000001</c:v>
                </c:pt>
                <c:pt idx="2767">
                  <c:v>26.588000000000001</c:v>
                </c:pt>
                <c:pt idx="2768">
                  <c:v>26.102</c:v>
                </c:pt>
                <c:pt idx="2769">
                  <c:v>26.75</c:v>
                </c:pt>
                <c:pt idx="2770">
                  <c:v>26.102</c:v>
                </c:pt>
                <c:pt idx="2771">
                  <c:v>26.102</c:v>
                </c:pt>
                <c:pt idx="2772">
                  <c:v>25.94</c:v>
                </c:pt>
                <c:pt idx="2773">
                  <c:v>26.75</c:v>
                </c:pt>
                <c:pt idx="2774">
                  <c:v>26.588000000000001</c:v>
                </c:pt>
                <c:pt idx="2775">
                  <c:v>26.588000000000001</c:v>
                </c:pt>
                <c:pt idx="2776">
                  <c:v>26.102</c:v>
                </c:pt>
                <c:pt idx="2777">
                  <c:v>26.75</c:v>
                </c:pt>
                <c:pt idx="2778">
                  <c:v>26.102</c:v>
                </c:pt>
                <c:pt idx="2779">
                  <c:v>26.102</c:v>
                </c:pt>
                <c:pt idx="2780">
                  <c:v>25.94</c:v>
                </c:pt>
                <c:pt idx="2781">
                  <c:v>26.75</c:v>
                </c:pt>
                <c:pt idx="2782">
                  <c:v>26.588000000000001</c:v>
                </c:pt>
                <c:pt idx="2783">
                  <c:v>26.588000000000001</c:v>
                </c:pt>
                <c:pt idx="2784">
                  <c:v>26.102</c:v>
                </c:pt>
                <c:pt idx="2785">
                  <c:v>26.75</c:v>
                </c:pt>
                <c:pt idx="2786">
                  <c:v>26.102</c:v>
                </c:pt>
                <c:pt idx="2787">
                  <c:v>26.102</c:v>
                </c:pt>
                <c:pt idx="2788">
                  <c:v>25.94</c:v>
                </c:pt>
                <c:pt idx="2789">
                  <c:v>26.75</c:v>
                </c:pt>
                <c:pt idx="2790">
                  <c:v>26.588000000000001</c:v>
                </c:pt>
                <c:pt idx="2791">
                  <c:v>26.588000000000001</c:v>
                </c:pt>
                <c:pt idx="2792">
                  <c:v>26.102</c:v>
                </c:pt>
                <c:pt idx="2793">
                  <c:v>26.75</c:v>
                </c:pt>
                <c:pt idx="2794">
                  <c:v>26.102</c:v>
                </c:pt>
                <c:pt idx="2795">
                  <c:v>26.102</c:v>
                </c:pt>
                <c:pt idx="2796">
                  <c:v>25.94</c:v>
                </c:pt>
                <c:pt idx="2797">
                  <c:v>26.75</c:v>
                </c:pt>
                <c:pt idx="2798">
                  <c:v>26.588000000000001</c:v>
                </c:pt>
                <c:pt idx="2799">
                  <c:v>26.588000000000001</c:v>
                </c:pt>
                <c:pt idx="2800">
                  <c:v>26.102</c:v>
                </c:pt>
                <c:pt idx="2801">
                  <c:v>26.75</c:v>
                </c:pt>
                <c:pt idx="2802">
                  <c:v>26.102</c:v>
                </c:pt>
                <c:pt idx="2803">
                  <c:v>26.102</c:v>
                </c:pt>
                <c:pt idx="2804">
                  <c:v>25.94</c:v>
                </c:pt>
                <c:pt idx="2805">
                  <c:v>26.75</c:v>
                </c:pt>
                <c:pt idx="2806">
                  <c:v>26.588000000000001</c:v>
                </c:pt>
                <c:pt idx="2807">
                  <c:v>26.588000000000001</c:v>
                </c:pt>
                <c:pt idx="2808">
                  <c:v>26.102</c:v>
                </c:pt>
                <c:pt idx="2809">
                  <c:v>26.75</c:v>
                </c:pt>
                <c:pt idx="2810">
                  <c:v>26.102</c:v>
                </c:pt>
                <c:pt idx="2811">
                  <c:v>26.102</c:v>
                </c:pt>
                <c:pt idx="2812">
                  <c:v>25.94</c:v>
                </c:pt>
                <c:pt idx="2813">
                  <c:v>26.75</c:v>
                </c:pt>
                <c:pt idx="2814">
                  <c:v>26.588000000000001</c:v>
                </c:pt>
                <c:pt idx="2815">
                  <c:v>26.588000000000001</c:v>
                </c:pt>
                <c:pt idx="2816">
                  <c:v>26.102</c:v>
                </c:pt>
                <c:pt idx="2817">
                  <c:v>26.75</c:v>
                </c:pt>
                <c:pt idx="2818">
                  <c:v>26.102</c:v>
                </c:pt>
                <c:pt idx="2819">
                  <c:v>26.102</c:v>
                </c:pt>
                <c:pt idx="2820">
                  <c:v>25.94</c:v>
                </c:pt>
                <c:pt idx="2821">
                  <c:v>26.75</c:v>
                </c:pt>
                <c:pt idx="2822">
                  <c:v>26.588000000000001</c:v>
                </c:pt>
                <c:pt idx="2823">
                  <c:v>26.588000000000001</c:v>
                </c:pt>
                <c:pt idx="2824">
                  <c:v>26.102</c:v>
                </c:pt>
                <c:pt idx="2825">
                  <c:v>26.75</c:v>
                </c:pt>
                <c:pt idx="2826">
                  <c:v>26.102</c:v>
                </c:pt>
                <c:pt idx="2827">
                  <c:v>26.102</c:v>
                </c:pt>
                <c:pt idx="2828">
                  <c:v>25.94</c:v>
                </c:pt>
                <c:pt idx="2829">
                  <c:v>26.75</c:v>
                </c:pt>
                <c:pt idx="2830">
                  <c:v>26.588000000000001</c:v>
                </c:pt>
                <c:pt idx="2831">
                  <c:v>26.588000000000001</c:v>
                </c:pt>
                <c:pt idx="2832">
                  <c:v>26.102</c:v>
                </c:pt>
                <c:pt idx="2833">
                  <c:v>26.75</c:v>
                </c:pt>
                <c:pt idx="2834">
                  <c:v>26.102</c:v>
                </c:pt>
                <c:pt idx="2835">
                  <c:v>26.102</c:v>
                </c:pt>
                <c:pt idx="2836">
                  <c:v>25.94</c:v>
                </c:pt>
                <c:pt idx="2837">
                  <c:v>26.75</c:v>
                </c:pt>
                <c:pt idx="2838">
                  <c:v>26.588000000000001</c:v>
                </c:pt>
                <c:pt idx="2839">
                  <c:v>26.588000000000001</c:v>
                </c:pt>
                <c:pt idx="2840">
                  <c:v>26.102</c:v>
                </c:pt>
                <c:pt idx="2841">
                  <c:v>26.75</c:v>
                </c:pt>
                <c:pt idx="2842">
                  <c:v>26.102</c:v>
                </c:pt>
                <c:pt idx="2843">
                  <c:v>26.102</c:v>
                </c:pt>
                <c:pt idx="2844">
                  <c:v>25.94</c:v>
                </c:pt>
                <c:pt idx="2845">
                  <c:v>26.75</c:v>
                </c:pt>
                <c:pt idx="2846">
                  <c:v>26.588000000000001</c:v>
                </c:pt>
                <c:pt idx="2847">
                  <c:v>26.588000000000001</c:v>
                </c:pt>
                <c:pt idx="2848">
                  <c:v>26.102</c:v>
                </c:pt>
                <c:pt idx="2849">
                  <c:v>26.75</c:v>
                </c:pt>
                <c:pt idx="2850">
                  <c:v>26.102</c:v>
                </c:pt>
                <c:pt idx="2851">
                  <c:v>26.102</c:v>
                </c:pt>
                <c:pt idx="2852">
                  <c:v>25.94</c:v>
                </c:pt>
                <c:pt idx="2853">
                  <c:v>26.75</c:v>
                </c:pt>
                <c:pt idx="2854">
                  <c:v>26.588000000000001</c:v>
                </c:pt>
                <c:pt idx="2855">
                  <c:v>26.588000000000001</c:v>
                </c:pt>
                <c:pt idx="2856">
                  <c:v>26.102</c:v>
                </c:pt>
                <c:pt idx="2857">
                  <c:v>26.75</c:v>
                </c:pt>
                <c:pt idx="2858">
                  <c:v>26.102</c:v>
                </c:pt>
                <c:pt idx="2859">
                  <c:v>26.102</c:v>
                </c:pt>
                <c:pt idx="2860">
                  <c:v>25.94</c:v>
                </c:pt>
                <c:pt idx="2861">
                  <c:v>26.75</c:v>
                </c:pt>
                <c:pt idx="2862">
                  <c:v>26.588000000000001</c:v>
                </c:pt>
                <c:pt idx="2863">
                  <c:v>26.588000000000001</c:v>
                </c:pt>
                <c:pt idx="2864">
                  <c:v>26.102</c:v>
                </c:pt>
                <c:pt idx="2865">
                  <c:v>26.75</c:v>
                </c:pt>
                <c:pt idx="2866">
                  <c:v>26.102</c:v>
                </c:pt>
                <c:pt idx="2867">
                  <c:v>26.102</c:v>
                </c:pt>
                <c:pt idx="2868">
                  <c:v>25.94</c:v>
                </c:pt>
                <c:pt idx="2869">
                  <c:v>26.75</c:v>
                </c:pt>
                <c:pt idx="2870">
                  <c:v>26.588000000000001</c:v>
                </c:pt>
                <c:pt idx="2871">
                  <c:v>26.588000000000001</c:v>
                </c:pt>
                <c:pt idx="2872">
                  <c:v>26.102</c:v>
                </c:pt>
                <c:pt idx="2873">
                  <c:v>26.75</c:v>
                </c:pt>
                <c:pt idx="2874">
                  <c:v>26.102</c:v>
                </c:pt>
                <c:pt idx="2875">
                  <c:v>26.102</c:v>
                </c:pt>
                <c:pt idx="2876">
                  <c:v>25.94</c:v>
                </c:pt>
                <c:pt idx="2877">
                  <c:v>26.75</c:v>
                </c:pt>
                <c:pt idx="2878">
                  <c:v>26.588000000000001</c:v>
                </c:pt>
                <c:pt idx="2879">
                  <c:v>26.588000000000001</c:v>
                </c:pt>
                <c:pt idx="2880">
                  <c:v>26.102</c:v>
                </c:pt>
                <c:pt idx="2881">
                  <c:v>26.75</c:v>
                </c:pt>
                <c:pt idx="2882">
                  <c:v>26.102</c:v>
                </c:pt>
                <c:pt idx="2883">
                  <c:v>26.102</c:v>
                </c:pt>
                <c:pt idx="2884">
                  <c:v>25.94</c:v>
                </c:pt>
                <c:pt idx="2885">
                  <c:v>26.75</c:v>
                </c:pt>
                <c:pt idx="2886">
                  <c:v>26.588000000000001</c:v>
                </c:pt>
                <c:pt idx="2887">
                  <c:v>26.588000000000001</c:v>
                </c:pt>
                <c:pt idx="2888">
                  <c:v>26.102</c:v>
                </c:pt>
                <c:pt idx="2889">
                  <c:v>26.75</c:v>
                </c:pt>
                <c:pt idx="2890">
                  <c:v>26.75</c:v>
                </c:pt>
                <c:pt idx="2891">
                  <c:v>6.5</c:v>
                </c:pt>
                <c:pt idx="2892">
                  <c:v>6.6619999999999999</c:v>
                </c:pt>
                <c:pt idx="2893">
                  <c:v>6.6619999999999999</c:v>
                </c:pt>
                <c:pt idx="2894">
                  <c:v>6.5</c:v>
                </c:pt>
                <c:pt idx="2895">
                  <c:v>7.3100000000000005</c:v>
                </c:pt>
                <c:pt idx="2896">
                  <c:v>7.1479999999999997</c:v>
                </c:pt>
                <c:pt idx="2897">
                  <c:v>7.1479999999999997</c:v>
                </c:pt>
                <c:pt idx="2898">
                  <c:v>6.6619999999999999</c:v>
                </c:pt>
                <c:pt idx="2899">
                  <c:v>7.3100000000000005</c:v>
                </c:pt>
                <c:pt idx="2900">
                  <c:v>7.4720000000000004</c:v>
                </c:pt>
                <c:pt idx="2901">
                  <c:v>7.4720000000000004</c:v>
                </c:pt>
                <c:pt idx="2902">
                  <c:v>7.3100000000000005</c:v>
                </c:pt>
                <c:pt idx="2903">
                  <c:v>8.120000000000001</c:v>
                </c:pt>
                <c:pt idx="2904">
                  <c:v>7.9580000000000002</c:v>
                </c:pt>
                <c:pt idx="2905">
                  <c:v>7.9580000000000002</c:v>
                </c:pt>
                <c:pt idx="2906">
                  <c:v>7.4720000000000004</c:v>
                </c:pt>
                <c:pt idx="2907">
                  <c:v>8.120000000000001</c:v>
                </c:pt>
                <c:pt idx="2908">
                  <c:v>8.2820000000000018</c:v>
                </c:pt>
                <c:pt idx="2909">
                  <c:v>8.2820000000000018</c:v>
                </c:pt>
                <c:pt idx="2910">
                  <c:v>8.120000000000001</c:v>
                </c:pt>
                <c:pt idx="2911">
                  <c:v>8.9300000000000015</c:v>
                </c:pt>
                <c:pt idx="2912">
                  <c:v>8.7680000000000007</c:v>
                </c:pt>
                <c:pt idx="2913">
                  <c:v>8.7680000000000007</c:v>
                </c:pt>
                <c:pt idx="2914">
                  <c:v>8.2820000000000018</c:v>
                </c:pt>
                <c:pt idx="2915">
                  <c:v>8.9300000000000015</c:v>
                </c:pt>
                <c:pt idx="2916">
                  <c:v>9.0920000000000005</c:v>
                </c:pt>
                <c:pt idx="2917">
                  <c:v>9.0920000000000005</c:v>
                </c:pt>
                <c:pt idx="2918">
                  <c:v>8.93</c:v>
                </c:pt>
                <c:pt idx="2919">
                  <c:v>9.74</c:v>
                </c:pt>
                <c:pt idx="2920">
                  <c:v>9.5779999999999994</c:v>
                </c:pt>
                <c:pt idx="2921">
                  <c:v>9.5779999999999994</c:v>
                </c:pt>
                <c:pt idx="2922">
                  <c:v>9.0920000000000005</c:v>
                </c:pt>
                <c:pt idx="2923">
                  <c:v>9.74</c:v>
                </c:pt>
                <c:pt idx="2924">
                  <c:v>9.902000000000001</c:v>
                </c:pt>
                <c:pt idx="2925">
                  <c:v>9.902000000000001</c:v>
                </c:pt>
                <c:pt idx="2926">
                  <c:v>9.74</c:v>
                </c:pt>
                <c:pt idx="2927">
                  <c:v>10.55</c:v>
                </c:pt>
                <c:pt idx="2928">
                  <c:v>10.388</c:v>
                </c:pt>
                <c:pt idx="2929">
                  <c:v>10.388</c:v>
                </c:pt>
                <c:pt idx="2930">
                  <c:v>9.902000000000001</c:v>
                </c:pt>
                <c:pt idx="2931">
                  <c:v>10.55</c:v>
                </c:pt>
                <c:pt idx="2932">
                  <c:v>10.712000000000002</c:v>
                </c:pt>
                <c:pt idx="2933">
                  <c:v>10.712000000000002</c:v>
                </c:pt>
                <c:pt idx="2934">
                  <c:v>10.55</c:v>
                </c:pt>
                <c:pt idx="2935">
                  <c:v>11.360000000000001</c:v>
                </c:pt>
                <c:pt idx="2936">
                  <c:v>11.198</c:v>
                </c:pt>
                <c:pt idx="2937">
                  <c:v>11.198</c:v>
                </c:pt>
                <c:pt idx="2938">
                  <c:v>10.712000000000002</c:v>
                </c:pt>
                <c:pt idx="2939">
                  <c:v>11.360000000000001</c:v>
                </c:pt>
                <c:pt idx="2940">
                  <c:v>11.522</c:v>
                </c:pt>
                <c:pt idx="2941">
                  <c:v>11.522</c:v>
                </c:pt>
                <c:pt idx="2942">
                  <c:v>11.36</c:v>
                </c:pt>
                <c:pt idx="2943">
                  <c:v>12.17</c:v>
                </c:pt>
                <c:pt idx="2944">
                  <c:v>12.007999999999999</c:v>
                </c:pt>
                <c:pt idx="2945">
                  <c:v>12.007999999999999</c:v>
                </c:pt>
                <c:pt idx="2946">
                  <c:v>11.522</c:v>
                </c:pt>
                <c:pt idx="2947">
                  <c:v>12.17</c:v>
                </c:pt>
                <c:pt idx="2948">
                  <c:v>12.332000000000001</c:v>
                </c:pt>
                <c:pt idx="2949">
                  <c:v>12.332000000000001</c:v>
                </c:pt>
                <c:pt idx="2950">
                  <c:v>12.17</c:v>
                </c:pt>
                <c:pt idx="2951">
                  <c:v>12.98</c:v>
                </c:pt>
                <c:pt idx="2952">
                  <c:v>12.818</c:v>
                </c:pt>
                <c:pt idx="2953">
                  <c:v>12.818</c:v>
                </c:pt>
                <c:pt idx="2954">
                  <c:v>12.332000000000001</c:v>
                </c:pt>
                <c:pt idx="2955">
                  <c:v>12.98</c:v>
                </c:pt>
                <c:pt idx="2956">
                  <c:v>13.142000000000001</c:v>
                </c:pt>
                <c:pt idx="2957">
                  <c:v>13.142000000000001</c:v>
                </c:pt>
                <c:pt idx="2958">
                  <c:v>12.98</c:v>
                </c:pt>
                <c:pt idx="2959">
                  <c:v>13.790000000000001</c:v>
                </c:pt>
                <c:pt idx="2960">
                  <c:v>13.628</c:v>
                </c:pt>
                <c:pt idx="2961">
                  <c:v>13.628</c:v>
                </c:pt>
                <c:pt idx="2962">
                  <c:v>13.142000000000001</c:v>
                </c:pt>
                <c:pt idx="2963">
                  <c:v>13.790000000000001</c:v>
                </c:pt>
                <c:pt idx="2964">
                  <c:v>13.952000000000002</c:v>
                </c:pt>
                <c:pt idx="2965">
                  <c:v>13.952000000000002</c:v>
                </c:pt>
                <c:pt idx="2966">
                  <c:v>13.790000000000001</c:v>
                </c:pt>
                <c:pt idx="2967">
                  <c:v>14.600000000000001</c:v>
                </c:pt>
                <c:pt idx="2968">
                  <c:v>14.438000000000001</c:v>
                </c:pt>
                <c:pt idx="2969">
                  <c:v>14.438000000000001</c:v>
                </c:pt>
                <c:pt idx="2970">
                  <c:v>13.952000000000002</c:v>
                </c:pt>
                <c:pt idx="2971">
                  <c:v>14.600000000000001</c:v>
                </c:pt>
                <c:pt idx="2972">
                  <c:v>14.762000000000002</c:v>
                </c:pt>
                <c:pt idx="2973">
                  <c:v>14.762000000000002</c:v>
                </c:pt>
                <c:pt idx="2974">
                  <c:v>14.600000000000001</c:v>
                </c:pt>
                <c:pt idx="2975">
                  <c:v>15.410000000000002</c:v>
                </c:pt>
                <c:pt idx="2976">
                  <c:v>15.248000000000001</c:v>
                </c:pt>
                <c:pt idx="2977">
                  <c:v>15.248000000000001</c:v>
                </c:pt>
                <c:pt idx="2978">
                  <c:v>14.762000000000002</c:v>
                </c:pt>
                <c:pt idx="2979">
                  <c:v>15.410000000000002</c:v>
                </c:pt>
                <c:pt idx="2980">
                  <c:v>15.572000000000001</c:v>
                </c:pt>
                <c:pt idx="2981">
                  <c:v>15.572000000000001</c:v>
                </c:pt>
                <c:pt idx="2982">
                  <c:v>15.41</c:v>
                </c:pt>
                <c:pt idx="2983">
                  <c:v>16.22</c:v>
                </c:pt>
                <c:pt idx="2984">
                  <c:v>16.058</c:v>
                </c:pt>
                <c:pt idx="2985">
                  <c:v>16.058</c:v>
                </c:pt>
                <c:pt idx="2986">
                  <c:v>15.572000000000001</c:v>
                </c:pt>
                <c:pt idx="2987">
                  <c:v>16.22</c:v>
                </c:pt>
                <c:pt idx="2988">
                  <c:v>16.381999999999998</c:v>
                </c:pt>
                <c:pt idx="2989">
                  <c:v>16.381999999999998</c:v>
                </c:pt>
                <c:pt idx="2990">
                  <c:v>16.22</c:v>
                </c:pt>
                <c:pt idx="2991">
                  <c:v>17.029999999999998</c:v>
                </c:pt>
                <c:pt idx="2992">
                  <c:v>16.867999999999999</c:v>
                </c:pt>
                <c:pt idx="2993">
                  <c:v>16.867999999999999</c:v>
                </c:pt>
                <c:pt idx="2994">
                  <c:v>16.381999999999998</c:v>
                </c:pt>
                <c:pt idx="2995">
                  <c:v>17.029999999999998</c:v>
                </c:pt>
                <c:pt idx="2996">
                  <c:v>17.192</c:v>
                </c:pt>
                <c:pt idx="2997">
                  <c:v>17.192</c:v>
                </c:pt>
                <c:pt idx="2998">
                  <c:v>17.03</c:v>
                </c:pt>
                <c:pt idx="2999">
                  <c:v>17.84</c:v>
                </c:pt>
                <c:pt idx="3000">
                  <c:v>17.678000000000001</c:v>
                </c:pt>
                <c:pt idx="3001">
                  <c:v>17.678000000000001</c:v>
                </c:pt>
                <c:pt idx="3002">
                  <c:v>17.192</c:v>
                </c:pt>
                <c:pt idx="3003">
                  <c:v>17.84</c:v>
                </c:pt>
                <c:pt idx="3004">
                  <c:v>18.001999999999999</c:v>
                </c:pt>
                <c:pt idx="3005">
                  <c:v>18.001999999999999</c:v>
                </c:pt>
                <c:pt idx="3006">
                  <c:v>17.84</c:v>
                </c:pt>
                <c:pt idx="3007">
                  <c:v>18.649999999999999</c:v>
                </c:pt>
                <c:pt idx="3008">
                  <c:v>18.488</c:v>
                </c:pt>
                <c:pt idx="3009">
                  <c:v>18.488</c:v>
                </c:pt>
                <c:pt idx="3010">
                  <c:v>18.001999999999999</c:v>
                </c:pt>
                <c:pt idx="3011">
                  <c:v>18.649999999999999</c:v>
                </c:pt>
                <c:pt idx="3012">
                  <c:v>18.811999999999998</c:v>
                </c:pt>
                <c:pt idx="3013">
                  <c:v>18.811999999999998</c:v>
                </c:pt>
                <c:pt idx="3014">
                  <c:v>18.649999999999999</c:v>
                </c:pt>
                <c:pt idx="3015">
                  <c:v>19.459999999999997</c:v>
                </c:pt>
                <c:pt idx="3016">
                  <c:v>19.297999999999998</c:v>
                </c:pt>
                <c:pt idx="3017">
                  <c:v>19.297999999999998</c:v>
                </c:pt>
                <c:pt idx="3018">
                  <c:v>18.811999999999998</c:v>
                </c:pt>
                <c:pt idx="3019">
                  <c:v>19.459999999999997</c:v>
                </c:pt>
                <c:pt idx="3020">
                  <c:v>19.622</c:v>
                </c:pt>
                <c:pt idx="3021">
                  <c:v>19.622</c:v>
                </c:pt>
                <c:pt idx="3022">
                  <c:v>19.46</c:v>
                </c:pt>
                <c:pt idx="3023">
                  <c:v>20.27</c:v>
                </c:pt>
                <c:pt idx="3024">
                  <c:v>20.108000000000001</c:v>
                </c:pt>
                <c:pt idx="3025">
                  <c:v>20.108000000000001</c:v>
                </c:pt>
                <c:pt idx="3026">
                  <c:v>19.622</c:v>
                </c:pt>
                <c:pt idx="3027">
                  <c:v>20.27</c:v>
                </c:pt>
                <c:pt idx="3028">
                  <c:v>20.432000000000002</c:v>
                </c:pt>
                <c:pt idx="3029">
                  <c:v>20.432000000000002</c:v>
                </c:pt>
                <c:pt idx="3030">
                  <c:v>20.270000000000003</c:v>
                </c:pt>
                <c:pt idx="3031">
                  <c:v>21.080000000000002</c:v>
                </c:pt>
                <c:pt idx="3032">
                  <c:v>20.918000000000003</c:v>
                </c:pt>
                <c:pt idx="3033">
                  <c:v>20.918000000000003</c:v>
                </c:pt>
                <c:pt idx="3034">
                  <c:v>20.432000000000002</c:v>
                </c:pt>
                <c:pt idx="3035">
                  <c:v>21.080000000000002</c:v>
                </c:pt>
                <c:pt idx="3036">
                  <c:v>21.242000000000001</c:v>
                </c:pt>
                <c:pt idx="3037">
                  <c:v>21.242000000000001</c:v>
                </c:pt>
                <c:pt idx="3038">
                  <c:v>21.080000000000002</c:v>
                </c:pt>
                <c:pt idx="3039">
                  <c:v>21.89</c:v>
                </c:pt>
                <c:pt idx="3040">
                  <c:v>21.728000000000002</c:v>
                </c:pt>
                <c:pt idx="3041">
                  <c:v>21.728000000000002</c:v>
                </c:pt>
                <c:pt idx="3042">
                  <c:v>21.242000000000001</c:v>
                </c:pt>
                <c:pt idx="3043">
                  <c:v>21.89</c:v>
                </c:pt>
                <c:pt idx="3044">
                  <c:v>22.052</c:v>
                </c:pt>
                <c:pt idx="3045">
                  <c:v>22.052</c:v>
                </c:pt>
                <c:pt idx="3046">
                  <c:v>21.89</c:v>
                </c:pt>
                <c:pt idx="3047">
                  <c:v>22.7</c:v>
                </c:pt>
                <c:pt idx="3048">
                  <c:v>22.538</c:v>
                </c:pt>
                <c:pt idx="3049">
                  <c:v>22.538</c:v>
                </c:pt>
                <c:pt idx="3050">
                  <c:v>22.052</c:v>
                </c:pt>
                <c:pt idx="3051">
                  <c:v>22.7</c:v>
                </c:pt>
                <c:pt idx="3052">
                  <c:v>22.862000000000002</c:v>
                </c:pt>
                <c:pt idx="3053">
                  <c:v>22.862000000000002</c:v>
                </c:pt>
                <c:pt idx="3054">
                  <c:v>22.700000000000003</c:v>
                </c:pt>
                <c:pt idx="3055">
                  <c:v>23.51</c:v>
                </c:pt>
                <c:pt idx="3056">
                  <c:v>23.348000000000003</c:v>
                </c:pt>
                <c:pt idx="3057">
                  <c:v>23.348000000000003</c:v>
                </c:pt>
                <c:pt idx="3058">
                  <c:v>22.862000000000002</c:v>
                </c:pt>
                <c:pt idx="3059">
                  <c:v>23.51</c:v>
                </c:pt>
                <c:pt idx="3060">
                  <c:v>23.672000000000001</c:v>
                </c:pt>
                <c:pt idx="3061">
                  <c:v>23.672000000000001</c:v>
                </c:pt>
                <c:pt idx="3062">
                  <c:v>23.51</c:v>
                </c:pt>
                <c:pt idx="3063">
                  <c:v>24.32</c:v>
                </c:pt>
                <c:pt idx="3064">
                  <c:v>24.158000000000001</c:v>
                </c:pt>
                <c:pt idx="3065">
                  <c:v>24.158000000000001</c:v>
                </c:pt>
                <c:pt idx="3066">
                  <c:v>23.672000000000001</c:v>
                </c:pt>
                <c:pt idx="3067">
                  <c:v>24.32</c:v>
                </c:pt>
                <c:pt idx="3068">
                  <c:v>24.481999999999999</c:v>
                </c:pt>
                <c:pt idx="3069">
                  <c:v>24.481999999999999</c:v>
                </c:pt>
                <c:pt idx="3070">
                  <c:v>24.32</c:v>
                </c:pt>
                <c:pt idx="3071">
                  <c:v>25.13</c:v>
                </c:pt>
                <c:pt idx="3072">
                  <c:v>24.968</c:v>
                </c:pt>
                <c:pt idx="3073">
                  <c:v>24.968</c:v>
                </c:pt>
                <c:pt idx="3074">
                  <c:v>24.481999999999999</c:v>
                </c:pt>
                <c:pt idx="3075">
                  <c:v>25.13</c:v>
                </c:pt>
                <c:pt idx="3076">
                  <c:v>25.292000000000002</c:v>
                </c:pt>
                <c:pt idx="3077">
                  <c:v>25.292000000000002</c:v>
                </c:pt>
                <c:pt idx="3078">
                  <c:v>25.130000000000003</c:v>
                </c:pt>
                <c:pt idx="3079">
                  <c:v>25.94</c:v>
                </c:pt>
                <c:pt idx="3080">
                  <c:v>25.778000000000002</c:v>
                </c:pt>
                <c:pt idx="3081">
                  <c:v>25.778000000000002</c:v>
                </c:pt>
                <c:pt idx="3082">
                  <c:v>25.292000000000002</c:v>
                </c:pt>
                <c:pt idx="3083">
                  <c:v>25.94</c:v>
                </c:pt>
                <c:pt idx="3084">
                  <c:v>26.102</c:v>
                </c:pt>
                <c:pt idx="3085">
                  <c:v>26.102</c:v>
                </c:pt>
                <c:pt idx="3086">
                  <c:v>25.94</c:v>
                </c:pt>
                <c:pt idx="3087">
                  <c:v>26.75</c:v>
                </c:pt>
                <c:pt idx="3088">
                  <c:v>26.588000000000001</c:v>
                </c:pt>
                <c:pt idx="3089">
                  <c:v>26.588000000000001</c:v>
                </c:pt>
                <c:pt idx="3090">
                  <c:v>26.102</c:v>
                </c:pt>
                <c:pt idx="3091">
                  <c:v>26.75</c:v>
                </c:pt>
                <c:pt idx="3092">
                  <c:v>26.102</c:v>
                </c:pt>
                <c:pt idx="3093">
                  <c:v>26.102</c:v>
                </c:pt>
                <c:pt idx="3094">
                  <c:v>25.94</c:v>
                </c:pt>
                <c:pt idx="3095">
                  <c:v>26.75</c:v>
                </c:pt>
                <c:pt idx="3096">
                  <c:v>26.588000000000001</c:v>
                </c:pt>
                <c:pt idx="3097">
                  <c:v>26.588000000000001</c:v>
                </c:pt>
                <c:pt idx="3098">
                  <c:v>26.102</c:v>
                </c:pt>
                <c:pt idx="3099">
                  <c:v>26.75</c:v>
                </c:pt>
                <c:pt idx="3100">
                  <c:v>26.102</c:v>
                </c:pt>
                <c:pt idx="3101">
                  <c:v>26.102</c:v>
                </c:pt>
                <c:pt idx="3102">
                  <c:v>25.94</c:v>
                </c:pt>
                <c:pt idx="3103">
                  <c:v>26.75</c:v>
                </c:pt>
                <c:pt idx="3104">
                  <c:v>26.588000000000001</c:v>
                </c:pt>
                <c:pt idx="3105">
                  <c:v>26.588000000000001</c:v>
                </c:pt>
                <c:pt idx="3106">
                  <c:v>26.102</c:v>
                </c:pt>
                <c:pt idx="3107">
                  <c:v>26.75</c:v>
                </c:pt>
                <c:pt idx="3108">
                  <c:v>26.102</c:v>
                </c:pt>
                <c:pt idx="3109">
                  <c:v>26.102</c:v>
                </c:pt>
                <c:pt idx="3110">
                  <c:v>25.94</c:v>
                </c:pt>
                <c:pt idx="3111">
                  <c:v>26.75</c:v>
                </c:pt>
                <c:pt idx="3112">
                  <c:v>26.588000000000001</c:v>
                </c:pt>
                <c:pt idx="3113">
                  <c:v>26.588000000000001</c:v>
                </c:pt>
                <c:pt idx="3114">
                  <c:v>26.102</c:v>
                </c:pt>
                <c:pt idx="3115">
                  <c:v>26.75</c:v>
                </c:pt>
                <c:pt idx="3116">
                  <c:v>26.102</c:v>
                </c:pt>
                <c:pt idx="3117">
                  <c:v>26.102</c:v>
                </c:pt>
                <c:pt idx="3118">
                  <c:v>25.94</c:v>
                </c:pt>
                <c:pt idx="3119">
                  <c:v>26.75</c:v>
                </c:pt>
                <c:pt idx="3120">
                  <c:v>26.588000000000001</c:v>
                </c:pt>
                <c:pt idx="3121">
                  <c:v>26.588000000000001</c:v>
                </c:pt>
                <c:pt idx="3122">
                  <c:v>26.102</c:v>
                </c:pt>
                <c:pt idx="3123">
                  <c:v>26.75</c:v>
                </c:pt>
                <c:pt idx="3124">
                  <c:v>26.102</c:v>
                </c:pt>
                <c:pt idx="3125">
                  <c:v>26.102</c:v>
                </c:pt>
                <c:pt idx="3126">
                  <c:v>25.94</c:v>
                </c:pt>
                <c:pt idx="3127">
                  <c:v>26.75</c:v>
                </c:pt>
                <c:pt idx="3128">
                  <c:v>26.588000000000001</c:v>
                </c:pt>
                <c:pt idx="3129">
                  <c:v>26.588000000000001</c:v>
                </c:pt>
                <c:pt idx="3130">
                  <c:v>26.102</c:v>
                </c:pt>
                <c:pt idx="3131">
                  <c:v>26.75</c:v>
                </c:pt>
                <c:pt idx="3132">
                  <c:v>26.102</c:v>
                </c:pt>
                <c:pt idx="3133">
                  <c:v>26.102</c:v>
                </c:pt>
                <c:pt idx="3134">
                  <c:v>25.94</c:v>
                </c:pt>
                <c:pt idx="3135">
                  <c:v>26.75</c:v>
                </c:pt>
                <c:pt idx="3136">
                  <c:v>26.588000000000001</c:v>
                </c:pt>
                <c:pt idx="3137">
                  <c:v>26.588000000000001</c:v>
                </c:pt>
                <c:pt idx="3138">
                  <c:v>26.102</c:v>
                </c:pt>
                <c:pt idx="3139">
                  <c:v>26.75</c:v>
                </c:pt>
                <c:pt idx="3140">
                  <c:v>26.102</c:v>
                </c:pt>
                <c:pt idx="3141">
                  <c:v>26.102</c:v>
                </c:pt>
                <c:pt idx="3142">
                  <c:v>25.94</c:v>
                </c:pt>
                <c:pt idx="3143">
                  <c:v>26.75</c:v>
                </c:pt>
                <c:pt idx="3144">
                  <c:v>26.588000000000001</c:v>
                </c:pt>
                <c:pt idx="3145">
                  <c:v>26.588000000000001</c:v>
                </c:pt>
                <c:pt idx="3146">
                  <c:v>26.102</c:v>
                </c:pt>
                <c:pt idx="3147">
                  <c:v>26.75</c:v>
                </c:pt>
                <c:pt idx="3148">
                  <c:v>26.102</c:v>
                </c:pt>
                <c:pt idx="3149">
                  <c:v>26.102</c:v>
                </c:pt>
                <c:pt idx="3150">
                  <c:v>25.94</c:v>
                </c:pt>
                <c:pt idx="3151">
                  <c:v>26.75</c:v>
                </c:pt>
                <c:pt idx="3152">
                  <c:v>26.588000000000001</c:v>
                </c:pt>
                <c:pt idx="3153">
                  <c:v>26.588000000000001</c:v>
                </c:pt>
                <c:pt idx="3154">
                  <c:v>26.102</c:v>
                </c:pt>
                <c:pt idx="3155">
                  <c:v>26.75</c:v>
                </c:pt>
                <c:pt idx="3156">
                  <c:v>26.102</c:v>
                </c:pt>
                <c:pt idx="3157">
                  <c:v>26.102</c:v>
                </c:pt>
                <c:pt idx="3158">
                  <c:v>25.94</c:v>
                </c:pt>
                <c:pt idx="3159">
                  <c:v>26.75</c:v>
                </c:pt>
                <c:pt idx="3160">
                  <c:v>26.588000000000001</c:v>
                </c:pt>
                <c:pt idx="3161">
                  <c:v>26.588000000000001</c:v>
                </c:pt>
                <c:pt idx="3162">
                  <c:v>26.102</c:v>
                </c:pt>
                <c:pt idx="3163">
                  <c:v>26.75</c:v>
                </c:pt>
                <c:pt idx="3164">
                  <c:v>26.102</c:v>
                </c:pt>
                <c:pt idx="3165">
                  <c:v>26.102</c:v>
                </c:pt>
                <c:pt idx="3166">
                  <c:v>25.94</c:v>
                </c:pt>
                <c:pt idx="3167">
                  <c:v>26.75</c:v>
                </c:pt>
                <c:pt idx="3168">
                  <c:v>26.588000000000001</c:v>
                </c:pt>
                <c:pt idx="3169">
                  <c:v>26.588000000000001</c:v>
                </c:pt>
                <c:pt idx="3170">
                  <c:v>26.102</c:v>
                </c:pt>
                <c:pt idx="3171">
                  <c:v>26.75</c:v>
                </c:pt>
                <c:pt idx="3172">
                  <c:v>26.102</c:v>
                </c:pt>
                <c:pt idx="3173">
                  <c:v>26.102</c:v>
                </c:pt>
                <c:pt idx="3174">
                  <c:v>25.94</c:v>
                </c:pt>
                <c:pt idx="3175">
                  <c:v>26.75</c:v>
                </c:pt>
                <c:pt idx="3176">
                  <c:v>26.588000000000001</c:v>
                </c:pt>
                <c:pt idx="3177">
                  <c:v>26.588000000000001</c:v>
                </c:pt>
                <c:pt idx="3178">
                  <c:v>26.102</c:v>
                </c:pt>
                <c:pt idx="3179">
                  <c:v>26.75</c:v>
                </c:pt>
                <c:pt idx="3180">
                  <c:v>26.102</c:v>
                </c:pt>
                <c:pt idx="3181">
                  <c:v>26.102</c:v>
                </c:pt>
                <c:pt idx="3182">
                  <c:v>25.94</c:v>
                </c:pt>
                <c:pt idx="3183">
                  <c:v>26.75</c:v>
                </c:pt>
                <c:pt idx="3184">
                  <c:v>26.588000000000001</c:v>
                </c:pt>
                <c:pt idx="3185">
                  <c:v>26.588000000000001</c:v>
                </c:pt>
                <c:pt idx="3186">
                  <c:v>26.102</c:v>
                </c:pt>
                <c:pt idx="3187">
                  <c:v>26.75</c:v>
                </c:pt>
                <c:pt idx="3188">
                  <c:v>26.102</c:v>
                </c:pt>
                <c:pt idx="3189">
                  <c:v>26.102</c:v>
                </c:pt>
                <c:pt idx="3190">
                  <c:v>25.94</c:v>
                </c:pt>
                <c:pt idx="3191">
                  <c:v>26.75</c:v>
                </c:pt>
                <c:pt idx="3192">
                  <c:v>26.588000000000001</c:v>
                </c:pt>
                <c:pt idx="3193">
                  <c:v>26.588000000000001</c:v>
                </c:pt>
                <c:pt idx="3194">
                  <c:v>26.102</c:v>
                </c:pt>
                <c:pt idx="3195">
                  <c:v>26.75</c:v>
                </c:pt>
                <c:pt idx="3196">
                  <c:v>26.102</c:v>
                </c:pt>
                <c:pt idx="3197">
                  <c:v>26.102</c:v>
                </c:pt>
                <c:pt idx="3198">
                  <c:v>25.94</c:v>
                </c:pt>
                <c:pt idx="3199">
                  <c:v>26.75</c:v>
                </c:pt>
                <c:pt idx="3200">
                  <c:v>26.588000000000001</c:v>
                </c:pt>
                <c:pt idx="3201">
                  <c:v>26.588000000000001</c:v>
                </c:pt>
                <c:pt idx="3202">
                  <c:v>26.102</c:v>
                </c:pt>
                <c:pt idx="3203">
                  <c:v>26.75</c:v>
                </c:pt>
                <c:pt idx="3204">
                  <c:v>26.102</c:v>
                </c:pt>
                <c:pt idx="3205">
                  <c:v>26.102</c:v>
                </c:pt>
                <c:pt idx="3206">
                  <c:v>25.94</c:v>
                </c:pt>
                <c:pt idx="3207">
                  <c:v>26.75</c:v>
                </c:pt>
                <c:pt idx="3208">
                  <c:v>26.588000000000001</c:v>
                </c:pt>
                <c:pt idx="3209">
                  <c:v>26.588000000000001</c:v>
                </c:pt>
                <c:pt idx="3210">
                  <c:v>26.102</c:v>
                </c:pt>
                <c:pt idx="3211">
                  <c:v>26.75</c:v>
                </c:pt>
                <c:pt idx="3212">
                  <c:v>26.102</c:v>
                </c:pt>
                <c:pt idx="3213">
                  <c:v>26.102</c:v>
                </c:pt>
                <c:pt idx="3214">
                  <c:v>25.94</c:v>
                </c:pt>
                <c:pt idx="3215">
                  <c:v>26.75</c:v>
                </c:pt>
                <c:pt idx="3216">
                  <c:v>26.588000000000001</c:v>
                </c:pt>
                <c:pt idx="3217">
                  <c:v>26.588000000000001</c:v>
                </c:pt>
                <c:pt idx="3218">
                  <c:v>26.102</c:v>
                </c:pt>
                <c:pt idx="3219">
                  <c:v>26.75</c:v>
                </c:pt>
                <c:pt idx="3220">
                  <c:v>26.102</c:v>
                </c:pt>
                <c:pt idx="3221">
                  <c:v>26.102</c:v>
                </c:pt>
                <c:pt idx="3222">
                  <c:v>25.94</c:v>
                </c:pt>
                <c:pt idx="3223">
                  <c:v>26.75</c:v>
                </c:pt>
                <c:pt idx="3224">
                  <c:v>26.588000000000001</c:v>
                </c:pt>
                <c:pt idx="3225">
                  <c:v>26.588000000000001</c:v>
                </c:pt>
                <c:pt idx="3226">
                  <c:v>26.102</c:v>
                </c:pt>
                <c:pt idx="3227">
                  <c:v>26.75</c:v>
                </c:pt>
                <c:pt idx="3228">
                  <c:v>26.102</c:v>
                </c:pt>
                <c:pt idx="3229">
                  <c:v>26.102</c:v>
                </c:pt>
                <c:pt idx="3230">
                  <c:v>25.94</c:v>
                </c:pt>
                <c:pt idx="3231">
                  <c:v>26.75</c:v>
                </c:pt>
                <c:pt idx="3232">
                  <c:v>26.588000000000001</c:v>
                </c:pt>
                <c:pt idx="3233">
                  <c:v>26.588000000000001</c:v>
                </c:pt>
                <c:pt idx="3234">
                  <c:v>26.102</c:v>
                </c:pt>
                <c:pt idx="3235">
                  <c:v>26.75</c:v>
                </c:pt>
                <c:pt idx="3236">
                  <c:v>26.102</c:v>
                </c:pt>
                <c:pt idx="3237">
                  <c:v>26.102</c:v>
                </c:pt>
                <c:pt idx="3238">
                  <c:v>25.94</c:v>
                </c:pt>
                <c:pt idx="3239">
                  <c:v>26.75</c:v>
                </c:pt>
                <c:pt idx="3240">
                  <c:v>26.588000000000001</c:v>
                </c:pt>
                <c:pt idx="3241">
                  <c:v>26.588000000000001</c:v>
                </c:pt>
                <c:pt idx="3242">
                  <c:v>26.102</c:v>
                </c:pt>
                <c:pt idx="3243">
                  <c:v>26.75</c:v>
                </c:pt>
                <c:pt idx="3244">
                  <c:v>26.102</c:v>
                </c:pt>
                <c:pt idx="3245">
                  <c:v>26.102</c:v>
                </c:pt>
                <c:pt idx="3246">
                  <c:v>25.94</c:v>
                </c:pt>
                <c:pt idx="3247">
                  <c:v>26.75</c:v>
                </c:pt>
                <c:pt idx="3248">
                  <c:v>26.588000000000001</c:v>
                </c:pt>
                <c:pt idx="3249">
                  <c:v>26.588000000000001</c:v>
                </c:pt>
                <c:pt idx="3250">
                  <c:v>26.102</c:v>
                </c:pt>
                <c:pt idx="3251">
                  <c:v>26.75</c:v>
                </c:pt>
                <c:pt idx="3252">
                  <c:v>26.102</c:v>
                </c:pt>
                <c:pt idx="3253">
                  <c:v>26.102</c:v>
                </c:pt>
                <c:pt idx="3254">
                  <c:v>25.94</c:v>
                </c:pt>
                <c:pt idx="3255">
                  <c:v>26.75</c:v>
                </c:pt>
                <c:pt idx="3256">
                  <c:v>26.588000000000001</c:v>
                </c:pt>
                <c:pt idx="3257">
                  <c:v>26.588000000000001</c:v>
                </c:pt>
                <c:pt idx="3258">
                  <c:v>26.102</c:v>
                </c:pt>
                <c:pt idx="3259">
                  <c:v>26.75</c:v>
                </c:pt>
                <c:pt idx="3260">
                  <c:v>26.102</c:v>
                </c:pt>
                <c:pt idx="3261">
                  <c:v>26.102</c:v>
                </c:pt>
                <c:pt idx="3262">
                  <c:v>25.94</c:v>
                </c:pt>
                <c:pt idx="3263">
                  <c:v>26.75</c:v>
                </c:pt>
                <c:pt idx="3264">
                  <c:v>26.588000000000001</c:v>
                </c:pt>
                <c:pt idx="3265">
                  <c:v>26.588000000000001</c:v>
                </c:pt>
                <c:pt idx="3266">
                  <c:v>26.102</c:v>
                </c:pt>
                <c:pt idx="3267">
                  <c:v>26.75</c:v>
                </c:pt>
                <c:pt idx="3268">
                  <c:v>26.102</c:v>
                </c:pt>
                <c:pt idx="3269">
                  <c:v>26.102</c:v>
                </c:pt>
                <c:pt idx="3270">
                  <c:v>25.94</c:v>
                </c:pt>
                <c:pt idx="3271">
                  <c:v>26.75</c:v>
                </c:pt>
                <c:pt idx="3272">
                  <c:v>26.588000000000001</c:v>
                </c:pt>
                <c:pt idx="3273">
                  <c:v>26.588000000000001</c:v>
                </c:pt>
                <c:pt idx="3274">
                  <c:v>26.102</c:v>
                </c:pt>
                <c:pt idx="3275">
                  <c:v>26.75</c:v>
                </c:pt>
                <c:pt idx="3276">
                  <c:v>26.102</c:v>
                </c:pt>
                <c:pt idx="3277">
                  <c:v>26.102</c:v>
                </c:pt>
                <c:pt idx="3278">
                  <c:v>25.94</c:v>
                </c:pt>
                <c:pt idx="3279">
                  <c:v>26.75</c:v>
                </c:pt>
                <c:pt idx="3280">
                  <c:v>26.588000000000001</c:v>
                </c:pt>
                <c:pt idx="3281">
                  <c:v>26.588000000000001</c:v>
                </c:pt>
                <c:pt idx="3282">
                  <c:v>26.102</c:v>
                </c:pt>
                <c:pt idx="3283">
                  <c:v>26.75</c:v>
                </c:pt>
                <c:pt idx="3284">
                  <c:v>26.102</c:v>
                </c:pt>
                <c:pt idx="3285">
                  <c:v>26.102</c:v>
                </c:pt>
                <c:pt idx="3286">
                  <c:v>25.94</c:v>
                </c:pt>
                <c:pt idx="3287">
                  <c:v>26.75</c:v>
                </c:pt>
                <c:pt idx="3288">
                  <c:v>26.588000000000001</c:v>
                </c:pt>
                <c:pt idx="3289">
                  <c:v>26.588000000000001</c:v>
                </c:pt>
                <c:pt idx="3290">
                  <c:v>26.102</c:v>
                </c:pt>
                <c:pt idx="3291">
                  <c:v>26.75</c:v>
                </c:pt>
                <c:pt idx="3292">
                  <c:v>26.102</c:v>
                </c:pt>
                <c:pt idx="3293">
                  <c:v>26.102</c:v>
                </c:pt>
                <c:pt idx="3294">
                  <c:v>25.94</c:v>
                </c:pt>
                <c:pt idx="3295">
                  <c:v>26.75</c:v>
                </c:pt>
                <c:pt idx="3296">
                  <c:v>26.588000000000001</c:v>
                </c:pt>
                <c:pt idx="3297">
                  <c:v>26.588000000000001</c:v>
                </c:pt>
                <c:pt idx="3298">
                  <c:v>26.102</c:v>
                </c:pt>
                <c:pt idx="3299">
                  <c:v>26.75</c:v>
                </c:pt>
                <c:pt idx="3300">
                  <c:v>26.102</c:v>
                </c:pt>
                <c:pt idx="3301">
                  <c:v>26.102</c:v>
                </c:pt>
                <c:pt idx="3302">
                  <c:v>25.94</c:v>
                </c:pt>
                <c:pt idx="3303">
                  <c:v>26.75</c:v>
                </c:pt>
                <c:pt idx="3304">
                  <c:v>26.588000000000001</c:v>
                </c:pt>
                <c:pt idx="3305">
                  <c:v>26.588000000000001</c:v>
                </c:pt>
                <c:pt idx="3306">
                  <c:v>26.102</c:v>
                </c:pt>
                <c:pt idx="3307">
                  <c:v>26.75</c:v>
                </c:pt>
                <c:pt idx="3308">
                  <c:v>26.102</c:v>
                </c:pt>
                <c:pt idx="3309">
                  <c:v>26.102</c:v>
                </c:pt>
                <c:pt idx="3310">
                  <c:v>25.94</c:v>
                </c:pt>
                <c:pt idx="3311">
                  <c:v>26.75</c:v>
                </c:pt>
                <c:pt idx="3312">
                  <c:v>26.588000000000001</c:v>
                </c:pt>
                <c:pt idx="3313">
                  <c:v>26.588000000000001</c:v>
                </c:pt>
                <c:pt idx="3314">
                  <c:v>26.102</c:v>
                </c:pt>
                <c:pt idx="3315">
                  <c:v>26.75</c:v>
                </c:pt>
                <c:pt idx="3316">
                  <c:v>26.102</c:v>
                </c:pt>
                <c:pt idx="3317">
                  <c:v>26.102</c:v>
                </c:pt>
                <c:pt idx="3318">
                  <c:v>25.94</c:v>
                </c:pt>
                <c:pt idx="3319">
                  <c:v>26.75</c:v>
                </c:pt>
                <c:pt idx="3320">
                  <c:v>26.588000000000001</c:v>
                </c:pt>
                <c:pt idx="3321">
                  <c:v>26.588000000000001</c:v>
                </c:pt>
                <c:pt idx="3322">
                  <c:v>26.102</c:v>
                </c:pt>
                <c:pt idx="3323">
                  <c:v>26.75</c:v>
                </c:pt>
                <c:pt idx="3324">
                  <c:v>26.102</c:v>
                </c:pt>
                <c:pt idx="3325">
                  <c:v>26.102</c:v>
                </c:pt>
                <c:pt idx="3326">
                  <c:v>25.94</c:v>
                </c:pt>
                <c:pt idx="3327">
                  <c:v>26.75</c:v>
                </c:pt>
                <c:pt idx="3328">
                  <c:v>26.588000000000001</c:v>
                </c:pt>
                <c:pt idx="3329">
                  <c:v>26.588000000000001</c:v>
                </c:pt>
                <c:pt idx="3330">
                  <c:v>26.102</c:v>
                </c:pt>
                <c:pt idx="3331">
                  <c:v>26.75</c:v>
                </c:pt>
                <c:pt idx="3332">
                  <c:v>26.102</c:v>
                </c:pt>
                <c:pt idx="3333">
                  <c:v>26.102</c:v>
                </c:pt>
                <c:pt idx="3334">
                  <c:v>25.94</c:v>
                </c:pt>
                <c:pt idx="3335">
                  <c:v>26.75</c:v>
                </c:pt>
                <c:pt idx="3336">
                  <c:v>26.588000000000001</c:v>
                </c:pt>
                <c:pt idx="3337">
                  <c:v>26.588000000000001</c:v>
                </c:pt>
                <c:pt idx="3338">
                  <c:v>26.102</c:v>
                </c:pt>
                <c:pt idx="3339">
                  <c:v>26.75</c:v>
                </c:pt>
                <c:pt idx="3340">
                  <c:v>26.102</c:v>
                </c:pt>
                <c:pt idx="3341">
                  <c:v>26.102</c:v>
                </c:pt>
                <c:pt idx="3342">
                  <c:v>25.94</c:v>
                </c:pt>
                <c:pt idx="3343">
                  <c:v>26.75</c:v>
                </c:pt>
                <c:pt idx="3344">
                  <c:v>26.588000000000001</c:v>
                </c:pt>
                <c:pt idx="3345">
                  <c:v>26.588000000000001</c:v>
                </c:pt>
                <c:pt idx="3346">
                  <c:v>26.102</c:v>
                </c:pt>
                <c:pt idx="3347">
                  <c:v>26.75</c:v>
                </c:pt>
                <c:pt idx="3348">
                  <c:v>26.102</c:v>
                </c:pt>
                <c:pt idx="3349">
                  <c:v>26.102</c:v>
                </c:pt>
                <c:pt idx="3350">
                  <c:v>25.94</c:v>
                </c:pt>
                <c:pt idx="3351">
                  <c:v>26.75</c:v>
                </c:pt>
                <c:pt idx="3352">
                  <c:v>26.588000000000001</c:v>
                </c:pt>
                <c:pt idx="3353">
                  <c:v>26.588000000000001</c:v>
                </c:pt>
                <c:pt idx="3354">
                  <c:v>26.102</c:v>
                </c:pt>
                <c:pt idx="3355">
                  <c:v>26.75</c:v>
                </c:pt>
                <c:pt idx="3356">
                  <c:v>26.102</c:v>
                </c:pt>
                <c:pt idx="3357">
                  <c:v>26.102</c:v>
                </c:pt>
                <c:pt idx="3358">
                  <c:v>25.94</c:v>
                </c:pt>
                <c:pt idx="3359">
                  <c:v>26.75</c:v>
                </c:pt>
                <c:pt idx="3360">
                  <c:v>26.588000000000001</c:v>
                </c:pt>
                <c:pt idx="3361">
                  <c:v>26.588000000000001</c:v>
                </c:pt>
                <c:pt idx="3362">
                  <c:v>26.102</c:v>
                </c:pt>
                <c:pt idx="3363">
                  <c:v>26.75</c:v>
                </c:pt>
                <c:pt idx="3364">
                  <c:v>26.102</c:v>
                </c:pt>
                <c:pt idx="3365">
                  <c:v>26.102</c:v>
                </c:pt>
                <c:pt idx="3366">
                  <c:v>25.94</c:v>
                </c:pt>
                <c:pt idx="3367">
                  <c:v>26.75</c:v>
                </c:pt>
                <c:pt idx="3368">
                  <c:v>26.588000000000001</c:v>
                </c:pt>
                <c:pt idx="3369">
                  <c:v>26.588000000000001</c:v>
                </c:pt>
                <c:pt idx="3370">
                  <c:v>26.102</c:v>
                </c:pt>
                <c:pt idx="3371">
                  <c:v>26.75</c:v>
                </c:pt>
                <c:pt idx="3372">
                  <c:v>26.75</c:v>
                </c:pt>
                <c:pt idx="3373">
                  <c:v>6.5</c:v>
                </c:pt>
                <c:pt idx="3374">
                  <c:v>6.6619999999999999</c:v>
                </c:pt>
                <c:pt idx="3375">
                  <c:v>6.6619999999999999</c:v>
                </c:pt>
                <c:pt idx="3376">
                  <c:v>6.5</c:v>
                </c:pt>
                <c:pt idx="3377">
                  <c:v>7.3100000000000005</c:v>
                </c:pt>
                <c:pt idx="3378">
                  <c:v>7.1479999999999997</c:v>
                </c:pt>
                <c:pt idx="3379">
                  <c:v>7.1479999999999997</c:v>
                </c:pt>
                <c:pt idx="3380">
                  <c:v>6.6619999999999999</c:v>
                </c:pt>
                <c:pt idx="3381">
                  <c:v>7.3100000000000005</c:v>
                </c:pt>
                <c:pt idx="3382">
                  <c:v>7.4720000000000004</c:v>
                </c:pt>
                <c:pt idx="3383">
                  <c:v>7.4720000000000004</c:v>
                </c:pt>
                <c:pt idx="3384">
                  <c:v>7.3100000000000005</c:v>
                </c:pt>
                <c:pt idx="3385">
                  <c:v>8.120000000000001</c:v>
                </c:pt>
                <c:pt idx="3386">
                  <c:v>7.9580000000000002</c:v>
                </c:pt>
                <c:pt idx="3387">
                  <c:v>7.9580000000000002</c:v>
                </c:pt>
                <c:pt idx="3388">
                  <c:v>7.4720000000000004</c:v>
                </c:pt>
                <c:pt idx="3389">
                  <c:v>8.120000000000001</c:v>
                </c:pt>
                <c:pt idx="3390">
                  <c:v>8.2820000000000018</c:v>
                </c:pt>
                <c:pt idx="3391">
                  <c:v>8.2820000000000018</c:v>
                </c:pt>
                <c:pt idx="3392">
                  <c:v>8.120000000000001</c:v>
                </c:pt>
                <c:pt idx="3393">
                  <c:v>8.9300000000000015</c:v>
                </c:pt>
                <c:pt idx="3394">
                  <c:v>8.7680000000000007</c:v>
                </c:pt>
                <c:pt idx="3395">
                  <c:v>8.7680000000000007</c:v>
                </c:pt>
                <c:pt idx="3396">
                  <c:v>8.2820000000000018</c:v>
                </c:pt>
                <c:pt idx="3397">
                  <c:v>8.9300000000000015</c:v>
                </c:pt>
                <c:pt idx="3398">
                  <c:v>9.0920000000000005</c:v>
                </c:pt>
                <c:pt idx="3399">
                  <c:v>9.0920000000000005</c:v>
                </c:pt>
                <c:pt idx="3400">
                  <c:v>8.93</c:v>
                </c:pt>
                <c:pt idx="3401">
                  <c:v>9.74</c:v>
                </c:pt>
                <c:pt idx="3402">
                  <c:v>9.5779999999999994</c:v>
                </c:pt>
                <c:pt idx="3403">
                  <c:v>9.5779999999999994</c:v>
                </c:pt>
                <c:pt idx="3404">
                  <c:v>9.0920000000000005</c:v>
                </c:pt>
                <c:pt idx="3405">
                  <c:v>9.74</c:v>
                </c:pt>
                <c:pt idx="3406">
                  <c:v>9.902000000000001</c:v>
                </c:pt>
                <c:pt idx="3407">
                  <c:v>9.902000000000001</c:v>
                </c:pt>
                <c:pt idx="3408">
                  <c:v>9.74</c:v>
                </c:pt>
                <c:pt idx="3409">
                  <c:v>10.55</c:v>
                </c:pt>
                <c:pt idx="3410">
                  <c:v>10.388</c:v>
                </c:pt>
                <c:pt idx="3411">
                  <c:v>10.388</c:v>
                </c:pt>
                <c:pt idx="3412">
                  <c:v>9.902000000000001</c:v>
                </c:pt>
                <c:pt idx="3413">
                  <c:v>10.55</c:v>
                </c:pt>
                <c:pt idx="3414">
                  <c:v>10.712000000000002</c:v>
                </c:pt>
                <c:pt idx="3415">
                  <c:v>10.712000000000002</c:v>
                </c:pt>
                <c:pt idx="3416">
                  <c:v>10.55</c:v>
                </c:pt>
                <c:pt idx="3417">
                  <c:v>11.360000000000001</c:v>
                </c:pt>
                <c:pt idx="3418">
                  <c:v>11.198</c:v>
                </c:pt>
                <c:pt idx="3419">
                  <c:v>11.198</c:v>
                </c:pt>
                <c:pt idx="3420">
                  <c:v>10.712000000000002</c:v>
                </c:pt>
                <c:pt idx="3421">
                  <c:v>11.360000000000001</c:v>
                </c:pt>
                <c:pt idx="3422">
                  <c:v>11.522</c:v>
                </c:pt>
                <c:pt idx="3423">
                  <c:v>11.522</c:v>
                </c:pt>
                <c:pt idx="3424">
                  <c:v>11.36</c:v>
                </c:pt>
                <c:pt idx="3425">
                  <c:v>12.17</c:v>
                </c:pt>
                <c:pt idx="3426">
                  <c:v>12.007999999999999</c:v>
                </c:pt>
                <c:pt idx="3427">
                  <c:v>12.007999999999999</c:v>
                </c:pt>
                <c:pt idx="3428">
                  <c:v>11.522</c:v>
                </c:pt>
                <c:pt idx="3429">
                  <c:v>12.17</c:v>
                </c:pt>
                <c:pt idx="3430">
                  <c:v>12.332000000000001</c:v>
                </c:pt>
                <c:pt idx="3431">
                  <c:v>12.332000000000001</c:v>
                </c:pt>
                <c:pt idx="3432">
                  <c:v>12.17</c:v>
                </c:pt>
                <c:pt idx="3433">
                  <c:v>12.98</c:v>
                </c:pt>
                <c:pt idx="3434">
                  <c:v>12.818</c:v>
                </c:pt>
                <c:pt idx="3435">
                  <c:v>12.818</c:v>
                </c:pt>
                <c:pt idx="3436">
                  <c:v>12.332000000000001</c:v>
                </c:pt>
                <c:pt idx="3437">
                  <c:v>12.98</c:v>
                </c:pt>
                <c:pt idx="3438">
                  <c:v>13.142000000000001</c:v>
                </c:pt>
                <c:pt idx="3439">
                  <c:v>13.142000000000001</c:v>
                </c:pt>
                <c:pt idx="3440">
                  <c:v>12.98</c:v>
                </c:pt>
                <c:pt idx="3441">
                  <c:v>13.790000000000001</c:v>
                </c:pt>
                <c:pt idx="3442">
                  <c:v>13.628</c:v>
                </c:pt>
                <c:pt idx="3443">
                  <c:v>13.628</c:v>
                </c:pt>
                <c:pt idx="3444">
                  <c:v>13.142000000000001</c:v>
                </c:pt>
                <c:pt idx="3445">
                  <c:v>13.790000000000001</c:v>
                </c:pt>
                <c:pt idx="3446">
                  <c:v>13.952000000000002</c:v>
                </c:pt>
                <c:pt idx="3447">
                  <c:v>13.952000000000002</c:v>
                </c:pt>
                <c:pt idx="3448">
                  <c:v>13.790000000000001</c:v>
                </c:pt>
                <c:pt idx="3449">
                  <c:v>14.600000000000001</c:v>
                </c:pt>
                <c:pt idx="3450">
                  <c:v>14.438000000000001</c:v>
                </c:pt>
                <c:pt idx="3451">
                  <c:v>14.438000000000001</c:v>
                </c:pt>
                <c:pt idx="3452">
                  <c:v>13.952000000000002</c:v>
                </c:pt>
                <c:pt idx="3453">
                  <c:v>14.600000000000001</c:v>
                </c:pt>
                <c:pt idx="3454">
                  <c:v>14.762000000000002</c:v>
                </c:pt>
                <c:pt idx="3455">
                  <c:v>14.762000000000002</c:v>
                </c:pt>
                <c:pt idx="3456">
                  <c:v>14.600000000000001</c:v>
                </c:pt>
                <c:pt idx="3457">
                  <c:v>15.410000000000002</c:v>
                </c:pt>
                <c:pt idx="3458">
                  <c:v>15.248000000000001</c:v>
                </c:pt>
                <c:pt idx="3459">
                  <c:v>15.248000000000001</c:v>
                </c:pt>
                <c:pt idx="3460">
                  <c:v>14.762000000000002</c:v>
                </c:pt>
                <c:pt idx="3461">
                  <c:v>15.410000000000002</c:v>
                </c:pt>
                <c:pt idx="3462">
                  <c:v>15.572000000000001</c:v>
                </c:pt>
                <c:pt idx="3463">
                  <c:v>15.572000000000001</c:v>
                </c:pt>
                <c:pt idx="3464">
                  <c:v>15.41</c:v>
                </c:pt>
                <c:pt idx="3465">
                  <c:v>16.22</c:v>
                </c:pt>
                <c:pt idx="3466">
                  <c:v>16.058</c:v>
                </c:pt>
                <c:pt idx="3467">
                  <c:v>16.058</c:v>
                </c:pt>
                <c:pt idx="3468">
                  <c:v>15.572000000000001</c:v>
                </c:pt>
                <c:pt idx="3469">
                  <c:v>16.22</c:v>
                </c:pt>
                <c:pt idx="3470">
                  <c:v>16.381999999999998</c:v>
                </c:pt>
                <c:pt idx="3471">
                  <c:v>16.381999999999998</c:v>
                </c:pt>
                <c:pt idx="3472">
                  <c:v>16.22</c:v>
                </c:pt>
                <c:pt idx="3473">
                  <c:v>17.029999999999998</c:v>
                </c:pt>
                <c:pt idx="3474">
                  <c:v>16.867999999999999</c:v>
                </c:pt>
                <c:pt idx="3475">
                  <c:v>16.867999999999999</c:v>
                </c:pt>
                <c:pt idx="3476">
                  <c:v>16.381999999999998</c:v>
                </c:pt>
                <c:pt idx="3477">
                  <c:v>17.029999999999998</c:v>
                </c:pt>
                <c:pt idx="3478">
                  <c:v>17.192</c:v>
                </c:pt>
                <c:pt idx="3479">
                  <c:v>17.192</c:v>
                </c:pt>
                <c:pt idx="3480">
                  <c:v>17.03</c:v>
                </c:pt>
                <c:pt idx="3481">
                  <c:v>17.84</c:v>
                </c:pt>
                <c:pt idx="3482">
                  <c:v>17.678000000000001</c:v>
                </c:pt>
                <c:pt idx="3483">
                  <c:v>17.678000000000001</c:v>
                </c:pt>
                <c:pt idx="3484">
                  <c:v>17.192</c:v>
                </c:pt>
                <c:pt idx="3485">
                  <c:v>17.84</c:v>
                </c:pt>
                <c:pt idx="3486">
                  <c:v>18.001999999999999</c:v>
                </c:pt>
                <c:pt idx="3487">
                  <c:v>18.001999999999999</c:v>
                </c:pt>
                <c:pt idx="3488">
                  <c:v>17.84</c:v>
                </c:pt>
                <c:pt idx="3489">
                  <c:v>18.649999999999999</c:v>
                </c:pt>
                <c:pt idx="3490">
                  <c:v>18.488</c:v>
                </c:pt>
                <c:pt idx="3491">
                  <c:v>18.488</c:v>
                </c:pt>
                <c:pt idx="3492">
                  <c:v>18.001999999999999</c:v>
                </c:pt>
                <c:pt idx="3493">
                  <c:v>18.649999999999999</c:v>
                </c:pt>
                <c:pt idx="3494">
                  <c:v>18.811999999999998</c:v>
                </c:pt>
                <c:pt idx="3495">
                  <c:v>18.811999999999998</c:v>
                </c:pt>
                <c:pt idx="3496">
                  <c:v>18.649999999999999</c:v>
                </c:pt>
                <c:pt idx="3497">
                  <c:v>19.459999999999997</c:v>
                </c:pt>
                <c:pt idx="3498">
                  <c:v>19.297999999999998</c:v>
                </c:pt>
                <c:pt idx="3499">
                  <c:v>19.297999999999998</c:v>
                </c:pt>
                <c:pt idx="3500">
                  <c:v>18.811999999999998</c:v>
                </c:pt>
                <c:pt idx="3501">
                  <c:v>19.459999999999997</c:v>
                </c:pt>
                <c:pt idx="3502">
                  <c:v>19.622</c:v>
                </c:pt>
                <c:pt idx="3503">
                  <c:v>19.622</c:v>
                </c:pt>
                <c:pt idx="3504">
                  <c:v>19.46</c:v>
                </c:pt>
                <c:pt idx="3505">
                  <c:v>20.27</c:v>
                </c:pt>
                <c:pt idx="3506">
                  <c:v>20.108000000000001</c:v>
                </c:pt>
                <c:pt idx="3507">
                  <c:v>20.108000000000001</c:v>
                </c:pt>
                <c:pt idx="3508">
                  <c:v>19.622</c:v>
                </c:pt>
                <c:pt idx="3509">
                  <c:v>20.27</c:v>
                </c:pt>
                <c:pt idx="3510">
                  <c:v>20.432000000000002</c:v>
                </c:pt>
                <c:pt idx="3511">
                  <c:v>20.432000000000002</c:v>
                </c:pt>
                <c:pt idx="3512">
                  <c:v>20.270000000000003</c:v>
                </c:pt>
                <c:pt idx="3513">
                  <c:v>21.080000000000002</c:v>
                </c:pt>
                <c:pt idx="3514">
                  <c:v>20.918000000000003</c:v>
                </c:pt>
                <c:pt idx="3515">
                  <c:v>20.918000000000003</c:v>
                </c:pt>
                <c:pt idx="3516">
                  <c:v>20.432000000000002</c:v>
                </c:pt>
                <c:pt idx="3517">
                  <c:v>21.080000000000002</c:v>
                </c:pt>
                <c:pt idx="3518">
                  <c:v>21.242000000000001</c:v>
                </c:pt>
                <c:pt idx="3519">
                  <c:v>21.242000000000001</c:v>
                </c:pt>
                <c:pt idx="3520">
                  <c:v>21.080000000000002</c:v>
                </c:pt>
                <c:pt idx="3521">
                  <c:v>21.89</c:v>
                </c:pt>
                <c:pt idx="3522">
                  <c:v>21.728000000000002</c:v>
                </c:pt>
                <c:pt idx="3523">
                  <c:v>21.728000000000002</c:v>
                </c:pt>
                <c:pt idx="3524">
                  <c:v>21.242000000000001</c:v>
                </c:pt>
                <c:pt idx="3525">
                  <c:v>21.89</c:v>
                </c:pt>
                <c:pt idx="3526">
                  <c:v>22.052</c:v>
                </c:pt>
                <c:pt idx="3527">
                  <c:v>22.052</c:v>
                </c:pt>
                <c:pt idx="3528">
                  <c:v>21.89</c:v>
                </c:pt>
                <c:pt idx="3529">
                  <c:v>22.7</c:v>
                </c:pt>
                <c:pt idx="3530">
                  <c:v>22.538</c:v>
                </c:pt>
                <c:pt idx="3531">
                  <c:v>22.538</c:v>
                </c:pt>
                <c:pt idx="3532">
                  <c:v>22.052</c:v>
                </c:pt>
                <c:pt idx="3533">
                  <c:v>22.7</c:v>
                </c:pt>
                <c:pt idx="3534">
                  <c:v>22.862000000000002</c:v>
                </c:pt>
                <c:pt idx="3535">
                  <c:v>22.862000000000002</c:v>
                </c:pt>
                <c:pt idx="3536">
                  <c:v>22.700000000000003</c:v>
                </c:pt>
                <c:pt idx="3537">
                  <c:v>23.51</c:v>
                </c:pt>
                <c:pt idx="3538">
                  <c:v>23.348000000000003</c:v>
                </c:pt>
                <c:pt idx="3539">
                  <c:v>23.348000000000003</c:v>
                </c:pt>
                <c:pt idx="3540">
                  <c:v>22.862000000000002</c:v>
                </c:pt>
                <c:pt idx="3541">
                  <c:v>23.51</c:v>
                </c:pt>
                <c:pt idx="3542">
                  <c:v>23.672000000000001</c:v>
                </c:pt>
                <c:pt idx="3543">
                  <c:v>23.672000000000001</c:v>
                </c:pt>
                <c:pt idx="3544">
                  <c:v>23.51</c:v>
                </c:pt>
                <c:pt idx="3545">
                  <c:v>24.32</c:v>
                </c:pt>
                <c:pt idx="3546">
                  <c:v>24.158000000000001</c:v>
                </c:pt>
                <c:pt idx="3547">
                  <c:v>24.158000000000001</c:v>
                </c:pt>
                <c:pt idx="3548">
                  <c:v>23.672000000000001</c:v>
                </c:pt>
                <c:pt idx="3549">
                  <c:v>24.32</c:v>
                </c:pt>
                <c:pt idx="3550">
                  <c:v>24.481999999999999</c:v>
                </c:pt>
                <c:pt idx="3551">
                  <c:v>24.481999999999999</c:v>
                </c:pt>
                <c:pt idx="3552">
                  <c:v>24.32</c:v>
                </c:pt>
                <c:pt idx="3553">
                  <c:v>25.13</c:v>
                </c:pt>
                <c:pt idx="3554">
                  <c:v>24.968</c:v>
                </c:pt>
                <c:pt idx="3555">
                  <c:v>24.968</c:v>
                </c:pt>
                <c:pt idx="3556">
                  <c:v>24.481999999999999</c:v>
                </c:pt>
                <c:pt idx="3557">
                  <c:v>25.13</c:v>
                </c:pt>
                <c:pt idx="3558">
                  <c:v>25.292000000000002</c:v>
                </c:pt>
                <c:pt idx="3559">
                  <c:v>25.292000000000002</c:v>
                </c:pt>
                <c:pt idx="3560">
                  <c:v>25.130000000000003</c:v>
                </c:pt>
                <c:pt idx="3561">
                  <c:v>25.94</c:v>
                </c:pt>
                <c:pt idx="3562">
                  <c:v>25.778000000000002</c:v>
                </c:pt>
                <c:pt idx="3563">
                  <c:v>25.778000000000002</c:v>
                </c:pt>
                <c:pt idx="3564">
                  <c:v>25.292000000000002</c:v>
                </c:pt>
                <c:pt idx="3565">
                  <c:v>25.94</c:v>
                </c:pt>
                <c:pt idx="3566">
                  <c:v>26.102</c:v>
                </c:pt>
                <c:pt idx="3567">
                  <c:v>26.102</c:v>
                </c:pt>
                <c:pt idx="3568">
                  <c:v>25.94</c:v>
                </c:pt>
                <c:pt idx="3569">
                  <c:v>26.75</c:v>
                </c:pt>
                <c:pt idx="3570">
                  <c:v>26.588000000000001</c:v>
                </c:pt>
                <c:pt idx="3571">
                  <c:v>26.588000000000001</c:v>
                </c:pt>
                <c:pt idx="3572">
                  <c:v>26.102</c:v>
                </c:pt>
                <c:pt idx="3573">
                  <c:v>26.75</c:v>
                </c:pt>
                <c:pt idx="3574">
                  <c:v>26.102</c:v>
                </c:pt>
                <c:pt idx="3575">
                  <c:v>26.102</c:v>
                </c:pt>
                <c:pt idx="3576">
                  <c:v>25.94</c:v>
                </c:pt>
                <c:pt idx="3577">
                  <c:v>26.75</c:v>
                </c:pt>
                <c:pt idx="3578">
                  <c:v>26.588000000000001</c:v>
                </c:pt>
                <c:pt idx="3579">
                  <c:v>26.588000000000001</c:v>
                </c:pt>
                <c:pt idx="3580">
                  <c:v>26.102</c:v>
                </c:pt>
                <c:pt idx="3581">
                  <c:v>26.75</c:v>
                </c:pt>
                <c:pt idx="3582">
                  <c:v>26.102</c:v>
                </c:pt>
                <c:pt idx="3583">
                  <c:v>26.102</c:v>
                </c:pt>
                <c:pt idx="3584">
                  <c:v>25.94</c:v>
                </c:pt>
                <c:pt idx="3585">
                  <c:v>26.75</c:v>
                </c:pt>
                <c:pt idx="3586">
                  <c:v>26.588000000000001</c:v>
                </c:pt>
                <c:pt idx="3587">
                  <c:v>26.588000000000001</c:v>
                </c:pt>
                <c:pt idx="3588">
                  <c:v>26.102</c:v>
                </c:pt>
                <c:pt idx="3589">
                  <c:v>26.75</c:v>
                </c:pt>
                <c:pt idx="3590">
                  <c:v>26.102</c:v>
                </c:pt>
                <c:pt idx="3591">
                  <c:v>26.102</c:v>
                </c:pt>
                <c:pt idx="3592">
                  <c:v>25.94</c:v>
                </c:pt>
                <c:pt idx="3593">
                  <c:v>26.75</c:v>
                </c:pt>
                <c:pt idx="3594">
                  <c:v>26.588000000000001</c:v>
                </c:pt>
                <c:pt idx="3595">
                  <c:v>26.588000000000001</c:v>
                </c:pt>
                <c:pt idx="3596">
                  <c:v>26.102</c:v>
                </c:pt>
                <c:pt idx="3597">
                  <c:v>26.75</c:v>
                </c:pt>
                <c:pt idx="3598">
                  <c:v>26.102</c:v>
                </c:pt>
                <c:pt idx="3599">
                  <c:v>26.102</c:v>
                </c:pt>
                <c:pt idx="3600">
                  <c:v>25.94</c:v>
                </c:pt>
                <c:pt idx="3601">
                  <c:v>26.75</c:v>
                </c:pt>
                <c:pt idx="3602">
                  <c:v>26.588000000000001</c:v>
                </c:pt>
                <c:pt idx="3603">
                  <c:v>26.588000000000001</c:v>
                </c:pt>
                <c:pt idx="3604">
                  <c:v>26.102</c:v>
                </c:pt>
                <c:pt idx="3605">
                  <c:v>26.75</c:v>
                </c:pt>
                <c:pt idx="3606">
                  <c:v>26.102</c:v>
                </c:pt>
                <c:pt idx="3607">
                  <c:v>26.102</c:v>
                </c:pt>
                <c:pt idx="3608">
                  <c:v>25.94</c:v>
                </c:pt>
                <c:pt idx="3609">
                  <c:v>26.75</c:v>
                </c:pt>
                <c:pt idx="3610">
                  <c:v>26.588000000000001</c:v>
                </c:pt>
                <c:pt idx="3611">
                  <c:v>26.588000000000001</c:v>
                </c:pt>
                <c:pt idx="3612">
                  <c:v>26.102</c:v>
                </c:pt>
                <c:pt idx="3613">
                  <c:v>26.75</c:v>
                </c:pt>
                <c:pt idx="3614">
                  <c:v>26.102</c:v>
                </c:pt>
                <c:pt idx="3615">
                  <c:v>26.102</c:v>
                </c:pt>
                <c:pt idx="3616">
                  <c:v>25.94</c:v>
                </c:pt>
                <c:pt idx="3617">
                  <c:v>26.75</c:v>
                </c:pt>
                <c:pt idx="3618">
                  <c:v>26.588000000000001</c:v>
                </c:pt>
                <c:pt idx="3619">
                  <c:v>26.588000000000001</c:v>
                </c:pt>
                <c:pt idx="3620">
                  <c:v>26.102</c:v>
                </c:pt>
                <c:pt idx="3621">
                  <c:v>26.75</c:v>
                </c:pt>
                <c:pt idx="3622">
                  <c:v>26.102</c:v>
                </c:pt>
                <c:pt idx="3623">
                  <c:v>26.102</c:v>
                </c:pt>
                <c:pt idx="3624">
                  <c:v>25.94</c:v>
                </c:pt>
                <c:pt idx="3625">
                  <c:v>26.75</c:v>
                </c:pt>
                <c:pt idx="3626">
                  <c:v>26.588000000000001</c:v>
                </c:pt>
                <c:pt idx="3627">
                  <c:v>26.588000000000001</c:v>
                </c:pt>
                <c:pt idx="3628">
                  <c:v>26.102</c:v>
                </c:pt>
                <c:pt idx="3629">
                  <c:v>26.75</c:v>
                </c:pt>
                <c:pt idx="3630">
                  <c:v>26.102</c:v>
                </c:pt>
                <c:pt idx="3631">
                  <c:v>26.102</c:v>
                </c:pt>
                <c:pt idx="3632">
                  <c:v>25.94</c:v>
                </c:pt>
                <c:pt idx="3633">
                  <c:v>26.75</c:v>
                </c:pt>
                <c:pt idx="3634">
                  <c:v>26.588000000000001</c:v>
                </c:pt>
                <c:pt idx="3635">
                  <c:v>26.588000000000001</c:v>
                </c:pt>
                <c:pt idx="3636">
                  <c:v>26.102</c:v>
                </c:pt>
                <c:pt idx="3637">
                  <c:v>26.75</c:v>
                </c:pt>
                <c:pt idx="3638">
                  <c:v>26.102</c:v>
                </c:pt>
                <c:pt idx="3639">
                  <c:v>26.102</c:v>
                </c:pt>
                <c:pt idx="3640">
                  <c:v>25.94</c:v>
                </c:pt>
                <c:pt idx="3641">
                  <c:v>26.75</c:v>
                </c:pt>
                <c:pt idx="3642">
                  <c:v>26.588000000000001</c:v>
                </c:pt>
                <c:pt idx="3643">
                  <c:v>26.588000000000001</c:v>
                </c:pt>
                <c:pt idx="3644">
                  <c:v>26.102</c:v>
                </c:pt>
                <c:pt idx="3645">
                  <c:v>26.75</c:v>
                </c:pt>
                <c:pt idx="3646">
                  <c:v>26.102</c:v>
                </c:pt>
                <c:pt idx="3647">
                  <c:v>26.102</c:v>
                </c:pt>
                <c:pt idx="3648">
                  <c:v>25.94</c:v>
                </c:pt>
                <c:pt idx="3649">
                  <c:v>26.75</c:v>
                </c:pt>
                <c:pt idx="3650">
                  <c:v>26.588000000000001</c:v>
                </c:pt>
                <c:pt idx="3651">
                  <c:v>26.588000000000001</c:v>
                </c:pt>
                <c:pt idx="3652">
                  <c:v>26.102</c:v>
                </c:pt>
                <c:pt idx="3653">
                  <c:v>26.75</c:v>
                </c:pt>
                <c:pt idx="3654">
                  <c:v>26.102</c:v>
                </c:pt>
                <c:pt idx="3655">
                  <c:v>26.102</c:v>
                </c:pt>
                <c:pt idx="3656">
                  <c:v>25.94</c:v>
                </c:pt>
                <c:pt idx="3657">
                  <c:v>26.75</c:v>
                </c:pt>
                <c:pt idx="3658">
                  <c:v>26.588000000000001</c:v>
                </c:pt>
                <c:pt idx="3659">
                  <c:v>26.588000000000001</c:v>
                </c:pt>
                <c:pt idx="3660">
                  <c:v>26.102</c:v>
                </c:pt>
                <c:pt idx="3661">
                  <c:v>26.75</c:v>
                </c:pt>
                <c:pt idx="3662">
                  <c:v>26.102</c:v>
                </c:pt>
                <c:pt idx="3663">
                  <c:v>26.102</c:v>
                </c:pt>
                <c:pt idx="3664">
                  <c:v>25.94</c:v>
                </c:pt>
                <c:pt idx="3665">
                  <c:v>26.75</c:v>
                </c:pt>
                <c:pt idx="3666">
                  <c:v>26.588000000000001</c:v>
                </c:pt>
                <c:pt idx="3667">
                  <c:v>26.588000000000001</c:v>
                </c:pt>
                <c:pt idx="3668">
                  <c:v>26.102</c:v>
                </c:pt>
                <c:pt idx="3669">
                  <c:v>26.75</c:v>
                </c:pt>
                <c:pt idx="3670">
                  <c:v>26.102</c:v>
                </c:pt>
                <c:pt idx="3671">
                  <c:v>26.102</c:v>
                </c:pt>
                <c:pt idx="3672">
                  <c:v>25.94</c:v>
                </c:pt>
                <c:pt idx="3673">
                  <c:v>26.75</c:v>
                </c:pt>
                <c:pt idx="3674">
                  <c:v>26.588000000000001</c:v>
                </c:pt>
                <c:pt idx="3675">
                  <c:v>26.588000000000001</c:v>
                </c:pt>
                <c:pt idx="3676">
                  <c:v>26.102</c:v>
                </c:pt>
                <c:pt idx="3677">
                  <c:v>26.75</c:v>
                </c:pt>
                <c:pt idx="3678">
                  <c:v>26.102</c:v>
                </c:pt>
                <c:pt idx="3679">
                  <c:v>26.102</c:v>
                </c:pt>
                <c:pt idx="3680">
                  <c:v>25.94</c:v>
                </c:pt>
                <c:pt idx="3681">
                  <c:v>26.75</c:v>
                </c:pt>
                <c:pt idx="3682">
                  <c:v>26.588000000000001</c:v>
                </c:pt>
                <c:pt idx="3683">
                  <c:v>26.588000000000001</c:v>
                </c:pt>
                <c:pt idx="3684">
                  <c:v>26.102</c:v>
                </c:pt>
                <c:pt idx="3685">
                  <c:v>26.75</c:v>
                </c:pt>
                <c:pt idx="3686">
                  <c:v>26.102</c:v>
                </c:pt>
                <c:pt idx="3687">
                  <c:v>26.102</c:v>
                </c:pt>
                <c:pt idx="3688">
                  <c:v>25.94</c:v>
                </c:pt>
                <c:pt idx="3689">
                  <c:v>26.75</c:v>
                </c:pt>
                <c:pt idx="3690">
                  <c:v>26.588000000000001</c:v>
                </c:pt>
                <c:pt idx="3691">
                  <c:v>26.588000000000001</c:v>
                </c:pt>
                <c:pt idx="3692">
                  <c:v>26.102</c:v>
                </c:pt>
                <c:pt idx="3693">
                  <c:v>26.75</c:v>
                </c:pt>
                <c:pt idx="3694">
                  <c:v>26.102</c:v>
                </c:pt>
                <c:pt idx="3695">
                  <c:v>26.102</c:v>
                </c:pt>
                <c:pt idx="3696">
                  <c:v>25.94</c:v>
                </c:pt>
                <c:pt idx="3697">
                  <c:v>26.75</c:v>
                </c:pt>
                <c:pt idx="3698">
                  <c:v>26.588000000000001</c:v>
                </c:pt>
                <c:pt idx="3699">
                  <c:v>26.588000000000001</c:v>
                </c:pt>
                <c:pt idx="3700">
                  <c:v>26.102</c:v>
                </c:pt>
                <c:pt idx="3701">
                  <c:v>26.75</c:v>
                </c:pt>
                <c:pt idx="3702">
                  <c:v>26.102</c:v>
                </c:pt>
                <c:pt idx="3703">
                  <c:v>26.102</c:v>
                </c:pt>
                <c:pt idx="3704">
                  <c:v>25.94</c:v>
                </c:pt>
                <c:pt idx="3705">
                  <c:v>26.75</c:v>
                </c:pt>
                <c:pt idx="3706">
                  <c:v>26.588000000000001</c:v>
                </c:pt>
                <c:pt idx="3707">
                  <c:v>26.588000000000001</c:v>
                </c:pt>
                <c:pt idx="3708">
                  <c:v>26.102</c:v>
                </c:pt>
                <c:pt idx="3709">
                  <c:v>26.75</c:v>
                </c:pt>
                <c:pt idx="3710">
                  <c:v>26.102</c:v>
                </c:pt>
                <c:pt idx="3711">
                  <c:v>26.102</c:v>
                </c:pt>
                <c:pt idx="3712">
                  <c:v>25.94</c:v>
                </c:pt>
                <c:pt idx="3713">
                  <c:v>26.75</c:v>
                </c:pt>
                <c:pt idx="3714">
                  <c:v>26.588000000000001</c:v>
                </c:pt>
                <c:pt idx="3715">
                  <c:v>26.588000000000001</c:v>
                </c:pt>
                <c:pt idx="3716">
                  <c:v>26.102</c:v>
                </c:pt>
                <c:pt idx="3717">
                  <c:v>26.75</c:v>
                </c:pt>
                <c:pt idx="3718">
                  <c:v>26.102</c:v>
                </c:pt>
                <c:pt idx="3719">
                  <c:v>26.102</c:v>
                </c:pt>
                <c:pt idx="3720">
                  <c:v>25.94</c:v>
                </c:pt>
                <c:pt idx="3721">
                  <c:v>26.75</c:v>
                </c:pt>
                <c:pt idx="3722">
                  <c:v>26.588000000000001</c:v>
                </c:pt>
                <c:pt idx="3723">
                  <c:v>26.588000000000001</c:v>
                </c:pt>
                <c:pt idx="3724">
                  <c:v>26.102</c:v>
                </c:pt>
                <c:pt idx="3725">
                  <c:v>26.75</c:v>
                </c:pt>
                <c:pt idx="3726">
                  <c:v>26.102</c:v>
                </c:pt>
                <c:pt idx="3727">
                  <c:v>26.102</c:v>
                </c:pt>
                <c:pt idx="3728">
                  <c:v>25.94</c:v>
                </c:pt>
                <c:pt idx="3729">
                  <c:v>26.75</c:v>
                </c:pt>
                <c:pt idx="3730">
                  <c:v>26.588000000000001</c:v>
                </c:pt>
                <c:pt idx="3731">
                  <c:v>26.588000000000001</c:v>
                </c:pt>
                <c:pt idx="3732">
                  <c:v>26.102</c:v>
                </c:pt>
                <c:pt idx="3733">
                  <c:v>26.75</c:v>
                </c:pt>
                <c:pt idx="3734">
                  <c:v>26.102</c:v>
                </c:pt>
                <c:pt idx="3735">
                  <c:v>26.102</c:v>
                </c:pt>
                <c:pt idx="3736">
                  <c:v>25.94</c:v>
                </c:pt>
                <c:pt idx="3737">
                  <c:v>26.75</c:v>
                </c:pt>
                <c:pt idx="3738">
                  <c:v>26.588000000000001</c:v>
                </c:pt>
                <c:pt idx="3739">
                  <c:v>26.588000000000001</c:v>
                </c:pt>
                <c:pt idx="3740">
                  <c:v>26.102</c:v>
                </c:pt>
                <c:pt idx="3741">
                  <c:v>26.75</c:v>
                </c:pt>
                <c:pt idx="3742">
                  <c:v>26.102</c:v>
                </c:pt>
                <c:pt idx="3743">
                  <c:v>26.102</c:v>
                </c:pt>
                <c:pt idx="3744">
                  <c:v>25.94</c:v>
                </c:pt>
                <c:pt idx="3745">
                  <c:v>26.75</c:v>
                </c:pt>
                <c:pt idx="3746">
                  <c:v>26.588000000000001</c:v>
                </c:pt>
                <c:pt idx="3747">
                  <c:v>26.588000000000001</c:v>
                </c:pt>
                <c:pt idx="3748">
                  <c:v>26.102</c:v>
                </c:pt>
                <c:pt idx="3749">
                  <c:v>26.75</c:v>
                </c:pt>
                <c:pt idx="3750">
                  <c:v>26.102</c:v>
                </c:pt>
                <c:pt idx="3751">
                  <c:v>26.102</c:v>
                </c:pt>
                <c:pt idx="3752">
                  <c:v>25.94</c:v>
                </c:pt>
                <c:pt idx="3753">
                  <c:v>26.75</c:v>
                </c:pt>
                <c:pt idx="3754">
                  <c:v>26.588000000000001</c:v>
                </c:pt>
                <c:pt idx="3755">
                  <c:v>26.588000000000001</c:v>
                </c:pt>
                <c:pt idx="3756">
                  <c:v>26.102</c:v>
                </c:pt>
                <c:pt idx="3757">
                  <c:v>26.75</c:v>
                </c:pt>
                <c:pt idx="3758">
                  <c:v>26.102</c:v>
                </c:pt>
                <c:pt idx="3759">
                  <c:v>26.102</c:v>
                </c:pt>
                <c:pt idx="3760">
                  <c:v>25.94</c:v>
                </c:pt>
                <c:pt idx="3761">
                  <c:v>26.75</c:v>
                </c:pt>
                <c:pt idx="3762">
                  <c:v>26.588000000000001</c:v>
                </c:pt>
                <c:pt idx="3763">
                  <c:v>26.588000000000001</c:v>
                </c:pt>
                <c:pt idx="3764">
                  <c:v>26.102</c:v>
                </c:pt>
                <c:pt idx="3765">
                  <c:v>26.75</c:v>
                </c:pt>
                <c:pt idx="3766">
                  <c:v>26.102</c:v>
                </c:pt>
                <c:pt idx="3767">
                  <c:v>26.102</c:v>
                </c:pt>
                <c:pt idx="3768">
                  <c:v>25.94</c:v>
                </c:pt>
                <c:pt idx="3769">
                  <c:v>26.75</c:v>
                </c:pt>
                <c:pt idx="3770">
                  <c:v>26.588000000000001</c:v>
                </c:pt>
                <c:pt idx="3771">
                  <c:v>26.588000000000001</c:v>
                </c:pt>
                <c:pt idx="3772">
                  <c:v>26.102</c:v>
                </c:pt>
                <c:pt idx="3773">
                  <c:v>26.75</c:v>
                </c:pt>
                <c:pt idx="3774">
                  <c:v>26.102</c:v>
                </c:pt>
                <c:pt idx="3775">
                  <c:v>26.102</c:v>
                </c:pt>
                <c:pt idx="3776">
                  <c:v>25.94</c:v>
                </c:pt>
                <c:pt idx="3777">
                  <c:v>26.75</c:v>
                </c:pt>
                <c:pt idx="3778">
                  <c:v>26.588000000000001</c:v>
                </c:pt>
                <c:pt idx="3779">
                  <c:v>26.588000000000001</c:v>
                </c:pt>
                <c:pt idx="3780">
                  <c:v>26.102</c:v>
                </c:pt>
                <c:pt idx="3781">
                  <c:v>26.75</c:v>
                </c:pt>
                <c:pt idx="3782">
                  <c:v>26.102</c:v>
                </c:pt>
                <c:pt idx="3783">
                  <c:v>26.102</c:v>
                </c:pt>
                <c:pt idx="3784">
                  <c:v>25.94</c:v>
                </c:pt>
                <c:pt idx="3785">
                  <c:v>26.75</c:v>
                </c:pt>
                <c:pt idx="3786">
                  <c:v>26.588000000000001</c:v>
                </c:pt>
                <c:pt idx="3787">
                  <c:v>26.588000000000001</c:v>
                </c:pt>
                <c:pt idx="3788">
                  <c:v>26.102</c:v>
                </c:pt>
                <c:pt idx="3789">
                  <c:v>26.75</c:v>
                </c:pt>
                <c:pt idx="3790">
                  <c:v>26.102</c:v>
                </c:pt>
                <c:pt idx="3791">
                  <c:v>26.102</c:v>
                </c:pt>
                <c:pt idx="3792">
                  <c:v>25.94</c:v>
                </c:pt>
                <c:pt idx="3793">
                  <c:v>26.75</c:v>
                </c:pt>
                <c:pt idx="3794">
                  <c:v>26.588000000000001</c:v>
                </c:pt>
                <c:pt idx="3795">
                  <c:v>26.588000000000001</c:v>
                </c:pt>
                <c:pt idx="3796">
                  <c:v>26.102</c:v>
                </c:pt>
                <c:pt idx="3797">
                  <c:v>26.75</c:v>
                </c:pt>
                <c:pt idx="3798">
                  <c:v>26.102</c:v>
                </c:pt>
                <c:pt idx="3799">
                  <c:v>26.102</c:v>
                </c:pt>
                <c:pt idx="3800">
                  <c:v>25.94</c:v>
                </c:pt>
                <c:pt idx="3801">
                  <c:v>26.75</c:v>
                </c:pt>
                <c:pt idx="3802">
                  <c:v>26.588000000000001</c:v>
                </c:pt>
                <c:pt idx="3803">
                  <c:v>26.588000000000001</c:v>
                </c:pt>
                <c:pt idx="3804">
                  <c:v>26.102</c:v>
                </c:pt>
                <c:pt idx="3805">
                  <c:v>26.75</c:v>
                </c:pt>
                <c:pt idx="3806">
                  <c:v>26.102</c:v>
                </c:pt>
                <c:pt idx="3807">
                  <c:v>26.102</c:v>
                </c:pt>
                <c:pt idx="3808">
                  <c:v>25.94</c:v>
                </c:pt>
                <c:pt idx="3809">
                  <c:v>26.75</c:v>
                </c:pt>
                <c:pt idx="3810">
                  <c:v>26.588000000000001</c:v>
                </c:pt>
                <c:pt idx="3811">
                  <c:v>26.588000000000001</c:v>
                </c:pt>
                <c:pt idx="3812">
                  <c:v>26.102</c:v>
                </c:pt>
                <c:pt idx="3813">
                  <c:v>26.75</c:v>
                </c:pt>
                <c:pt idx="3814">
                  <c:v>26.102</c:v>
                </c:pt>
                <c:pt idx="3815">
                  <c:v>26.102</c:v>
                </c:pt>
                <c:pt idx="3816">
                  <c:v>25.94</c:v>
                </c:pt>
                <c:pt idx="3817">
                  <c:v>26.75</c:v>
                </c:pt>
                <c:pt idx="3818">
                  <c:v>26.588000000000001</c:v>
                </c:pt>
                <c:pt idx="3819">
                  <c:v>26.588000000000001</c:v>
                </c:pt>
                <c:pt idx="3820">
                  <c:v>26.102</c:v>
                </c:pt>
                <c:pt idx="3821">
                  <c:v>26.75</c:v>
                </c:pt>
                <c:pt idx="3822">
                  <c:v>26.102</c:v>
                </c:pt>
                <c:pt idx="3823">
                  <c:v>26.102</c:v>
                </c:pt>
                <c:pt idx="3824">
                  <c:v>25.94</c:v>
                </c:pt>
                <c:pt idx="3825">
                  <c:v>26.75</c:v>
                </c:pt>
                <c:pt idx="3826">
                  <c:v>26.588000000000001</c:v>
                </c:pt>
                <c:pt idx="3827">
                  <c:v>26.588000000000001</c:v>
                </c:pt>
                <c:pt idx="3828">
                  <c:v>26.102</c:v>
                </c:pt>
                <c:pt idx="3829">
                  <c:v>26.75</c:v>
                </c:pt>
                <c:pt idx="3830">
                  <c:v>26.102</c:v>
                </c:pt>
                <c:pt idx="3831">
                  <c:v>26.102</c:v>
                </c:pt>
                <c:pt idx="3832">
                  <c:v>25.94</c:v>
                </c:pt>
                <c:pt idx="3833">
                  <c:v>26.75</c:v>
                </c:pt>
                <c:pt idx="3834">
                  <c:v>26.588000000000001</c:v>
                </c:pt>
                <c:pt idx="3835">
                  <c:v>26.588000000000001</c:v>
                </c:pt>
                <c:pt idx="3836">
                  <c:v>26.102</c:v>
                </c:pt>
                <c:pt idx="3837">
                  <c:v>26.75</c:v>
                </c:pt>
                <c:pt idx="3838">
                  <c:v>26.102</c:v>
                </c:pt>
                <c:pt idx="3839">
                  <c:v>26.102</c:v>
                </c:pt>
                <c:pt idx="3840">
                  <c:v>25.94</c:v>
                </c:pt>
                <c:pt idx="3841">
                  <c:v>26.75</c:v>
                </c:pt>
                <c:pt idx="3842">
                  <c:v>26.588000000000001</c:v>
                </c:pt>
                <c:pt idx="3843">
                  <c:v>26.588000000000001</c:v>
                </c:pt>
                <c:pt idx="3844">
                  <c:v>26.102</c:v>
                </c:pt>
                <c:pt idx="3845">
                  <c:v>26.75</c:v>
                </c:pt>
                <c:pt idx="3846">
                  <c:v>26.102</c:v>
                </c:pt>
                <c:pt idx="3847">
                  <c:v>26.102</c:v>
                </c:pt>
                <c:pt idx="3848">
                  <c:v>25.94</c:v>
                </c:pt>
                <c:pt idx="3849">
                  <c:v>26.75</c:v>
                </c:pt>
                <c:pt idx="3850">
                  <c:v>26.588000000000001</c:v>
                </c:pt>
                <c:pt idx="3851">
                  <c:v>26.588000000000001</c:v>
                </c:pt>
                <c:pt idx="3852">
                  <c:v>26.102</c:v>
                </c:pt>
                <c:pt idx="3853">
                  <c:v>26.75</c:v>
                </c:pt>
                <c:pt idx="3854">
                  <c:v>26.75</c:v>
                </c:pt>
                <c:pt idx="3855">
                  <c:v>6.5</c:v>
                </c:pt>
                <c:pt idx="3856">
                  <c:v>6.6619999999999999</c:v>
                </c:pt>
                <c:pt idx="3857">
                  <c:v>6.6619999999999999</c:v>
                </c:pt>
                <c:pt idx="3858">
                  <c:v>6.5</c:v>
                </c:pt>
                <c:pt idx="3859">
                  <c:v>7.3100000000000005</c:v>
                </c:pt>
                <c:pt idx="3860">
                  <c:v>7.1479999999999997</c:v>
                </c:pt>
                <c:pt idx="3861">
                  <c:v>7.1479999999999997</c:v>
                </c:pt>
                <c:pt idx="3862">
                  <c:v>6.6619999999999999</c:v>
                </c:pt>
                <c:pt idx="3863">
                  <c:v>7.3100000000000005</c:v>
                </c:pt>
                <c:pt idx="3864">
                  <c:v>7.4720000000000004</c:v>
                </c:pt>
                <c:pt idx="3865">
                  <c:v>7.4720000000000004</c:v>
                </c:pt>
                <c:pt idx="3866">
                  <c:v>7.3100000000000005</c:v>
                </c:pt>
                <c:pt idx="3867">
                  <c:v>8.120000000000001</c:v>
                </c:pt>
                <c:pt idx="3868">
                  <c:v>7.9580000000000002</c:v>
                </c:pt>
                <c:pt idx="3869">
                  <c:v>7.9580000000000002</c:v>
                </c:pt>
                <c:pt idx="3870">
                  <c:v>7.4720000000000004</c:v>
                </c:pt>
                <c:pt idx="3871">
                  <c:v>8.120000000000001</c:v>
                </c:pt>
                <c:pt idx="3872">
                  <c:v>8.2820000000000018</c:v>
                </c:pt>
                <c:pt idx="3873">
                  <c:v>8.2820000000000018</c:v>
                </c:pt>
                <c:pt idx="3874">
                  <c:v>8.120000000000001</c:v>
                </c:pt>
                <c:pt idx="3875">
                  <c:v>8.9300000000000015</c:v>
                </c:pt>
                <c:pt idx="3876">
                  <c:v>8.7680000000000007</c:v>
                </c:pt>
                <c:pt idx="3877">
                  <c:v>8.7680000000000007</c:v>
                </c:pt>
                <c:pt idx="3878">
                  <c:v>8.2820000000000018</c:v>
                </c:pt>
                <c:pt idx="3879">
                  <c:v>8.9300000000000015</c:v>
                </c:pt>
                <c:pt idx="3880">
                  <c:v>9.0920000000000005</c:v>
                </c:pt>
                <c:pt idx="3881">
                  <c:v>9.0920000000000005</c:v>
                </c:pt>
                <c:pt idx="3882">
                  <c:v>8.93</c:v>
                </c:pt>
                <c:pt idx="3883">
                  <c:v>9.74</c:v>
                </c:pt>
                <c:pt idx="3884">
                  <c:v>9.5779999999999994</c:v>
                </c:pt>
                <c:pt idx="3885">
                  <c:v>9.5779999999999994</c:v>
                </c:pt>
                <c:pt idx="3886">
                  <c:v>9.0920000000000005</c:v>
                </c:pt>
                <c:pt idx="3887">
                  <c:v>9.74</c:v>
                </c:pt>
                <c:pt idx="3888">
                  <c:v>9.902000000000001</c:v>
                </c:pt>
                <c:pt idx="3889">
                  <c:v>9.902000000000001</c:v>
                </c:pt>
                <c:pt idx="3890">
                  <c:v>9.74</c:v>
                </c:pt>
                <c:pt idx="3891">
                  <c:v>10.55</c:v>
                </c:pt>
                <c:pt idx="3892">
                  <c:v>10.388</c:v>
                </c:pt>
                <c:pt idx="3893">
                  <c:v>10.388</c:v>
                </c:pt>
                <c:pt idx="3894">
                  <c:v>9.902000000000001</c:v>
                </c:pt>
                <c:pt idx="3895">
                  <c:v>10.55</c:v>
                </c:pt>
                <c:pt idx="3896">
                  <c:v>10.712000000000002</c:v>
                </c:pt>
                <c:pt idx="3897">
                  <c:v>10.712000000000002</c:v>
                </c:pt>
                <c:pt idx="3898">
                  <c:v>10.55</c:v>
                </c:pt>
                <c:pt idx="3899">
                  <c:v>11.360000000000001</c:v>
                </c:pt>
                <c:pt idx="3900">
                  <c:v>11.198</c:v>
                </c:pt>
                <c:pt idx="3901">
                  <c:v>11.198</c:v>
                </c:pt>
                <c:pt idx="3902">
                  <c:v>10.712000000000002</c:v>
                </c:pt>
                <c:pt idx="3903">
                  <c:v>11.360000000000001</c:v>
                </c:pt>
                <c:pt idx="3904">
                  <c:v>11.522</c:v>
                </c:pt>
                <c:pt idx="3905">
                  <c:v>11.522</c:v>
                </c:pt>
                <c:pt idx="3906">
                  <c:v>11.36</c:v>
                </c:pt>
                <c:pt idx="3907">
                  <c:v>12.17</c:v>
                </c:pt>
                <c:pt idx="3908">
                  <c:v>12.007999999999999</c:v>
                </c:pt>
                <c:pt idx="3909">
                  <c:v>12.007999999999999</c:v>
                </c:pt>
                <c:pt idx="3910">
                  <c:v>11.522</c:v>
                </c:pt>
                <c:pt idx="3911">
                  <c:v>12.17</c:v>
                </c:pt>
                <c:pt idx="3912">
                  <c:v>12.332000000000001</c:v>
                </c:pt>
                <c:pt idx="3913">
                  <c:v>12.332000000000001</c:v>
                </c:pt>
                <c:pt idx="3914">
                  <c:v>12.17</c:v>
                </c:pt>
                <c:pt idx="3915">
                  <c:v>12.98</c:v>
                </c:pt>
                <c:pt idx="3916">
                  <c:v>12.818</c:v>
                </c:pt>
                <c:pt idx="3917">
                  <c:v>12.818</c:v>
                </c:pt>
                <c:pt idx="3918">
                  <c:v>12.332000000000001</c:v>
                </c:pt>
                <c:pt idx="3919">
                  <c:v>12.98</c:v>
                </c:pt>
                <c:pt idx="3920">
                  <c:v>13.142000000000001</c:v>
                </c:pt>
                <c:pt idx="3921">
                  <c:v>13.142000000000001</c:v>
                </c:pt>
                <c:pt idx="3922">
                  <c:v>12.98</c:v>
                </c:pt>
                <c:pt idx="3923">
                  <c:v>13.790000000000001</c:v>
                </c:pt>
                <c:pt idx="3924">
                  <c:v>13.628</c:v>
                </c:pt>
                <c:pt idx="3925">
                  <c:v>13.628</c:v>
                </c:pt>
                <c:pt idx="3926">
                  <c:v>13.142000000000001</c:v>
                </c:pt>
                <c:pt idx="3927">
                  <c:v>13.790000000000001</c:v>
                </c:pt>
                <c:pt idx="3928">
                  <c:v>13.952000000000002</c:v>
                </c:pt>
                <c:pt idx="3929">
                  <c:v>13.952000000000002</c:v>
                </c:pt>
                <c:pt idx="3930">
                  <c:v>13.790000000000001</c:v>
                </c:pt>
                <c:pt idx="3931">
                  <c:v>14.600000000000001</c:v>
                </c:pt>
                <c:pt idx="3932">
                  <c:v>14.438000000000001</c:v>
                </c:pt>
                <c:pt idx="3933">
                  <c:v>14.438000000000001</c:v>
                </c:pt>
                <c:pt idx="3934">
                  <c:v>13.952000000000002</c:v>
                </c:pt>
                <c:pt idx="3935">
                  <c:v>14.600000000000001</c:v>
                </c:pt>
                <c:pt idx="3936">
                  <c:v>14.762000000000002</c:v>
                </c:pt>
                <c:pt idx="3937">
                  <c:v>14.762000000000002</c:v>
                </c:pt>
                <c:pt idx="3938">
                  <c:v>14.600000000000001</c:v>
                </c:pt>
                <c:pt idx="3939">
                  <c:v>15.410000000000002</c:v>
                </c:pt>
                <c:pt idx="3940">
                  <c:v>15.248000000000001</c:v>
                </c:pt>
                <c:pt idx="3941">
                  <c:v>15.248000000000001</c:v>
                </c:pt>
                <c:pt idx="3942">
                  <c:v>14.762000000000002</c:v>
                </c:pt>
                <c:pt idx="3943">
                  <c:v>15.410000000000002</c:v>
                </c:pt>
                <c:pt idx="3944">
                  <c:v>15.572000000000001</c:v>
                </c:pt>
                <c:pt idx="3945">
                  <c:v>15.572000000000001</c:v>
                </c:pt>
                <c:pt idx="3946">
                  <c:v>15.41</c:v>
                </c:pt>
                <c:pt idx="3947">
                  <c:v>16.22</c:v>
                </c:pt>
                <c:pt idx="3948">
                  <c:v>16.058</c:v>
                </c:pt>
                <c:pt idx="3949">
                  <c:v>16.058</c:v>
                </c:pt>
                <c:pt idx="3950">
                  <c:v>15.572000000000001</c:v>
                </c:pt>
                <c:pt idx="3951">
                  <c:v>16.22</c:v>
                </c:pt>
                <c:pt idx="3952">
                  <c:v>16.381999999999998</c:v>
                </c:pt>
                <c:pt idx="3953">
                  <c:v>16.381999999999998</c:v>
                </c:pt>
                <c:pt idx="3954">
                  <c:v>16.22</c:v>
                </c:pt>
                <c:pt idx="3955">
                  <c:v>17.029999999999998</c:v>
                </c:pt>
                <c:pt idx="3956">
                  <c:v>16.867999999999999</c:v>
                </c:pt>
                <c:pt idx="3957">
                  <c:v>16.867999999999999</c:v>
                </c:pt>
                <c:pt idx="3958">
                  <c:v>16.381999999999998</c:v>
                </c:pt>
                <c:pt idx="3959">
                  <c:v>17.029999999999998</c:v>
                </c:pt>
                <c:pt idx="3960">
                  <c:v>17.192</c:v>
                </c:pt>
                <c:pt idx="3961">
                  <c:v>17.192</c:v>
                </c:pt>
                <c:pt idx="3962">
                  <c:v>17.03</c:v>
                </c:pt>
                <c:pt idx="3963">
                  <c:v>17.84</c:v>
                </c:pt>
                <c:pt idx="3964">
                  <c:v>17.678000000000001</c:v>
                </c:pt>
                <c:pt idx="3965">
                  <c:v>17.678000000000001</c:v>
                </c:pt>
                <c:pt idx="3966">
                  <c:v>17.192</c:v>
                </c:pt>
                <c:pt idx="3967">
                  <c:v>17.84</c:v>
                </c:pt>
                <c:pt idx="3968">
                  <c:v>18.001999999999999</c:v>
                </c:pt>
                <c:pt idx="3969">
                  <c:v>18.001999999999999</c:v>
                </c:pt>
                <c:pt idx="3970">
                  <c:v>17.84</c:v>
                </c:pt>
                <c:pt idx="3971">
                  <c:v>18.649999999999999</c:v>
                </c:pt>
                <c:pt idx="3972">
                  <c:v>18.488</c:v>
                </c:pt>
                <c:pt idx="3973">
                  <c:v>18.488</c:v>
                </c:pt>
                <c:pt idx="3974">
                  <c:v>18.001999999999999</c:v>
                </c:pt>
                <c:pt idx="3975">
                  <c:v>18.649999999999999</c:v>
                </c:pt>
                <c:pt idx="3976">
                  <c:v>18.811999999999998</c:v>
                </c:pt>
                <c:pt idx="3977">
                  <c:v>18.811999999999998</c:v>
                </c:pt>
                <c:pt idx="3978">
                  <c:v>18.649999999999999</c:v>
                </c:pt>
                <c:pt idx="3979">
                  <c:v>19.459999999999997</c:v>
                </c:pt>
                <c:pt idx="3980">
                  <c:v>19.297999999999998</c:v>
                </c:pt>
                <c:pt idx="3981">
                  <c:v>19.297999999999998</c:v>
                </c:pt>
                <c:pt idx="3982">
                  <c:v>18.811999999999998</c:v>
                </c:pt>
                <c:pt idx="3983">
                  <c:v>19.459999999999997</c:v>
                </c:pt>
                <c:pt idx="3984">
                  <c:v>19.622</c:v>
                </c:pt>
                <c:pt idx="3985">
                  <c:v>19.622</c:v>
                </c:pt>
                <c:pt idx="3986">
                  <c:v>19.46</c:v>
                </c:pt>
                <c:pt idx="3987">
                  <c:v>20.27</c:v>
                </c:pt>
                <c:pt idx="3988">
                  <c:v>20.108000000000001</c:v>
                </c:pt>
                <c:pt idx="3989">
                  <c:v>20.108000000000001</c:v>
                </c:pt>
                <c:pt idx="3990">
                  <c:v>19.622</c:v>
                </c:pt>
                <c:pt idx="3991">
                  <c:v>20.27</c:v>
                </c:pt>
                <c:pt idx="3992">
                  <c:v>20.432000000000002</c:v>
                </c:pt>
                <c:pt idx="3993">
                  <c:v>20.432000000000002</c:v>
                </c:pt>
                <c:pt idx="3994">
                  <c:v>20.270000000000003</c:v>
                </c:pt>
                <c:pt idx="3995">
                  <c:v>21.080000000000002</c:v>
                </c:pt>
                <c:pt idx="3996">
                  <c:v>20.918000000000003</c:v>
                </c:pt>
                <c:pt idx="3997">
                  <c:v>20.918000000000003</c:v>
                </c:pt>
                <c:pt idx="3998">
                  <c:v>20.432000000000002</c:v>
                </c:pt>
                <c:pt idx="3999">
                  <c:v>21.080000000000002</c:v>
                </c:pt>
                <c:pt idx="4000">
                  <c:v>21.242000000000001</c:v>
                </c:pt>
                <c:pt idx="4001">
                  <c:v>21.242000000000001</c:v>
                </c:pt>
                <c:pt idx="4002">
                  <c:v>21.080000000000002</c:v>
                </c:pt>
                <c:pt idx="4003">
                  <c:v>21.89</c:v>
                </c:pt>
                <c:pt idx="4004">
                  <c:v>21.728000000000002</c:v>
                </c:pt>
                <c:pt idx="4005">
                  <c:v>21.728000000000002</c:v>
                </c:pt>
                <c:pt idx="4006">
                  <c:v>21.242000000000001</c:v>
                </c:pt>
                <c:pt idx="4007">
                  <c:v>21.89</c:v>
                </c:pt>
                <c:pt idx="4008">
                  <c:v>22.052</c:v>
                </c:pt>
                <c:pt idx="4009">
                  <c:v>22.052</c:v>
                </c:pt>
                <c:pt idx="4010">
                  <c:v>21.89</c:v>
                </c:pt>
                <c:pt idx="4011">
                  <c:v>22.7</c:v>
                </c:pt>
                <c:pt idx="4012">
                  <c:v>22.538</c:v>
                </c:pt>
                <c:pt idx="4013">
                  <c:v>22.538</c:v>
                </c:pt>
                <c:pt idx="4014">
                  <c:v>22.052</c:v>
                </c:pt>
                <c:pt idx="4015">
                  <c:v>22.7</c:v>
                </c:pt>
                <c:pt idx="4016">
                  <c:v>22.862000000000002</c:v>
                </c:pt>
                <c:pt idx="4017">
                  <c:v>22.862000000000002</c:v>
                </c:pt>
                <c:pt idx="4018">
                  <c:v>22.700000000000003</c:v>
                </c:pt>
                <c:pt idx="4019">
                  <c:v>23.51</c:v>
                </c:pt>
                <c:pt idx="4020">
                  <c:v>23.348000000000003</c:v>
                </c:pt>
                <c:pt idx="4021">
                  <c:v>23.348000000000003</c:v>
                </c:pt>
                <c:pt idx="4022">
                  <c:v>22.862000000000002</c:v>
                </c:pt>
                <c:pt idx="4023">
                  <c:v>23.51</c:v>
                </c:pt>
                <c:pt idx="4024">
                  <c:v>23.672000000000001</c:v>
                </c:pt>
                <c:pt idx="4025">
                  <c:v>23.672000000000001</c:v>
                </c:pt>
                <c:pt idx="4026">
                  <c:v>23.51</c:v>
                </c:pt>
                <c:pt idx="4027">
                  <c:v>24.32</c:v>
                </c:pt>
                <c:pt idx="4028">
                  <c:v>24.158000000000001</c:v>
                </c:pt>
                <c:pt idx="4029">
                  <c:v>24.158000000000001</c:v>
                </c:pt>
                <c:pt idx="4030">
                  <c:v>23.672000000000001</c:v>
                </c:pt>
                <c:pt idx="4031">
                  <c:v>24.32</c:v>
                </c:pt>
                <c:pt idx="4032">
                  <c:v>24.481999999999999</c:v>
                </c:pt>
                <c:pt idx="4033">
                  <c:v>24.481999999999999</c:v>
                </c:pt>
                <c:pt idx="4034">
                  <c:v>24.32</c:v>
                </c:pt>
                <c:pt idx="4035">
                  <c:v>25.13</c:v>
                </c:pt>
                <c:pt idx="4036">
                  <c:v>24.968</c:v>
                </c:pt>
                <c:pt idx="4037">
                  <c:v>24.968</c:v>
                </c:pt>
                <c:pt idx="4038">
                  <c:v>24.481999999999999</c:v>
                </c:pt>
                <c:pt idx="4039">
                  <c:v>25.13</c:v>
                </c:pt>
                <c:pt idx="4040">
                  <c:v>25.292000000000002</c:v>
                </c:pt>
                <c:pt idx="4041">
                  <c:v>25.292000000000002</c:v>
                </c:pt>
                <c:pt idx="4042">
                  <c:v>25.130000000000003</c:v>
                </c:pt>
                <c:pt idx="4043">
                  <c:v>25.94</c:v>
                </c:pt>
                <c:pt idx="4044">
                  <c:v>25.778000000000002</c:v>
                </c:pt>
                <c:pt idx="4045">
                  <c:v>25.778000000000002</c:v>
                </c:pt>
                <c:pt idx="4046">
                  <c:v>25.292000000000002</c:v>
                </c:pt>
                <c:pt idx="4047">
                  <c:v>25.94</c:v>
                </c:pt>
                <c:pt idx="4048">
                  <c:v>26.102</c:v>
                </c:pt>
                <c:pt idx="4049">
                  <c:v>26.102</c:v>
                </c:pt>
                <c:pt idx="4050">
                  <c:v>25.94</c:v>
                </c:pt>
                <c:pt idx="4051">
                  <c:v>26.75</c:v>
                </c:pt>
                <c:pt idx="4052">
                  <c:v>26.588000000000001</c:v>
                </c:pt>
                <c:pt idx="4053">
                  <c:v>26.588000000000001</c:v>
                </c:pt>
                <c:pt idx="4054">
                  <c:v>26.102</c:v>
                </c:pt>
                <c:pt idx="4055">
                  <c:v>26.75</c:v>
                </c:pt>
                <c:pt idx="4056">
                  <c:v>26.102</c:v>
                </c:pt>
                <c:pt idx="4057">
                  <c:v>26.102</c:v>
                </c:pt>
                <c:pt idx="4058">
                  <c:v>25.94</c:v>
                </c:pt>
                <c:pt idx="4059">
                  <c:v>26.75</c:v>
                </c:pt>
                <c:pt idx="4060">
                  <c:v>26.588000000000001</c:v>
                </c:pt>
                <c:pt idx="4061">
                  <c:v>26.588000000000001</c:v>
                </c:pt>
                <c:pt idx="4062">
                  <c:v>26.102</c:v>
                </c:pt>
                <c:pt idx="4063">
                  <c:v>26.75</c:v>
                </c:pt>
                <c:pt idx="4064">
                  <c:v>26.102</c:v>
                </c:pt>
                <c:pt idx="4065">
                  <c:v>26.102</c:v>
                </c:pt>
                <c:pt idx="4066">
                  <c:v>25.94</c:v>
                </c:pt>
                <c:pt idx="4067">
                  <c:v>26.75</c:v>
                </c:pt>
                <c:pt idx="4068">
                  <c:v>26.588000000000001</c:v>
                </c:pt>
                <c:pt idx="4069">
                  <c:v>26.588000000000001</c:v>
                </c:pt>
                <c:pt idx="4070">
                  <c:v>26.102</c:v>
                </c:pt>
                <c:pt idx="4071">
                  <c:v>26.75</c:v>
                </c:pt>
                <c:pt idx="4072">
                  <c:v>26.102</c:v>
                </c:pt>
                <c:pt idx="4073">
                  <c:v>26.102</c:v>
                </c:pt>
                <c:pt idx="4074">
                  <c:v>25.94</c:v>
                </c:pt>
                <c:pt idx="4075">
                  <c:v>26.75</c:v>
                </c:pt>
                <c:pt idx="4076">
                  <c:v>26.588000000000001</c:v>
                </c:pt>
                <c:pt idx="4077">
                  <c:v>26.588000000000001</c:v>
                </c:pt>
                <c:pt idx="4078">
                  <c:v>26.102</c:v>
                </c:pt>
                <c:pt idx="4079">
                  <c:v>26.75</c:v>
                </c:pt>
                <c:pt idx="4080">
                  <c:v>26.102</c:v>
                </c:pt>
                <c:pt idx="4081">
                  <c:v>26.102</c:v>
                </c:pt>
                <c:pt idx="4082">
                  <c:v>25.94</c:v>
                </c:pt>
                <c:pt idx="4083">
                  <c:v>26.75</c:v>
                </c:pt>
                <c:pt idx="4084">
                  <c:v>26.588000000000001</c:v>
                </c:pt>
                <c:pt idx="4085">
                  <c:v>26.588000000000001</c:v>
                </c:pt>
                <c:pt idx="4086">
                  <c:v>26.102</c:v>
                </c:pt>
                <c:pt idx="4087">
                  <c:v>26.75</c:v>
                </c:pt>
                <c:pt idx="4088">
                  <c:v>26.102</c:v>
                </c:pt>
                <c:pt idx="4089">
                  <c:v>26.102</c:v>
                </c:pt>
                <c:pt idx="4090">
                  <c:v>25.94</c:v>
                </c:pt>
                <c:pt idx="4091">
                  <c:v>26.75</c:v>
                </c:pt>
                <c:pt idx="4092">
                  <c:v>26.588000000000001</c:v>
                </c:pt>
                <c:pt idx="4093">
                  <c:v>26.588000000000001</c:v>
                </c:pt>
                <c:pt idx="4094">
                  <c:v>26.102</c:v>
                </c:pt>
                <c:pt idx="4095">
                  <c:v>26.75</c:v>
                </c:pt>
                <c:pt idx="4096">
                  <c:v>26.102</c:v>
                </c:pt>
                <c:pt idx="4097">
                  <c:v>26.102</c:v>
                </c:pt>
                <c:pt idx="4098">
                  <c:v>25.94</c:v>
                </c:pt>
                <c:pt idx="4099">
                  <c:v>26.75</c:v>
                </c:pt>
                <c:pt idx="4100">
                  <c:v>26.588000000000001</c:v>
                </c:pt>
                <c:pt idx="4101">
                  <c:v>26.588000000000001</c:v>
                </c:pt>
                <c:pt idx="4102">
                  <c:v>26.102</c:v>
                </c:pt>
                <c:pt idx="4103">
                  <c:v>26.75</c:v>
                </c:pt>
                <c:pt idx="4104">
                  <c:v>26.102</c:v>
                </c:pt>
                <c:pt idx="4105">
                  <c:v>26.102</c:v>
                </c:pt>
                <c:pt idx="4106">
                  <c:v>25.94</c:v>
                </c:pt>
                <c:pt idx="4107">
                  <c:v>26.75</c:v>
                </c:pt>
                <c:pt idx="4108">
                  <c:v>26.588000000000001</c:v>
                </c:pt>
                <c:pt idx="4109">
                  <c:v>26.588000000000001</c:v>
                </c:pt>
                <c:pt idx="4110">
                  <c:v>26.102</c:v>
                </c:pt>
                <c:pt idx="4111">
                  <c:v>26.75</c:v>
                </c:pt>
                <c:pt idx="4112">
                  <c:v>26.102</c:v>
                </c:pt>
                <c:pt idx="4113">
                  <c:v>26.102</c:v>
                </c:pt>
                <c:pt idx="4114">
                  <c:v>25.94</c:v>
                </c:pt>
                <c:pt idx="4115">
                  <c:v>26.75</c:v>
                </c:pt>
                <c:pt idx="4116">
                  <c:v>26.588000000000001</c:v>
                </c:pt>
                <c:pt idx="4117">
                  <c:v>26.588000000000001</c:v>
                </c:pt>
                <c:pt idx="4118">
                  <c:v>26.102</c:v>
                </c:pt>
                <c:pt idx="4119">
                  <c:v>26.75</c:v>
                </c:pt>
                <c:pt idx="4120">
                  <c:v>26.102</c:v>
                </c:pt>
                <c:pt idx="4121">
                  <c:v>26.102</c:v>
                </c:pt>
                <c:pt idx="4122">
                  <c:v>25.94</c:v>
                </c:pt>
                <c:pt idx="4123">
                  <c:v>26.75</c:v>
                </c:pt>
                <c:pt idx="4124">
                  <c:v>26.588000000000001</c:v>
                </c:pt>
                <c:pt idx="4125">
                  <c:v>26.588000000000001</c:v>
                </c:pt>
                <c:pt idx="4126">
                  <c:v>26.102</c:v>
                </c:pt>
                <c:pt idx="4127">
                  <c:v>26.75</c:v>
                </c:pt>
                <c:pt idx="4128">
                  <c:v>26.102</c:v>
                </c:pt>
                <c:pt idx="4129">
                  <c:v>26.102</c:v>
                </c:pt>
                <c:pt idx="4130">
                  <c:v>25.94</c:v>
                </c:pt>
                <c:pt idx="4131">
                  <c:v>26.75</c:v>
                </c:pt>
                <c:pt idx="4132">
                  <c:v>26.588000000000001</c:v>
                </c:pt>
                <c:pt idx="4133">
                  <c:v>26.588000000000001</c:v>
                </c:pt>
                <c:pt idx="4134">
                  <c:v>26.102</c:v>
                </c:pt>
                <c:pt idx="4135">
                  <c:v>26.75</c:v>
                </c:pt>
                <c:pt idx="4136">
                  <c:v>26.102</c:v>
                </c:pt>
                <c:pt idx="4137">
                  <c:v>26.102</c:v>
                </c:pt>
                <c:pt idx="4138">
                  <c:v>25.94</c:v>
                </c:pt>
                <c:pt idx="4139">
                  <c:v>26.75</c:v>
                </c:pt>
                <c:pt idx="4140">
                  <c:v>26.588000000000001</c:v>
                </c:pt>
                <c:pt idx="4141">
                  <c:v>26.588000000000001</c:v>
                </c:pt>
                <c:pt idx="4142">
                  <c:v>26.102</c:v>
                </c:pt>
                <c:pt idx="4143">
                  <c:v>26.75</c:v>
                </c:pt>
                <c:pt idx="4144">
                  <c:v>26.102</c:v>
                </c:pt>
                <c:pt idx="4145">
                  <c:v>26.102</c:v>
                </c:pt>
                <c:pt idx="4146">
                  <c:v>25.94</c:v>
                </c:pt>
                <c:pt idx="4147">
                  <c:v>26.75</c:v>
                </c:pt>
                <c:pt idx="4148">
                  <c:v>26.588000000000001</c:v>
                </c:pt>
                <c:pt idx="4149">
                  <c:v>26.588000000000001</c:v>
                </c:pt>
                <c:pt idx="4150">
                  <c:v>26.102</c:v>
                </c:pt>
                <c:pt idx="4151">
                  <c:v>26.75</c:v>
                </c:pt>
                <c:pt idx="4152">
                  <c:v>26.102</c:v>
                </c:pt>
                <c:pt idx="4153">
                  <c:v>26.102</c:v>
                </c:pt>
                <c:pt idx="4154">
                  <c:v>25.94</c:v>
                </c:pt>
                <c:pt idx="4155">
                  <c:v>26.75</c:v>
                </c:pt>
                <c:pt idx="4156">
                  <c:v>26.588000000000001</c:v>
                </c:pt>
                <c:pt idx="4157">
                  <c:v>26.588000000000001</c:v>
                </c:pt>
                <c:pt idx="4158">
                  <c:v>26.102</c:v>
                </c:pt>
                <c:pt idx="4159">
                  <c:v>26.75</c:v>
                </c:pt>
                <c:pt idx="4160">
                  <c:v>26.102</c:v>
                </c:pt>
                <c:pt idx="4161">
                  <c:v>26.102</c:v>
                </c:pt>
                <c:pt idx="4162">
                  <c:v>25.94</c:v>
                </c:pt>
                <c:pt idx="4163">
                  <c:v>26.75</c:v>
                </c:pt>
                <c:pt idx="4164">
                  <c:v>26.588000000000001</c:v>
                </c:pt>
                <c:pt idx="4165">
                  <c:v>26.588000000000001</c:v>
                </c:pt>
                <c:pt idx="4166">
                  <c:v>26.102</c:v>
                </c:pt>
                <c:pt idx="4167">
                  <c:v>26.75</c:v>
                </c:pt>
                <c:pt idx="4168">
                  <c:v>26.102</c:v>
                </c:pt>
                <c:pt idx="4169">
                  <c:v>26.102</c:v>
                </c:pt>
                <c:pt idx="4170">
                  <c:v>25.94</c:v>
                </c:pt>
                <c:pt idx="4171">
                  <c:v>26.75</c:v>
                </c:pt>
                <c:pt idx="4172">
                  <c:v>26.588000000000001</c:v>
                </c:pt>
                <c:pt idx="4173">
                  <c:v>26.588000000000001</c:v>
                </c:pt>
                <c:pt idx="4174">
                  <c:v>26.102</c:v>
                </c:pt>
                <c:pt idx="4175">
                  <c:v>26.75</c:v>
                </c:pt>
                <c:pt idx="4176">
                  <c:v>26.102</c:v>
                </c:pt>
                <c:pt idx="4177">
                  <c:v>26.102</c:v>
                </c:pt>
                <c:pt idx="4178">
                  <c:v>25.94</c:v>
                </c:pt>
                <c:pt idx="4179">
                  <c:v>26.75</c:v>
                </c:pt>
                <c:pt idx="4180">
                  <c:v>26.588000000000001</c:v>
                </c:pt>
                <c:pt idx="4181">
                  <c:v>26.588000000000001</c:v>
                </c:pt>
                <c:pt idx="4182">
                  <c:v>26.102</c:v>
                </c:pt>
                <c:pt idx="4183">
                  <c:v>26.75</c:v>
                </c:pt>
                <c:pt idx="4184">
                  <c:v>26.102</c:v>
                </c:pt>
                <c:pt idx="4185">
                  <c:v>26.102</c:v>
                </c:pt>
                <c:pt idx="4186">
                  <c:v>25.94</c:v>
                </c:pt>
                <c:pt idx="4187">
                  <c:v>26.75</c:v>
                </c:pt>
                <c:pt idx="4188">
                  <c:v>26.588000000000001</c:v>
                </c:pt>
                <c:pt idx="4189">
                  <c:v>26.588000000000001</c:v>
                </c:pt>
                <c:pt idx="4190">
                  <c:v>26.102</c:v>
                </c:pt>
                <c:pt idx="4191">
                  <c:v>26.75</c:v>
                </c:pt>
                <c:pt idx="4192">
                  <c:v>26.102</c:v>
                </c:pt>
                <c:pt idx="4193">
                  <c:v>26.102</c:v>
                </c:pt>
                <c:pt idx="4194">
                  <c:v>25.94</c:v>
                </c:pt>
                <c:pt idx="4195">
                  <c:v>26.75</c:v>
                </c:pt>
                <c:pt idx="4196">
                  <c:v>26.588000000000001</c:v>
                </c:pt>
                <c:pt idx="4197">
                  <c:v>26.588000000000001</c:v>
                </c:pt>
                <c:pt idx="4198">
                  <c:v>26.102</c:v>
                </c:pt>
                <c:pt idx="4199">
                  <c:v>26.75</c:v>
                </c:pt>
                <c:pt idx="4200">
                  <c:v>26.102</c:v>
                </c:pt>
                <c:pt idx="4201">
                  <c:v>26.102</c:v>
                </c:pt>
                <c:pt idx="4202">
                  <c:v>25.94</c:v>
                </c:pt>
                <c:pt idx="4203">
                  <c:v>26.75</c:v>
                </c:pt>
                <c:pt idx="4204">
                  <c:v>26.588000000000001</c:v>
                </c:pt>
                <c:pt idx="4205">
                  <c:v>26.588000000000001</c:v>
                </c:pt>
                <c:pt idx="4206">
                  <c:v>26.102</c:v>
                </c:pt>
                <c:pt idx="4207">
                  <c:v>26.75</c:v>
                </c:pt>
                <c:pt idx="4208">
                  <c:v>26.102</c:v>
                </c:pt>
                <c:pt idx="4209">
                  <c:v>26.102</c:v>
                </c:pt>
                <c:pt idx="4210">
                  <c:v>25.94</c:v>
                </c:pt>
                <c:pt idx="4211">
                  <c:v>26.75</c:v>
                </c:pt>
                <c:pt idx="4212">
                  <c:v>26.588000000000001</c:v>
                </c:pt>
                <c:pt idx="4213">
                  <c:v>26.588000000000001</c:v>
                </c:pt>
                <c:pt idx="4214">
                  <c:v>26.102</c:v>
                </c:pt>
                <c:pt idx="4215">
                  <c:v>26.75</c:v>
                </c:pt>
                <c:pt idx="4216">
                  <c:v>26.102</c:v>
                </c:pt>
                <c:pt idx="4217">
                  <c:v>26.102</c:v>
                </c:pt>
                <c:pt idx="4218">
                  <c:v>25.94</c:v>
                </c:pt>
                <c:pt idx="4219">
                  <c:v>26.75</c:v>
                </c:pt>
                <c:pt idx="4220">
                  <c:v>26.588000000000001</c:v>
                </c:pt>
                <c:pt idx="4221">
                  <c:v>26.588000000000001</c:v>
                </c:pt>
                <c:pt idx="4222">
                  <c:v>26.102</c:v>
                </c:pt>
                <c:pt idx="4223">
                  <c:v>26.75</c:v>
                </c:pt>
                <c:pt idx="4224">
                  <c:v>26.102</c:v>
                </c:pt>
                <c:pt idx="4225">
                  <c:v>26.102</c:v>
                </c:pt>
                <c:pt idx="4226">
                  <c:v>25.94</c:v>
                </c:pt>
                <c:pt idx="4227">
                  <c:v>26.75</c:v>
                </c:pt>
                <c:pt idx="4228">
                  <c:v>26.588000000000001</c:v>
                </c:pt>
                <c:pt idx="4229">
                  <c:v>26.588000000000001</c:v>
                </c:pt>
                <c:pt idx="4230">
                  <c:v>26.102</c:v>
                </c:pt>
                <c:pt idx="4231">
                  <c:v>26.75</c:v>
                </c:pt>
                <c:pt idx="4232">
                  <c:v>26.102</c:v>
                </c:pt>
                <c:pt idx="4233">
                  <c:v>26.102</c:v>
                </c:pt>
                <c:pt idx="4234">
                  <c:v>25.94</c:v>
                </c:pt>
                <c:pt idx="4235">
                  <c:v>26.75</c:v>
                </c:pt>
                <c:pt idx="4236">
                  <c:v>26.588000000000001</c:v>
                </c:pt>
                <c:pt idx="4237">
                  <c:v>26.588000000000001</c:v>
                </c:pt>
                <c:pt idx="4238">
                  <c:v>26.102</c:v>
                </c:pt>
                <c:pt idx="4239">
                  <c:v>26.75</c:v>
                </c:pt>
                <c:pt idx="4240">
                  <c:v>26.102</c:v>
                </c:pt>
                <c:pt idx="4241">
                  <c:v>26.102</c:v>
                </c:pt>
                <c:pt idx="4242">
                  <c:v>25.94</c:v>
                </c:pt>
                <c:pt idx="4243">
                  <c:v>26.75</c:v>
                </c:pt>
                <c:pt idx="4244">
                  <c:v>26.588000000000001</c:v>
                </c:pt>
                <c:pt idx="4245">
                  <c:v>26.588000000000001</c:v>
                </c:pt>
                <c:pt idx="4246">
                  <c:v>26.102</c:v>
                </c:pt>
                <c:pt idx="4247">
                  <c:v>26.75</c:v>
                </c:pt>
                <c:pt idx="4248">
                  <c:v>26.102</c:v>
                </c:pt>
                <c:pt idx="4249">
                  <c:v>26.102</c:v>
                </c:pt>
                <c:pt idx="4250">
                  <c:v>25.94</c:v>
                </c:pt>
                <c:pt idx="4251">
                  <c:v>26.75</c:v>
                </c:pt>
                <c:pt idx="4252">
                  <c:v>26.588000000000001</c:v>
                </c:pt>
                <c:pt idx="4253">
                  <c:v>26.588000000000001</c:v>
                </c:pt>
                <c:pt idx="4254">
                  <c:v>26.102</c:v>
                </c:pt>
                <c:pt idx="4255">
                  <c:v>26.75</c:v>
                </c:pt>
                <c:pt idx="4256">
                  <c:v>26.102</c:v>
                </c:pt>
                <c:pt idx="4257">
                  <c:v>26.102</c:v>
                </c:pt>
                <c:pt idx="4258">
                  <c:v>25.94</c:v>
                </c:pt>
                <c:pt idx="4259">
                  <c:v>26.75</c:v>
                </c:pt>
                <c:pt idx="4260">
                  <c:v>26.588000000000001</c:v>
                </c:pt>
                <c:pt idx="4261">
                  <c:v>26.588000000000001</c:v>
                </c:pt>
                <c:pt idx="4262">
                  <c:v>26.102</c:v>
                </c:pt>
                <c:pt idx="4263">
                  <c:v>26.75</c:v>
                </c:pt>
                <c:pt idx="4264">
                  <c:v>26.102</c:v>
                </c:pt>
                <c:pt idx="4265">
                  <c:v>26.102</c:v>
                </c:pt>
                <c:pt idx="4266">
                  <c:v>25.94</c:v>
                </c:pt>
                <c:pt idx="4267">
                  <c:v>26.75</c:v>
                </c:pt>
                <c:pt idx="4268">
                  <c:v>26.588000000000001</c:v>
                </c:pt>
                <c:pt idx="4269">
                  <c:v>26.588000000000001</c:v>
                </c:pt>
                <c:pt idx="4270">
                  <c:v>26.102</c:v>
                </c:pt>
                <c:pt idx="4271">
                  <c:v>26.75</c:v>
                </c:pt>
                <c:pt idx="4272">
                  <c:v>26.102</c:v>
                </c:pt>
                <c:pt idx="4273">
                  <c:v>26.102</c:v>
                </c:pt>
                <c:pt idx="4274">
                  <c:v>25.94</c:v>
                </c:pt>
                <c:pt idx="4275">
                  <c:v>26.75</c:v>
                </c:pt>
                <c:pt idx="4276">
                  <c:v>26.588000000000001</c:v>
                </c:pt>
                <c:pt idx="4277">
                  <c:v>26.588000000000001</c:v>
                </c:pt>
                <c:pt idx="4278">
                  <c:v>26.102</c:v>
                </c:pt>
                <c:pt idx="4279">
                  <c:v>26.75</c:v>
                </c:pt>
                <c:pt idx="4280">
                  <c:v>26.102</c:v>
                </c:pt>
                <c:pt idx="4281">
                  <c:v>26.102</c:v>
                </c:pt>
                <c:pt idx="4282">
                  <c:v>25.94</c:v>
                </c:pt>
                <c:pt idx="4283">
                  <c:v>26.75</c:v>
                </c:pt>
                <c:pt idx="4284">
                  <c:v>26.588000000000001</c:v>
                </c:pt>
                <c:pt idx="4285">
                  <c:v>26.588000000000001</c:v>
                </c:pt>
                <c:pt idx="4286">
                  <c:v>26.102</c:v>
                </c:pt>
                <c:pt idx="4287">
                  <c:v>26.75</c:v>
                </c:pt>
                <c:pt idx="4288">
                  <c:v>26.102</c:v>
                </c:pt>
                <c:pt idx="4289">
                  <c:v>26.102</c:v>
                </c:pt>
                <c:pt idx="4290">
                  <c:v>25.94</c:v>
                </c:pt>
                <c:pt idx="4291">
                  <c:v>26.75</c:v>
                </c:pt>
                <c:pt idx="4292">
                  <c:v>26.588000000000001</c:v>
                </c:pt>
                <c:pt idx="4293">
                  <c:v>26.588000000000001</c:v>
                </c:pt>
                <c:pt idx="4294">
                  <c:v>26.102</c:v>
                </c:pt>
                <c:pt idx="4295">
                  <c:v>26.75</c:v>
                </c:pt>
                <c:pt idx="4296">
                  <c:v>26.102</c:v>
                </c:pt>
                <c:pt idx="4297">
                  <c:v>26.102</c:v>
                </c:pt>
                <c:pt idx="4298">
                  <c:v>25.94</c:v>
                </c:pt>
                <c:pt idx="4299">
                  <c:v>26.75</c:v>
                </c:pt>
                <c:pt idx="4300">
                  <c:v>26.588000000000001</c:v>
                </c:pt>
                <c:pt idx="4301">
                  <c:v>26.588000000000001</c:v>
                </c:pt>
                <c:pt idx="4302">
                  <c:v>26.102</c:v>
                </c:pt>
                <c:pt idx="4303">
                  <c:v>26.75</c:v>
                </c:pt>
                <c:pt idx="4304">
                  <c:v>26.102</c:v>
                </c:pt>
                <c:pt idx="4305">
                  <c:v>26.102</c:v>
                </c:pt>
                <c:pt idx="4306">
                  <c:v>25.94</c:v>
                </c:pt>
                <c:pt idx="4307">
                  <c:v>26.75</c:v>
                </c:pt>
                <c:pt idx="4308">
                  <c:v>26.588000000000001</c:v>
                </c:pt>
                <c:pt idx="4309">
                  <c:v>26.588000000000001</c:v>
                </c:pt>
                <c:pt idx="4310">
                  <c:v>26.102</c:v>
                </c:pt>
                <c:pt idx="4311">
                  <c:v>26.75</c:v>
                </c:pt>
                <c:pt idx="4312">
                  <c:v>26.102</c:v>
                </c:pt>
                <c:pt idx="4313">
                  <c:v>26.102</c:v>
                </c:pt>
                <c:pt idx="4314">
                  <c:v>25.94</c:v>
                </c:pt>
                <c:pt idx="4315">
                  <c:v>26.75</c:v>
                </c:pt>
                <c:pt idx="4316">
                  <c:v>26.588000000000001</c:v>
                </c:pt>
                <c:pt idx="4317">
                  <c:v>26.588000000000001</c:v>
                </c:pt>
                <c:pt idx="4318">
                  <c:v>26.102</c:v>
                </c:pt>
                <c:pt idx="4319">
                  <c:v>26.75</c:v>
                </c:pt>
                <c:pt idx="4320">
                  <c:v>26.102</c:v>
                </c:pt>
                <c:pt idx="4321">
                  <c:v>26.102</c:v>
                </c:pt>
                <c:pt idx="4322">
                  <c:v>25.94</c:v>
                </c:pt>
                <c:pt idx="4323">
                  <c:v>26.75</c:v>
                </c:pt>
                <c:pt idx="4324">
                  <c:v>26.588000000000001</c:v>
                </c:pt>
                <c:pt idx="4325">
                  <c:v>26.588000000000001</c:v>
                </c:pt>
                <c:pt idx="4326">
                  <c:v>26.102</c:v>
                </c:pt>
                <c:pt idx="4327">
                  <c:v>26.75</c:v>
                </c:pt>
                <c:pt idx="4328">
                  <c:v>26.102</c:v>
                </c:pt>
                <c:pt idx="4329">
                  <c:v>26.102</c:v>
                </c:pt>
                <c:pt idx="4330">
                  <c:v>25.94</c:v>
                </c:pt>
                <c:pt idx="4331">
                  <c:v>26.75</c:v>
                </c:pt>
                <c:pt idx="4332">
                  <c:v>26.588000000000001</c:v>
                </c:pt>
                <c:pt idx="4333">
                  <c:v>26.588000000000001</c:v>
                </c:pt>
                <c:pt idx="4334">
                  <c:v>26.102</c:v>
                </c:pt>
                <c:pt idx="4335">
                  <c:v>26.75</c:v>
                </c:pt>
                <c:pt idx="4336">
                  <c:v>26.75</c:v>
                </c:pt>
                <c:pt idx="4337">
                  <c:v>6.5</c:v>
                </c:pt>
                <c:pt idx="4338">
                  <c:v>6.6619999999999999</c:v>
                </c:pt>
                <c:pt idx="4339">
                  <c:v>6.6619999999999999</c:v>
                </c:pt>
                <c:pt idx="4340">
                  <c:v>6.5</c:v>
                </c:pt>
                <c:pt idx="4341">
                  <c:v>7.3100000000000005</c:v>
                </c:pt>
                <c:pt idx="4342">
                  <c:v>7.1479999999999997</c:v>
                </c:pt>
                <c:pt idx="4343">
                  <c:v>7.1479999999999997</c:v>
                </c:pt>
                <c:pt idx="4344">
                  <c:v>6.6619999999999999</c:v>
                </c:pt>
                <c:pt idx="4345">
                  <c:v>7.3100000000000005</c:v>
                </c:pt>
                <c:pt idx="4346">
                  <c:v>7.4720000000000004</c:v>
                </c:pt>
                <c:pt idx="4347">
                  <c:v>7.4720000000000004</c:v>
                </c:pt>
                <c:pt idx="4348">
                  <c:v>7.3100000000000005</c:v>
                </c:pt>
                <c:pt idx="4349">
                  <c:v>8.120000000000001</c:v>
                </c:pt>
                <c:pt idx="4350">
                  <c:v>7.9580000000000002</c:v>
                </c:pt>
                <c:pt idx="4351">
                  <c:v>7.9580000000000002</c:v>
                </c:pt>
                <c:pt idx="4352">
                  <c:v>7.4720000000000004</c:v>
                </c:pt>
                <c:pt idx="4353">
                  <c:v>8.120000000000001</c:v>
                </c:pt>
                <c:pt idx="4354">
                  <c:v>8.2820000000000018</c:v>
                </c:pt>
                <c:pt idx="4355">
                  <c:v>8.2820000000000018</c:v>
                </c:pt>
                <c:pt idx="4356">
                  <c:v>8.120000000000001</c:v>
                </c:pt>
                <c:pt idx="4357">
                  <c:v>8.9300000000000015</c:v>
                </c:pt>
                <c:pt idx="4358">
                  <c:v>8.7680000000000007</c:v>
                </c:pt>
                <c:pt idx="4359">
                  <c:v>8.7680000000000007</c:v>
                </c:pt>
                <c:pt idx="4360">
                  <c:v>8.2820000000000018</c:v>
                </c:pt>
                <c:pt idx="4361">
                  <c:v>8.9300000000000015</c:v>
                </c:pt>
                <c:pt idx="4362">
                  <c:v>9.0920000000000005</c:v>
                </c:pt>
                <c:pt idx="4363">
                  <c:v>9.0920000000000005</c:v>
                </c:pt>
                <c:pt idx="4364">
                  <c:v>8.93</c:v>
                </c:pt>
                <c:pt idx="4365">
                  <c:v>9.74</c:v>
                </c:pt>
                <c:pt idx="4366">
                  <c:v>9.5779999999999994</c:v>
                </c:pt>
                <c:pt idx="4367">
                  <c:v>9.5779999999999994</c:v>
                </c:pt>
                <c:pt idx="4368">
                  <c:v>9.0920000000000005</c:v>
                </c:pt>
                <c:pt idx="4369">
                  <c:v>9.74</c:v>
                </c:pt>
                <c:pt idx="4370">
                  <c:v>9.902000000000001</c:v>
                </c:pt>
                <c:pt idx="4371">
                  <c:v>9.902000000000001</c:v>
                </c:pt>
                <c:pt idx="4372">
                  <c:v>9.74</c:v>
                </c:pt>
                <c:pt idx="4373">
                  <c:v>10.55</c:v>
                </c:pt>
                <c:pt idx="4374">
                  <c:v>10.388</c:v>
                </c:pt>
                <c:pt idx="4375">
                  <c:v>10.388</c:v>
                </c:pt>
                <c:pt idx="4376">
                  <c:v>9.902000000000001</c:v>
                </c:pt>
                <c:pt idx="4377">
                  <c:v>10.55</c:v>
                </c:pt>
                <c:pt idx="4378">
                  <c:v>10.712000000000002</c:v>
                </c:pt>
                <c:pt idx="4379">
                  <c:v>10.712000000000002</c:v>
                </c:pt>
                <c:pt idx="4380">
                  <c:v>10.55</c:v>
                </c:pt>
                <c:pt idx="4381">
                  <c:v>11.360000000000001</c:v>
                </c:pt>
                <c:pt idx="4382">
                  <c:v>11.198</c:v>
                </c:pt>
                <c:pt idx="4383">
                  <c:v>11.198</c:v>
                </c:pt>
                <c:pt idx="4384">
                  <c:v>10.712000000000002</c:v>
                </c:pt>
                <c:pt idx="4385">
                  <c:v>11.360000000000001</c:v>
                </c:pt>
                <c:pt idx="4386">
                  <c:v>11.522</c:v>
                </c:pt>
                <c:pt idx="4387">
                  <c:v>11.522</c:v>
                </c:pt>
                <c:pt idx="4388">
                  <c:v>11.36</c:v>
                </c:pt>
                <c:pt idx="4389">
                  <c:v>12.17</c:v>
                </c:pt>
                <c:pt idx="4390">
                  <c:v>12.007999999999999</c:v>
                </c:pt>
                <c:pt idx="4391">
                  <c:v>12.007999999999999</c:v>
                </c:pt>
                <c:pt idx="4392">
                  <c:v>11.522</c:v>
                </c:pt>
                <c:pt idx="4393">
                  <c:v>12.17</c:v>
                </c:pt>
                <c:pt idx="4394">
                  <c:v>12.332000000000001</c:v>
                </c:pt>
                <c:pt idx="4395">
                  <c:v>12.332000000000001</c:v>
                </c:pt>
                <c:pt idx="4396">
                  <c:v>12.17</c:v>
                </c:pt>
                <c:pt idx="4397">
                  <c:v>12.98</c:v>
                </c:pt>
                <c:pt idx="4398">
                  <c:v>12.818</c:v>
                </c:pt>
                <c:pt idx="4399">
                  <c:v>12.818</c:v>
                </c:pt>
                <c:pt idx="4400">
                  <c:v>12.332000000000001</c:v>
                </c:pt>
                <c:pt idx="4401">
                  <c:v>12.98</c:v>
                </c:pt>
                <c:pt idx="4402">
                  <c:v>13.142000000000001</c:v>
                </c:pt>
                <c:pt idx="4403">
                  <c:v>13.142000000000001</c:v>
                </c:pt>
                <c:pt idx="4404">
                  <c:v>12.98</c:v>
                </c:pt>
                <c:pt idx="4405">
                  <c:v>13.790000000000001</c:v>
                </c:pt>
                <c:pt idx="4406">
                  <c:v>13.628</c:v>
                </c:pt>
                <c:pt idx="4407">
                  <c:v>13.628</c:v>
                </c:pt>
                <c:pt idx="4408">
                  <c:v>13.142000000000001</c:v>
                </c:pt>
                <c:pt idx="4409">
                  <c:v>13.790000000000001</c:v>
                </c:pt>
                <c:pt idx="4410">
                  <c:v>13.952000000000002</c:v>
                </c:pt>
                <c:pt idx="4411">
                  <c:v>13.952000000000002</c:v>
                </c:pt>
                <c:pt idx="4412">
                  <c:v>13.790000000000001</c:v>
                </c:pt>
                <c:pt idx="4413">
                  <c:v>14.600000000000001</c:v>
                </c:pt>
                <c:pt idx="4414">
                  <c:v>14.438000000000001</c:v>
                </c:pt>
                <c:pt idx="4415">
                  <c:v>14.438000000000001</c:v>
                </c:pt>
                <c:pt idx="4416">
                  <c:v>13.952000000000002</c:v>
                </c:pt>
                <c:pt idx="4417">
                  <c:v>14.600000000000001</c:v>
                </c:pt>
                <c:pt idx="4418">
                  <c:v>14.762000000000002</c:v>
                </c:pt>
                <c:pt idx="4419">
                  <c:v>14.762000000000002</c:v>
                </c:pt>
                <c:pt idx="4420">
                  <c:v>14.600000000000001</c:v>
                </c:pt>
                <c:pt idx="4421">
                  <c:v>15.410000000000002</c:v>
                </c:pt>
                <c:pt idx="4422">
                  <c:v>15.248000000000001</c:v>
                </c:pt>
                <c:pt idx="4423">
                  <c:v>15.248000000000001</c:v>
                </c:pt>
                <c:pt idx="4424">
                  <c:v>14.762000000000002</c:v>
                </c:pt>
                <c:pt idx="4425">
                  <c:v>15.410000000000002</c:v>
                </c:pt>
                <c:pt idx="4426">
                  <c:v>15.572000000000001</c:v>
                </c:pt>
                <c:pt idx="4427">
                  <c:v>15.572000000000001</c:v>
                </c:pt>
                <c:pt idx="4428">
                  <c:v>15.41</c:v>
                </c:pt>
                <c:pt idx="4429">
                  <c:v>16.22</c:v>
                </c:pt>
                <c:pt idx="4430">
                  <c:v>16.058</c:v>
                </c:pt>
                <c:pt idx="4431">
                  <c:v>16.058</c:v>
                </c:pt>
                <c:pt idx="4432">
                  <c:v>15.572000000000001</c:v>
                </c:pt>
                <c:pt idx="4433">
                  <c:v>16.22</c:v>
                </c:pt>
                <c:pt idx="4434">
                  <c:v>16.381999999999998</c:v>
                </c:pt>
                <c:pt idx="4435">
                  <c:v>16.381999999999998</c:v>
                </c:pt>
                <c:pt idx="4436">
                  <c:v>16.22</c:v>
                </c:pt>
                <c:pt idx="4437">
                  <c:v>17.029999999999998</c:v>
                </c:pt>
                <c:pt idx="4438">
                  <c:v>16.867999999999999</c:v>
                </c:pt>
                <c:pt idx="4439">
                  <c:v>16.867999999999999</c:v>
                </c:pt>
                <c:pt idx="4440">
                  <c:v>16.381999999999998</c:v>
                </c:pt>
                <c:pt idx="4441">
                  <c:v>17.029999999999998</c:v>
                </c:pt>
                <c:pt idx="4442">
                  <c:v>17.192</c:v>
                </c:pt>
                <c:pt idx="4443">
                  <c:v>17.192</c:v>
                </c:pt>
                <c:pt idx="4444">
                  <c:v>17.03</c:v>
                </c:pt>
                <c:pt idx="4445">
                  <c:v>17.84</c:v>
                </c:pt>
                <c:pt idx="4446">
                  <c:v>17.678000000000001</c:v>
                </c:pt>
                <c:pt idx="4447">
                  <c:v>17.678000000000001</c:v>
                </c:pt>
                <c:pt idx="4448">
                  <c:v>17.192</c:v>
                </c:pt>
                <c:pt idx="4449">
                  <c:v>17.84</c:v>
                </c:pt>
                <c:pt idx="4450">
                  <c:v>18.001999999999999</c:v>
                </c:pt>
                <c:pt idx="4451">
                  <c:v>18.001999999999999</c:v>
                </c:pt>
                <c:pt idx="4452">
                  <c:v>17.84</c:v>
                </c:pt>
                <c:pt idx="4453">
                  <c:v>18.649999999999999</c:v>
                </c:pt>
                <c:pt idx="4454">
                  <c:v>18.488</c:v>
                </c:pt>
                <c:pt idx="4455">
                  <c:v>18.488</c:v>
                </c:pt>
                <c:pt idx="4456">
                  <c:v>18.001999999999999</c:v>
                </c:pt>
                <c:pt idx="4457">
                  <c:v>18.649999999999999</c:v>
                </c:pt>
                <c:pt idx="4458">
                  <c:v>18.811999999999998</c:v>
                </c:pt>
                <c:pt idx="4459">
                  <c:v>18.811999999999998</c:v>
                </c:pt>
                <c:pt idx="4460">
                  <c:v>18.649999999999999</c:v>
                </c:pt>
                <c:pt idx="4461">
                  <c:v>19.459999999999997</c:v>
                </c:pt>
                <c:pt idx="4462">
                  <c:v>19.297999999999998</c:v>
                </c:pt>
                <c:pt idx="4463">
                  <c:v>19.297999999999998</c:v>
                </c:pt>
                <c:pt idx="4464">
                  <c:v>18.811999999999998</c:v>
                </c:pt>
                <c:pt idx="4465">
                  <c:v>19.459999999999997</c:v>
                </c:pt>
                <c:pt idx="4466">
                  <c:v>19.622</c:v>
                </c:pt>
                <c:pt idx="4467">
                  <c:v>19.622</c:v>
                </c:pt>
                <c:pt idx="4468">
                  <c:v>19.46</c:v>
                </c:pt>
                <c:pt idx="4469">
                  <c:v>20.27</c:v>
                </c:pt>
                <c:pt idx="4470">
                  <c:v>20.108000000000001</c:v>
                </c:pt>
                <c:pt idx="4471">
                  <c:v>20.108000000000001</c:v>
                </c:pt>
                <c:pt idx="4472">
                  <c:v>19.622</c:v>
                </c:pt>
                <c:pt idx="4473">
                  <c:v>20.27</c:v>
                </c:pt>
                <c:pt idx="4474">
                  <c:v>20.432000000000002</c:v>
                </c:pt>
                <c:pt idx="4475">
                  <c:v>20.432000000000002</c:v>
                </c:pt>
                <c:pt idx="4476">
                  <c:v>20.270000000000003</c:v>
                </c:pt>
                <c:pt idx="4477">
                  <c:v>21.080000000000002</c:v>
                </c:pt>
                <c:pt idx="4478">
                  <c:v>20.918000000000003</c:v>
                </c:pt>
                <c:pt idx="4479">
                  <c:v>20.918000000000003</c:v>
                </c:pt>
                <c:pt idx="4480">
                  <c:v>20.432000000000002</c:v>
                </c:pt>
                <c:pt idx="4481">
                  <c:v>21.080000000000002</c:v>
                </c:pt>
                <c:pt idx="4482">
                  <c:v>21.242000000000001</c:v>
                </c:pt>
                <c:pt idx="4483">
                  <c:v>21.242000000000001</c:v>
                </c:pt>
                <c:pt idx="4484">
                  <c:v>21.080000000000002</c:v>
                </c:pt>
                <c:pt idx="4485">
                  <c:v>21.89</c:v>
                </c:pt>
                <c:pt idx="4486">
                  <c:v>21.728000000000002</c:v>
                </c:pt>
                <c:pt idx="4487">
                  <c:v>21.728000000000002</c:v>
                </c:pt>
                <c:pt idx="4488">
                  <c:v>21.242000000000001</c:v>
                </c:pt>
                <c:pt idx="4489">
                  <c:v>21.89</c:v>
                </c:pt>
                <c:pt idx="4490">
                  <c:v>22.052</c:v>
                </c:pt>
                <c:pt idx="4491">
                  <c:v>22.052</c:v>
                </c:pt>
                <c:pt idx="4492">
                  <c:v>21.89</c:v>
                </c:pt>
                <c:pt idx="4493">
                  <c:v>22.7</c:v>
                </c:pt>
                <c:pt idx="4494">
                  <c:v>22.538</c:v>
                </c:pt>
                <c:pt idx="4495">
                  <c:v>22.538</c:v>
                </c:pt>
                <c:pt idx="4496">
                  <c:v>22.052</c:v>
                </c:pt>
                <c:pt idx="4497">
                  <c:v>22.7</c:v>
                </c:pt>
                <c:pt idx="4498">
                  <c:v>22.862000000000002</c:v>
                </c:pt>
                <c:pt idx="4499">
                  <c:v>22.862000000000002</c:v>
                </c:pt>
                <c:pt idx="4500">
                  <c:v>22.700000000000003</c:v>
                </c:pt>
                <c:pt idx="4501">
                  <c:v>23.51</c:v>
                </c:pt>
                <c:pt idx="4502">
                  <c:v>23.348000000000003</c:v>
                </c:pt>
                <c:pt idx="4503">
                  <c:v>23.348000000000003</c:v>
                </c:pt>
                <c:pt idx="4504">
                  <c:v>22.862000000000002</c:v>
                </c:pt>
                <c:pt idx="4505">
                  <c:v>23.51</c:v>
                </c:pt>
                <c:pt idx="4506">
                  <c:v>23.672000000000001</c:v>
                </c:pt>
                <c:pt idx="4507">
                  <c:v>23.672000000000001</c:v>
                </c:pt>
                <c:pt idx="4508">
                  <c:v>23.51</c:v>
                </c:pt>
                <c:pt idx="4509">
                  <c:v>24.32</c:v>
                </c:pt>
                <c:pt idx="4510">
                  <c:v>24.158000000000001</c:v>
                </c:pt>
                <c:pt idx="4511">
                  <c:v>24.158000000000001</c:v>
                </c:pt>
                <c:pt idx="4512">
                  <c:v>23.672000000000001</c:v>
                </c:pt>
                <c:pt idx="4513">
                  <c:v>24.32</c:v>
                </c:pt>
                <c:pt idx="4514">
                  <c:v>24.481999999999999</c:v>
                </c:pt>
                <c:pt idx="4515">
                  <c:v>24.481999999999999</c:v>
                </c:pt>
                <c:pt idx="4516">
                  <c:v>24.32</c:v>
                </c:pt>
                <c:pt idx="4517">
                  <c:v>25.13</c:v>
                </c:pt>
                <c:pt idx="4518">
                  <c:v>24.968</c:v>
                </c:pt>
                <c:pt idx="4519">
                  <c:v>24.968</c:v>
                </c:pt>
                <c:pt idx="4520">
                  <c:v>24.481999999999999</c:v>
                </c:pt>
                <c:pt idx="4521">
                  <c:v>25.13</c:v>
                </c:pt>
                <c:pt idx="4522">
                  <c:v>25.292000000000002</c:v>
                </c:pt>
                <c:pt idx="4523">
                  <c:v>25.292000000000002</c:v>
                </c:pt>
                <c:pt idx="4524">
                  <c:v>25.130000000000003</c:v>
                </c:pt>
                <c:pt idx="4525">
                  <c:v>25.94</c:v>
                </c:pt>
                <c:pt idx="4526">
                  <c:v>25.778000000000002</c:v>
                </c:pt>
                <c:pt idx="4527">
                  <c:v>25.778000000000002</c:v>
                </c:pt>
                <c:pt idx="4528">
                  <c:v>25.292000000000002</c:v>
                </c:pt>
                <c:pt idx="4529">
                  <c:v>25.94</c:v>
                </c:pt>
                <c:pt idx="4530">
                  <c:v>26.102</c:v>
                </c:pt>
                <c:pt idx="4531">
                  <c:v>26.102</c:v>
                </c:pt>
                <c:pt idx="4532">
                  <c:v>25.94</c:v>
                </c:pt>
                <c:pt idx="4533">
                  <c:v>26.75</c:v>
                </c:pt>
                <c:pt idx="4534">
                  <c:v>26.588000000000001</c:v>
                </c:pt>
                <c:pt idx="4535">
                  <c:v>26.588000000000001</c:v>
                </c:pt>
                <c:pt idx="4536">
                  <c:v>26.102</c:v>
                </c:pt>
                <c:pt idx="4537">
                  <c:v>26.75</c:v>
                </c:pt>
                <c:pt idx="4538">
                  <c:v>26.102</c:v>
                </c:pt>
                <c:pt idx="4539">
                  <c:v>26.102</c:v>
                </c:pt>
                <c:pt idx="4540">
                  <c:v>25.94</c:v>
                </c:pt>
                <c:pt idx="4541">
                  <c:v>26.75</c:v>
                </c:pt>
                <c:pt idx="4542">
                  <c:v>26.588000000000001</c:v>
                </c:pt>
                <c:pt idx="4543">
                  <c:v>26.588000000000001</c:v>
                </c:pt>
                <c:pt idx="4544">
                  <c:v>26.102</c:v>
                </c:pt>
                <c:pt idx="4545">
                  <c:v>26.75</c:v>
                </c:pt>
                <c:pt idx="4546">
                  <c:v>26.102</c:v>
                </c:pt>
                <c:pt idx="4547">
                  <c:v>26.102</c:v>
                </c:pt>
                <c:pt idx="4548">
                  <c:v>25.94</c:v>
                </c:pt>
                <c:pt idx="4549">
                  <c:v>26.75</c:v>
                </c:pt>
                <c:pt idx="4550">
                  <c:v>26.588000000000001</c:v>
                </c:pt>
                <c:pt idx="4551">
                  <c:v>26.588000000000001</c:v>
                </c:pt>
                <c:pt idx="4552">
                  <c:v>26.102</c:v>
                </c:pt>
                <c:pt idx="4553">
                  <c:v>26.75</c:v>
                </c:pt>
                <c:pt idx="4554">
                  <c:v>26.102</c:v>
                </c:pt>
                <c:pt idx="4555">
                  <c:v>26.102</c:v>
                </c:pt>
                <c:pt idx="4556">
                  <c:v>25.94</c:v>
                </c:pt>
                <c:pt idx="4557">
                  <c:v>26.75</c:v>
                </c:pt>
                <c:pt idx="4558">
                  <c:v>26.588000000000001</c:v>
                </c:pt>
                <c:pt idx="4559">
                  <c:v>26.588000000000001</c:v>
                </c:pt>
                <c:pt idx="4560">
                  <c:v>26.102</c:v>
                </c:pt>
                <c:pt idx="4561">
                  <c:v>26.75</c:v>
                </c:pt>
                <c:pt idx="4562">
                  <c:v>26.102</c:v>
                </c:pt>
                <c:pt idx="4563">
                  <c:v>26.102</c:v>
                </c:pt>
                <c:pt idx="4564">
                  <c:v>25.94</c:v>
                </c:pt>
                <c:pt idx="4565">
                  <c:v>26.75</c:v>
                </c:pt>
                <c:pt idx="4566">
                  <c:v>26.588000000000001</c:v>
                </c:pt>
                <c:pt idx="4567">
                  <c:v>26.588000000000001</c:v>
                </c:pt>
                <c:pt idx="4568">
                  <c:v>26.102</c:v>
                </c:pt>
                <c:pt idx="4569">
                  <c:v>26.75</c:v>
                </c:pt>
                <c:pt idx="4570">
                  <c:v>26.102</c:v>
                </c:pt>
                <c:pt idx="4571">
                  <c:v>26.102</c:v>
                </c:pt>
                <c:pt idx="4572">
                  <c:v>25.94</c:v>
                </c:pt>
                <c:pt idx="4573">
                  <c:v>26.75</c:v>
                </c:pt>
                <c:pt idx="4574">
                  <c:v>26.588000000000001</c:v>
                </c:pt>
                <c:pt idx="4575">
                  <c:v>26.588000000000001</c:v>
                </c:pt>
                <c:pt idx="4576">
                  <c:v>26.102</c:v>
                </c:pt>
                <c:pt idx="4577">
                  <c:v>26.75</c:v>
                </c:pt>
                <c:pt idx="4578">
                  <c:v>26.102</c:v>
                </c:pt>
                <c:pt idx="4579">
                  <c:v>26.102</c:v>
                </c:pt>
                <c:pt idx="4580">
                  <c:v>25.94</c:v>
                </c:pt>
                <c:pt idx="4581">
                  <c:v>26.75</c:v>
                </c:pt>
                <c:pt idx="4582">
                  <c:v>26.588000000000001</c:v>
                </c:pt>
                <c:pt idx="4583">
                  <c:v>26.588000000000001</c:v>
                </c:pt>
                <c:pt idx="4584">
                  <c:v>26.102</c:v>
                </c:pt>
                <c:pt idx="4585">
                  <c:v>26.75</c:v>
                </c:pt>
                <c:pt idx="4586">
                  <c:v>26.102</c:v>
                </c:pt>
                <c:pt idx="4587">
                  <c:v>26.102</c:v>
                </c:pt>
                <c:pt idx="4588">
                  <c:v>25.94</c:v>
                </c:pt>
                <c:pt idx="4589">
                  <c:v>26.75</c:v>
                </c:pt>
                <c:pt idx="4590">
                  <c:v>26.588000000000001</c:v>
                </c:pt>
                <c:pt idx="4591">
                  <c:v>26.588000000000001</c:v>
                </c:pt>
                <c:pt idx="4592">
                  <c:v>26.102</c:v>
                </c:pt>
                <c:pt idx="4593">
                  <c:v>26.75</c:v>
                </c:pt>
                <c:pt idx="4594">
                  <c:v>26.102</c:v>
                </c:pt>
                <c:pt idx="4595">
                  <c:v>26.102</c:v>
                </c:pt>
                <c:pt idx="4596">
                  <c:v>25.94</c:v>
                </c:pt>
                <c:pt idx="4597">
                  <c:v>26.75</c:v>
                </c:pt>
                <c:pt idx="4598">
                  <c:v>26.588000000000001</c:v>
                </c:pt>
                <c:pt idx="4599">
                  <c:v>26.588000000000001</c:v>
                </c:pt>
                <c:pt idx="4600">
                  <c:v>26.102</c:v>
                </c:pt>
                <c:pt idx="4601">
                  <c:v>26.75</c:v>
                </c:pt>
                <c:pt idx="4602">
                  <c:v>26.102</c:v>
                </c:pt>
                <c:pt idx="4603">
                  <c:v>26.102</c:v>
                </c:pt>
                <c:pt idx="4604">
                  <c:v>25.94</c:v>
                </c:pt>
                <c:pt idx="4605">
                  <c:v>26.75</c:v>
                </c:pt>
                <c:pt idx="4606">
                  <c:v>26.588000000000001</c:v>
                </c:pt>
                <c:pt idx="4607">
                  <c:v>26.588000000000001</c:v>
                </c:pt>
                <c:pt idx="4608">
                  <c:v>26.102</c:v>
                </c:pt>
                <c:pt idx="4609">
                  <c:v>26.75</c:v>
                </c:pt>
                <c:pt idx="4610">
                  <c:v>26.102</c:v>
                </c:pt>
                <c:pt idx="4611">
                  <c:v>26.102</c:v>
                </c:pt>
                <c:pt idx="4612">
                  <c:v>25.94</c:v>
                </c:pt>
                <c:pt idx="4613">
                  <c:v>26.75</c:v>
                </c:pt>
                <c:pt idx="4614">
                  <c:v>26.588000000000001</c:v>
                </c:pt>
                <c:pt idx="4615">
                  <c:v>26.588000000000001</c:v>
                </c:pt>
                <c:pt idx="4616">
                  <c:v>26.102</c:v>
                </c:pt>
                <c:pt idx="4617">
                  <c:v>26.75</c:v>
                </c:pt>
                <c:pt idx="4618">
                  <c:v>26.102</c:v>
                </c:pt>
                <c:pt idx="4619">
                  <c:v>26.102</c:v>
                </c:pt>
                <c:pt idx="4620">
                  <c:v>25.94</c:v>
                </c:pt>
                <c:pt idx="4621">
                  <c:v>26.75</c:v>
                </c:pt>
                <c:pt idx="4622">
                  <c:v>26.588000000000001</c:v>
                </c:pt>
                <c:pt idx="4623">
                  <c:v>26.588000000000001</c:v>
                </c:pt>
                <c:pt idx="4624">
                  <c:v>26.102</c:v>
                </c:pt>
                <c:pt idx="4625">
                  <c:v>26.75</c:v>
                </c:pt>
                <c:pt idx="4626">
                  <c:v>26.102</c:v>
                </c:pt>
                <c:pt idx="4627">
                  <c:v>26.102</c:v>
                </c:pt>
                <c:pt idx="4628">
                  <c:v>25.94</c:v>
                </c:pt>
                <c:pt idx="4629">
                  <c:v>26.75</c:v>
                </c:pt>
                <c:pt idx="4630">
                  <c:v>26.588000000000001</c:v>
                </c:pt>
                <c:pt idx="4631">
                  <c:v>26.588000000000001</c:v>
                </c:pt>
                <c:pt idx="4632">
                  <c:v>26.102</c:v>
                </c:pt>
                <c:pt idx="4633">
                  <c:v>26.75</c:v>
                </c:pt>
                <c:pt idx="4634">
                  <c:v>26.102</c:v>
                </c:pt>
                <c:pt idx="4635">
                  <c:v>26.102</c:v>
                </c:pt>
                <c:pt idx="4636">
                  <c:v>25.94</c:v>
                </c:pt>
                <c:pt idx="4637">
                  <c:v>26.75</c:v>
                </c:pt>
                <c:pt idx="4638">
                  <c:v>26.588000000000001</c:v>
                </c:pt>
                <c:pt idx="4639">
                  <c:v>26.588000000000001</c:v>
                </c:pt>
                <c:pt idx="4640">
                  <c:v>26.102</c:v>
                </c:pt>
                <c:pt idx="4641">
                  <c:v>26.75</c:v>
                </c:pt>
                <c:pt idx="4642">
                  <c:v>26.102</c:v>
                </c:pt>
                <c:pt idx="4643">
                  <c:v>26.102</c:v>
                </c:pt>
                <c:pt idx="4644">
                  <c:v>25.94</c:v>
                </c:pt>
                <c:pt idx="4645">
                  <c:v>26.75</c:v>
                </c:pt>
                <c:pt idx="4646">
                  <c:v>26.588000000000001</c:v>
                </c:pt>
                <c:pt idx="4647">
                  <c:v>26.588000000000001</c:v>
                </c:pt>
                <c:pt idx="4648">
                  <c:v>26.102</c:v>
                </c:pt>
                <c:pt idx="4649">
                  <c:v>26.75</c:v>
                </c:pt>
                <c:pt idx="4650">
                  <c:v>26.102</c:v>
                </c:pt>
                <c:pt idx="4651">
                  <c:v>26.102</c:v>
                </c:pt>
                <c:pt idx="4652">
                  <c:v>25.94</c:v>
                </c:pt>
                <c:pt idx="4653">
                  <c:v>26.75</c:v>
                </c:pt>
                <c:pt idx="4654">
                  <c:v>26.588000000000001</c:v>
                </c:pt>
                <c:pt idx="4655">
                  <c:v>26.588000000000001</c:v>
                </c:pt>
                <c:pt idx="4656">
                  <c:v>26.102</c:v>
                </c:pt>
                <c:pt idx="4657">
                  <c:v>26.75</c:v>
                </c:pt>
                <c:pt idx="4658">
                  <c:v>26.102</c:v>
                </c:pt>
                <c:pt idx="4659">
                  <c:v>26.102</c:v>
                </c:pt>
                <c:pt idx="4660">
                  <c:v>25.94</c:v>
                </c:pt>
                <c:pt idx="4661">
                  <c:v>26.75</c:v>
                </c:pt>
                <c:pt idx="4662">
                  <c:v>26.588000000000001</c:v>
                </c:pt>
                <c:pt idx="4663">
                  <c:v>26.588000000000001</c:v>
                </c:pt>
                <c:pt idx="4664">
                  <c:v>26.102</c:v>
                </c:pt>
                <c:pt idx="4665">
                  <c:v>26.75</c:v>
                </c:pt>
                <c:pt idx="4666">
                  <c:v>26.102</c:v>
                </c:pt>
                <c:pt idx="4667">
                  <c:v>26.102</c:v>
                </c:pt>
                <c:pt idx="4668">
                  <c:v>25.94</c:v>
                </c:pt>
                <c:pt idx="4669">
                  <c:v>26.75</c:v>
                </c:pt>
                <c:pt idx="4670">
                  <c:v>26.588000000000001</c:v>
                </c:pt>
                <c:pt idx="4671">
                  <c:v>26.588000000000001</c:v>
                </c:pt>
                <c:pt idx="4672">
                  <c:v>26.102</c:v>
                </c:pt>
                <c:pt idx="4673">
                  <c:v>26.75</c:v>
                </c:pt>
                <c:pt idx="4674">
                  <c:v>26.102</c:v>
                </c:pt>
                <c:pt idx="4675">
                  <c:v>26.102</c:v>
                </c:pt>
                <c:pt idx="4676">
                  <c:v>25.94</c:v>
                </c:pt>
                <c:pt idx="4677">
                  <c:v>26.75</c:v>
                </c:pt>
                <c:pt idx="4678">
                  <c:v>26.588000000000001</c:v>
                </c:pt>
                <c:pt idx="4679">
                  <c:v>26.588000000000001</c:v>
                </c:pt>
                <c:pt idx="4680">
                  <c:v>26.102</c:v>
                </c:pt>
                <c:pt idx="4681">
                  <c:v>26.75</c:v>
                </c:pt>
                <c:pt idx="4682">
                  <c:v>26.102</c:v>
                </c:pt>
                <c:pt idx="4683">
                  <c:v>26.102</c:v>
                </c:pt>
                <c:pt idx="4684">
                  <c:v>25.94</c:v>
                </c:pt>
                <c:pt idx="4685">
                  <c:v>26.75</c:v>
                </c:pt>
                <c:pt idx="4686">
                  <c:v>26.588000000000001</c:v>
                </c:pt>
                <c:pt idx="4687">
                  <c:v>26.588000000000001</c:v>
                </c:pt>
                <c:pt idx="4688">
                  <c:v>26.102</c:v>
                </c:pt>
                <c:pt idx="4689">
                  <c:v>26.75</c:v>
                </c:pt>
                <c:pt idx="4690">
                  <c:v>26.102</c:v>
                </c:pt>
                <c:pt idx="4691">
                  <c:v>26.102</c:v>
                </c:pt>
                <c:pt idx="4692">
                  <c:v>25.94</c:v>
                </c:pt>
                <c:pt idx="4693">
                  <c:v>26.75</c:v>
                </c:pt>
                <c:pt idx="4694">
                  <c:v>26.588000000000001</c:v>
                </c:pt>
                <c:pt idx="4695">
                  <c:v>26.588000000000001</c:v>
                </c:pt>
                <c:pt idx="4696">
                  <c:v>26.102</c:v>
                </c:pt>
                <c:pt idx="4697">
                  <c:v>26.75</c:v>
                </c:pt>
                <c:pt idx="4698">
                  <c:v>26.102</c:v>
                </c:pt>
                <c:pt idx="4699">
                  <c:v>26.102</c:v>
                </c:pt>
                <c:pt idx="4700">
                  <c:v>25.94</c:v>
                </c:pt>
                <c:pt idx="4701">
                  <c:v>26.75</c:v>
                </c:pt>
                <c:pt idx="4702">
                  <c:v>26.588000000000001</c:v>
                </c:pt>
                <c:pt idx="4703">
                  <c:v>26.588000000000001</c:v>
                </c:pt>
                <c:pt idx="4704">
                  <c:v>26.102</c:v>
                </c:pt>
                <c:pt idx="4705">
                  <c:v>26.75</c:v>
                </c:pt>
                <c:pt idx="4706">
                  <c:v>26.102</c:v>
                </c:pt>
                <c:pt idx="4707">
                  <c:v>26.102</c:v>
                </c:pt>
                <c:pt idx="4708">
                  <c:v>25.94</c:v>
                </c:pt>
                <c:pt idx="4709">
                  <c:v>26.75</c:v>
                </c:pt>
                <c:pt idx="4710">
                  <c:v>26.588000000000001</c:v>
                </c:pt>
                <c:pt idx="4711">
                  <c:v>26.588000000000001</c:v>
                </c:pt>
                <c:pt idx="4712">
                  <c:v>26.102</c:v>
                </c:pt>
                <c:pt idx="4713">
                  <c:v>26.75</c:v>
                </c:pt>
                <c:pt idx="4714">
                  <c:v>26.102</c:v>
                </c:pt>
                <c:pt idx="4715">
                  <c:v>26.102</c:v>
                </c:pt>
                <c:pt idx="4716">
                  <c:v>25.94</c:v>
                </c:pt>
                <c:pt idx="4717">
                  <c:v>26.75</c:v>
                </c:pt>
                <c:pt idx="4718">
                  <c:v>26.588000000000001</c:v>
                </c:pt>
                <c:pt idx="4719">
                  <c:v>26.588000000000001</c:v>
                </c:pt>
                <c:pt idx="4720">
                  <c:v>26.102</c:v>
                </c:pt>
                <c:pt idx="4721">
                  <c:v>26.75</c:v>
                </c:pt>
                <c:pt idx="4722">
                  <c:v>26.102</c:v>
                </c:pt>
                <c:pt idx="4723">
                  <c:v>26.102</c:v>
                </c:pt>
                <c:pt idx="4724">
                  <c:v>25.94</c:v>
                </c:pt>
                <c:pt idx="4725">
                  <c:v>26.75</c:v>
                </c:pt>
                <c:pt idx="4726">
                  <c:v>26.588000000000001</c:v>
                </c:pt>
                <c:pt idx="4727">
                  <c:v>26.588000000000001</c:v>
                </c:pt>
                <c:pt idx="4728">
                  <c:v>26.102</c:v>
                </c:pt>
                <c:pt idx="4729">
                  <c:v>26.75</c:v>
                </c:pt>
                <c:pt idx="4730">
                  <c:v>26.102</c:v>
                </c:pt>
                <c:pt idx="4731">
                  <c:v>26.102</c:v>
                </c:pt>
                <c:pt idx="4732">
                  <c:v>25.94</c:v>
                </c:pt>
                <c:pt idx="4733">
                  <c:v>26.75</c:v>
                </c:pt>
                <c:pt idx="4734">
                  <c:v>26.588000000000001</c:v>
                </c:pt>
                <c:pt idx="4735">
                  <c:v>26.588000000000001</c:v>
                </c:pt>
                <c:pt idx="4736">
                  <c:v>26.102</c:v>
                </c:pt>
                <c:pt idx="4737">
                  <c:v>26.75</c:v>
                </c:pt>
                <c:pt idx="4738">
                  <c:v>26.102</c:v>
                </c:pt>
                <c:pt idx="4739">
                  <c:v>26.102</c:v>
                </c:pt>
                <c:pt idx="4740">
                  <c:v>25.94</c:v>
                </c:pt>
                <c:pt idx="4741">
                  <c:v>26.75</c:v>
                </c:pt>
                <c:pt idx="4742">
                  <c:v>26.588000000000001</c:v>
                </c:pt>
                <c:pt idx="4743">
                  <c:v>26.588000000000001</c:v>
                </c:pt>
                <c:pt idx="4744">
                  <c:v>26.102</c:v>
                </c:pt>
                <c:pt idx="4745">
                  <c:v>26.75</c:v>
                </c:pt>
                <c:pt idx="4746">
                  <c:v>26.102</c:v>
                </c:pt>
                <c:pt idx="4747">
                  <c:v>26.102</c:v>
                </c:pt>
                <c:pt idx="4748">
                  <c:v>25.94</c:v>
                </c:pt>
                <c:pt idx="4749">
                  <c:v>26.75</c:v>
                </c:pt>
                <c:pt idx="4750">
                  <c:v>26.588000000000001</c:v>
                </c:pt>
                <c:pt idx="4751">
                  <c:v>26.588000000000001</c:v>
                </c:pt>
                <c:pt idx="4752">
                  <c:v>26.102</c:v>
                </c:pt>
                <c:pt idx="4753">
                  <c:v>26.75</c:v>
                </c:pt>
                <c:pt idx="4754">
                  <c:v>26.102</c:v>
                </c:pt>
                <c:pt idx="4755">
                  <c:v>26.102</c:v>
                </c:pt>
                <c:pt idx="4756">
                  <c:v>25.94</c:v>
                </c:pt>
                <c:pt idx="4757">
                  <c:v>26.75</c:v>
                </c:pt>
                <c:pt idx="4758">
                  <c:v>26.588000000000001</c:v>
                </c:pt>
                <c:pt idx="4759">
                  <c:v>26.588000000000001</c:v>
                </c:pt>
                <c:pt idx="4760">
                  <c:v>26.102</c:v>
                </c:pt>
                <c:pt idx="4761">
                  <c:v>26.75</c:v>
                </c:pt>
                <c:pt idx="4762">
                  <c:v>26.102</c:v>
                </c:pt>
                <c:pt idx="4763">
                  <c:v>26.102</c:v>
                </c:pt>
                <c:pt idx="4764">
                  <c:v>25.94</c:v>
                </c:pt>
                <c:pt idx="4765">
                  <c:v>26.75</c:v>
                </c:pt>
                <c:pt idx="4766">
                  <c:v>26.588000000000001</c:v>
                </c:pt>
                <c:pt idx="4767">
                  <c:v>26.588000000000001</c:v>
                </c:pt>
                <c:pt idx="4768">
                  <c:v>26.102</c:v>
                </c:pt>
                <c:pt idx="4769">
                  <c:v>26.75</c:v>
                </c:pt>
                <c:pt idx="4770">
                  <c:v>26.102</c:v>
                </c:pt>
                <c:pt idx="4771">
                  <c:v>26.102</c:v>
                </c:pt>
                <c:pt idx="4772">
                  <c:v>25.94</c:v>
                </c:pt>
                <c:pt idx="4773">
                  <c:v>26.75</c:v>
                </c:pt>
                <c:pt idx="4774">
                  <c:v>26.588000000000001</c:v>
                </c:pt>
                <c:pt idx="4775">
                  <c:v>26.588000000000001</c:v>
                </c:pt>
                <c:pt idx="4776">
                  <c:v>26.102</c:v>
                </c:pt>
                <c:pt idx="4777">
                  <c:v>26.75</c:v>
                </c:pt>
                <c:pt idx="4778">
                  <c:v>26.102</c:v>
                </c:pt>
                <c:pt idx="4779">
                  <c:v>26.102</c:v>
                </c:pt>
                <c:pt idx="4780">
                  <c:v>25.94</c:v>
                </c:pt>
                <c:pt idx="4781">
                  <c:v>26.75</c:v>
                </c:pt>
                <c:pt idx="4782">
                  <c:v>26.588000000000001</c:v>
                </c:pt>
                <c:pt idx="4783">
                  <c:v>26.588000000000001</c:v>
                </c:pt>
                <c:pt idx="4784">
                  <c:v>26.102</c:v>
                </c:pt>
                <c:pt idx="4785">
                  <c:v>26.75</c:v>
                </c:pt>
                <c:pt idx="4786">
                  <c:v>26.102</c:v>
                </c:pt>
                <c:pt idx="4787">
                  <c:v>26.102</c:v>
                </c:pt>
                <c:pt idx="4788">
                  <c:v>25.94</c:v>
                </c:pt>
                <c:pt idx="4789">
                  <c:v>26.75</c:v>
                </c:pt>
                <c:pt idx="4790">
                  <c:v>26.588000000000001</c:v>
                </c:pt>
                <c:pt idx="4791">
                  <c:v>26.588000000000001</c:v>
                </c:pt>
                <c:pt idx="4792">
                  <c:v>26.102</c:v>
                </c:pt>
                <c:pt idx="4793">
                  <c:v>26.75</c:v>
                </c:pt>
                <c:pt idx="4794">
                  <c:v>26.102</c:v>
                </c:pt>
                <c:pt idx="4795">
                  <c:v>26.102</c:v>
                </c:pt>
                <c:pt idx="4796">
                  <c:v>25.94</c:v>
                </c:pt>
                <c:pt idx="4797">
                  <c:v>26.75</c:v>
                </c:pt>
                <c:pt idx="4798">
                  <c:v>26.588000000000001</c:v>
                </c:pt>
                <c:pt idx="4799">
                  <c:v>26.588000000000001</c:v>
                </c:pt>
                <c:pt idx="4800">
                  <c:v>26.102</c:v>
                </c:pt>
                <c:pt idx="4801">
                  <c:v>26.75</c:v>
                </c:pt>
                <c:pt idx="4802">
                  <c:v>26.102</c:v>
                </c:pt>
                <c:pt idx="4803">
                  <c:v>26.102</c:v>
                </c:pt>
                <c:pt idx="4804">
                  <c:v>25.94</c:v>
                </c:pt>
                <c:pt idx="4805">
                  <c:v>26.75</c:v>
                </c:pt>
                <c:pt idx="4806">
                  <c:v>26.588000000000001</c:v>
                </c:pt>
                <c:pt idx="4807">
                  <c:v>26.588000000000001</c:v>
                </c:pt>
                <c:pt idx="4808">
                  <c:v>26.102</c:v>
                </c:pt>
                <c:pt idx="4809">
                  <c:v>26.75</c:v>
                </c:pt>
                <c:pt idx="4810">
                  <c:v>26.102</c:v>
                </c:pt>
                <c:pt idx="4811">
                  <c:v>26.102</c:v>
                </c:pt>
                <c:pt idx="4812">
                  <c:v>25.94</c:v>
                </c:pt>
                <c:pt idx="4813">
                  <c:v>26.75</c:v>
                </c:pt>
                <c:pt idx="4814">
                  <c:v>26.588000000000001</c:v>
                </c:pt>
                <c:pt idx="4815">
                  <c:v>26.588000000000001</c:v>
                </c:pt>
                <c:pt idx="4816">
                  <c:v>26.102</c:v>
                </c:pt>
                <c:pt idx="4817">
                  <c:v>26.75</c:v>
                </c:pt>
              </c:numCache>
            </c:numRef>
          </c:xVal>
          <c:yVal>
            <c:numRef>
              <c:f>Plot_Data!$BN$5:$BN$4822</c:f>
              <c:numCache>
                <c:formatCode>0.000</c:formatCode>
                <c:ptCount val="4818"/>
                <c:pt idx="0">
                  <c:v>-1.84</c:v>
                </c:pt>
                <c:pt idx="1">
                  <c:v>-1.31</c:v>
                </c:pt>
                <c:pt idx="2">
                  <c:v>-1.31</c:v>
                </c:pt>
                <c:pt idx="3">
                  <c:v>-1.31</c:v>
                </c:pt>
                <c:pt idx="4">
                  <c:v>-1.31</c:v>
                </c:pt>
                <c:pt idx="5">
                  <c:v>-1.84</c:v>
                </c:pt>
                <c:pt idx="6">
                  <c:v>-1.84</c:v>
                </c:pt>
                <c:pt idx="7">
                  <c:v>-1.84</c:v>
                </c:pt>
                <c:pt idx="8">
                  <c:v>-1.84</c:v>
                </c:pt>
                <c:pt idx="9">
                  <c:v>-1.31</c:v>
                </c:pt>
                <c:pt idx="10">
                  <c:v>-1.31</c:v>
                </c:pt>
                <c:pt idx="11">
                  <c:v>-1.31</c:v>
                </c:pt>
                <c:pt idx="12">
                  <c:v>-1.31</c:v>
                </c:pt>
                <c:pt idx="13">
                  <c:v>-1.84</c:v>
                </c:pt>
                <c:pt idx="14">
                  <c:v>-1.84</c:v>
                </c:pt>
                <c:pt idx="15">
                  <c:v>-1.84</c:v>
                </c:pt>
                <c:pt idx="16">
                  <c:v>-1.84</c:v>
                </c:pt>
                <c:pt idx="17">
                  <c:v>-1.31</c:v>
                </c:pt>
                <c:pt idx="18">
                  <c:v>-1.31</c:v>
                </c:pt>
                <c:pt idx="19">
                  <c:v>-1.31</c:v>
                </c:pt>
                <c:pt idx="20">
                  <c:v>-1.31</c:v>
                </c:pt>
                <c:pt idx="21">
                  <c:v>-1.84</c:v>
                </c:pt>
                <c:pt idx="22">
                  <c:v>-1.84</c:v>
                </c:pt>
                <c:pt idx="23">
                  <c:v>-1.84</c:v>
                </c:pt>
                <c:pt idx="24">
                  <c:v>-1.84</c:v>
                </c:pt>
                <c:pt idx="25">
                  <c:v>-1.31</c:v>
                </c:pt>
                <c:pt idx="26">
                  <c:v>-1.31</c:v>
                </c:pt>
                <c:pt idx="27">
                  <c:v>-1.31</c:v>
                </c:pt>
                <c:pt idx="28">
                  <c:v>-1.31</c:v>
                </c:pt>
                <c:pt idx="29">
                  <c:v>-1.84</c:v>
                </c:pt>
                <c:pt idx="30">
                  <c:v>-1.84</c:v>
                </c:pt>
                <c:pt idx="31">
                  <c:v>-1.84</c:v>
                </c:pt>
                <c:pt idx="32">
                  <c:v>-1.84</c:v>
                </c:pt>
                <c:pt idx="33">
                  <c:v>-1.31</c:v>
                </c:pt>
                <c:pt idx="34">
                  <c:v>-1.31</c:v>
                </c:pt>
                <c:pt idx="35">
                  <c:v>-1.31</c:v>
                </c:pt>
                <c:pt idx="36">
                  <c:v>-1.31</c:v>
                </c:pt>
                <c:pt idx="37">
                  <c:v>-1.84</c:v>
                </c:pt>
                <c:pt idx="38">
                  <c:v>-1.84</c:v>
                </c:pt>
                <c:pt idx="39">
                  <c:v>-1.84</c:v>
                </c:pt>
                <c:pt idx="40">
                  <c:v>-1.84</c:v>
                </c:pt>
                <c:pt idx="41">
                  <c:v>-1.31</c:v>
                </c:pt>
                <c:pt idx="42">
                  <c:v>-1.31</c:v>
                </c:pt>
                <c:pt idx="43">
                  <c:v>-1.31</c:v>
                </c:pt>
                <c:pt idx="44">
                  <c:v>-1.31</c:v>
                </c:pt>
                <c:pt idx="45">
                  <c:v>-1.84</c:v>
                </c:pt>
                <c:pt idx="46">
                  <c:v>-1.84</c:v>
                </c:pt>
                <c:pt idx="47">
                  <c:v>-1.84</c:v>
                </c:pt>
                <c:pt idx="48">
                  <c:v>-1.84</c:v>
                </c:pt>
                <c:pt idx="49">
                  <c:v>-1.31</c:v>
                </c:pt>
                <c:pt idx="50">
                  <c:v>-1.31</c:v>
                </c:pt>
                <c:pt idx="51">
                  <c:v>-1.31</c:v>
                </c:pt>
                <c:pt idx="52">
                  <c:v>-1.31</c:v>
                </c:pt>
                <c:pt idx="53">
                  <c:v>-1.84</c:v>
                </c:pt>
                <c:pt idx="54">
                  <c:v>-1.84</c:v>
                </c:pt>
                <c:pt idx="55">
                  <c:v>-1.84</c:v>
                </c:pt>
                <c:pt idx="56">
                  <c:v>-1.84</c:v>
                </c:pt>
                <c:pt idx="57">
                  <c:v>-1.31</c:v>
                </c:pt>
                <c:pt idx="58">
                  <c:v>-1.31</c:v>
                </c:pt>
                <c:pt idx="59">
                  <c:v>-1.31</c:v>
                </c:pt>
                <c:pt idx="60">
                  <c:v>-1.31</c:v>
                </c:pt>
                <c:pt idx="61">
                  <c:v>-1.84</c:v>
                </c:pt>
                <c:pt idx="62">
                  <c:v>-1.84</c:v>
                </c:pt>
                <c:pt idx="63">
                  <c:v>-1.84</c:v>
                </c:pt>
                <c:pt idx="64">
                  <c:v>-1.84</c:v>
                </c:pt>
                <c:pt idx="65">
                  <c:v>-1.31</c:v>
                </c:pt>
                <c:pt idx="66">
                  <c:v>-1.31</c:v>
                </c:pt>
                <c:pt idx="67">
                  <c:v>-1.31</c:v>
                </c:pt>
                <c:pt idx="68">
                  <c:v>-1.31</c:v>
                </c:pt>
                <c:pt idx="69">
                  <c:v>-1.84</c:v>
                </c:pt>
                <c:pt idx="70">
                  <c:v>-1.84</c:v>
                </c:pt>
                <c:pt idx="71">
                  <c:v>-1.84</c:v>
                </c:pt>
                <c:pt idx="72">
                  <c:v>-1.84</c:v>
                </c:pt>
                <c:pt idx="73">
                  <c:v>-1.31</c:v>
                </c:pt>
                <c:pt idx="74">
                  <c:v>-1.31</c:v>
                </c:pt>
                <c:pt idx="75">
                  <c:v>-1.31</c:v>
                </c:pt>
                <c:pt idx="76">
                  <c:v>-1.31</c:v>
                </c:pt>
                <c:pt idx="77">
                  <c:v>-1.84</c:v>
                </c:pt>
                <c:pt idx="78">
                  <c:v>-1.84</c:v>
                </c:pt>
                <c:pt idx="79">
                  <c:v>-1.84</c:v>
                </c:pt>
                <c:pt idx="80">
                  <c:v>-1.84</c:v>
                </c:pt>
                <c:pt idx="81">
                  <c:v>-1.31</c:v>
                </c:pt>
                <c:pt idx="82">
                  <c:v>-1.31</c:v>
                </c:pt>
                <c:pt idx="83">
                  <c:v>-1.31</c:v>
                </c:pt>
                <c:pt idx="84">
                  <c:v>-1.31</c:v>
                </c:pt>
                <c:pt idx="85">
                  <c:v>-1.84</c:v>
                </c:pt>
                <c:pt idx="86">
                  <c:v>-1.84</c:v>
                </c:pt>
                <c:pt idx="87">
                  <c:v>-1.84</c:v>
                </c:pt>
                <c:pt idx="88">
                  <c:v>-1.84</c:v>
                </c:pt>
                <c:pt idx="89">
                  <c:v>-1.31</c:v>
                </c:pt>
                <c:pt idx="90">
                  <c:v>-1.31</c:v>
                </c:pt>
                <c:pt idx="91">
                  <c:v>-1.31</c:v>
                </c:pt>
                <c:pt idx="92">
                  <c:v>-1.31</c:v>
                </c:pt>
                <c:pt idx="93">
                  <c:v>-1.84</c:v>
                </c:pt>
                <c:pt idx="94">
                  <c:v>-1.84</c:v>
                </c:pt>
                <c:pt idx="95">
                  <c:v>-1.84</c:v>
                </c:pt>
                <c:pt idx="96">
                  <c:v>-1.84</c:v>
                </c:pt>
                <c:pt idx="97">
                  <c:v>-1.31</c:v>
                </c:pt>
                <c:pt idx="98">
                  <c:v>-1.31</c:v>
                </c:pt>
                <c:pt idx="99">
                  <c:v>-1.31</c:v>
                </c:pt>
                <c:pt idx="100">
                  <c:v>-1.31</c:v>
                </c:pt>
                <c:pt idx="101">
                  <c:v>-1.84</c:v>
                </c:pt>
                <c:pt idx="102">
                  <c:v>-1.84</c:v>
                </c:pt>
                <c:pt idx="103">
                  <c:v>-1.84</c:v>
                </c:pt>
                <c:pt idx="104">
                  <c:v>-1.84</c:v>
                </c:pt>
                <c:pt idx="105">
                  <c:v>-1.31</c:v>
                </c:pt>
                <c:pt idx="106">
                  <c:v>-1.31</c:v>
                </c:pt>
                <c:pt idx="107">
                  <c:v>-1.31</c:v>
                </c:pt>
                <c:pt idx="108">
                  <c:v>-1.31</c:v>
                </c:pt>
                <c:pt idx="109">
                  <c:v>-1.84</c:v>
                </c:pt>
                <c:pt idx="110">
                  <c:v>-1.84</c:v>
                </c:pt>
                <c:pt idx="111">
                  <c:v>-1.84</c:v>
                </c:pt>
                <c:pt idx="112">
                  <c:v>-1.84</c:v>
                </c:pt>
                <c:pt idx="113">
                  <c:v>-1.31</c:v>
                </c:pt>
                <c:pt idx="114">
                  <c:v>-1.31</c:v>
                </c:pt>
                <c:pt idx="115">
                  <c:v>-1.31</c:v>
                </c:pt>
                <c:pt idx="116">
                  <c:v>-1.31</c:v>
                </c:pt>
                <c:pt idx="117">
                  <c:v>-1.84</c:v>
                </c:pt>
                <c:pt idx="118">
                  <c:v>-1.84</c:v>
                </c:pt>
                <c:pt idx="119">
                  <c:v>-1.84</c:v>
                </c:pt>
                <c:pt idx="120">
                  <c:v>-1.84</c:v>
                </c:pt>
                <c:pt idx="121">
                  <c:v>-1.31</c:v>
                </c:pt>
                <c:pt idx="122">
                  <c:v>-1.31</c:v>
                </c:pt>
                <c:pt idx="123">
                  <c:v>-1.31</c:v>
                </c:pt>
                <c:pt idx="124">
                  <c:v>-1.31</c:v>
                </c:pt>
                <c:pt idx="125">
                  <c:v>-1.84</c:v>
                </c:pt>
                <c:pt idx="126">
                  <c:v>-1.84</c:v>
                </c:pt>
                <c:pt idx="127">
                  <c:v>-1.84</c:v>
                </c:pt>
                <c:pt idx="128">
                  <c:v>-1.84</c:v>
                </c:pt>
                <c:pt idx="129">
                  <c:v>-1.31</c:v>
                </c:pt>
                <c:pt idx="130">
                  <c:v>-1.31</c:v>
                </c:pt>
                <c:pt idx="131">
                  <c:v>-1.31</c:v>
                </c:pt>
                <c:pt idx="132">
                  <c:v>-1.31</c:v>
                </c:pt>
                <c:pt idx="133">
                  <c:v>-1.84</c:v>
                </c:pt>
                <c:pt idx="134">
                  <c:v>-1.84</c:v>
                </c:pt>
                <c:pt idx="135">
                  <c:v>-1.84</c:v>
                </c:pt>
                <c:pt idx="136">
                  <c:v>-1.84</c:v>
                </c:pt>
                <c:pt idx="137">
                  <c:v>-1.31</c:v>
                </c:pt>
                <c:pt idx="138">
                  <c:v>-1.31</c:v>
                </c:pt>
                <c:pt idx="139">
                  <c:v>-1.31</c:v>
                </c:pt>
                <c:pt idx="140">
                  <c:v>-1.31</c:v>
                </c:pt>
                <c:pt idx="141">
                  <c:v>-1.84</c:v>
                </c:pt>
                <c:pt idx="142">
                  <c:v>-1.84</c:v>
                </c:pt>
                <c:pt idx="143">
                  <c:v>-1.84</c:v>
                </c:pt>
                <c:pt idx="144">
                  <c:v>-1.84</c:v>
                </c:pt>
                <c:pt idx="145">
                  <c:v>-1.31</c:v>
                </c:pt>
                <c:pt idx="146">
                  <c:v>-1.31</c:v>
                </c:pt>
                <c:pt idx="147">
                  <c:v>-1.31</c:v>
                </c:pt>
                <c:pt idx="148">
                  <c:v>-1.31</c:v>
                </c:pt>
                <c:pt idx="149">
                  <c:v>-1.84</c:v>
                </c:pt>
                <c:pt idx="150">
                  <c:v>-1.84</c:v>
                </c:pt>
                <c:pt idx="151">
                  <c:v>-1.84</c:v>
                </c:pt>
                <c:pt idx="152">
                  <c:v>-1.84</c:v>
                </c:pt>
                <c:pt idx="153">
                  <c:v>-1.31</c:v>
                </c:pt>
                <c:pt idx="154">
                  <c:v>-1.31</c:v>
                </c:pt>
                <c:pt idx="155">
                  <c:v>-1.31</c:v>
                </c:pt>
                <c:pt idx="156">
                  <c:v>-1.31</c:v>
                </c:pt>
                <c:pt idx="157">
                  <c:v>-1.84</c:v>
                </c:pt>
                <c:pt idx="158">
                  <c:v>-1.84</c:v>
                </c:pt>
                <c:pt idx="159">
                  <c:v>-1.84</c:v>
                </c:pt>
                <c:pt idx="160">
                  <c:v>-1.84</c:v>
                </c:pt>
                <c:pt idx="161">
                  <c:v>-1.31</c:v>
                </c:pt>
                <c:pt idx="162">
                  <c:v>-1.31</c:v>
                </c:pt>
                <c:pt idx="163">
                  <c:v>-1.31</c:v>
                </c:pt>
                <c:pt idx="164">
                  <c:v>-1.31</c:v>
                </c:pt>
                <c:pt idx="165">
                  <c:v>-1.84</c:v>
                </c:pt>
                <c:pt idx="166">
                  <c:v>-1.84</c:v>
                </c:pt>
                <c:pt idx="167">
                  <c:v>-1.84</c:v>
                </c:pt>
                <c:pt idx="168">
                  <c:v>-1.84</c:v>
                </c:pt>
                <c:pt idx="169">
                  <c:v>-1.31</c:v>
                </c:pt>
                <c:pt idx="170">
                  <c:v>-1.31</c:v>
                </c:pt>
                <c:pt idx="171">
                  <c:v>-1.31</c:v>
                </c:pt>
                <c:pt idx="172">
                  <c:v>-1.31</c:v>
                </c:pt>
                <c:pt idx="173">
                  <c:v>-1.84</c:v>
                </c:pt>
                <c:pt idx="174">
                  <c:v>-1.84</c:v>
                </c:pt>
                <c:pt idx="175">
                  <c:v>-1.84</c:v>
                </c:pt>
                <c:pt idx="176">
                  <c:v>-1.84</c:v>
                </c:pt>
                <c:pt idx="177">
                  <c:v>-1.31</c:v>
                </c:pt>
                <c:pt idx="178">
                  <c:v>-1.31</c:v>
                </c:pt>
                <c:pt idx="179">
                  <c:v>-1.31</c:v>
                </c:pt>
                <c:pt idx="180">
                  <c:v>-1.31</c:v>
                </c:pt>
                <c:pt idx="181">
                  <c:v>-1.84</c:v>
                </c:pt>
                <c:pt idx="182">
                  <c:v>-1.84</c:v>
                </c:pt>
                <c:pt idx="183">
                  <c:v>-1.84</c:v>
                </c:pt>
                <c:pt idx="184">
                  <c:v>-1.84</c:v>
                </c:pt>
                <c:pt idx="185">
                  <c:v>-1.31</c:v>
                </c:pt>
                <c:pt idx="186">
                  <c:v>-1.31</c:v>
                </c:pt>
                <c:pt idx="187">
                  <c:v>-1.31</c:v>
                </c:pt>
                <c:pt idx="188">
                  <c:v>-1.31</c:v>
                </c:pt>
                <c:pt idx="189">
                  <c:v>-1.84</c:v>
                </c:pt>
                <c:pt idx="190">
                  <c:v>-1.84</c:v>
                </c:pt>
                <c:pt idx="191">
                  <c:v>-1.84</c:v>
                </c:pt>
                <c:pt idx="192">
                  <c:v>-1.84</c:v>
                </c:pt>
                <c:pt idx="193">
                  <c:v>-1.31</c:v>
                </c:pt>
                <c:pt idx="194">
                  <c:v>-1.31</c:v>
                </c:pt>
                <c:pt idx="195">
                  <c:v>-1.31</c:v>
                </c:pt>
                <c:pt idx="196">
                  <c:v>-1.31</c:v>
                </c:pt>
                <c:pt idx="197">
                  <c:v>-1.84</c:v>
                </c:pt>
                <c:pt idx="198">
                  <c:v>-1.84</c:v>
                </c:pt>
                <c:pt idx="199">
                  <c:v>-1.84</c:v>
                </c:pt>
                <c:pt idx="200">
                  <c:v>-1.84</c:v>
                </c:pt>
                <c:pt idx="201">
                  <c:v>-1.31</c:v>
                </c:pt>
                <c:pt idx="202">
                  <c:v>-1.31</c:v>
                </c:pt>
                <c:pt idx="203">
                  <c:v>-1.31</c:v>
                </c:pt>
                <c:pt idx="204">
                  <c:v>-1.31</c:v>
                </c:pt>
                <c:pt idx="205">
                  <c:v>-1.84</c:v>
                </c:pt>
                <c:pt idx="206">
                  <c:v>-1.84</c:v>
                </c:pt>
                <c:pt idx="207">
                  <c:v>-1.84</c:v>
                </c:pt>
                <c:pt idx="208">
                  <c:v>-1.84</c:v>
                </c:pt>
                <c:pt idx="209">
                  <c:v>-1.31</c:v>
                </c:pt>
                <c:pt idx="210">
                  <c:v>-1.31</c:v>
                </c:pt>
                <c:pt idx="211">
                  <c:v>-1.31</c:v>
                </c:pt>
                <c:pt idx="212">
                  <c:v>-1.31</c:v>
                </c:pt>
                <c:pt idx="213">
                  <c:v>-1.84</c:v>
                </c:pt>
                <c:pt idx="214">
                  <c:v>-1.84</c:v>
                </c:pt>
                <c:pt idx="215">
                  <c:v>-1.84</c:v>
                </c:pt>
                <c:pt idx="216">
                  <c:v>-1.84</c:v>
                </c:pt>
                <c:pt idx="217">
                  <c:v>-1.31</c:v>
                </c:pt>
                <c:pt idx="218">
                  <c:v>-1.31</c:v>
                </c:pt>
                <c:pt idx="219">
                  <c:v>-1.31</c:v>
                </c:pt>
                <c:pt idx="220">
                  <c:v>-1.31</c:v>
                </c:pt>
                <c:pt idx="221">
                  <c:v>-1.84</c:v>
                </c:pt>
                <c:pt idx="222">
                  <c:v>-1.84</c:v>
                </c:pt>
                <c:pt idx="223">
                  <c:v>-1.84</c:v>
                </c:pt>
                <c:pt idx="224">
                  <c:v>-1.84</c:v>
                </c:pt>
                <c:pt idx="225">
                  <c:v>-1.31</c:v>
                </c:pt>
                <c:pt idx="226">
                  <c:v>-1.31</c:v>
                </c:pt>
                <c:pt idx="227">
                  <c:v>-1.31</c:v>
                </c:pt>
                <c:pt idx="228">
                  <c:v>-1.31</c:v>
                </c:pt>
                <c:pt idx="229">
                  <c:v>-1.84</c:v>
                </c:pt>
                <c:pt idx="230">
                  <c:v>-1.84</c:v>
                </c:pt>
                <c:pt idx="231">
                  <c:v>-1.84</c:v>
                </c:pt>
                <c:pt idx="232">
                  <c:v>-1.84</c:v>
                </c:pt>
                <c:pt idx="233">
                  <c:v>-1.31</c:v>
                </c:pt>
                <c:pt idx="234">
                  <c:v>-1.31</c:v>
                </c:pt>
                <c:pt idx="235">
                  <c:v>-1.31</c:v>
                </c:pt>
                <c:pt idx="236">
                  <c:v>-1.31</c:v>
                </c:pt>
                <c:pt idx="237">
                  <c:v>-1.84</c:v>
                </c:pt>
                <c:pt idx="238">
                  <c:v>-1.84</c:v>
                </c:pt>
                <c:pt idx="239">
                  <c:v>-1.84</c:v>
                </c:pt>
                <c:pt idx="240">
                  <c:v>-1.84</c:v>
                </c:pt>
                <c:pt idx="241">
                  <c:v>-1.31</c:v>
                </c:pt>
                <c:pt idx="242">
                  <c:v>-1.31</c:v>
                </c:pt>
                <c:pt idx="243">
                  <c:v>-1.31</c:v>
                </c:pt>
                <c:pt idx="244">
                  <c:v>-1.31</c:v>
                </c:pt>
                <c:pt idx="245">
                  <c:v>-1.84</c:v>
                </c:pt>
                <c:pt idx="246">
                  <c:v>-1.84</c:v>
                </c:pt>
                <c:pt idx="247">
                  <c:v>-1.84</c:v>
                </c:pt>
                <c:pt idx="248">
                  <c:v>-1.84</c:v>
                </c:pt>
                <c:pt idx="249">
                  <c:v>-1.31</c:v>
                </c:pt>
                <c:pt idx="250">
                  <c:v>-1.31</c:v>
                </c:pt>
                <c:pt idx="251">
                  <c:v>-1.31</c:v>
                </c:pt>
                <c:pt idx="252">
                  <c:v>-1.31</c:v>
                </c:pt>
                <c:pt idx="253">
                  <c:v>-1.84</c:v>
                </c:pt>
                <c:pt idx="254">
                  <c:v>-1.84</c:v>
                </c:pt>
                <c:pt idx="255">
                  <c:v>-1.84</c:v>
                </c:pt>
                <c:pt idx="256">
                  <c:v>-1.84</c:v>
                </c:pt>
                <c:pt idx="257">
                  <c:v>-1.31</c:v>
                </c:pt>
                <c:pt idx="258">
                  <c:v>-1.31</c:v>
                </c:pt>
                <c:pt idx="259">
                  <c:v>-1.31</c:v>
                </c:pt>
                <c:pt idx="260">
                  <c:v>-1.31</c:v>
                </c:pt>
                <c:pt idx="261">
                  <c:v>-1.84</c:v>
                </c:pt>
                <c:pt idx="262">
                  <c:v>-1.84</c:v>
                </c:pt>
                <c:pt idx="263">
                  <c:v>-1.84</c:v>
                </c:pt>
                <c:pt idx="264">
                  <c:v>-1.84</c:v>
                </c:pt>
                <c:pt idx="265">
                  <c:v>-1.31</c:v>
                </c:pt>
                <c:pt idx="266">
                  <c:v>-1.31</c:v>
                </c:pt>
                <c:pt idx="267">
                  <c:v>-1.31</c:v>
                </c:pt>
                <c:pt idx="268">
                  <c:v>-1.31</c:v>
                </c:pt>
                <c:pt idx="269">
                  <c:v>-1.84</c:v>
                </c:pt>
                <c:pt idx="270">
                  <c:v>-1.84</c:v>
                </c:pt>
                <c:pt idx="271">
                  <c:v>-1.84</c:v>
                </c:pt>
                <c:pt idx="272">
                  <c:v>-1.84</c:v>
                </c:pt>
                <c:pt idx="273">
                  <c:v>-1.31</c:v>
                </c:pt>
                <c:pt idx="274">
                  <c:v>-1.31</c:v>
                </c:pt>
                <c:pt idx="275">
                  <c:v>-1.31</c:v>
                </c:pt>
                <c:pt idx="276">
                  <c:v>-1.31</c:v>
                </c:pt>
                <c:pt idx="277">
                  <c:v>-1.84</c:v>
                </c:pt>
                <c:pt idx="278">
                  <c:v>-1.84</c:v>
                </c:pt>
                <c:pt idx="279">
                  <c:v>-1.84</c:v>
                </c:pt>
                <c:pt idx="280">
                  <c:v>-1.84</c:v>
                </c:pt>
                <c:pt idx="281">
                  <c:v>-1.31</c:v>
                </c:pt>
                <c:pt idx="282">
                  <c:v>-1.31</c:v>
                </c:pt>
                <c:pt idx="283">
                  <c:v>-1.31</c:v>
                </c:pt>
                <c:pt idx="284">
                  <c:v>-1.31</c:v>
                </c:pt>
                <c:pt idx="285">
                  <c:v>-1.84</c:v>
                </c:pt>
                <c:pt idx="286">
                  <c:v>-1.84</c:v>
                </c:pt>
                <c:pt idx="287">
                  <c:v>-1.84</c:v>
                </c:pt>
                <c:pt idx="288">
                  <c:v>-1.84</c:v>
                </c:pt>
                <c:pt idx="289">
                  <c:v>-1.31</c:v>
                </c:pt>
                <c:pt idx="290">
                  <c:v>-1.31</c:v>
                </c:pt>
                <c:pt idx="291">
                  <c:v>-1.31</c:v>
                </c:pt>
                <c:pt idx="292">
                  <c:v>-1.31</c:v>
                </c:pt>
                <c:pt idx="293">
                  <c:v>-1.84</c:v>
                </c:pt>
                <c:pt idx="294">
                  <c:v>-1.84</c:v>
                </c:pt>
                <c:pt idx="295">
                  <c:v>-1.84</c:v>
                </c:pt>
                <c:pt idx="296">
                  <c:v>-1.84</c:v>
                </c:pt>
                <c:pt idx="297">
                  <c:v>-1.31</c:v>
                </c:pt>
                <c:pt idx="298">
                  <c:v>-1.31</c:v>
                </c:pt>
                <c:pt idx="299">
                  <c:v>-1.31</c:v>
                </c:pt>
                <c:pt idx="300">
                  <c:v>-1.31</c:v>
                </c:pt>
                <c:pt idx="301">
                  <c:v>-1.84</c:v>
                </c:pt>
                <c:pt idx="302">
                  <c:v>-1.84</c:v>
                </c:pt>
                <c:pt idx="303">
                  <c:v>-1.84</c:v>
                </c:pt>
                <c:pt idx="304">
                  <c:v>-1.84</c:v>
                </c:pt>
                <c:pt idx="305">
                  <c:v>-1.31</c:v>
                </c:pt>
                <c:pt idx="306">
                  <c:v>-1.31</c:v>
                </c:pt>
                <c:pt idx="307">
                  <c:v>-1.31</c:v>
                </c:pt>
                <c:pt idx="308">
                  <c:v>-1.31</c:v>
                </c:pt>
                <c:pt idx="309">
                  <c:v>-1.84</c:v>
                </c:pt>
                <c:pt idx="310">
                  <c:v>-1.84</c:v>
                </c:pt>
                <c:pt idx="311">
                  <c:v>-1.84</c:v>
                </c:pt>
                <c:pt idx="312">
                  <c:v>-1.84</c:v>
                </c:pt>
                <c:pt idx="313">
                  <c:v>-1.31</c:v>
                </c:pt>
                <c:pt idx="314">
                  <c:v>-1.31</c:v>
                </c:pt>
                <c:pt idx="315">
                  <c:v>-1.31</c:v>
                </c:pt>
                <c:pt idx="316">
                  <c:v>-1.31</c:v>
                </c:pt>
                <c:pt idx="317">
                  <c:v>-1.84</c:v>
                </c:pt>
                <c:pt idx="318">
                  <c:v>-1.84</c:v>
                </c:pt>
                <c:pt idx="319">
                  <c:v>-1.84</c:v>
                </c:pt>
                <c:pt idx="320">
                  <c:v>-1.84</c:v>
                </c:pt>
                <c:pt idx="321">
                  <c:v>-1.31</c:v>
                </c:pt>
                <c:pt idx="322">
                  <c:v>-1.31</c:v>
                </c:pt>
                <c:pt idx="323">
                  <c:v>-1.31</c:v>
                </c:pt>
                <c:pt idx="324">
                  <c:v>-1.31</c:v>
                </c:pt>
                <c:pt idx="325">
                  <c:v>-1.84</c:v>
                </c:pt>
                <c:pt idx="326">
                  <c:v>-1.84</c:v>
                </c:pt>
                <c:pt idx="327">
                  <c:v>-1.84</c:v>
                </c:pt>
                <c:pt idx="328">
                  <c:v>-1.84</c:v>
                </c:pt>
                <c:pt idx="329">
                  <c:v>-1.31</c:v>
                </c:pt>
                <c:pt idx="330">
                  <c:v>-1.31</c:v>
                </c:pt>
                <c:pt idx="331">
                  <c:v>-1.31</c:v>
                </c:pt>
                <c:pt idx="332">
                  <c:v>-1.31</c:v>
                </c:pt>
                <c:pt idx="333">
                  <c:v>-1.84</c:v>
                </c:pt>
                <c:pt idx="334">
                  <c:v>-1.84</c:v>
                </c:pt>
                <c:pt idx="335">
                  <c:v>-1.84</c:v>
                </c:pt>
                <c:pt idx="336">
                  <c:v>-1.84</c:v>
                </c:pt>
                <c:pt idx="337">
                  <c:v>-1.31</c:v>
                </c:pt>
                <c:pt idx="338">
                  <c:v>-1.31</c:v>
                </c:pt>
                <c:pt idx="339">
                  <c:v>-1.31</c:v>
                </c:pt>
                <c:pt idx="340">
                  <c:v>-1.31</c:v>
                </c:pt>
                <c:pt idx="341">
                  <c:v>-1.84</c:v>
                </c:pt>
                <c:pt idx="342">
                  <c:v>-1.84</c:v>
                </c:pt>
                <c:pt idx="343">
                  <c:v>-1.84</c:v>
                </c:pt>
                <c:pt idx="344">
                  <c:v>-1.84</c:v>
                </c:pt>
                <c:pt idx="345">
                  <c:v>-1.31</c:v>
                </c:pt>
                <c:pt idx="346">
                  <c:v>-1.31</c:v>
                </c:pt>
                <c:pt idx="347">
                  <c:v>-1.31</c:v>
                </c:pt>
                <c:pt idx="348">
                  <c:v>-1.31</c:v>
                </c:pt>
                <c:pt idx="349">
                  <c:v>-1.84</c:v>
                </c:pt>
                <c:pt idx="350">
                  <c:v>-1.84</c:v>
                </c:pt>
                <c:pt idx="351">
                  <c:v>-1.84</c:v>
                </c:pt>
                <c:pt idx="352">
                  <c:v>-1.84</c:v>
                </c:pt>
                <c:pt idx="353">
                  <c:v>-1.31</c:v>
                </c:pt>
                <c:pt idx="354">
                  <c:v>-1.31</c:v>
                </c:pt>
                <c:pt idx="355">
                  <c:v>-1.31</c:v>
                </c:pt>
                <c:pt idx="356">
                  <c:v>-1.31</c:v>
                </c:pt>
                <c:pt idx="357">
                  <c:v>-1.84</c:v>
                </c:pt>
                <c:pt idx="358">
                  <c:v>-1.84</c:v>
                </c:pt>
                <c:pt idx="359">
                  <c:v>-1.84</c:v>
                </c:pt>
                <c:pt idx="360">
                  <c:v>-1.84</c:v>
                </c:pt>
                <c:pt idx="361">
                  <c:v>-1.31</c:v>
                </c:pt>
                <c:pt idx="362">
                  <c:v>-1.31</c:v>
                </c:pt>
                <c:pt idx="363">
                  <c:v>-1.31</c:v>
                </c:pt>
                <c:pt idx="364">
                  <c:v>-1.31</c:v>
                </c:pt>
                <c:pt idx="365">
                  <c:v>-1.84</c:v>
                </c:pt>
                <c:pt idx="366">
                  <c:v>-1.84</c:v>
                </c:pt>
                <c:pt idx="367">
                  <c:v>-1.84</c:v>
                </c:pt>
                <c:pt idx="368">
                  <c:v>-1.84</c:v>
                </c:pt>
                <c:pt idx="369">
                  <c:v>-1.31</c:v>
                </c:pt>
                <c:pt idx="370">
                  <c:v>-1.31</c:v>
                </c:pt>
                <c:pt idx="371">
                  <c:v>-1.31</c:v>
                </c:pt>
                <c:pt idx="372">
                  <c:v>-1.31</c:v>
                </c:pt>
                <c:pt idx="373">
                  <c:v>-1.84</c:v>
                </c:pt>
                <c:pt idx="374">
                  <c:v>-1.84</c:v>
                </c:pt>
                <c:pt idx="375">
                  <c:v>-1.84</c:v>
                </c:pt>
                <c:pt idx="376">
                  <c:v>-1.84</c:v>
                </c:pt>
                <c:pt idx="377">
                  <c:v>-1.31</c:v>
                </c:pt>
                <c:pt idx="378">
                  <c:v>-1.31</c:v>
                </c:pt>
                <c:pt idx="379">
                  <c:v>-1.31</c:v>
                </c:pt>
                <c:pt idx="380">
                  <c:v>-1.31</c:v>
                </c:pt>
                <c:pt idx="381">
                  <c:v>-1.84</c:v>
                </c:pt>
                <c:pt idx="382">
                  <c:v>-1.84</c:v>
                </c:pt>
                <c:pt idx="383">
                  <c:v>-1.84</c:v>
                </c:pt>
                <c:pt idx="384">
                  <c:v>-1.84</c:v>
                </c:pt>
                <c:pt idx="385">
                  <c:v>-1.31</c:v>
                </c:pt>
                <c:pt idx="386">
                  <c:v>-1.31</c:v>
                </c:pt>
                <c:pt idx="387">
                  <c:v>-1.31</c:v>
                </c:pt>
                <c:pt idx="388">
                  <c:v>-1.31</c:v>
                </c:pt>
                <c:pt idx="389">
                  <c:v>-1.84</c:v>
                </c:pt>
                <c:pt idx="390">
                  <c:v>-1.84</c:v>
                </c:pt>
                <c:pt idx="391">
                  <c:v>-1.84</c:v>
                </c:pt>
                <c:pt idx="392">
                  <c:v>-1.84</c:v>
                </c:pt>
                <c:pt idx="393">
                  <c:v>-1.31</c:v>
                </c:pt>
                <c:pt idx="394">
                  <c:v>-1.31</c:v>
                </c:pt>
                <c:pt idx="395">
                  <c:v>-1.31</c:v>
                </c:pt>
                <c:pt idx="396">
                  <c:v>-1.31</c:v>
                </c:pt>
                <c:pt idx="397">
                  <c:v>-1.84</c:v>
                </c:pt>
                <c:pt idx="398">
                  <c:v>-1.84</c:v>
                </c:pt>
                <c:pt idx="399">
                  <c:v>-1.84</c:v>
                </c:pt>
                <c:pt idx="400">
                  <c:v>-1.84</c:v>
                </c:pt>
                <c:pt idx="401">
                  <c:v>-1.31</c:v>
                </c:pt>
                <c:pt idx="402">
                  <c:v>-1.31</c:v>
                </c:pt>
                <c:pt idx="403">
                  <c:v>-1.31</c:v>
                </c:pt>
                <c:pt idx="404">
                  <c:v>-1.31</c:v>
                </c:pt>
                <c:pt idx="405">
                  <c:v>-1.84</c:v>
                </c:pt>
                <c:pt idx="406">
                  <c:v>-1.84</c:v>
                </c:pt>
                <c:pt idx="407">
                  <c:v>-1.84</c:v>
                </c:pt>
                <c:pt idx="408">
                  <c:v>-1.84</c:v>
                </c:pt>
                <c:pt idx="409">
                  <c:v>-1.31</c:v>
                </c:pt>
                <c:pt idx="410">
                  <c:v>-1.31</c:v>
                </c:pt>
                <c:pt idx="411">
                  <c:v>-1.31</c:v>
                </c:pt>
                <c:pt idx="412">
                  <c:v>-1.31</c:v>
                </c:pt>
                <c:pt idx="413">
                  <c:v>-1.84</c:v>
                </c:pt>
                <c:pt idx="414">
                  <c:v>-1.84</c:v>
                </c:pt>
                <c:pt idx="415">
                  <c:v>-1.84</c:v>
                </c:pt>
                <c:pt idx="416">
                  <c:v>-1.84</c:v>
                </c:pt>
                <c:pt idx="417">
                  <c:v>-1.31</c:v>
                </c:pt>
                <c:pt idx="418">
                  <c:v>-1.31</c:v>
                </c:pt>
                <c:pt idx="419">
                  <c:v>-1.31</c:v>
                </c:pt>
                <c:pt idx="420">
                  <c:v>-1.31</c:v>
                </c:pt>
                <c:pt idx="421">
                  <c:v>-1.84</c:v>
                </c:pt>
                <c:pt idx="422">
                  <c:v>-1.84</c:v>
                </c:pt>
                <c:pt idx="423">
                  <c:v>-1.84</c:v>
                </c:pt>
                <c:pt idx="424">
                  <c:v>-1.84</c:v>
                </c:pt>
                <c:pt idx="425">
                  <c:v>-1.31</c:v>
                </c:pt>
                <c:pt idx="426">
                  <c:v>-1.31</c:v>
                </c:pt>
                <c:pt idx="427">
                  <c:v>-1.31</c:v>
                </c:pt>
                <c:pt idx="428">
                  <c:v>-1.31</c:v>
                </c:pt>
                <c:pt idx="429">
                  <c:v>-1.84</c:v>
                </c:pt>
                <c:pt idx="430">
                  <c:v>-1.84</c:v>
                </c:pt>
                <c:pt idx="431">
                  <c:v>-1.84</c:v>
                </c:pt>
                <c:pt idx="432">
                  <c:v>-1.84</c:v>
                </c:pt>
                <c:pt idx="433">
                  <c:v>-1.31</c:v>
                </c:pt>
                <c:pt idx="434">
                  <c:v>-1.31</c:v>
                </c:pt>
                <c:pt idx="435">
                  <c:v>-1.31</c:v>
                </c:pt>
                <c:pt idx="436">
                  <c:v>-1.31</c:v>
                </c:pt>
                <c:pt idx="437">
                  <c:v>-1.84</c:v>
                </c:pt>
                <c:pt idx="438">
                  <c:v>-1.84</c:v>
                </c:pt>
                <c:pt idx="439">
                  <c:v>-1.84</c:v>
                </c:pt>
                <c:pt idx="440">
                  <c:v>-1.84</c:v>
                </c:pt>
                <c:pt idx="441">
                  <c:v>-1.31</c:v>
                </c:pt>
                <c:pt idx="442">
                  <c:v>-1.31</c:v>
                </c:pt>
                <c:pt idx="443">
                  <c:v>-1.31</c:v>
                </c:pt>
                <c:pt idx="444">
                  <c:v>-1.31</c:v>
                </c:pt>
                <c:pt idx="445">
                  <c:v>-1.84</c:v>
                </c:pt>
                <c:pt idx="446">
                  <c:v>-1.84</c:v>
                </c:pt>
                <c:pt idx="447">
                  <c:v>-1.84</c:v>
                </c:pt>
                <c:pt idx="448">
                  <c:v>-1.84</c:v>
                </c:pt>
                <c:pt idx="449">
                  <c:v>-1.31</c:v>
                </c:pt>
                <c:pt idx="450">
                  <c:v>-1.31</c:v>
                </c:pt>
                <c:pt idx="451">
                  <c:v>-1.31</c:v>
                </c:pt>
                <c:pt idx="452">
                  <c:v>-1.31</c:v>
                </c:pt>
                <c:pt idx="453">
                  <c:v>-1.84</c:v>
                </c:pt>
                <c:pt idx="454">
                  <c:v>-1.84</c:v>
                </c:pt>
                <c:pt idx="455">
                  <c:v>-1.84</c:v>
                </c:pt>
                <c:pt idx="456">
                  <c:v>-1.84</c:v>
                </c:pt>
                <c:pt idx="457">
                  <c:v>-1.31</c:v>
                </c:pt>
                <c:pt idx="458">
                  <c:v>-1.31</c:v>
                </c:pt>
                <c:pt idx="459">
                  <c:v>-1.31</c:v>
                </c:pt>
                <c:pt idx="460">
                  <c:v>-1.31</c:v>
                </c:pt>
                <c:pt idx="461">
                  <c:v>-1.84</c:v>
                </c:pt>
                <c:pt idx="462">
                  <c:v>-1.84</c:v>
                </c:pt>
                <c:pt idx="463">
                  <c:v>-1.84</c:v>
                </c:pt>
                <c:pt idx="464">
                  <c:v>-1.84</c:v>
                </c:pt>
                <c:pt idx="465">
                  <c:v>-1.31</c:v>
                </c:pt>
                <c:pt idx="466">
                  <c:v>-1.31</c:v>
                </c:pt>
                <c:pt idx="467">
                  <c:v>-1.31</c:v>
                </c:pt>
                <c:pt idx="468">
                  <c:v>-1.31</c:v>
                </c:pt>
                <c:pt idx="469">
                  <c:v>-1.84</c:v>
                </c:pt>
                <c:pt idx="470">
                  <c:v>-1.84</c:v>
                </c:pt>
                <c:pt idx="471">
                  <c:v>-1.84</c:v>
                </c:pt>
                <c:pt idx="472">
                  <c:v>-1.84</c:v>
                </c:pt>
                <c:pt idx="473">
                  <c:v>-1.31</c:v>
                </c:pt>
                <c:pt idx="474">
                  <c:v>-1.31</c:v>
                </c:pt>
                <c:pt idx="475">
                  <c:v>-1.31</c:v>
                </c:pt>
                <c:pt idx="476">
                  <c:v>-1.31</c:v>
                </c:pt>
                <c:pt idx="477">
                  <c:v>-1.84</c:v>
                </c:pt>
                <c:pt idx="478">
                  <c:v>-1.84</c:v>
                </c:pt>
                <c:pt idx="479">
                  <c:v>-1.84</c:v>
                </c:pt>
                <c:pt idx="480">
                  <c:v>-1.31</c:v>
                </c:pt>
                <c:pt idx="481">
                  <c:v>-1.31</c:v>
                </c:pt>
                <c:pt idx="482">
                  <c:v>-1.31</c:v>
                </c:pt>
                <c:pt idx="483">
                  <c:v>-0.78</c:v>
                </c:pt>
                <c:pt idx="484">
                  <c:v>-0.78</c:v>
                </c:pt>
                <c:pt idx="485">
                  <c:v>-0.78</c:v>
                </c:pt>
                <c:pt idx="486">
                  <c:v>-0.78</c:v>
                </c:pt>
                <c:pt idx="487">
                  <c:v>-1.31</c:v>
                </c:pt>
                <c:pt idx="488">
                  <c:v>-1.31</c:v>
                </c:pt>
                <c:pt idx="489">
                  <c:v>-1.31</c:v>
                </c:pt>
                <c:pt idx="490">
                  <c:v>-1.31</c:v>
                </c:pt>
                <c:pt idx="491">
                  <c:v>-0.78</c:v>
                </c:pt>
                <c:pt idx="492">
                  <c:v>-0.78</c:v>
                </c:pt>
                <c:pt idx="493">
                  <c:v>-0.78</c:v>
                </c:pt>
                <c:pt idx="494">
                  <c:v>-0.78</c:v>
                </c:pt>
                <c:pt idx="495">
                  <c:v>-1.31</c:v>
                </c:pt>
                <c:pt idx="496">
                  <c:v>-1.31</c:v>
                </c:pt>
                <c:pt idx="497">
                  <c:v>-1.31</c:v>
                </c:pt>
                <c:pt idx="498">
                  <c:v>-1.31</c:v>
                </c:pt>
                <c:pt idx="499">
                  <c:v>-0.78</c:v>
                </c:pt>
                <c:pt idx="500">
                  <c:v>-0.78</c:v>
                </c:pt>
                <c:pt idx="501">
                  <c:v>-0.78</c:v>
                </c:pt>
                <c:pt idx="502">
                  <c:v>-0.78</c:v>
                </c:pt>
                <c:pt idx="503">
                  <c:v>-1.31</c:v>
                </c:pt>
                <c:pt idx="504">
                  <c:v>-1.31</c:v>
                </c:pt>
                <c:pt idx="505">
                  <c:v>-1.31</c:v>
                </c:pt>
                <c:pt idx="506">
                  <c:v>-1.31</c:v>
                </c:pt>
                <c:pt idx="507">
                  <c:v>-0.78</c:v>
                </c:pt>
                <c:pt idx="508">
                  <c:v>-0.78</c:v>
                </c:pt>
                <c:pt idx="509">
                  <c:v>-0.78</c:v>
                </c:pt>
                <c:pt idx="510">
                  <c:v>-0.78</c:v>
                </c:pt>
                <c:pt idx="511">
                  <c:v>-1.31</c:v>
                </c:pt>
                <c:pt idx="512">
                  <c:v>-1.31</c:v>
                </c:pt>
                <c:pt idx="513">
                  <c:v>-1.31</c:v>
                </c:pt>
                <c:pt idx="514">
                  <c:v>-1.31</c:v>
                </c:pt>
                <c:pt idx="515">
                  <c:v>-0.78</c:v>
                </c:pt>
                <c:pt idx="516">
                  <c:v>-0.78</c:v>
                </c:pt>
                <c:pt idx="517">
                  <c:v>-0.78</c:v>
                </c:pt>
                <c:pt idx="518">
                  <c:v>-0.78</c:v>
                </c:pt>
                <c:pt idx="519">
                  <c:v>-1.31</c:v>
                </c:pt>
                <c:pt idx="520">
                  <c:v>-1.31</c:v>
                </c:pt>
                <c:pt idx="521">
                  <c:v>-1.31</c:v>
                </c:pt>
                <c:pt idx="522">
                  <c:v>-1.31</c:v>
                </c:pt>
                <c:pt idx="523">
                  <c:v>-0.78</c:v>
                </c:pt>
                <c:pt idx="524">
                  <c:v>-0.78</c:v>
                </c:pt>
                <c:pt idx="525">
                  <c:v>-0.78</c:v>
                </c:pt>
                <c:pt idx="526">
                  <c:v>-0.78</c:v>
                </c:pt>
                <c:pt idx="527">
                  <c:v>-1.31</c:v>
                </c:pt>
                <c:pt idx="528">
                  <c:v>-1.31</c:v>
                </c:pt>
                <c:pt idx="529">
                  <c:v>-1.31</c:v>
                </c:pt>
                <c:pt idx="530">
                  <c:v>-1.31</c:v>
                </c:pt>
                <c:pt idx="531">
                  <c:v>-0.78</c:v>
                </c:pt>
                <c:pt idx="532">
                  <c:v>-0.78</c:v>
                </c:pt>
                <c:pt idx="533">
                  <c:v>-0.78</c:v>
                </c:pt>
                <c:pt idx="534">
                  <c:v>-0.78</c:v>
                </c:pt>
                <c:pt idx="535">
                  <c:v>-1.31</c:v>
                </c:pt>
                <c:pt idx="536">
                  <c:v>-1.31</c:v>
                </c:pt>
                <c:pt idx="537">
                  <c:v>-1.31</c:v>
                </c:pt>
                <c:pt idx="538">
                  <c:v>-1.31</c:v>
                </c:pt>
                <c:pt idx="539">
                  <c:v>-0.78</c:v>
                </c:pt>
                <c:pt idx="540">
                  <c:v>-0.78</c:v>
                </c:pt>
                <c:pt idx="541">
                  <c:v>-0.78</c:v>
                </c:pt>
                <c:pt idx="542">
                  <c:v>-0.78</c:v>
                </c:pt>
                <c:pt idx="543">
                  <c:v>-1.31</c:v>
                </c:pt>
                <c:pt idx="544">
                  <c:v>-1.31</c:v>
                </c:pt>
                <c:pt idx="545">
                  <c:v>-1.31</c:v>
                </c:pt>
                <c:pt idx="546">
                  <c:v>-1.31</c:v>
                </c:pt>
                <c:pt idx="547">
                  <c:v>-0.78</c:v>
                </c:pt>
                <c:pt idx="548">
                  <c:v>-0.78</c:v>
                </c:pt>
                <c:pt idx="549">
                  <c:v>-0.78</c:v>
                </c:pt>
                <c:pt idx="550">
                  <c:v>-0.78</c:v>
                </c:pt>
                <c:pt idx="551">
                  <c:v>-1.31</c:v>
                </c:pt>
                <c:pt idx="552">
                  <c:v>-1.31</c:v>
                </c:pt>
                <c:pt idx="553">
                  <c:v>-1.31</c:v>
                </c:pt>
                <c:pt idx="554">
                  <c:v>-1.31</c:v>
                </c:pt>
                <c:pt idx="555">
                  <c:v>-0.78</c:v>
                </c:pt>
                <c:pt idx="556">
                  <c:v>-0.78</c:v>
                </c:pt>
                <c:pt idx="557">
                  <c:v>-0.78</c:v>
                </c:pt>
                <c:pt idx="558">
                  <c:v>-0.78</c:v>
                </c:pt>
                <c:pt idx="559">
                  <c:v>-1.31</c:v>
                </c:pt>
                <c:pt idx="560">
                  <c:v>-1.31</c:v>
                </c:pt>
                <c:pt idx="561">
                  <c:v>-1.31</c:v>
                </c:pt>
                <c:pt idx="562">
                  <c:v>-1.31</c:v>
                </c:pt>
                <c:pt idx="563">
                  <c:v>-0.78</c:v>
                </c:pt>
                <c:pt idx="564">
                  <c:v>-0.78</c:v>
                </c:pt>
                <c:pt idx="565">
                  <c:v>-0.78</c:v>
                </c:pt>
                <c:pt idx="566">
                  <c:v>-0.78</c:v>
                </c:pt>
                <c:pt idx="567">
                  <c:v>-1.31</c:v>
                </c:pt>
                <c:pt idx="568">
                  <c:v>-1.31</c:v>
                </c:pt>
                <c:pt idx="569">
                  <c:v>-1.31</c:v>
                </c:pt>
                <c:pt idx="570">
                  <c:v>-1.31</c:v>
                </c:pt>
                <c:pt idx="571">
                  <c:v>-0.78</c:v>
                </c:pt>
                <c:pt idx="572">
                  <c:v>-0.78</c:v>
                </c:pt>
                <c:pt idx="573">
                  <c:v>-0.78</c:v>
                </c:pt>
                <c:pt idx="574">
                  <c:v>-0.78</c:v>
                </c:pt>
                <c:pt idx="575">
                  <c:v>-1.31</c:v>
                </c:pt>
                <c:pt idx="576">
                  <c:v>-1.31</c:v>
                </c:pt>
                <c:pt idx="577">
                  <c:v>-1.31</c:v>
                </c:pt>
                <c:pt idx="578">
                  <c:v>-1.31</c:v>
                </c:pt>
                <c:pt idx="579">
                  <c:v>-0.78</c:v>
                </c:pt>
                <c:pt idx="580">
                  <c:v>-0.78</c:v>
                </c:pt>
                <c:pt idx="581">
                  <c:v>-0.78</c:v>
                </c:pt>
                <c:pt idx="582">
                  <c:v>-0.78</c:v>
                </c:pt>
                <c:pt idx="583">
                  <c:v>-1.31</c:v>
                </c:pt>
                <c:pt idx="584">
                  <c:v>-1.31</c:v>
                </c:pt>
                <c:pt idx="585">
                  <c:v>-1.31</c:v>
                </c:pt>
                <c:pt idx="586">
                  <c:v>-1.31</c:v>
                </c:pt>
                <c:pt idx="587">
                  <c:v>-0.78</c:v>
                </c:pt>
                <c:pt idx="588">
                  <c:v>-0.78</c:v>
                </c:pt>
                <c:pt idx="589">
                  <c:v>-0.78</c:v>
                </c:pt>
                <c:pt idx="590">
                  <c:v>-0.78</c:v>
                </c:pt>
                <c:pt idx="591">
                  <c:v>-1.31</c:v>
                </c:pt>
                <c:pt idx="592">
                  <c:v>-1.31</c:v>
                </c:pt>
                <c:pt idx="593">
                  <c:v>-1.31</c:v>
                </c:pt>
                <c:pt idx="594">
                  <c:v>-1.31</c:v>
                </c:pt>
                <c:pt idx="595">
                  <c:v>-0.78</c:v>
                </c:pt>
                <c:pt idx="596">
                  <c:v>-0.78</c:v>
                </c:pt>
                <c:pt idx="597">
                  <c:v>-0.78</c:v>
                </c:pt>
                <c:pt idx="598">
                  <c:v>-0.78</c:v>
                </c:pt>
                <c:pt idx="599">
                  <c:v>-1.31</c:v>
                </c:pt>
                <c:pt idx="600">
                  <c:v>-1.31</c:v>
                </c:pt>
                <c:pt idx="601">
                  <c:v>-1.31</c:v>
                </c:pt>
                <c:pt idx="602">
                  <c:v>-1.31</c:v>
                </c:pt>
                <c:pt idx="603">
                  <c:v>-0.78</c:v>
                </c:pt>
                <c:pt idx="604">
                  <c:v>-0.78</c:v>
                </c:pt>
                <c:pt idx="605">
                  <c:v>-0.78</c:v>
                </c:pt>
                <c:pt idx="606">
                  <c:v>-0.78</c:v>
                </c:pt>
                <c:pt idx="607">
                  <c:v>-1.31</c:v>
                </c:pt>
                <c:pt idx="608">
                  <c:v>-1.31</c:v>
                </c:pt>
                <c:pt idx="609">
                  <c:v>-1.31</c:v>
                </c:pt>
                <c:pt idx="610">
                  <c:v>-1.31</c:v>
                </c:pt>
                <c:pt idx="611">
                  <c:v>-0.78</c:v>
                </c:pt>
                <c:pt idx="612">
                  <c:v>-0.78</c:v>
                </c:pt>
                <c:pt idx="613">
                  <c:v>-0.78</c:v>
                </c:pt>
                <c:pt idx="614">
                  <c:v>-0.78</c:v>
                </c:pt>
                <c:pt idx="615">
                  <c:v>-1.31</c:v>
                </c:pt>
                <c:pt idx="616">
                  <c:v>-1.31</c:v>
                </c:pt>
                <c:pt idx="617">
                  <c:v>-1.31</c:v>
                </c:pt>
                <c:pt idx="618">
                  <c:v>-1.31</c:v>
                </c:pt>
                <c:pt idx="619">
                  <c:v>-0.78</c:v>
                </c:pt>
                <c:pt idx="620">
                  <c:v>-0.78</c:v>
                </c:pt>
                <c:pt idx="621">
                  <c:v>-0.78</c:v>
                </c:pt>
                <c:pt idx="622">
                  <c:v>-0.78</c:v>
                </c:pt>
                <c:pt idx="623">
                  <c:v>-1.31</c:v>
                </c:pt>
                <c:pt idx="624">
                  <c:v>-1.31</c:v>
                </c:pt>
                <c:pt idx="625">
                  <c:v>-1.31</c:v>
                </c:pt>
                <c:pt idx="626">
                  <c:v>-1.31</c:v>
                </c:pt>
                <c:pt idx="627">
                  <c:v>-0.78</c:v>
                </c:pt>
                <c:pt idx="628">
                  <c:v>-0.78</c:v>
                </c:pt>
                <c:pt idx="629">
                  <c:v>-0.78</c:v>
                </c:pt>
                <c:pt idx="630">
                  <c:v>-0.78</c:v>
                </c:pt>
                <c:pt idx="631">
                  <c:v>-1.31</c:v>
                </c:pt>
                <c:pt idx="632">
                  <c:v>-1.31</c:v>
                </c:pt>
                <c:pt idx="633">
                  <c:v>-1.31</c:v>
                </c:pt>
                <c:pt idx="634">
                  <c:v>-1.31</c:v>
                </c:pt>
                <c:pt idx="635">
                  <c:v>-0.78</c:v>
                </c:pt>
                <c:pt idx="636">
                  <c:v>-0.78</c:v>
                </c:pt>
                <c:pt idx="637">
                  <c:v>-0.78</c:v>
                </c:pt>
                <c:pt idx="638">
                  <c:v>-0.78</c:v>
                </c:pt>
                <c:pt idx="639">
                  <c:v>-1.31</c:v>
                </c:pt>
                <c:pt idx="640">
                  <c:v>-1.31</c:v>
                </c:pt>
                <c:pt idx="641">
                  <c:v>-1.31</c:v>
                </c:pt>
                <c:pt idx="642">
                  <c:v>-1.31</c:v>
                </c:pt>
                <c:pt idx="643">
                  <c:v>-0.78</c:v>
                </c:pt>
                <c:pt idx="644">
                  <c:v>-0.78</c:v>
                </c:pt>
                <c:pt idx="645">
                  <c:v>-0.78</c:v>
                </c:pt>
                <c:pt idx="646">
                  <c:v>-0.78</c:v>
                </c:pt>
                <c:pt idx="647">
                  <c:v>-1.31</c:v>
                </c:pt>
                <c:pt idx="648">
                  <c:v>-1.31</c:v>
                </c:pt>
                <c:pt idx="649">
                  <c:v>-1.31</c:v>
                </c:pt>
                <c:pt idx="650">
                  <c:v>-1.31</c:v>
                </c:pt>
                <c:pt idx="651">
                  <c:v>-0.78</c:v>
                </c:pt>
                <c:pt idx="652">
                  <c:v>-0.78</c:v>
                </c:pt>
                <c:pt idx="653">
                  <c:v>-0.78</c:v>
                </c:pt>
                <c:pt idx="654">
                  <c:v>-0.78</c:v>
                </c:pt>
                <c:pt idx="655">
                  <c:v>-1.31</c:v>
                </c:pt>
                <c:pt idx="656">
                  <c:v>-1.31</c:v>
                </c:pt>
                <c:pt idx="657">
                  <c:v>-1.31</c:v>
                </c:pt>
                <c:pt idx="658">
                  <c:v>-1.31</c:v>
                </c:pt>
                <c:pt idx="659">
                  <c:v>-0.78</c:v>
                </c:pt>
                <c:pt idx="660">
                  <c:v>-0.78</c:v>
                </c:pt>
                <c:pt idx="661">
                  <c:v>-0.78</c:v>
                </c:pt>
                <c:pt idx="662">
                  <c:v>-0.78</c:v>
                </c:pt>
                <c:pt idx="663">
                  <c:v>-1.31</c:v>
                </c:pt>
                <c:pt idx="664">
                  <c:v>-1.31</c:v>
                </c:pt>
                <c:pt idx="665">
                  <c:v>-1.31</c:v>
                </c:pt>
                <c:pt idx="666">
                  <c:v>-1.31</c:v>
                </c:pt>
                <c:pt idx="667">
                  <c:v>-0.78</c:v>
                </c:pt>
                <c:pt idx="668">
                  <c:v>-0.78</c:v>
                </c:pt>
                <c:pt idx="669">
                  <c:v>-0.78</c:v>
                </c:pt>
                <c:pt idx="670">
                  <c:v>-0.78</c:v>
                </c:pt>
                <c:pt idx="671">
                  <c:v>-1.31</c:v>
                </c:pt>
                <c:pt idx="672">
                  <c:v>-1.31</c:v>
                </c:pt>
                <c:pt idx="673">
                  <c:v>-1.31</c:v>
                </c:pt>
                <c:pt idx="674">
                  <c:v>-1.31</c:v>
                </c:pt>
                <c:pt idx="675">
                  <c:v>-0.78</c:v>
                </c:pt>
                <c:pt idx="676">
                  <c:v>-0.78</c:v>
                </c:pt>
                <c:pt idx="677">
                  <c:v>-0.78</c:v>
                </c:pt>
                <c:pt idx="678">
                  <c:v>-0.78</c:v>
                </c:pt>
                <c:pt idx="679">
                  <c:v>-1.31</c:v>
                </c:pt>
                <c:pt idx="680">
                  <c:v>-1.31</c:v>
                </c:pt>
                <c:pt idx="681">
                  <c:v>-1.31</c:v>
                </c:pt>
                <c:pt idx="682">
                  <c:v>-1.31</c:v>
                </c:pt>
                <c:pt idx="683">
                  <c:v>-0.78</c:v>
                </c:pt>
                <c:pt idx="684">
                  <c:v>-0.78</c:v>
                </c:pt>
                <c:pt idx="685">
                  <c:v>-0.78</c:v>
                </c:pt>
                <c:pt idx="686">
                  <c:v>-0.78</c:v>
                </c:pt>
                <c:pt idx="687">
                  <c:v>-1.31</c:v>
                </c:pt>
                <c:pt idx="688">
                  <c:v>-1.31</c:v>
                </c:pt>
                <c:pt idx="689">
                  <c:v>-1.31</c:v>
                </c:pt>
                <c:pt idx="690">
                  <c:v>-1.31</c:v>
                </c:pt>
                <c:pt idx="691">
                  <c:v>-0.78</c:v>
                </c:pt>
                <c:pt idx="692">
                  <c:v>-0.78</c:v>
                </c:pt>
                <c:pt idx="693">
                  <c:v>-0.78</c:v>
                </c:pt>
                <c:pt idx="694">
                  <c:v>-0.78</c:v>
                </c:pt>
                <c:pt idx="695">
                  <c:v>-1.31</c:v>
                </c:pt>
                <c:pt idx="696">
                  <c:v>-1.31</c:v>
                </c:pt>
                <c:pt idx="697">
                  <c:v>-1.31</c:v>
                </c:pt>
                <c:pt idx="698">
                  <c:v>-1.31</c:v>
                </c:pt>
                <c:pt idx="699">
                  <c:v>-0.78</c:v>
                </c:pt>
                <c:pt idx="700">
                  <c:v>-0.78</c:v>
                </c:pt>
                <c:pt idx="701">
                  <c:v>-0.78</c:v>
                </c:pt>
                <c:pt idx="702">
                  <c:v>-0.78</c:v>
                </c:pt>
                <c:pt idx="703">
                  <c:v>-1.31</c:v>
                </c:pt>
                <c:pt idx="704">
                  <c:v>-1.31</c:v>
                </c:pt>
                <c:pt idx="705">
                  <c:v>-1.31</c:v>
                </c:pt>
                <c:pt idx="706">
                  <c:v>-1.31</c:v>
                </c:pt>
                <c:pt idx="707">
                  <c:v>-0.78</c:v>
                </c:pt>
                <c:pt idx="708">
                  <c:v>-0.78</c:v>
                </c:pt>
                <c:pt idx="709">
                  <c:v>-0.78</c:v>
                </c:pt>
                <c:pt idx="710">
                  <c:v>-0.78</c:v>
                </c:pt>
                <c:pt idx="711">
                  <c:v>-1.31</c:v>
                </c:pt>
                <c:pt idx="712">
                  <c:v>-1.31</c:v>
                </c:pt>
                <c:pt idx="713">
                  <c:v>-1.31</c:v>
                </c:pt>
                <c:pt idx="714">
                  <c:v>-1.31</c:v>
                </c:pt>
                <c:pt idx="715">
                  <c:v>-0.78</c:v>
                </c:pt>
                <c:pt idx="716">
                  <c:v>-0.78</c:v>
                </c:pt>
                <c:pt idx="717">
                  <c:v>-0.78</c:v>
                </c:pt>
                <c:pt idx="718">
                  <c:v>-0.78</c:v>
                </c:pt>
                <c:pt idx="719">
                  <c:v>-1.31</c:v>
                </c:pt>
                <c:pt idx="720">
                  <c:v>-1.31</c:v>
                </c:pt>
                <c:pt idx="721">
                  <c:v>-1.31</c:v>
                </c:pt>
                <c:pt idx="722">
                  <c:v>-1.31</c:v>
                </c:pt>
                <c:pt idx="723">
                  <c:v>-0.78</c:v>
                </c:pt>
                <c:pt idx="724">
                  <c:v>-0.78</c:v>
                </c:pt>
                <c:pt idx="725">
                  <c:v>-0.78</c:v>
                </c:pt>
                <c:pt idx="726">
                  <c:v>-0.78</c:v>
                </c:pt>
                <c:pt idx="727">
                  <c:v>-1.31</c:v>
                </c:pt>
                <c:pt idx="728">
                  <c:v>-1.31</c:v>
                </c:pt>
                <c:pt idx="729">
                  <c:v>-1.31</c:v>
                </c:pt>
                <c:pt idx="730">
                  <c:v>-1.31</c:v>
                </c:pt>
                <c:pt idx="731">
                  <c:v>-0.78</c:v>
                </c:pt>
                <c:pt idx="732">
                  <c:v>-0.78</c:v>
                </c:pt>
                <c:pt idx="733">
                  <c:v>-0.78</c:v>
                </c:pt>
                <c:pt idx="734">
                  <c:v>-0.78</c:v>
                </c:pt>
                <c:pt idx="735">
                  <c:v>-1.31</c:v>
                </c:pt>
                <c:pt idx="736">
                  <c:v>-1.31</c:v>
                </c:pt>
                <c:pt idx="737">
                  <c:v>-1.31</c:v>
                </c:pt>
                <c:pt idx="738">
                  <c:v>-1.31</c:v>
                </c:pt>
                <c:pt idx="739">
                  <c:v>-0.78</c:v>
                </c:pt>
                <c:pt idx="740">
                  <c:v>-0.78</c:v>
                </c:pt>
                <c:pt idx="741">
                  <c:v>-0.78</c:v>
                </c:pt>
                <c:pt idx="742">
                  <c:v>-0.78</c:v>
                </c:pt>
                <c:pt idx="743">
                  <c:v>-1.31</c:v>
                </c:pt>
                <c:pt idx="744">
                  <c:v>-1.31</c:v>
                </c:pt>
                <c:pt idx="745">
                  <c:v>-1.31</c:v>
                </c:pt>
                <c:pt idx="746">
                  <c:v>-1.31</c:v>
                </c:pt>
                <c:pt idx="747">
                  <c:v>-0.78</c:v>
                </c:pt>
                <c:pt idx="748">
                  <c:v>-0.78</c:v>
                </c:pt>
                <c:pt idx="749">
                  <c:v>-0.78</c:v>
                </c:pt>
                <c:pt idx="750">
                  <c:v>-0.78</c:v>
                </c:pt>
                <c:pt idx="751">
                  <c:v>-1.31</c:v>
                </c:pt>
                <c:pt idx="752">
                  <c:v>-1.31</c:v>
                </c:pt>
                <c:pt idx="753">
                  <c:v>-1.31</c:v>
                </c:pt>
                <c:pt idx="754">
                  <c:v>-1.31</c:v>
                </c:pt>
                <c:pt idx="755">
                  <c:v>-0.78</c:v>
                </c:pt>
                <c:pt idx="756">
                  <c:v>-0.78</c:v>
                </c:pt>
                <c:pt idx="757">
                  <c:v>-0.78</c:v>
                </c:pt>
                <c:pt idx="758">
                  <c:v>-0.78</c:v>
                </c:pt>
                <c:pt idx="759">
                  <c:v>-1.31</c:v>
                </c:pt>
                <c:pt idx="760">
                  <c:v>-1.31</c:v>
                </c:pt>
                <c:pt idx="761">
                  <c:v>-1.31</c:v>
                </c:pt>
                <c:pt idx="762">
                  <c:v>-1.31</c:v>
                </c:pt>
                <c:pt idx="763">
                  <c:v>-0.78</c:v>
                </c:pt>
                <c:pt idx="764">
                  <c:v>-0.78</c:v>
                </c:pt>
                <c:pt idx="765">
                  <c:v>-0.78</c:v>
                </c:pt>
                <c:pt idx="766">
                  <c:v>-0.78</c:v>
                </c:pt>
                <c:pt idx="767">
                  <c:v>-1.31</c:v>
                </c:pt>
                <c:pt idx="768">
                  <c:v>-1.31</c:v>
                </c:pt>
                <c:pt idx="769">
                  <c:v>-1.31</c:v>
                </c:pt>
                <c:pt idx="770">
                  <c:v>-1.31</c:v>
                </c:pt>
                <c:pt idx="771">
                  <c:v>-0.78</c:v>
                </c:pt>
                <c:pt idx="772">
                  <c:v>-0.78</c:v>
                </c:pt>
                <c:pt idx="773">
                  <c:v>-0.78</c:v>
                </c:pt>
                <c:pt idx="774">
                  <c:v>-0.78</c:v>
                </c:pt>
                <c:pt idx="775">
                  <c:v>-1.31</c:v>
                </c:pt>
                <c:pt idx="776">
                  <c:v>-1.31</c:v>
                </c:pt>
                <c:pt idx="777">
                  <c:v>-1.31</c:v>
                </c:pt>
                <c:pt idx="778">
                  <c:v>-1.31</c:v>
                </c:pt>
                <c:pt idx="779">
                  <c:v>-0.78</c:v>
                </c:pt>
                <c:pt idx="780">
                  <c:v>-0.78</c:v>
                </c:pt>
                <c:pt idx="781">
                  <c:v>-0.78</c:v>
                </c:pt>
                <c:pt idx="782">
                  <c:v>-0.78</c:v>
                </c:pt>
                <c:pt idx="783">
                  <c:v>-1.31</c:v>
                </c:pt>
                <c:pt idx="784">
                  <c:v>-1.31</c:v>
                </c:pt>
                <c:pt idx="785">
                  <c:v>-1.31</c:v>
                </c:pt>
                <c:pt idx="786">
                  <c:v>-1.31</c:v>
                </c:pt>
                <c:pt idx="787">
                  <c:v>-0.78</c:v>
                </c:pt>
                <c:pt idx="788">
                  <c:v>-0.78</c:v>
                </c:pt>
                <c:pt idx="789">
                  <c:v>-0.78</c:v>
                </c:pt>
                <c:pt idx="790">
                  <c:v>-0.78</c:v>
                </c:pt>
                <c:pt idx="791">
                  <c:v>-1.31</c:v>
                </c:pt>
                <c:pt idx="792">
                  <c:v>-1.31</c:v>
                </c:pt>
                <c:pt idx="793">
                  <c:v>-1.31</c:v>
                </c:pt>
                <c:pt idx="794">
                  <c:v>-1.31</c:v>
                </c:pt>
                <c:pt idx="795">
                  <c:v>-0.78</c:v>
                </c:pt>
                <c:pt idx="796">
                  <c:v>-0.78</c:v>
                </c:pt>
                <c:pt idx="797">
                  <c:v>-0.78</c:v>
                </c:pt>
                <c:pt idx="798">
                  <c:v>-0.78</c:v>
                </c:pt>
                <c:pt idx="799">
                  <c:v>-1.31</c:v>
                </c:pt>
                <c:pt idx="800">
                  <c:v>-1.31</c:v>
                </c:pt>
                <c:pt idx="801">
                  <c:v>-1.31</c:v>
                </c:pt>
                <c:pt idx="802">
                  <c:v>-1.31</c:v>
                </c:pt>
                <c:pt idx="803">
                  <c:v>-0.78</c:v>
                </c:pt>
                <c:pt idx="804">
                  <c:v>-0.78</c:v>
                </c:pt>
                <c:pt idx="805">
                  <c:v>-0.78</c:v>
                </c:pt>
                <c:pt idx="806">
                  <c:v>-0.78</c:v>
                </c:pt>
                <c:pt idx="807">
                  <c:v>-1.31</c:v>
                </c:pt>
                <c:pt idx="808">
                  <c:v>-1.31</c:v>
                </c:pt>
                <c:pt idx="809">
                  <c:v>-1.31</c:v>
                </c:pt>
                <c:pt idx="810">
                  <c:v>-1.31</c:v>
                </c:pt>
                <c:pt idx="811">
                  <c:v>-0.78</c:v>
                </c:pt>
                <c:pt idx="812">
                  <c:v>-0.78</c:v>
                </c:pt>
                <c:pt idx="813">
                  <c:v>-0.78</c:v>
                </c:pt>
                <c:pt idx="814">
                  <c:v>-0.78</c:v>
                </c:pt>
                <c:pt idx="815">
                  <c:v>-1.31</c:v>
                </c:pt>
                <c:pt idx="816">
                  <c:v>-1.31</c:v>
                </c:pt>
                <c:pt idx="817">
                  <c:v>-1.31</c:v>
                </c:pt>
                <c:pt idx="818">
                  <c:v>-1.31</c:v>
                </c:pt>
                <c:pt idx="819">
                  <c:v>-0.78</c:v>
                </c:pt>
                <c:pt idx="820">
                  <c:v>-0.78</c:v>
                </c:pt>
                <c:pt idx="821">
                  <c:v>-0.78</c:v>
                </c:pt>
                <c:pt idx="822">
                  <c:v>-0.78</c:v>
                </c:pt>
                <c:pt idx="823">
                  <c:v>-1.31</c:v>
                </c:pt>
                <c:pt idx="824">
                  <c:v>-1.31</c:v>
                </c:pt>
                <c:pt idx="825">
                  <c:v>-1.31</c:v>
                </c:pt>
                <c:pt idx="826">
                  <c:v>-1.31</c:v>
                </c:pt>
                <c:pt idx="827">
                  <c:v>-0.78</c:v>
                </c:pt>
                <c:pt idx="828">
                  <c:v>-0.78</c:v>
                </c:pt>
                <c:pt idx="829">
                  <c:v>-0.78</c:v>
                </c:pt>
                <c:pt idx="830">
                  <c:v>-0.78</c:v>
                </c:pt>
                <c:pt idx="831">
                  <c:v>-1.31</c:v>
                </c:pt>
                <c:pt idx="832">
                  <c:v>-1.31</c:v>
                </c:pt>
                <c:pt idx="833">
                  <c:v>-1.31</c:v>
                </c:pt>
                <c:pt idx="834">
                  <c:v>-1.31</c:v>
                </c:pt>
                <c:pt idx="835">
                  <c:v>-0.78</c:v>
                </c:pt>
                <c:pt idx="836">
                  <c:v>-0.78</c:v>
                </c:pt>
                <c:pt idx="837">
                  <c:v>-0.78</c:v>
                </c:pt>
                <c:pt idx="838">
                  <c:v>-0.78</c:v>
                </c:pt>
                <c:pt idx="839">
                  <c:v>-1.31</c:v>
                </c:pt>
                <c:pt idx="840">
                  <c:v>-1.31</c:v>
                </c:pt>
                <c:pt idx="841">
                  <c:v>-1.31</c:v>
                </c:pt>
                <c:pt idx="842">
                  <c:v>-1.31</c:v>
                </c:pt>
                <c:pt idx="843">
                  <c:v>-0.78</c:v>
                </c:pt>
                <c:pt idx="844">
                  <c:v>-0.78</c:v>
                </c:pt>
                <c:pt idx="845">
                  <c:v>-0.78</c:v>
                </c:pt>
                <c:pt idx="846">
                  <c:v>-0.78</c:v>
                </c:pt>
                <c:pt idx="847">
                  <c:v>-1.31</c:v>
                </c:pt>
                <c:pt idx="848">
                  <c:v>-1.31</c:v>
                </c:pt>
                <c:pt idx="849">
                  <c:v>-1.31</c:v>
                </c:pt>
                <c:pt idx="850">
                  <c:v>-1.31</c:v>
                </c:pt>
                <c:pt idx="851">
                  <c:v>-0.78</c:v>
                </c:pt>
                <c:pt idx="852">
                  <c:v>-0.78</c:v>
                </c:pt>
                <c:pt idx="853">
                  <c:v>-0.78</c:v>
                </c:pt>
                <c:pt idx="854">
                  <c:v>-0.78</c:v>
                </c:pt>
                <c:pt idx="855">
                  <c:v>-1.31</c:v>
                </c:pt>
                <c:pt idx="856">
                  <c:v>-1.31</c:v>
                </c:pt>
                <c:pt idx="857">
                  <c:v>-1.31</c:v>
                </c:pt>
                <c:pt idx="858">
                  <c:v>-1.31</c:v>
                </c:pt>
                <c:pt idx="859">
                  <c:v>-0.78</c:v>
                </c:pt>
                <c:pt idx="860">
                  <c:v>-0.78</c:v>
                </c:pt>
                <c:pt idx="861">
                  <c:v>-0.78</c:v>
                </c:pt>
                <c:pt idx="862">
                  <c:v>-0.78</c:v>
                </c:pt>
                <c:pt idx="863">
                  <c:v>-1.31</c:v>
                </c:pt>
                <c:pt idx="864">
                  <c:v>-1.31</c:v>
                </c:pt>
                <c:pt idx="865">
                  <c:v>-1.31</c:v>
                </c:pt>
                <c:pt idx="866">
                  <c:v>-1.31</c:v>
                </c:pt>
                <c:pt idx="867">
                  <c:v>-0.78</c:v>
                </c:pt>
                <c:pt idx="868">
                  <c:v>-0.78</c:v>
                </c:pt>
                <c:pt idx="869">
                  <c:v>-0.78</c:v>
                </c:pt>
                <c:pt idx="870">
                  <c:v>-0.78</c:v>
                </c:pt>
                <c:pt idx="871">
                  <c:v>-1.31</c:v>
                </c:pt>
                <c:pt idx="872">
                  <c:v>-1.31</c:v>
                </c:pt>
                <c:pt idx="873">
                  <c:v>-1.31</c:v>
                </c:pt>
                <c:pt idx="874">
                  <c:v>-1.31</c:v>
                </c:pt>
                <c:pt idx="875">
                  <c:v>-0.78</c:v>
                </c:pt>
                <c:pt idx="876">
                  <c:v>-0.78</c:v>
                </c:pt>
                <c:pt idx="877">
                  <c:v>-0.78</c:v>
                </c:pt>
                <c:pt idx="878">
                  <c:v>-0.78</c:v>
                </c:pt>
                <c:pt idx="879">
                  <c:v>-1.31</c:v>
                </c:pt>
                <c:pt idx="880">
                  <c:v>-1.31</c:v>
                </c:pt>
                <c:pt idx="881">
                  <c:v>-1.31</c:v>
                </c:pt>
                <c:pt idx="882">
                  <c:v>-1.31</c:v>
                </c:pt>
                <c:pt idx="883">
                  <c:v>-0.78</c:v>
                </c:pt>
                <c:pt idx="884">
                  <c:v>-0.78</c:v>
                </c:pt>
                <c:pt idx="885">
                  <c:v>-0.78</c:v>
                </c:pt>
                <c:pt idx="886">
                  <c:v>-0.78</c:v>
                </c:pt>
                <c:pt idx="887">
                  <c:v>-1.31</c:v>
                </c:pt>
                <c:pt idx="888">
                  <c:v>-1.31</c:v>
                </c:pt>
                <c:pt idx="889">
                  <c:v>-1.31</c:v>
                </c:pt>
                <c:pt idx="890">
                  <c:v>-1.31</c:v>
                </c:pt>
                <c:pt idx="891">
                  <c:v>-0.78</c:v>
                </c:pt>
                <c:pt idx="892">
                  <c:v>-0.78</c:v>
                </c:pt>
                <c:pt idx="893">
                  <c:v>-0.78</c:v>
                </c:pt>
                <c:pt idx="894">
                  <c:v>-0.78</c:v>
                </c:pt>
                <c:pt idx="895">
                  <c:v>-1.31</c:v>
                </c:pt>
                <c:pt idx="896">
                  <c:v>-1.31</c:v>
                </c:pt>
                <c:pt idx="897">
                  <c:v>-1.31</c:v>
                </c:pt>
                <c:pt idx="898">
                  <c:v>-1.31</c:v>
                </c:pt>
                <c:pt idx="899">
                  <c:v>-0.78</c:v>
                </c:pt>
                <c:pt idx="900">
                  <c:v>-0.78</c:v>
                </c:pt>
                <c:pt idx="901">
                  <c:v>-0.78</c:v>
                </c:pt>
                <c:pt idx="902">
                  <c:v>-0.78</c:v>
                </c:pt>
                <c:pt idx="903">
                  <c:v>-1.31</c:v>
                </c:pt>
                <c:pt idx="904">
                  <c:v>-1.31</c:v>
                </c:pt>
                <c:pt idx="905">
                  <c:v>-1.31</c:v>
                </c:pt>
                <c:pt idx="906">
                  <c:v>-1.31</c:v>
                </c:pt>
                <c:pt idx="907">
                  <c:v>-0.78</c:v>
                </c:pt>
                <c:pt idx="908">
                  <c:v>-0.78</c:v>
                </c:pt>
                <c:pt idx="909">
                  <c:v>-0.78</c:v>
                </c:pt>
                <c:pt idx="910">
                  <c:v>-0.78</c:v>
                </c:pt>
                <c:pt idx="911">
                  <c:v>-1.31</c:v>
                </c:pt>
                <c:pt idx="912">
                  <c:v>-1.31</c:v>
                </c:pt>
                <c:pt idx="913">
                  <c:v>-1.31</c:v>
                </c:pt>
                <c:pt idx="914">
                  <c:v>-1.31</c:v>
                </c:pt>
                <c:pt idx="915">
                  <c:v>-0.78</c:v>
                </c:pt>
                <c:pt idx="916">
                  <c:v>-0.78</c:v>
                </c:pt>
                <c:pt idx="917">
                  <c:v>-0.78</c:v>
                </c:pt>
                <c:pt idx="918">
                  <c:v>-0.78</c:v>
                </c:pt>
                <c:pt idx="919">
                  <c:v>-1.31</c:v>
                </c:pt>
                <c:pt idx="920">
                  <c:v>-1.31</c:v>
                </c:pt>
                <c:pt idx="921">
                  <c:v>-1.31</c:v>
                </c:pt>
                <c:pt idx="922">
                  <c:v>-1.31</c:v>
                </c:pt>
                <c:pt idx="923">
                  <c:v>-0.78</c:v>
                </c:pt>
                <c:pt idx="924">
                  <c:v>-0.78</c:v>
                </c:pt>
                <c:pt idx="925">
                  <c:v>-0.78</c:v>
                </c:pt>
                <c:pt idx="926">
                  <c:v>-0.78</c:v>
                </c:pt>
                <c:pt idx="927">
                  <c:v>-1.31</c:v>
                </c:pt>
                <c:pt idx="928">
                  <c:v>-1.31</c:v>
                </c:pt>
                <c:pt idx="929">
                  <c:v>-1.31</c:v>
                </c:pt>
                <c:pt idx="930">
                  <c:v>-1.31</c:v>
                </c:pt>
                <c:pt idx="931">
                  <c:v>-0.78</c:v>
                </c:pt>
                <c:pt idx="932">
                  <c:v>-0.78</c:v>
                </c:pt>
                <c:pt idx="933">
                  <c:v>-0.78</c:v>
                </c:pt>
                <c:pt idx="934">
                  <c:v>-0.78</c:v>
                </c:pt>
                <c:pt idx="935">
                  <c:v>-1.31</c:v>
                </c:pt>
                <c:pt idx="936">
                  <c:v>-1.31</c:v>
                </c:pt>
                <c:pt idx="937">
                  <c:v>-1.31</c:v>
                </c:pt>
                <c:pt idx="938">
                  <c:v>-1.31</c:v>
                </c:pt>
                <c:pt idx="939">
                  <c:v>-0.78</c:v>
                </c:pt>
                <c:pt idx="940">
                  <c:v>-0.78</c:v>
                </c:pt>
                <c:pt idx="941">
                  <c:v>-0.78</c:v>
                </c:pt>
                <c:pt idx="942">
                  <c:v>-0.78</c:v>
                </c:pt>
                <c:pt idx="943">
                  <c:v>-1.31</c:v>
                </c:pt>
                <c:pt idx="944">
                  <c:v>-1.31</c:v>
                </c:pt>
                <c:pt idx="945">
                  <c:v>-1.31</c:v>
                </c:pt>
                <c:pt idx="946">
                  <c:v>-1.31</c:v>
                </c:pt>
                <c:pt idx="947">
                  <c:v>-0.78</c:v>
                </c:pt>
                <c:pt idx="948">
                  <c:v>-0.78</c:v>
                </c:pt>
                <c:pt idx="949">
                  <c:v>-0.78</c:v>
                </c:pt>
                <c:pt idx="950">
                  <c:v>-0.78</c:v>
                </c:pt>
                <c:pt idx="951">
                  <c:v>-1.31</c:v>
                </c:pt>
                <c:pt idx="952">
                  <c:v>-1.31</c:v>
                </c:pt>
                <c:pt idx="953">
                  <c:v>-1.31</c:v>
                </c:pt>
                <c:pt idx="954">
                  <c:v>-1.31</c:v>
                </c:pt>
                <c:pt idx="955">
                  <c:v>-0.78</c:v>
                </c:pt>
                <c:pt idx="956">
                  <c:v>-0.78</c:v>
                </c:pt>
                <c:pt idx="957">
                  <c:v>-0.78</c:v>
                </c:pt>
                <c:pt idx="958">
                  <c:v>-0.78</c:v>
                </c:pt>
                <c:pt idx="959">
                  <c:v>-1.31</c:v>
                </c:pt>
                <c:pt idx="960">
                  <c:v>-1.31</c:v>
                </c:pt>
                <c:pt idx="961">
                  <c:v>-1.31</c:v>
                </c:pt>
                <c:pt idx="962">
                  <c:v>-0.78</c:v>
                </c:pt>
                <c:pt idx="963">
                  <c:v>-0.78</c:v>
                </c:pt>
                <c:pt idx="964">
                  <c:v>-0.78</c:v>
                </c:pt>
                <c:pt idx="965">
                  <c:v>-0.25</c:v>
                </c:pt>
                <c:pt idx="966">
                  <c:v>-0.25</c:v>
                </c:pt>
                <c:pt idx="967">
                  <c:v>-0.25</c:v>
                </c:pt>
                <c:pt idx="968">
                  <c:v>-0.25</c:v>
                </c:pt>
                <c:pt idx="969">
                  <c:v>-0.78</c:v>
                </c:pt>
                <c:pt idx="970">
                  <c:v>-0.78</c:v>
                </c:pt>
                <c:pt idx="971">
                  <c:v>-0.78</c:v>
                </c:pt>
                <c:pt idx="972">
                  <c:v>-0.78</c:v>
                </c:pt>
                <c:pt idx="973">
                  <c:v>-0.25</c:v>
                </c:pt>
                <c:pt idx="974">
                  <c:v>-0.25</c:v>
                </c:pt>
                <c:pt idx="975">
                  <c:v>-0.25</c:v>
                </c:pt>
                <c:pt idx="976">
                  <c:v>-0.25</c:v>
                </c:pt>
                <c:pt idx="977">
                  <c:v>-0.78</c:v>
                </c:pt>
                <c:pt idx="978">
                  <c:v>-0.78</c:v>
                </c:pt>
                <c:pt idx="979">
                  <c:v>-0.78</c:v>
                </c:pt>
                <c:pt idx="980">
                  <c:v>-0.78</c:v>
                </c:pt>
                <c:pt idx="981">
                  <c:v>-0.25</c:v>
                </c:pt>
                <c:pt idx="982">
                  <c:v>-0.25</c:v>
                </c:pt>
                <c:pt idx="983">
                  <c:v>-0.25</c:v>
                </c:pt>
                <c:pt idx="984">
                  <c:v>-0.25</c:v>
                </c:pt>
                <c:pt idx="985">
                  <c:v>-0.78</c:v>
                </c:pt>
                <c:pt idx="986">
                  <c:v>-0.78</c:v>
                </c:pt>
                <c:pt idx="987">
                  <c:v>-0.78</c:v>
                </c:pt>
                <c:pt idx="988">
                  <c:v>-0.78</c:v>
                </c:pt>
                <c:pt idx="989">
                  <c:v>-0.25</c:v>
                </c:pt>
                <c:pt idx="990">
                  <c:v>-0.25</c:v>
                </c:pt>
                <c:pt idx="991">
                  <c:v>-0.25</c:v>
                </c:pt>
                <c:pt idx="992">
                  <c:v>-0.25</c:v>
                </c:pt>
                <c:pt idx="993">
                  <c:v>-0.78</c:v>
                </c:pt>
                <c:pt idx="994">
                  <c:v>-0.78</c:v>
                </c:pt>
                <c:pt idx="995">
                  <c:v>-0.78</c:v>
                </c:pt>
                <c:pt idx="996">
                  <c:v>-0.78</c:v>
                </c:pt>
                <c:pt idx="997">
                  <c:v>-0.25</c:v>
                </c:pt>
                <c:pt idx="998">
                  <c:v>-0.25</c:v>
                </c:pt>
                <c:pt idx="999">
                  <c:v>-0.25</c:v>
                </c:pt>
                <c:pt idx="1000">
                  <c:v>-0.25</c:v>
                </c:pt>
                <c:pt idx="1001">
                  <c:v>-0.78</c:v>
                </c:pt>
                <c:pt idx="1002">
                  <c:v>-0.78</c:v>
                </c:pt>
                <c:pt idx="1003">
                  <c:v>-0.78</c:v>
                </c:pt>
                <c:pt idx="1004">
                  <c:v>-0.78</c:v>
                </c:pt>
                <c:pt idx="1005">
                  <c:v>-0.25</c:v>
                </c:pt>
                <c:pt idx="1006">
                  <c:v>-0.25</c:v>
                </c:pt>
                <c:pt idx="1007">
                  <c:v>-0.25</c:v>
                </c:pt>
                <c:pt idx="1008">
                  <c:v>-0.25</c:v>
                </c:pt>
                <c:pt idx="1009">
                  <c:v>-0.78</c:v>
                </c:pt>
                <c:pt idx="1010">
                  <c:v>-0.78</c:v>
                </c:pt>
                <c:pt idx="1011">
                  <c:v>-0.78</c:v>
                </c:pt>
                <c:pt idx="1012">
                  <c:v>-0.78</c:v>
                </c:pt>
                <c:pt idx="1013">
                  <c:v>-0.25</c:v>
                </c:pt>
                <c:pt idx="1014">
                  <c:v>-0.25</c:v>
                </c:pt>
                <c:pt idx="1015">
                  <c:v>-0.25</c:v>
                </c:pt>
                <c:pt idx="1016">
                  <c:v>-0.25</c:v>
                </c:pt>
                <c:pt idx="1017">
                  <c:v>-0.78</c:v>
                </c:pt>
                <c:pt idx="1018">
                  <c:v>-0.78</c:v>
                </c:pt>
                <c:pt idx="1019">
                  <c:v>-0.78</c:v>
                </c:pt>
                <c:pt idx="1020">
                  <c:v>-0.78</c:v>
                </c:pt>
                <c:pt idx="1021">
                  <c:v>-0.25</c:v>
                </c:pt>
                <c:pt idx="1022">
                  <c:v>-0.25</c:v>
                </c:pt>
                <c:pt idx="1023">
                  <c:v>-0.25</c:v>
                </c:pt>
                <c:pt idx="1024">
                  <c:v>-0.25</c:v>
                </c:pt>
                <c:pt idx="1025">
                  <c:v>-0.78</c:v>
                </c:pt>
                <c:pt idx="1026">
                  <c:v>-0.78</c:v>
                </c:pt>
                <c:pt idx="1027">
                  <c:v>-0.78</c:v>
                </c:pt>
                <c:pt idx="1028">
                  <c:v>-0.78</c:v>
                </c:pt>
                <c:pt idx="1029">
                  <c:v>-0.25</c:v>
                </c:pt>
                <c:pt idx="1030">
                  <c:v>-0.25</c:v>
                </c:pt>
                <c:pt idx="1031">
                  <c:v>-0.25</c:v>
                </c:pt>
                <c:pt idx="1032">
                  <c:v>-0.25</c:v>
                </c:pt>
                <c:pt idx="1033">
                  <c:v>-0.78</c:v>
                </c:pt>
                <c:pt idx="1034">
                  <c:v>-0.78</c:v>
                </c:pt>
                <c:pt idx="1035">
                  <c:v>-0.78</c:v>
                </c:pt>
                <c:pt idx="1036">
                  <c:v>-0.78</c:v>
                </c:pt>
                <c:pt idx="1037">
                  <c:v>-0.25</c:v>
                </c:pt>
                <c:pt idx="1038">
                  <c:v>-0.25</c:v>
                </c:pt>
                <c:pt idx="1039">
                  <c:v>-0.25</c:v>
                </c:pt>
                <c:pt idx="1040">
                  <c:v>-0.25</c:v>
                </c:pt>
                <c:pt idx="1041">
                  <c:v>-0.78</c:v>
                </c:pt>
                <c:pt idx="1042">
                  <c:v>-0.78</c:v>
                </c:pt>
                <c:pt idx="1043">
                  <c:v>-0.78</c:v>
                </c:pt>
                <c:pt idx="1044">
                  <c:v>-0.78</c:v>
                </c:pt>
                <c:pt idx="1045">
                  <c:v>-0.25</c:v>
                </c:pt>
                <c:pt idx="1046">
                  <c:v>-0.25</c:v>
                </c:pt>
                <c:pt idx="1047">
                  <c:v>-0.25</c:v>
                </c:pt>
                <c:pt idx="1048">
                  <c:v>-0.25</c:v>
                </c:pt>
                <c:pt idx="1049">
                  <c:v>-0.78</c:v>
                </c:pt>
                <c:pt idx="1050">
                  <c:v>-0.78</c:v>
                </c:pt>
                <c:pt idx="1051">
                  <c:v>-0.78</c:v>
                </c:pt>
                <c:pt idx="1052">
                  <c:v>-0.78</c:v>
                </c:pt>
                <c:pt idx="1053">
                  <c:v>-0.25</c:v>
                </c:pt>
                <c:pt idx="1054">
                  <c:v>-0.25</c:v>
                </c:pt>
                <c:pt idx="1055">
                  <c:v>-0.25</c:v>
                </c:pt>
                <c:pt idx="1056">
                  <c:v>-0.25</c:v>
                </c:pt>
                <c:pt idx="1057">
                  <c:v>-0.78</c:v>
                </c:pt>
                <c:pt idx="1058">
                  <c:v>-0.78</c:v>
                </c:pt>
                <c:pt idx="1059">
                  <c:v>-0.78</c:v>
                </c:pt>
                <c:pt idx="1060">
                  <c:v>-0.78</c:v>
                </c:pt>
                <c:pt idx="1061">
                  <c:v>-0.25</c:v>
                </c:pt>
                <c:pt idx="1062">
                  <c:v>-0.25</c:v>
                </c:pt>
                <c:pt idx="1063">
                  <c:v>-0.25</c:v>
                </c:pt>
                <c:pt idx="1064">
                  <c:v>-0.25</c:v>
                </c:pt>
                <c:pt idx="1065">
                  <c:v>-0.78</c:v>
                </c:pt>
                <c:pt idx="1066">
                  <c:v>-0.78</c:v>
                </c:pt>
                <c:pt idx="1067">
                  <c:v>-0.78</c:v>
                </c:pt>
                <c:pt idx="1068">
                  <c:v>-0.78</c:v>
                </c:pt>
                <c:pt idx="1069">
                  <c:v>-0.25</c:v>
                </c:pt>
                <c:pt idx="1070">
                  <c:v>-0.25</c:v>
                </c:pt>
                <c:pt idx="1071">
                  <c:v>-0.25</c:v>
                </c:pt>
                <c:pt idx="1072">
                  <c:v>-0.25</c:v>
                </c:pt>
                <c:pt idx="1073">
                  <c:v>-0.78</c:v>
                </c:pt>
                <c:pt idx="1074">
                  <c:v>-0.78</c:v>
                </c:pt>
                <c:pt idx="1075">
                  <c:v>-0.78</c:v>
                </c:pt>
                <c:pt idx="1076">
                  <c:v>-0.78</c:v>
                </c:pt>
                <c:pt idx="1077">
                  <c:v>-0.25</c:v>
                </c:pt>
                <c:pt idx="1078">
                  <c:v>-0.25</c:v>
                </c:pt>
                <c:pt idx="1079">
                  <c:v>-0.25</c:v>
                </c:pt>
                <c:pt idx="1080">
                  <c:v>-0.25</c:v>
                </c:pt>
                <c:pt idx="1081">
                  <c:v>-0.78</c:v>
                </c:pt>
                <c:pt idx="1082">
                  <c:v>-0.78</c:v>
                </c:pt>
                <c:pt idx="1083">
                  <c:v>-0.78</c:v>
                </c:pt>
                <c:pt idx="1084">
                  <c:v>-0.78</c:v>
                </c:pt>
                <c:pt idx="1085">
                  <c:v>-0.25</c:v>
                </c:pt>
                <c:pt idx="1086">
                  <c:v>-0.25</c:v>
                </c:pt>
                <c:pt idx="1087">
                  <c:v>-0.25</c:v>
                </c:pt>
                <c:pt idx="1088">
                  <c:v>-0.25</c:v>
                </c:pt>
                <c:pt idx="1089">
                  <c:v>-0.78</c:v>
                </c:pt>
                <c:pt idx="1090">
                  <c:v>-0.78</c:v>
                </c:pt>
                <c:pt idx="1091">
                  <c:v>-0.78</c:v>
                </c:pt>
                <c:pt idx="1092">
                  <c:v>-0.78</c:v>
                </c:pt>
                <c:pt idx="1093">
                  <c:v>-0.25</c:v>
                </c:pt>
                <c:pt idx="1094">
                  <c:v>-0.25</c:v>
                </c:pt>
                <c:pt idx="1095">
                  <c:v>-0.25</c:v>
                </c:pt>
                <c:pt idx="1096">
                  <c:v>-0.25</c:v>
                </c:pt>
                <c:pt idx="1097">
                  <c:v>-0.78</c:v>
                </c:pt>
                <c:pt idx="1098">
                  <c:v>-0.78</c:v>
                </c:pt>
                <c:pt idx="1099">
                  <c:v>-0.78</c:v>
                </c:pt>
                <c:pt idx="1100">
                  <c:v>-0.78</c:v>
                </c:pt>
                <c:pt idx="1101">
                  <c:v>-0.25</c:v>
                </c:pt>
                <c:pt idx="1102">
                  <c:v>-0.25</c:v>
                </c:pt>
                <c:pt idx="1103">
                  <c:v>-0.25</c:v>
                </c:pt>
                <c:pt idx="1104">
                  <c:v>-0.25</c:v>
                </c:pt>
                <c:pt idx="1105">
                  <c:v>-0.78</c:v>
                </c:pt>
                <c:pt idx="1106">
                  <c:v>-0.78</c:v>
                </c:pt>
                <c:pt idx="1107">
                  <c:v>-0.78</c:v>
                </c:pt>
                <c:pt idx="1108">
                  <c:v>-0.78</c:v>
                </c:pt>
                <c:pt idx="1109">
                  <c:v>-0.25</c:v>
                </c:pt>
                <c:pt idx="1110">
                  <c:v>-0.25</c:v>
                </c:pt>
                <c:pt idx="1111">
                  <c:v>-0.25</c:v>
                </c:pt>
                <c:pt idx="1112">
                  <c:v>-0.25</c:v>
                </c:pt>
                <c:pt idx="1113">
                  <c:v>-0.78</c:v>
                </c:pt>
                <c:pt idx="1114">
                  <c:v>-0.78</c:v>
                </c:pt>
                <c:pt idx="1115">
                  <c:v>-0.78</c:v>
                </c:pt>
                <c:pt idx="1116">
                  <c:v>-0.78</c:v>
                </c:pt>
                <c:pt idx="1117">
                  <c:v>-0.25</c:v>
                </c:pt>
                <c:pt idx="1118">
                  <c:v>-0.25</c:v>
                </c:pt>
                <c:pt idx="1119">
                  <c:v>-0.25</c:v>
                </c:pt>
                <c:pt idx="1120">
                  <c:v>-0.25</c:v>
                </c:pt>
                <c:pt idx="1121">
                  <c:v>-0.78</c:v>
                </c:pt>
                <c:pt idx="1122">
                  <c:v>-0.78</c:v>
                </c:pt>
                <c:pt idx="1123">
                  <c:v>-0.78</c:v>
                </c:pt>
                <c:pt idx="1124">
                  <c:v>-0.78</c:v>
                </c:pt>
                <c:pt idx="1125">
                  <c:v>-0.25</c:v>
                </c:pt>
                <c:pt idx="1126">
                  <c:v>-0.25</c:v>
                </c:pt>
                <c:pt idx="1127">
                  <c:v>-0.25</c:v>
                </c:pt>
                <c:pt idx="1128">
                  <c:v>-0.25</c:v>
                </c:pt>
                <c:pt idx="1129">
                  <c:v>-0.78</c:v>
                </c:pt>
                <c:pt idx="1130">
                  <c:v>-0.78</c:v>
                </c:pt>
                <c:pt idx="1131">
                  <c:v>-0.78</c:v>
                </c:pt>
                <c:pt idx="1132">
                  <c:v>-0.78</c:v>
                </c:pt>
                <c:pt idx="1133">
                  <c:v>-0.25</c:v>
                </c:pt>
                <c:pt idx="1134">
                  <c:v>-0.25</c:v>
                </c:pt>
                <c:pt idx="1135">
                  <c:v>-0.25</c:v>
                </c:pt>
                <c:pt idx="1136">
                  <c:v>-0.25</c:v>
                </c:pt>
                <c:pt idx="1137">
                  <c:v>-0.78</c:v>
                </c:pt>
                <c:pt idx="1138">
                  <c:v>-0.78</c:v>
                </c:pt>
                <c:pt idx="1139">
                  <c:v>-0.78</c:v>
                </c:pt>
                <c:pt idx="1140">
                  <c:v>-0.78</c:v>
                </c:pt>
                <c:pt idx="1141">
                  <c:v>-0.25</c:v>
                </c:pt>
                <c:pt idx="1142">
                  <c:v>-0.25</c:v>
                </c:pt>
                <c:pt idx="1143">
                  <c:v>-0.25</c:v>
                </c:pt>
                <c:pt idx="1144">
                  <c:v>-0.25</c:v>
                </c:pt>
                <c:pt idx="1145">
                  <c:v>-0.78</c:v>
                </c:pt>
                <c:pt idx="1146">
                  <c:v>-0.78</c:v>
                </c:pt>
                <c:pt idx="1147">
                  <c:v>-0.78</c:v>
                </c:pt>
                <c:pt idx="1148">
                  <c:v>-0.78</c:v>
                </c:pt>
                <c:pt idx="1149">
                  <c:v>-0.25</c:v>
                </c:pt>
                <c:pt idx="1150">
                  <c:v>-0.25</c:v>
                </c:pt>
                <c:pt idx="1151">
                  <c:v>-0.25</c:v>
                </c:pt>
                <c:pt idx="1152">
                  <c:v>-0.25</c:v>
                </c:pt>
                <c:pt idx="1153">
                  <c:v>-0.78</c:v>
                </c:pt>
                <c:pt idx="1154">
                  <c:v>-0.78</c:v>
                </c:pt>
                <c:pt idx="1155">
                  <c:v>-0.78</c:v>
                </c:pt>
                <c:pt idx="1156">
                  <c:v>-0.78</c:v>
                </c:pt>
                <c:pt idx="1157">
                  <c:v>-0.25</c:v>
                </c:pt>
                <c:pt idx="1158">
                  <c:v>-0.25</c:v>
                </c:pt>
                <c:pt idx="1159">
                  <c:v>-0.25</c:v>
                </c:pt>
                <c:pt idx="1160">
                  <c:v>-0.25</c:v>
                </c:pt>
                <c:pt idx="1161">
                  <c:v>-0.78</c:v>
                </c:pt>
                <c:pt idx="1162">
                  <c:v>-0.78</c:v>
                </c:pt>
                <c:pt idx="1163">
                  <c:v>-0.78</c:v>
                </c:pt>
                <c:pt idx="1164">
                  <c:v>-0.78</c:v>
                </c:pt>
                <c:pt idx="1165">
                  <c:v>-0.25</c:v>
                </c:pt>
                <c:pt idx="1166">
                  <c:v>-0.25</c:v>
                </c:pt>
                <c:pt idx="1167">
                  <c:v>-0.25</c:v>
                </c:pt>
                <c:pt idx="1168">
                  <c:v>-0.25</c:v>
                </c:pt>
                <c:pt idx="1169">
                  <c:v>-0.78</c:v>
                </c:pt>
                <c:pt idx="1170">
                  <c:v>-0.78</c:v>
                </c:pt>
                <c:pt idx="1171">
                  <c:v>-0.78</c:v>
                </c:pt>
                <c:pt idx="1172">
                  <c:v>-0.78</c:v>
                </c:pt>
                <c:pt idx="1173">
                  <c:v>-0.25</c:v>
                </c:pt>
                <c:pt idx="1174">
                  <c:v>-0.25</c:v>
                </c:pt>
                <c:pt idx="1175">
                  <c:v>-0.25</c:v>
                </c:pt>
                <c:pt idx="1176">
                  <c:v>-0.25</c:v>
                </c:pt>
                <c:pt idx="1177">
                  <c:v>-0.78</c:v>
                </c:pt>
                <c:pt idx="1178">
                  <c:v>-0.78</c:v>
                </c:pt>
                <c:pt idx="1179">
                  <c:v>-0.78</c:v>
                </c:pt>
                <c:pt idx="1180">
                  <c:v>-0.78</c:v>
                </c:pt>
                <c:pt idx="1181">
                  <c:v>-0.25</c:v>
                </c:pt>
                <c:pt idx="1182">
                  <c:v>-0.25</c:v>
                </c:pt>
                <c:pt idx="1183">
                  <c:v>-0.25</c:v>
                </c:pt>
                <c:pt idx="1184">
                  <c:v>-0.25</c:v>
                </c:pt>
                <c:pt idx="1185">
                  <c:v>-0.78</c:v>
                </c:pt>
                <c:pt idx="1186">
                  <c:v>-0.78</c:v>
                </c:pt>
                <c:pt idx="1187">
                  <c:v>-0.78</c:v>
                </c:pt>
                <c:pt idx="1188">
                  <c:v>-0.78</c:v>
                </c:pt>
                <c:pt idx="1189">
                  <c:v>-0.25</c:v>
                </c:pt>
                <c:pt idx="1190">
                  <c:v>-0.25</c:v>
                </c:pt>
                <c:pt idx="1191">
                  <c:v>-0.25</c:v>
                </c:pt>
                <c:pt idx="1192">
                  <c:v>-0.25</c:v>
                </c:pt>
                <c:pt idx="1193">
                  <c:v>-0.78</c:v>
                </c:pt>
                <c:pt idx="1194">
                  <c:v>-0.78</c:v>
                </c:pt>
                <c:pt idx="1195">
                  <c:v>-0.78</c:v>
                </c:pt>
                <c:pt idx="1196">
                  <c:v>-0.78</c:v>
                </c:pt>
                <c:pt idx="1197">
                  <c:v>-0.25</c:v>
                </c:pt>
                <c:pt idx="1198">
                  <c:v>-0.25</c:v>
                </c:pt>
                <c:pt idx="1199">
                  <c:v>-0.25</c:v>
                </c:pt>
                <c:pt idx="1200">
                  <c:v>-0.25</c:v>
                </c:pt>
                <c:pt idx="1201">
                  <c:v>-0.78</c:v>
                </c:pt>
                <c:pt idx="1202">
                  <c:v>-0.78</c:v>
                </c:pt>
                <c:pt idx="1203">
                  <c:v>-0.78</c:v>
                </c:pt>
                <c:pt idx="1204">
                  <c:v>-0.78</c:v>
                </c:pt>
                <c:pt idx="1205">
                  <c:v>-0.25</c:v>
                </c:pt>
                <c:pt idx="1206">
                  <c:v>-0.25</c:v>
                </c:pt>
                <c:pt idx="1207">
                  <c:v>-0.25</c:v>
                </c:pt>
                <c:pt idx="1208">
                  <c:v>-0.25</c:v>
                </c:pt>
                <c:pt idx="1209">
                  <c:v>-0.78</c:v>
                </c:pt>
                <c:pt idx="1210">
                  <c:v>-0.78</c:v>
                </c:pt>
                <c:pt idx="1211">
                  <c:v>-0.78</c:v>
                </c:pt>
                <c:pt idx="1212">
                  <c:v>-0.78</c:v>
                </c:pt>
                <c:pt idx="1213">
                  <c:v>-0.25</c:v>
                </c:pt>
                <c:pt idx="1214">
                  <c:v>-0.25</c:v>
                </c:pt>
                <c:pt idx="1215">
                  <c:v>-0.25</c:v>
                </c:pt>
                <c:pt idx="1216">
                  <c:v>-0.25</c:v>
                </c:pt>
                <c:pt idx="1217">
                  <c:v>-0.78</c:v>
                </c:pt>
                <c:pt idx="1218">
                  <c:v>-0.78</c:v>
                </c:pt>
                <c:pt idx="1219">
                  <c:v>-0.78</c:v>
                </c:pt>
                <c:pt idx="1220">
                  <c:v>-0.78</c:v>
                </c:pt>
                <c:pt idx="1221">
                  <c:v>-0.25</c:v>
                </c:pt>
                <c:pt idx="1222">
                  <c:v>-0.25</c:v>
                </c:pt>
                <c:pt idx="1223">
                  <c:v>-0.25</c:v>
                </c:pt>
                <c:pt idx="1224">
                  <c:v>-0.25</c:v>
                </c:pt>
                <c:pt idx="1225">
                  <c:v>-0.78</c:v>
                </c:pt>
                <c:pt idx="1226">
                  <c:v>-0.78</c:v>
                </c:pt>
                <c:pt idx="1227">
                  <c:v>-0.78</c:v>
                </c:pt>
                <c:pt idx="1228">
                  <c:v>-0.78</c:v>
                </c:pt>
                <c:pt idx="1229">
                  <c:v>-0.25</c:v>
                </c:pt>
                <c:pt idx="1230">
                  <c:v>-0.25</c:v>
                </c:pt>
                <c:pt idx="1231">
                  <c:v>-0.25</c:v>
                </c:pt>
                <c:pt idx="1232">
                  <c:v>-0.25</c:v>
                </c:pt>
                <c:pt idx="1233">
                  <c:v>-0.78</c:v>
                </c:pt>
                <c:pt idx="1234">
                  <c:v>-0.78</c:v>
                </c:pt>
                <c:pt idx="1235">
                  <c:v>-0.78</c:v>
                </c:pt>
                <c:pt idx="1236">
                  <c:v>-0.78</c:v>
                </c:pt>
                <c:pt idx="1237">
                  <c:v>-0.25</c:v>
                </c:pt>
                <c:pt idx="1238">
                  <c:v>-0.25</c:v>
                </c:pt>
                <c:pt idx="1239">
                  <c:v>-0.25</c:v>
                </c:pt>
                <c:pt idx="1240">
                  <c:v>-0.25</c:v>
                </c:pt>
                <c:pt idx="1241">
                  <c:v>-0.78</c:v>
                </c:pt>
                <c:pt idx="1242">
                  <c:v>-0.78</c:v>
                </c:pt>
                <c:pt idx="1243">
                  <c:v>-0.78</c:v>
                </c:pt>
                <c:pt idx="1244">
                  <c:v>-0.78</c:v>
                </c:pt>
                <c:pt idx="1245">
                  <c:v>-0.25</c:v>
                </c:pt>
                <c:pt idx="1246">
                  <c:v>-0.25</c:v>
                </c:pt>
                <c:pt idx="1247">
                  <c:v>-0.25</c:v>
                </c:pt>
                <c:pt idx="1248">
                  <c:v>-0.25</c:v>
                </c:pt>
                <c:pt idx="1249">
                  <c:v>-0.78</c:v>
                </c:pt>
                <c:pt idx="1250">
                  <c:v>-0.78</c:v>
                </c:pt>
                <c:pt idx="1251">
                  <c:v>-0.78</c:v>
                </c:pt>
                <c:pt idx="1252">
                  <c:v>-0.78</c:v>
                </c:pt>
                <c:pt idx="1253">
                  <c:v>-0.25</c:v>
                </c:pt>
                <c:pt idx="1254">
                  <c:v>-0.25</c:v>
                </c:pt>
                <c:pt idx="1255">
                  <c:v>-0.25</c:v>
                </c:pt>
                <c:pt idx="1256">
                  <c:v>-0.25</c:v>
                </c:pt>
                <c:pt idx="1257">
                  <c:v>-0.78</c:v>
                </c:pt>
                <c:pt idx="1258">
                  <c:v>-0.78</c:v>
                </c:pt>
                <c:pt idx="1259">
                  <c:v>-0.78</c:v>
                </c:pt>
                <c:pt idx="1260">
                  <c:v>-0.78</c:v>
                </c:pt>
                <c:pt idx="1261">
                  <c:v>-0.25</c:v>
                </c:pt>
                <c:pt idx="1262">
                  <c:v>-0.25</c:v>
                </c:pt>
                <c:pt idx="1263">
                  <c:v>-0.25</c:v>
                </c:pt>
                <c:pt idx="1264">
                  <c:v>-0.25</c:v>
                </c:pt>
                <c:pt idx="1265">
                  <c:v>-0.78</c:v>
                </c:pt>
                <c:pt idx="1266">
                  <c:v>-0.78</c:v>
                </c:pt>
                <c:pt idx="1267">
                  <c:v>-0.78</c:v>
                </c:pt>
                <c:pt idx="1268">
                  <c:v>-0.78</c:v>
                </c:pt>
                <c:pt idx="1269">
                  <c:v>-0.25</c:v>
                </c:pt>
                <c:pt idx="1270">
                  <c:v>-0.25</c:v>
                </c:pt>
                <c:pt idx="1271">
                  <c:v>-0.25</c:v>
                </c:pt>
                <c:pt idx="1272">
                  <c:v>-0.25</c:v>
                </c:pt>
                <c:pt idx="1273">
                  <c:v>-0.78</c:v>
                </c:pt>
                <c:pt idx="1274">
                  <c:v>-0.78</c:v>
                </c:pt>
                <c:pt idx="1275">
                  <c:v>-0.78</c:v>
                </c:pt>
                <c:pt idx="1276">
                  <c:v>-0.78</c:v>
                </c:pt>
                <c:pt idx="1277">
                  <c:v>-0.25</c:v>
                </c:pt>
                <c:pt idx="1278">
                  <c:v>-0.25</c:v>
                </c:pt>
                <c:pt idx="1279">
                  <c:v>-0.25</c:v>
                </c:pt>
                <c:pt idx="1280">
                  <c:v>-0.25</c:v>
                </c:pt>
                <c:pt idx="1281">
                  <c:v>-0.78</c:v>
                </c:pt>
                <c:pt idx="1282">
                  <c:v>-0.78</c:v>
                </c:pt>
                <c:pt idx="1283">
                  <c:v>-0.78</c:v>
                </c:pt>
                <c:pt idx="1284">
                  <c:v>-0.78</c:v>
                </c:pt>
                <c:pt idx="1285">
                  <c:v>-0.25</c:v>
                </c:pt>
                <c:pt idx="1286">
                  <c:v>-0.25</c:v>
                </c:pt>
                <c:pt idx="1287">
                  <c:v>-0.25</c:v>
                </c:pt>
                <c:pt idx="1288">
                  <c:v>-0.25</c:v>
                </c:pt>
                <c:pt idx="1289">
                  <c:v>-0.78</c:v>
                </c:pt>
                <c:pt idx="1290">
                  <c:v>-0.78</c:v>
                </c:pt>
                <c:pt idx="1291">
                  <c:v>-0.78</c:v>
                </c:pt>
                <c:pt idx="1292">
                  <c:v>-0.78</c:v>
                </c:pt>
                <c:pt idx="1293">
                  <c:v>-0.25</c:v>
                </c:pt>
                <c:pt idx="1294">
                  <c:v>-0.25</c:v>
                </c:pt>
                <c:pt idx="1295">
                  <c:v>-0.25</c:v>
                </c:pt>
                <c:pt idx="1296">
                  <c:v>-0.25</c:v>
                </c:pt>
                <c:pt idx="1297">
                  <c:v>-0.78</c:v>
                </c:pt>
                <c:pt idx="1298">
                  <c:v>-0.78</c:v>
                </c:pt>
                <c:pt idx="1299">
                  <c:v>-0.78</c:v>
                </c:pt>
                <c:pt idx="1300">
                  <c:v>-0.78</c:v>
                </c:pt>
                <c:pt idx="1301">
                  <c:v>-0.25</c:v>
                </c:pt>
                <c:pt idx="1302">
                  <c:v>-0.25</c:v>
                </c:pt>
                <c:pt idx="1303">
                  <c:v>-0.25</c:v>
                </c:pt>
                <c:pt idx="1304">
                  <c:v>-0.25</c:v>
                </c:pt>
                <c:pt idx="1305">
                  <c:v>-0.78</c:v>
                </c:pt>
                <c:pt idx="1306">
                  <c:v>-0.78</c:v>
                </c:pt>
                <c:pt idx="1307">
                  <c:v>-0.78</c:v>
                </c:pt>
                <c:pt idx="1308">
                  <c:v>-0.78</c:v>
                </c:pt>
                <c:pt idx="1309">
                  <c:v>-0.25</c:v>
                </c:pt>
                <c:pt idx="1310">
                  <c:v>-0.25</c:v>
                </c:pt>
                <c:pt idx="1311">
                  <c:v>-0.25</c:v>
                </c:pt>
                <c:pt idx="1312">
                  <c:v>-0.25</c:v>
                </c:pt>
                <c:pt idx="1313">
                  <c:v>-0.78</c:v>
                </c:pt>
                <c:pt idx="1314">
                  <c:v>-0.78</c:v>
                </c:pt>
                <c:pt idx="1315">
                  <c:v>-0.78</c:v>
                </c:pt>
                <c:pt idx="1316">
                  <c:v>-0.78</c:v>
                </c:pt>
                <c:pt idx="1317">
                  <c:v>-0.25</c:v>
                </c:pt>
                <c:pt idx="1318">
                  <c:v>-0.25</c:v>
                </c:pt>
                <c:pt idx="1319">
                  <c:v>-0.25</c:v>
                </c:pt>
                <c:pt idx="1320">
                  <c:v>-0.25</c:v>
                </c:pt>
                <c:pt idx="1321">
                  <c:v>-0.78</c:v>
                </c:pt>
                <c:pt idx="1322">
                  <c:v>-0.78</c:v>
                </c:pt>
                <c:pt idx="1323">
                  <c:v>-0.78</c:v>
                </c:pt>
                <c:pt idx="1324">
                  <c:v>-0.78</c:v>
                </c:pt>
                <c:pt idx="1325">
                  <c:v>-0.25</c:v>
                </c:pt>
                <c:pt idx="1326">
                  <c:v>-0.25</c:v>
                </c:pt>
                <c:pt idx="1327">
                  <c:v>-0.25</c:v>
                </c:pt>
                <c:pt idx="1328">
                  <c:v>-0.25</c:v>
                </c:pt>
                <c:pt idx="1329">
                  <c:v>-0.78</c:v>
                </c:pt>
                <c:pt idx="1330">
                  <c:v>-0.78</c:v>
                </c:pt>
                <c:pt idx="1331">
                  <c:v>-0.78</c:v>
                </c:pt>
                <c:pt idx="1332">
                  <c:v>-0.78</c:v>
                </c:pt>
                <c:pt idx="1333">
                  <c:v>-0.25</c:v>
                </c:pt>
                <c:pt idx="1334">
                  <c:v>-0.25</c:v>
                </c:pt>
                <c:pt idx="1335">
                  <c:v>-0.25</c:v>
                </c:pt>
                <c:pt idx="1336">
                  <c:v>-0.25</c:v>
                </c:pt>
                <c:pt idx="1337">
                  <c:v>-0.78</c:v>
                </c:pt>
                <c:pt idx="1338">
                  <c:v>-0.78</c:v>
                </c:pt>
                <c:pt idx="1339">
                  <c:v>-0.78</c:v>
                </c:pt>
                <c:pt idx="1340">
                  <c:v>-0.78</c:v>
                </c:pt>
                <c:pt idx="1341">
                  <c:v>-0.25</c:v>
                </c:pt>
                <c:pt idx="1342">
                  <c:v>-0.25</c:v>
                </c:pt>
                <c:pt idx="1343">
                  <c:v>-0.25</c:v>
                </c:pt>
                <c:pt idx="1344">
                  <c:v>-0.25</c:v>
                </c:pt>
                <c:pt idx="1345">
                  <c:v>-0.78</c:v>
                </c:pt>
                <c:pt idx="1346">
                  <c:v>-0.78</c:v>
                </c:pt>
                <c:pt idx="1347">
                  <c:v>-0.78</c:v>
                </c:pt>
                <c:pt idx="1348">
                  <c:v>-0.78</c:v>
                </c:pt>
                <c:pt idx="1349">
                  <c:v>-0.25</c:v>
                </c:pt>
                <c:pt idx="1350">
                  <c:v>-0.25</c:v>
                </c:pt>
                <c:pt idx="1351">
                  <c:v>-0.25</c:v>
                </c:pt>
                <c:pt idx="1352">
                  <c:v>-0.25</c:v>
                </c:pt>
                <c:pt idx="1353">
                  <c:v>-0.78</c:v>
                </c:pt>
                <c:pt idx="1354">
                  <c:v>-0.78</c:v>
                </c:pt>
                <c:pt idx="1355">
                  <c:v>-0.78</c:v>
                </c:pt>
                <c:pt idx="1356">
                  <c:v>-0.78</c:v>
                </c:pt>
                <c:pt idx="1357">
                  <c:v>-0.25</c:v>
                </c:pt>
                <c:pt idx="1358">
                  <c:v>-0.25</c:v>
                </c:pt>
                <c:pt idx="1359">
                  <c:v>-0.25</c:v>
                </c:pt>
                <c:pt idx="1360">
                  <c:v>-0.25</c:v>
                </c:pt>
                <c:pt idx="1361">
                  <c:v>-0.78</c:v>
                </c:pt>
                <c:pt idx="1362">
                  <c:v>-0.78</c:v>
                </c:pt>
                <c:pt idx="1363">
                  <c:v>-0.78</c:v>
                </c:pt>
                <c:pt idx="1364">
                  <c:v>-0.78</c:v>
                </c:pt>
                <c:pt idx="1365">
                  <c:v>-0.25</c:v>
                </c:pt>
                <c:pt idx="1366">
                  <c:v>-0.25</c:v>
                </c:pt>
                <c:pt idx="1367">
                  <c:v>-0.25</c:v>
                </c:pt>
                <c:pt idx="1368">
                  <c:v>-0.25</c:v>
                </c:pt>
                <c:pt idx="1369">
                  <c:v>-0.78</c:v>
                </c:pt>
                <c:pt idx="1370">
                  <c:v>-0.78</c:v>
                </c:pt>
                <c:pt idx="1371">
                  <c:v>-0.78</c:v>
                </c:pt>
                <c:pt idx="1372">
                  <c:v>-0.78</c:v>
                </c:pt>
                <c:pt idx="1373">
                  <c:v>-0.25</c:v>
                </c:pt>
                <c:pt idx="1374">
                  <c:v>-0.25</c:v>
                </c:pt>
                <c:pt idx="1375">
                  <c:v>-0.25</c:v>
                </c:pt>
                <c:pt idx="1376">
                  <c:v>-0.25</c:v>
                </c:pt>
                <c:pt idx="1377">
                  <c:v>-0.78</c:v>
                </c:pt>
                <c:pt idx="1378">
                  <c:v>-0.78</c:v>
                </c:pt>
                <c:pt idx="1379">
                  <c:v>-0.78</c:v>
                </c:pt>
                <c:pt idx="1380">
                  <c:v>-0.78</c:v>
                </c:pt>
                <c:pt idx="1381">
                  <c:v>-0.25</c:v>
                </c:pt>
                <c:pt idx="1382">
                  <c:v>-0.25</c:v>
                </c:pt>
                <c:pt idx="1383">
                  <c:v>-0.25</c:v>
                </c:pt>
                <c:pt idx="1384">
                  <c:v>-0.25</c:v>
                </c:pt>
                <c:pt idx="1385">
                  <c:v>-0.78</c:v>
                </c:pt>
                <c:pt idx="1386">
                  <c:v>-0.78</c:v>
                </c:pt>
                <c:pt idx="1387">
                  <c:v>-0.78</c:v>
                </c:pt>
                <c:pt idx="1388">
                  <c:v>-0.78</c:v>
                </c:pt>
                <c:pt idx="1389">
                  <c:v>-0.25</c:v>
                </c:pt>
                <c:pt idx="1390">
                  <c:v>-0.25</c:v>
                </c:pt>
                <c:pt idx="1391">
                  <c:v>-0.25</c:v>
                </c:pt>
                <c:pt idx="1392">
                  <c:v>-0.25</c:v>
                </c:pt>
                <c:pt idx="1393">
                  <c:v>-0.78</c:v>
                </c:pt>
                <c:pt idx="1394">
                  <c:v>-0.78</c:v>
                </c:pt>
                <c:pt idx="1395">
                  <c:v>-0.78</c:v>
                </c:pt>
                <c:pt idx="1396">
                  <c:v>-0.78</c:v>
                </c:pt>
                <c:pt idx="1397">
                  <c:v>-0.25</c:v>
                </c:pt>
                <c:pt idx="1398">
                  <c:v>-0.25</c:v>
                </c:pt>
                <c:pt idx="1399">
                  <c:v>-0.25</c:v>
                </c:pt>
                <c:pt idx="1400">
                  <c:v>-0.25</c:v>
                </c:pt>
                <c:pt idx="1401">
                  <c:v>-0.78</c:v>
                </c:pt>
                <c:pt idx="1402">
                  <c:v>-0.78</c:v>
                </c:pt>
                <c:pt idx="1403">
                  <c:v>-0.78</c:v>
                </c:pt>
                <c:pt idx="1404">
                  <c:v>-0.78</c:v>
                </c:pt>
                <c:pt idx="1405">
                  <c:v>-0.25</c:v>
                </c:pt>
                <c:pt idx="1406">
                  <c:v>-0.25</c:v>
                </c:pt>
                <c:pt idx="1407">
                  <c:v>-0.25</c:v>
                </c:pt>
                <c:pt idx="1408">
                  <c:v>-0.25</c:v>
                </c:pt>
                <c:pt idx="1409">
                  <c:v>-0.78</c:v>
                </c:pt>
                <c:pt idx="1410">
                  <c:v>-0.78</c:v>
                </c:pt>
                <c:pt idx="1411">
                  <c:v>-0.78</c:v>
                </c:pt>
                <c:pt idx="1412">
                  <c:v>-0.78</c:v>
                </c:pt>
                <c:pt idx="1413">
                  <c:v>-0.25</c:v>
                </c:pt>
                <c:pt idx="1414">
                  <c:v>-0.25</c:v>
                </c:pt>
                <c:pt idx="1415">
                  <c:v>-0.25</c:v>
                </c:pt>
                <c:pt idx="1416">
                  <c:v>-0.25</c:v>
                </c:pt>
                <c:pt idx="1417">
                  <c:v>-0.78</c:v>
                </c:pt>
                <c:pt idx="1418">
                  <c:v>-0.78</c:v>
                </c:pt>
                <c:pt idx="1419">
                  <c:v>-0.78</c:v>
                </c:pt>
                <c:pt idx="1420">
                  <c:v>-0.78</c:v>
                </c:pt>
                <c:pt idx="1421">
                  <c:v>-0.25</c:v>
                </c:pt>
                <c:pt idx="1422">
                  <c:v>-0.25</c:v>
                </c:pt>
                <c:pt idx="1423">
                  <c:v>-0.25</c:v>
                </c:pt>
                <c:pt idx="1424">
                  <c:v>-0.25</c:v>
                </c:pt>
                <c:pt idx="1425">
                  <c:v>-0.78</c:v>
                </c:pt>
                <c:pt idx="1426">
                  <c:v>-0.78</c:v>
                </c:pt>
                <c:pt idx="1427">
                  <c:v>-0.78</c:v>
                </c:pt>
                <c:pt idx="1428">
                  <c:v>-0.78</c:v>
                </c:pt>
                <c:pt idx="1429">
                  <c:v>-0.25</c:v>
                </c:pt>
                <c:pt idx="1430">
                  <c:v>-0.25</c:v>
                </c:pt>
                <c:pt idx="1431">
                  <c:v>-0.25</c:v>
                </c:pt>
                <c:pt idx="1432">
                  <c:v>-0.25</c:v>
                </c:pt>
                <c:pt idx="1433">
                  <c:v>-0.78</c:v>
                </c:pt>
                <c:pt idx="1434">
                  <c:v>-0.78</c:v>
                </c:pt>
                <c:pt idx="1435">
                  <c:v>-0.78</c:v>
                </c:pt>
                <c:pt idx="1436">
                  <c:v>-0.78</c:v>
                </c:pt>
                <c:pt idx="1437">
                  <c:v>-0.25</c:v>
                </c:pt>
                <c:pt idx="1438">
                  <c:v>-0.25</c:v>
                </c:pt>
                <c:pt idx="1439">
                  <c:v>-0.25</c:v>
                </c:pt>
                <c:pt idx="1440">
                  <c:v>-0.25</c:v>
                </c:pt>
                <c:pt idx="1441">
                  <c:v>-0.78</c:v>
                </c:pt>
                <c:pt idx="1442">
                  <c:v>-0.78</c:v>
                </c:pt>
                <c:pt idx="1443">
                  <c:v>-0.78</c:v>
                </c:pt>
                <c:pt idx="1444">
                  <c:v>0.24999999999999978</c:v>
                </c:pt>
                <c:pt idx="1445">
                  <c:v>0.24999999999999978</c:v>
                </c:pt>
                <c:pt idx="1446">
                  <c:v>0.24999999999999978</c:v>
                </c:pt>
                <c:pt idx="1447">
                  <c:v>0.7799999999999998</c:v>
                </c:pt>
                <c:pt idx="1448">
                  <c:v>0.7799999999999998</c:v>
                </c:pt>
                <c:pt idx="1449">
                  <c:v>0.7799999999999998</c:v>
                </c:pt>
                <c:pt idx="1450">
                  <c:v>0.7799999999999998</c:v>
                </c:pt>
                <c:pt idx="1451">
                  <c:v>0.24999999999999978</c:v>
                </c:pt>
                <c:pt idx="1452">
                  <c:v>0.24999999999999978</c:v>
                </c:pt>
                <c:pt idx="1453">
                  <c:v>0.24999999999999978</c:v>
                </c:pt>
                <c:pt idx="1454">
                  <c:v>0.24999999999999978</c:v>
                </c:pt>
                <c:pt idx="1455">
                  <c:v>0.7799999999999998</c:v>
                </c:pt>
                <c:pt idx="1456">
                  <c:v>0.7799999999999998</c:v>
                </c:pt>
                <c:pt idx="1457">
                  <c:v>0.7799999999999998</c:v>
                </c:pt>
                <c:pt idx="1458">
                  <c:v>0.7799999999999998</c:v>
                </c:pt>
                <c:pt idx="1459">
                  <c:v>0.24999999999999978</c:v>
                </c:pt>
                <c:pt idx="1460">
                  <c:v>0.24999999999999978</c:v>
                </c:pt>
                <c:pt idx="1461">
                  <c:v>0.24999999999999978</c:v>
                </c:pt>
                <c:pt idx="1462">
                  <c:v>0.24999999999999978</c:v>
                </c:pt>
                <c:pt idx="1463">
                  <c:v>0.7799999999999998</c:v>
                </c:pt>
                <c:pt idx="1464">
                  <c:v>0.7799999999999998</c:v>
                </c:pt>
                <c:pt idx="1465">
                  <c:v>0.7799999999999998</c:v>
                </c:pt>
                <c:pt idx="1466">
                  <c:v>0.7799999999999998</c:v>
                </c:pt>
                <c:pt idx="1467">
                  <c:v>0.24999999999999978</c:v>
                </c:pt>
                <c:pt idx="1468">
                  <c:v>0.24999999999999978</c:v>
                </c:pt>
                <c:pt idx="1469">
                  <c:v>0.24999999999999978</c:v>
                </c:pt>
                <c:pt idx="1470">
                  <c:v>0.24999999999999978</c:v>
                </c:pt>
                <c:pt idx="1471">
                  <c:v>0.7799999999999998</c:v>
                </c:pt>
                <c:pt idx="1472">
                  <c:v>0.7799999999999998</c:v>
                </c:pt>
                <c:pt idx="1473">
                  <c:v>0.7799999999999998</c:v>
                </c:pt>
                <c:pt idx="1474">
                  <c:v>0.7799999999999998</c:v>
                </c:pt>
                <c:pt idx="1475">
                  <c:v>0.24999999999999978</c:v>
                </c:pt>
                <c:pt idx="1476">
                  <c:v>0.24999999999999978</c:v>
                </c:pt>
                <c:pt idx="1477">
                  <c:v>0.24999999999999978</c:v>
                </c:pt>
                <c:pt idx="1478">
                  <c:v>0.24999999999999978</c:v>
                </c:pt>
                <c:pt idx="1479">
                  <c:v>0.7799999999999998</c:v>
                </c:pt>
                <c:pt idx="1480">
                  <c:v>0.7799999999999998</c:v>
                </c:pt>
                <c:pt idx="1481">
                  <c:v>0.7799999999999998</c:v>
                </c:pt>
                <c:pt idx="1482">
                  <c:v>0.7799999999999998</c:v>
                </c:pt>
                <c:pt idx="1483">
                  <c:v>0.24999999999999978</c:v>
                </c:pt>
                <c:pt idx="1484">
                  <c:v>0.24999999999999978</c:v>
                </c:pt>
                <c:pt idx="1485">
                  <c:v>0.24999999999999978</c:v>
                </c:pt>
                <c:pt idx="1486">
                  <c:v>0.24999999999999978</c:v>
                </c:pt>
                <c:pt idx="1487">
                  <c:v>0.7799999999999998</c:v>
                </c:pt>
                <c:pt idx="1488">
                  <c:v>0.7799999999999998</c:v>
                </c:pt>
                <c:pt idx="1489">
                  <c:v>0.7799999999999998</c:v>
                </c:pt>
                <c:pt idx="1490">
                  <c:v>0.7799999999999998</c:v>
                </c:pt>
                <c:pt idx="1491">
                  <c:v>0.24999999999999978</c:v>
                </c:pt>
                <c:pt idx="1492">
                  <c:v>0.24999999999999978</c:v>
                </c:pt>
                <c:pt idx="1493">
                  <c:v>0.24999999999999978</c:v>
                </c:pt>
                <c:pt idx="1494">
                  <c:v>0.24999999999999978</c:v>
                </c:pt>
                <c:pt idx="1495">
                  <c:v>0.7799999999999998</c:v>
                </c:pt>
                <c:pt idx="1496">
                  <c:v>0.7799999999999998</c:v>
                </c:pt>
                <c:pt idx="1497">
                  <c:v>0.7799999999999998</c:v>
                </c:pt>
                <c:pt idx="1498">
                  <c:v>0.7799999999999998</c:v>
                </c:pt>
                <c:pt idx="1499">
                  <c:v>0.24999999999999978</c:v>
                </c:pt>
                <c:pt idx="1500">
                  <c:v>0.24999999999999978</c:v>
                </c:pt>
                <c:pt idx="1501">
                  <c:v>0.24999999999999978</c:v>
                </c:pt>
                <c:pt idx="1502">
                  <c:v>0.24999999999999978</c:v>
                </c:pt>
                <c:pt idx="1503">
                  <c:v>0.7799999999999998</c:v>
                </c:pt>
                <c:pt idx="1504">
                  <c:v>0.7799999999999998</c:v>
                </c:pt>
                <c:pt idx="1505">
                  <c:v>0.7799999999999998</c:v>
                </c:pt>
                <c:pt idx="1506">
                  <c:v>0.7799999999999998</c:v>
                </c:pt>
                <c:pt idx="1507">
                  <c:v>0.24999999999999978</c:v>
                </c:pt>
                <c:pt idx="1508">
                  <c:v>0.24999999999999978</c:v>
                </c:pt>
                <c:pt idx="1509">
                  <c:v>0.24999999999999978</c:v>
                </c:pt>
                <c:pt idx="1510">
                  <c:v>0.24999999999999978</c:v>
                </c:pt>
                <c:pt idx="1511">
                  <c:v>0.7799999999999998</c:v>
                </c:pt>
                <c:pt idx="1512">
                  <c:v>0.7799999999999998</c:v>
                </c:pt>
                <c:pt idx="1513">
                  <c:v>0.7799999999999998</c:v>
                </c:pt>
                <c:pt idx="1514">
                  <c:v>0.7799999999999998</c:v>
                </c:pt>
                <c:pt idx="1515">
                  <c:v>0.24999999999999978</c:v>
                </c:pt>
                <c:pt idx="1516">
                  <c:v>0.24999999999999978</c:v>
                </c:pt>
                <c:pt idx="1517">
                  <c:v>0.24999999999999978</c:v>
                </c:pt>
                <c:pt idx="1518">
                  <c:v>0.24999999999999978</c:v>
                </c:pt>
                <c:pt idx="1519">
                  <c:v>0.7799999999999998</c:v>
                </c:pt>
                <c:pt idx="1520">
                  <c:v>0.7799999999999998</c:v>
                </c:pt>
                <c:pt idx="1521">
                  <c:v>0.7799999999999998</c:v>
                </c:pt>
                <c:pt idx="1522">
                  <c:v>0.7799999999999998</c:v>
                </c:pt>
                <c:pt idx="1523">
                  <c:v>0.24999999999999978</c:v>
                </c:pt>
                <c:pt idx="1524">
                  <c:v>0.24999999999999978</c:v>
                </c:pt>
                <c:pt idx="1525">
                  <c:v>0.24999999999999978</c:v>
                </c:pt>
                <c:pt idx="1526">
                  <c:v>0.24999999999999978</c:v>
                </c:pt>
                <c:pt idx="1527">
                  <c:v>0.7799999999999998</c:v>
                </c:pt>
                <c:pt idx="1528">
                  <c:v>0.7799999999999998</c:v>
                </c:pt>
                <c:pt idx="1529">
                  <c:v>0.7799999999999998</c:v>
                </c:pt>
                <c:pt idx="1530">
                  <c:v>0.7799999999999998</c:v>
                </c:pt>
                <c:pt idx="1531">
                  <c:v>0.24999999999999978</c:v>
                </c:pt>
                <c:pt idx="1532">
                  <c:v>0.24999999999999978</c:v>
                </c:pt>
                <c:pt idx="1533">
                  <c:v>0.24999999999999978</c:v>
                </c:pt>
                <c:pt idx="1534">
                  <c:v>0.24999999999999978</c:v>
                </c:pt>
                <c:pt idx="1535">
                  <c:v>0.7799999999999998</c:v>
                </c:pt>
                <c:pt idx="1536">
                  <c:v>0.7799999999999998</c:v>
                </c:pt>
                <c:pt idx="1537">
                  <c:v>0.7799999999999998</c:v>
                </c:pt>
                <c:pt idx="1538">
                  <c:v>0.7799999999999998</c:v>
                </c:pt>
                <c:pt idx="1539">
                  <c:v>0.24999999999999978</c:v>
                </c:pt>
                <c:pt idx="1540">
                  <c:v>0.24999999999999978</c:v>
                </c:pt>
                <c:pt idx="1541">
                  <c:v>0.24999999999999978</c:v>
                </c:pt>
                <c:pt idx="1542">
                  <c:v>0.24999999999999978</c:v>
                </c:pt>
                <c:pt idx="1543">
                  <c:v>0.7799999999999998</c:v>
                </c:pt>
                <c:pt idx="1544">
                  <c:v>0.7799999999999998</c:v>
                </c:pt>
                <c:pt idx="1545">
                  <c:v>0.7799999999999998</c:v>
                </c:pt>
                <c:pt idx="1546">
                  <c:v>0.7799999999999998</c:v>
                </c:pt>
                <c:pt idx="1547">
                  <c:v>0.24999999999999978</c:v>
                </c:pt>
                <c:pt idx="1548">
                  <c:v>0.24999999999999978</c:v>
                </c:pt>
                <c:pt idx="1549">
                  <c:v>0.24999999999999978</c:v>
                </c:pt>
                <c:pt idx="1550">
                  <c:v>0.24999999999999978</c:v>
                </c:pt>
                <c:pt idx="1551">
                  <c:v>0.7799999999999998</c:v>
                </c:pt>
                <c:pt idx="1552">
                  <c:v>0.7799999999999998</c:v>
                </c:pt>
                <c:pt idx="1553">
                  <c:v>0.7799999999999998</c:v>
                </c:pt>
                <c:pt idx="1554">
                  <c:v>0.7799999999999998</c:v>
                </c:pt>
                <c:pt idx="1555">
                  <c:v>0.24999999999999978</c:v>
                </c:pt>
                <c:pt idx="1556">
                  <c:v>0.24999999999999978</c:v>
                </c:pt>
                <c:pt idx="1557">
                  <c:v>0.24999999999999978</c:v>
                </c:pt>
                <c:pt idx="1558">
                  <c:v>0.24999999999999978</c:v>
                </c:pt>
                <c:pt idx="1559">
                  <c:v>0.7799999999999998</c:v>
                </c:pt>
                <c:pt idx="1560">
                  <c:v>0.7799999999999998</c:v>
                </c:pt>
                <c:pt idx="1561">
                  <c:v>0.7799999999999998</c:v>
                </c:pt>
                <c:pt idx="1562">
                  <c:v>0.7799999999999998</c:v>
                </c:pt>
                <c:pt idx="1563">
                  <c:v>0.24999999999999978</c:v>
                </c:pt>
                <c:pt idx="1564">
                  <c:v>0.24999999999999978</c:v>
                </c:pt>
                <c:pt idx="1565">
                  <c:v>0.24999999999999978</c:v>
                </c:pt>
                <c:pt idx="1566">
                  <c:v>0.24999999999999978</c:v>
                </c:pt>
                <c:pt idx="1567">
                  <c:v>0.7799999999999998</c:v>
                </c:pt>
                <c:pt idx="1568">
                  <c:v>0.7799999999999998</c:v>
                </c:pt>
                <c:pt idx="1569">
                  <c:v>0.7799999999999998</c:v>
                </c:pt>
                <c:pt idx="1570">
                  <c:v>0.7799999999999998</c:v>
                </c:pt>
                <c:pt idx="1571">
                  <c:v>0.24999999999999978</c:v>
                </c:pt>
                <c:pt idx="1572">
                  <c:v>0.24999999999999978</c:v>
                </c:pt>
                <c:pt idx="1573">
                  <c:v>0.24999999999999978</c:v>
                </c:pt>
                <c:pt idx="1574">
                  <c:v>0.24999999999999978</c:v>
                </c:pt>
                <c:pt idx="1575">
                  <c:v>0.7799999999999998</c:v>
                </c:pt>
                <c:pt idx="1576">
                  <c:v>0.7799999999999998</c:v>
                </c:pt>
                <c:pt idx="1577">
                  <c:v>0.7799999999999998</c:v>
                </c:pt>
                <c:pt idx="1578">
                  <c:v>0.7799999999999998</c:v>
                </c:pt>
                <c:pt idx="1579">
                  <c:v>0.24999999999999978</c:v>
                </c:pt>
                <c:pt idx="1580">
                  <c:v>0.24999999999999978</c:v>
                </c:pt>
                <c:pt idx="1581">
                  <c:v>0.24999999999999978</c:v>
                </c:pt>
                <c:pt idx="1582">
                  <c:v>0.24999999999999978</c:v>
                </c:pt>
                <c:pt idx="1583">
                  <c:v>0.7799999999999998</c:v>
                </c:pt>
                <c:pt idx="1584">
                  <c:v>0.7799999999999998</c:v>
                </c:pt>
                <c:pt idx="1585">
                  <c:v>0.7799999999999998</c:v>
                </c:pt>
                <c:pt idx="1586">
                  <c:v>0.7799999999999998</c:v>
                </c:pt>
                <c:pt idx="1587">
                  <c:v>0.24999999999999978</c:v>
                </c:pt>
                <c:pt idx="1588">
                  <c:v>0.24999999999999978</c:v>
                </c:pt>
                <c:pt idx="1589">
                  <c:v>0.24999999999999978</c:v>
                </c:pt>
                <c:pt idx="1590">
                  <c:v>0.24999999999999978</c:v>
                </c:pt>
                <c:pt idx="1591">
                  <c:v>0.7799999999999998</c:v>
                </c:pt>
                <c:pt idx="1592">
                  <c:v>0.7799999999999998</c:v>
                </c:pt>
                <c:pt idx="1593">
                  <c:v>0.7799999999999998</c:v>
                </c:pt>
                <c:pt idx="1594">
                  <c:v>0.7799999999999998</c:v>
                </c:pt>
                <c:pt idx="1595">
                  <c:v>0.24999999999999978</c:v>
                </c:pt>
                <c:pt idx="1596">
                  <c:v>0.24999999999999978</c:v>
                </c:pt>
                <c:pt idx="1597">
                  <c:v>0.24999999999999978</c:v>
                </c:pt>
                <c:pt idx="1598">
                  <c:v>0.24999999999999978</c:v>
                </c:pt>
                <c:pt idx="1599">
                  <c:v>0.7799999999999998</c:v>
                </c:pt>
                <c:pt idx="1600">
                  <c:v>0.7799999999999998</c:v>
                </c:pt>
                <c:pt idx="1601">
                  <c:v>0.7799999999999998</c:v>
                </c:pt>
                <c:pt idx="1602">
                  <c:v>0.7799999999999998</c:v>
                </c:pt>
                <c:pt idx="1603">
                  <c:v>0.24999999999999978</c:v>
                </c:pt>
                <c:pt idx="1604">
                  <c:v>0.24999999999999978</c:v>
                </c:pt>
                <c:pt idx="1605">
                  <c:v>0.24999999999999978</c:v>
                </c:pt>
                <c:pt idx="1606">
                  <c:v>0.24999999999999978</c:v>
                </c:pt>
                <c:pt idx="1607">
                  <c:v>0.7799999999999998</c:v>
                </c:pt>
                <c:pt idx="1608">
                  <c:v>0.7799999999999998</c:v>
                </c:pt>
                <c:pt idx="1609">
                  <c:v>0.7799999999999998</c:v>
                </c:pt>
                <c:pt idx="1610">
                  <c:v>0.7799999999999998</c:v>
                </c:pt>
                <c:pt idx="1611">
                  <c:v>0.24999999999999978</c:v>
                </c:pt>
                <c:pt idx="1612">
                  <c:v>0.24999999999999978</c:v>
                </c:pt>
                <c:pt idx="1613">
                  <c:v>0.24999999999999978</c:v>
                </c:pt>
                <c:pt idx="1614">
                  <c:v>0.24999999999999978</c:v>
                </c:pt>
                <c:pt idx="1615">
                  <c:v>0.7799999999999998</c:v>
                </c:pt>
                <c:pt idx="1616">
                  <c:v>0.7799999999999998</c:v>
                </c:pt>
                <c:pt idx="1617">
                  <c:v>0.7799999999999998</c:v>
                </c:pt>
                <c:pt idx="1618">
                  <c:v>0.7799999999999998</c:v>
                </c:pt>
                <c:pt idx="1619">
                  <c:v>0.24999999999999978</c:v>
                </c:pt>
                <c:pt idx="1620">
                  <c:v>0.24999999999999978</c:v>
                </c:pt>
                <c:pt idx="1621">
                  <c:v>0.24999999999999978</c:v>
                </c:pt>
                <c:pt idx="1622">
                  <c:v>0.24999999999999978</c:v>
                </c:pt>
                <c:pt idx="1623">
                  <c:v>0.7799999999999998</c:v>
                </c:pt>
                <c:pt idx="1624">
                  <c:v>0.7799999999999998</c:v>
                </c:pt>
                <c:pt idx="1625">
                  <c:v>0.7799999999999998</c:v>
                </c:pt>
                <c:pt idx="1626">
                  <c:v>0.7799999999999998</c:v>
                </c:pt>
                <c:pt idx="1627">
                  <c:v>0.24999999999999978</c:v>
                </c:pt>
                <c:pt idx="1628">
                  <c:v>0.24999999999999978</c:v>
                </c:pt>
                <c:pt idx="1629">
                  <c:v>0.24999999999999978</c:v>
                </c:pt>
                <c:pt idx="1630">
                  <c:v>0.24999999999999978</c:v>
                </c:pt>
                <c:pt idx="1631">
                  <c:v>0.7799999999999998</c:v>
                </c:pt>
                <c:pt idx="1632">
                  <c:v>0.7799999999999998</c:v>
                </c:pt>
                <c:pt idx="1633">
                  <c:v>0.7799999999999998</c:v>
                </c:pt>
                <c:pt idx="1634">
                  <c:v>0.7799999999999998</c:v>
                </c:pt>
                <c:pt idx="1635">
                  <c:v>0.24999999999999978</c:v>
                </c:pt>
                <c:pt idx="1636">
                  <c:v>0.24999999999999978</c:v>
                </c:pt>
                <c:pt idx="1637">
                  <c:v>0.24999999999999978</c:v>
                </c:pt>
                <c:pt idx="1638">
                  <c:v>0.24999999999999978</c:v>
                </c:pt>
                <c:pt idx="1639">
                  <c:v>0.7799999999999998</c:v>
                </c:pt>
                <c:pt idx="1640">
                  <c:v>0.7799999999999998</c:v>
                </c:pt>
                <c:pt idx="1641">
                  <c:v>0.7799999999999998</c:v>
                </c:pt>
                <c:pt idx="1642">
                  <c:v>0.7799999999999998</c:v>
                </c:pt>
                <c:pt idx="1643">
                  <c:v>0.24999999999999978</c:v>
                </c:pt>
                <c:pt idx="1644">
                  <c:v>0.24999999999999978</c:v>
                </c:pt>
                <c:pt idx="1645">
                  <c:v>0.24999999999999978</c:v>
                </c:pt>
                <c:pt idx="1646">
                  <c:v>0.24999999999999978</c:v>
                </c:pt>
                <c:pt idx="1647">
                  <c:v>0.7799999999999998</c:v>
                </c:pt>
                <c:pt idx="1648">
                  <c:v>0.7799999999999998</c:v>
                </c:pt>
                <c:pt idx="1649">
                  <c:v>0.7799999999999998</c:v>
                </c:pt>
                <c:pt idx="1650">
                  <c:v>0.7799999999999998</c:v>
                </c:pt>
                <c:pt idx="1651">
                  <c:v>0.24999999999999978</c:v>
                </c:pt>
                <c:pt idx="1652">
                  <c:v>0.24999999999999978</c:v>
                </c:pt>
                <c:pt idx="1653">
                  <c:v>0.24999999999999978</c:v>
                </c:pt>
                <c:pt idx="1654">
                  <c:v>0.24999999999999978</c:v>
                </c:pt>
                <c:pt idx="1655">
                  <c:v>0.7799999999999998</c:v>
                </c:pt>
                <c:pt idx="1656">
                  <c:v>0.7799999999999998</c:v>
                </c:pt>
                <c:pt idx="1657">
                  <c:v>0.7799999999999998</c:v>
                </c:pt>
                <c:pt idx="1658">
                  <c:v>0.7799999999999998</c:v>
                </c:pt>
                <c:pt idx="1659">
                  <c:v>0.24999999999999978</c:v>
                </c:pt>
                <c:pt idx="1660">
                  <c:v>0.24999999999999978</c:v>
                </c:pt>
                <c:pt idx="1661">
                  <c:v>0.24999999999999978</c:v>
                </c:pt>
                <c:pt idx="1662">
                  <c:v>0.24999999999999978</c:v>
                </c:pt>
                <c:pt idx="1663">
                  <c:v>0.7799999999999998</c:v>
                </c:pt>
                <c:pt idx="1664">
                  <c:v>0.7799999999999998</c:v>
                </c:pt>
                <c:pt idx="1665">
                  <c:v>0.7799999999999998</c:v>
                </c:pt>
                <c:pt idx="1666">
                  <c:v>0.7799999999999998</c:v>
                </c:pt>
                <c:pt idx="1667">
                  <c:v>0.24999999999999978</c:v>
                </c:pt>
                <c:pt idx="1668">
                  <c:v>0.24999999999999978</c:v>
                </c:pt>
                <c:pt idx="1669">
                  <c:v>0.24999999999999978</c:v>
                </c:pt>
                <c:pt idx="1670">
                  <c:v>0.24999999999999978</c:v>
                </c:pt>
                <c:pt idx="1671">
                  <c:v>0.7799999999999998</c:v>
                </c:pt>
                <c:pt idx="1672">
                  <c:v>0.7799999999999998</c:v>
                </c:pt>
                <c:pt idx="1673">
                  <c:v>0.7799999999999998</c:v>
                </c:pt>
                <c:pt idx="1674">
                  <c:v>0.7799999999999998</c:v>
                </c:pt>
                <c:pt idx="1675">
                  <c:v>0.24999999999999978</c:v>
                </c:pt>
                <c:pt idx="1676">
                  <c:v>0.24999999999999978</c:v>
                </c:pt>
                <c:pt idx="1677">
                  <c:v>0.24999999999999978</c:v>
                </c:pt>
                <c:pt idx="1678">
                  <c:v>0.24999999999999978</c:v>
                </c:pt>
                <c:pt idx="1679">
                  <c:v>0.7799999999999998</c:v>
                </c:pt>
                <c:pt idx="1680">
                  <c:v>0.7799999999999998</c:v>
                </c:pt>
                <c:pt idx="1681">
                  <c:v>0.7799999999999998</c:v>
                </c:pt>
                <c:pt idx="1682">
                  <c:v>0.7799999999999998</c:v>
                </c:pt>
                <c:pt idx="1683">
                  <c:v>0.24999999999999978</c:v>
                </c:pt>
                <c:pt idx="1684">
                  <c:v>0.24999999999999978</c:v>
                </c:pt>
                <c:pt idx="1685">
                  <c:v>0.24999999999999978</c:v>
                </c:pt>
                <c:pt idx="1686">
                  <c:v>0.24999999999999978</c:v>
                </c:pt>
                <c:pt idx="1687">
                  <c:v>0.7799999999999998</c:v>
                </c:pt>
                <c:pt idx="1688">
                  <c:v>0.7799999999999998</c:v>
                </c:pt>
                <c:pt idx="1689">
                  <c:v>0.7799999999999998</c:v>
                </c:pt>
                <c:pt idx="1690">
                  <c:v>0.7799999999999998</c:v>
                </c:pt>
                <c:pt idx="1691">
                  <c:v>0.24999999999999978</c:v>
                </c:pt>
                <c:pt idx="1692">
                  <c:v>0.24999999999999978</c:v>
                </c:pt>
                <c:pt idx="1693">
                  <c:v>0.24999999999999978</c:v>
                </c:pt>
                <c:pt idx="1694">
                  <c:v>0.24999999999999978</c:v>
                </c:pt>
                <c:pt idx="1695">
                  <c:v>0.7799999999999998</c:v>
                </c:pt>
                <c:pt idx="1696">
                  <c:v>0.7799999999999998</c:v>
                </c:pt>
                <c:pt idx="1697">
                  <c:v>0.7799999999999998</c:v>
                </c:pt>
                <c:pt idx="1698">
                  <c:v>0.7799999999999998</c:v>
                </c:pt>
                <c:pt idx="1699">
                  <c:v>0.24999999999999978</c:v>
                </c:pt>
                <c:pt idx="1700">
                  <c:v>0.24999999999999978</c:v>
                </c:pt>
                <c:pt idx="1701">
                  <c:v>0.24999999999999978</c:v>
                </c:pt>
                <c:pt idx="1702">
                  <c:v>0.24999999999999978</c:v>
                </c:pt>
                <c:pt idx="1703">
                  <c:v>0.7799999999999998</c:v>
                </c:pt>
                <c:pt idx="1704">
                  <c:v>0.7799999999999998</c:v>
                </c:pt>
                <c:pt idx="1705">
                  <c:v>0.7799999999999998</c:v>
                </c:pt>
                <c:pt idx="1706">
                  <c:v>0.7799999999999998</c:v>
                </c:pt>
                <c:pt idx="1707">
                  <c:v>0.24999999999999978</c:v>
                </c:pt>
                <c:pt idx="1708">
                  <c:v>0.24999999999999978</c:v>
                </c:pt>
                <c:pt idx="1709">
                  <c:v>0.24999999999999978</c:v>
                </c:pt>
                <c:pt idx="1710">
                  <c:v>0.24999999999999978</c:v>
                </c:pt>
                <c:pt idx="1711">
                  <c:v>0.7799999999999998</c:v>
                </c:pt>
                <c:pt idx="1712">
                  <c:v>0.7799999999999998</c:v>
                </c:pt>
                <c:pt idx="1713">
                  <c:v>0.7799999999999998</c:v>
                </c:pt>
                <c:pt idx="1714">
                  <c:v>0.7799999999999998</c:v>
                </c:pt>
                <c:pt idx="1715">
                  <c:v>0.24999999999999978</c:v>
                </c:pt>
                <c:pt idx="1716">
                  <c:v>0.24999999999999978</c:v>
                </c:pt>
                <c:pt idx="1717">
                  <c:v>0.24999999999999978</c:v>
                </c:pt>
                <c:pt idx="1718">
                  <c:v>0.24999999999999978</c:v>
                </c:pt>
                <c:pt idx="1719">
                  <c:v>0.7799999999999998</c:v>
                </c:pt>
                <c:pt idx="1720">
                  <c:v>0.7799999999999998</c:v>
                </c:pt>
                <c:pt idx="1721">
                  <c:v>0.7799999999999998</c:v>
                </c:pt>
                <c:pt idx="1722">
                  <c:v>0.7799999999999998</c:v>
                </c:pt>
                <c:pt idx="1723">
                  <c:v>0.24999999999999978</c:v>
                </c:pt>
                <c:pt idx="1724">
                  <c:v>0.24999999999999978</c:v>
                </c:pt>
                <c:pt idx="1725">
                  <c:v>0.24999999999999978</c:v>
                </c:pt>
                <c:pt idx="1726">
                  <c:v>0.24999999999999978</c:v>
                </c:pt>
                <c:pt idx="1727">
                  <c:v>0.7799999999999998</c:v>
                </c:pt>
                <c:pt idx="1728">
                  <c:v>0.7799999999999998</c:v>
                </c:pt>
                <c:pt idx="1729">
                  <c:v>0.7799999999999998</c:v>
                </c:pt>
                <c:pt idx="1730">
                  <c:v>0.7799999999999998</c:v>
                </c:pt>
                <c:pt idx="1731">
                  <c:v>0.24999999999999978</c:v>
                </c:pt>
                <c:pt idx="1732">
                  <c:v>0.24999999999999978</c:v>
                </c:pt>
                <c:pt idx="1733">
                  <c:v>0.24999999999999978</c:v>
                </c:pt>
                <c:pt idx="1734">
                  <c:v>0.24999999999999978</c:v>
                </c:pt>
                <c:pt idx="1735">
                  <c:v>0.7799999999999998</c:v>
                </c:pt>
                <c:pt idx="1736">
                  <c:v>0.7799999999999998</c:v>
                </c:pt>
                <c:pt idx="1737">
                  <c:v>0.7799999999999998</c:v>
                </c:pt>
                <c:pt idx="1738">
                  <c:v>0.7799999999999998</c:v>
                </c:pt>
                <c:pt idx="1739">
                  <c:v>0.24999999999999978</c:v>
                </c:pt>
                <c:pt idx="1740">
                  <c:v>0.24999999999999978</c:v>
                </c:pt>
                <c:pt idx="1741">
                  <c:v>0.24999999999999978</c:v>
                </c:pt>
                <c:pt idx="1742">
                  <c:v>0.24999999999999978</c:v>
                </c:pt>
                <c:pt idx="1743">
                  <c:v>0.7799999999999998</c:v>
                </c:pt>
                <c:pt idx="1744">
                  <c:v>0.7799999999999998</c:v>
                </c:pt>
                <c:pt idx="1745">
                  <c:v>0.7799999999999998</c:v>
                </c:pt>
                <c:pt idx="1746">
                  <c:v>0.7799999999999998</c:v>
                </c:pt>
                <c:pt idx="1747">
                  <c:v>0.24999999999999978</c:v>
                </c:pt>
                <c:pt idx="1748">
                  <c:v>0.24999999999999978</c:v>
                </c:pt>
                <c:pt idx="1749">
                  <c:v>0.24999999999999978</c:v>
                </c:pt>
                <c:pt idx="1750">
                  <c:v>0.24999999999999978</c:v>
                </c:pt>
                <c:pt idx="1751">
                  <c:v>0.7799999999999998</c:v>
                </c:pt>
                <c:pt idx="1752">
                  <c:v>0.7799999999999998</c:v>
                </c:pt>
                <c:pt idx="1753">
                  <c:v>0.7799999999999998</c:v>
                </c:pt>
                <c:pt idx="1754">
                  <c:v>0.7799999999999998</c:v>
                </c:pt>
                <c:pt idx="1755">
                  <c:v>0.24999999999999978</c:v>
                </c:pt>
                <c:pt idx="1756">
                  <c:v>0.24999999999999978</c:v>
                </c:pt>
                <c:pt idx="1757">
                  <c:v>0.24999999999999978</c:v>
                </c:pt>
                <c:pt idx="1758">
                  <c:v>0.24999999999999978</c:v>
                </c:pt>
                <c:pt idx="1759">
                  <c:v>0.7799999999999998</c:v>
                </c:pt>
                <c:pt idx="1760">
                  <c:v>0.7799999999999998</c:v>
                </c:pt>
                <c:pt idx="1761">
                  <c:v>0.7799999999999998</c:v>
                </c:pt>
                <c:pt idx="1762">
                  <c:v>0.7799999999999998</c:v>
                </c:pt>
                <c:pt idx="1763">
                  <c:v>0.24999999999999978</c:v>
                </c:pt>
                <c:pt idx="1764">
                  <c:v>0.24999999999999978</c:v>
                </c:pt>
                <c:pt idx="1765">
                  <c:v>0.24999999999999978</c:v>
                </c:pt>
                <c:pt idx="1766">
                  <c:v>0.24999999999999978</c:v>
                </c:pt>
                <c:pt idx="1767">
                  <c:v>0.7799999999999998</c:v>
                </c:pt>
                <c:pt idx="1768">
                  <c:v>0.7799999999999998</c:v>
                </c:pt>
                <c:pt idx="1769">
                  <c:v>0.7799999999999998</c:v>
                </c:pt>
                <c:pt idx="1770">
                  <c:v>0.7799999999999998</c:v>
                </c:pt>
                <c:pt idx="1771">
                  <c:v>0.24999999999999978</c:v>
                </c:pt>
                <c:pt idx="1772">
                  <c:v>0.24999999999999978</c:v>
                </c:pt>
                <c:pt idx="1773">
                  <c:v>0.24999999999999978</c:v>
                </c:pt>
                <c:pt idx="1774">
                  <c:v>0.24999999999999978</c:v>
                </c:pt>
                <c:pt idx="1775">
                  <c:v>0.7799999999999998</c:v>
                </c:pt>
                <c:pt idx="1776">
                  <c:v>0.7799999999999998</c:v>
                </c:pt>
                <c:pt idx="1777">
                  <c:v>0.7799999999999998</c:v>
                </c:pt>
                <c:pt idx="1778">
                  <c:v>0.7799999999999998</c:v>
                </c:pt>
                <c:pt idx="1779">
                  <c:v>0.24999999999999978</c:v>
                </c:pt>
                <c:pt idx="1780">
                  <c:v>0.24999999999999978</c:v>
                </c:pt>
                <c:pt idx="1781">
                  <c:v>0.24999999999999978</c:v>
                </c:pt>
                <c:pt idx="1782">
                  <c:v>0.24999999999999978</c:v>
                </c:pt>
                <c:pt idx="1783">
                  <c:v>0.7799999999999998</c:v>
                </c:pt>
                <c:pt idx="1784">
                  <c:v>0.7799999999999998</c:v>
                </c:pt>
                <c:pt idx="1785">
                  <c:v>0.7799999999999998</c:v>
                </c:pt>
                <c:pt idx="1786">
                  <c:v>0.7799999999999998</c:v>
                </c:pt>
                <c:pt idx="1787">
                  <c:v>0.24999999999999978</c:v>
                </c:pt>
                <c:pt idx="1788">
                  <c:v>0.24999999999999978</c:v>
                </c:pt>
                <c:pt idx="1789">
                  <c:v>0.24999999999999978</c:v>
                </c:pt>
                <c:pt idx="1790">
                  <c:v>0.24999999999999978</c:v>
                </c:pt>
                <c:pt idx="1791">
                  <c:v>0.7799999999999998</c:v>
                </c:pt>
                <c:pt idx="1792">
                  <c:v>0.7799999999999998</c:v>
                </c:pt>
                <c:pt idx="1793">
                  <c:v>0.7799999999999998</c:v>
                </c:pt>
                <c:pt idx="1794">
                  <c:v>0.7799999999999998</c:v>
                </c:pt>
                <c:pt idx="1795">
                  <c:v>0.24999999999999978</c:v>
                </c:pt>
                <c:pt idx="1796">
                  <c:v>0.24999999999999978</c:v>
                </c:pt>
                <c:pt idx="1797">
                  <c:v>0.24999999999999978</c:v>
                </c:pt>
                <c:pt idx="1798">
                  <c:v>0.24999999999999978</c:v>
                </c:pt>
                <c:pt idx="1799">
                  <c:v>0.7799999999999998</c:v>
                </c:pt>
                <c:pt idx="1800">
                  <c:v>0.7799999999999998</c:v>
                </c:pt>
                <c:pt idx="1801">
                  <c:v>0.7799999999999998</c:v>
                </c:pt>
                <c:pt idx="1802">
                  <c:v>0.7799999999999998</c:v>
                </c:pt>
                <c:pt idx="1803">
                  <c:v>0.24999999999999978</c:v>
                </c:pt>
                <c:pt idx="1804">
                  <c:v>0.24999999999999978</c:v>
                </c:pt>
                <c:pt idx="1805">
                  <c:v>0.24999999999999978</c:v>
                </c:pt>
                <c:pt idx="1806">
                  <c:v>0.24999999999999978</c:v>
                </c:pt>
                <c:pt idx="1807">
                  <c:v>0.7799999999999998</c:v>
                </c:pt>
                <c:pt idx="1808">
                  <c:v>0.7799999999999998</c:v>
                </c:pt>
                <c:pt idx="1809">
                  <c:v>0.7799999999999998</c:v>
                </c:pt>
                <c:pt idx="1810">
                  <c:v>0.7799999999999998</c:v>
                </c:pt>
                <c:pt idx="1811">
                  <c:v>0.24999999999999978</c:v>
                </c:pt>
                <c:pt idx="1812">
                  <c:v>0.24999999999999978</c:v>
                </c:pt>
                <c:pt idx="1813">
                  <c:v>0.24999999999999978</c:v>
                </c:pt>
                <c:pt idx="1814">
                  <c:v>0.24999999999999978</c:v>
                </c:pt>
                <c:pt idx="1815">
                  <c:v>0.7799999999999998</c:v>
                </c:pt>
                <c:pt idx="1816">
                  <c:v>0.7799999999999998</c:v>
                </c:pt>
                <c:pt idx="1817">
                  <c:v>0.7799999999999998</c:v>
                </c:pt>
                <c:pt idx="1818">
                  <c:v>0.7799999999999998</c:v>
                </c:pt>
                <c:pt idx="1819">
                  <c:v>0.24999999999999978</c:v>
                </c:pt>
                <c:pt idx="1820">
                  <c:v>0.24999999999999978</c:v>
                </c:pt>
                <c:pt idx="1821">
                  <c:v>0.24999999999999978</c:v>
                </c:pt>
                <c:pt idx="1822">
                  <c:v>0.24999999999999978</c:v>
                </c:pt>
                <c:pt idx="1823">
                  <c:v>0.7799999999999998</c:v>
                </c:pt>
                <c:pt idx="1824">
                  <c:v>0.7799999999999998</c:v>
                </c:pt>
                <c:pt idx="1825">
                  <c:v>0.7799999999999998</c:v>
                </c:pt>
                <c:pt idx="1826">
                  <c:v>0.7799999999999998</c:v>
                </c:pt>
                <c:pt idx="1827">
                  <c:v>0.24999999999999978</c:v>
                </c:pt>
                <c:pt idx="1828">
                  <c:v>0.24999999999999978</c:v>
                </c:pt>
                <c:pt idx="1829">
                  <c:v>0.24999999999999978</c:v>
                </c:pt>
                <c:pt idx="1830">
                  <c:v>0.24999999999999978</c:v>
                </c:pt>
                <c:pt idx="1831">
                  <c:v>0.7799999999999998</c:v>
                </c:pt>
                <c:pt idx="1832">
                  <c:v>0.7799999999999998</c:v>
                </c:pt>
                <c:pt idx="1833">
                  <c:v>0.7799999999999998</c:v>
                </c:pt>
                <c:pt idx="1834">
                  <c:v>0.7799999999999998</c:v>
                </c:pt>
                <c:pt idx="1835">
                  <c:v>0.24999999999999978</c:v>
                </c:pt>
                <c:pt idx="1836">
                  <c:v>0.24999999999999978</c:v>
                </c:pt>
                <c:pt idx="1837">
                  <c:v>0.24999999999999978</c:v>
                </c:pt>
                <c:pt idx="1838">
                  <c:v>0.24999999999999978</c:v>
                </c:pt>
                <c:pt idx="1839">
                  <c:v>0.7799999999999998</c:v>
                </c:pt>
                <c:pt idx="1840">
                  <c:v>0.7799999999999998</c:v>
                </c:pt>
                <c:pt idx="1841">
                  <c:v>0.7799999999999998</c:v>
                </c:pt>
                <c:pt idx="1842">
                  <c:v>0.7799999999999998</c:v>
                </c:pt>
                <c:pt idx="1843">
                  <c:v>0.24999999999999978</c:v>
                </c:pt>
                <c:pt idx="1844">
                  <c:v>0.24999999999999978</c:v>
                </c:pt>
                <c:pt idx="1845">
                  <c:v>0.24999999999999978</c:v>
                </c:pt>
                <c:pt idx="1846">
                  <c:v>0.24999999999999978</c:v>
                </c:pt>
                <c:pt idx="1847">
                  <c:v>0.7799999999999998</c:v>
                </c:pt>
                <c:pt idx="1848">
                  <c:v>0.7799999999999998</c:v>
                </c:pt>
                <c:pt idx="1849">
                  <c:v>0.7799999999999998</c:v>
                </c:pt>
                <c:pt idx="1850">
                  <c:v>0.7799999999999998</c:v>
                </c:pt>
                <c:pt idx="1851">
                  <c:v>0.24999999999999978</c:v>
                </c:pt>
                <c:pt idx="1852">
                  <c:v>0.24999999999999978</c:v>
                </c:pt>
                <c:pt idx="1853">
                  <c:v>0.24999999999999978</c:v>
                </c:pt>
                <c:pt idx="1854">
                  <c:v>0.24999999999999978</c:v>
                </c:pt>
                <c:pt idx="1855">
                  <c:v>0.7799999999999998</c:v>
                </c:pt>
                <c:pt idx="1856">
                  <c:v>0.7799999999999998</c:v>
                </c:pt>
                <c:pt idx="1857">
                  <c:v>0.7799999999999998</c:v>
                </c:pt>
                <c:pt idx="1858">
                  <c:v>0.7799999999999998</c:v>
                </c:pt>
                <c:pt idx="1859">
                  <c:v>0.24999999999999978</c:v>
                </c:pt>
                <c:pt idx="1860">
                  <c:v>0.24999999999999978</c:v>
                </c:pt>
                <c:pt idx="1861">
                  <c:v>0.24999999999999978</c:v>
                </c:pt>
                <c:pt idx="1862">
                  <c:v>0.24999999999999978</c:v>
                </c:pt>
                <c:pt idx="1863">
                  <c:v>0.7799999999999998</c:v>
                </c:pt>
                <c:pt idx="1864">
                  <c:v>0.7799999999999998</c:v>
                </c:pt>
                <c:pt idx="1865">
                  <c:v>0.7799999999999998</c:v>
                </c:pt>
                <c:pt idx="1866">
                  <c:v>0.7799999999999998</c:v>
                </c:pt>
                <c:pt idx="1867">
                  <c:v>0.24999999999999978</c:v>
                </c:pt>
                <c:pt idx="1868">
                  <c:v>0.24999999999999978</c:v>
                </c:pt>
                <c:pt idx="1869">
                  <c:v>0.24999999999999978</c:v>
                </c:pt>
                <c:pt idx="1870">
                  <c:v>0.24999999999999978</c:v>
                </c:pt>
                <c:pt idx="1871">
                  <c:v>0.7799999999999998</c:v>
                </c:pt>
                <c:pt idx="1872">
                  <c:v>0.7799999999999998</c:v>
                </c:pt>
                <c:pt idx="1873">
                  <c:v>0.7799999999999998</c:v>
                </c:pt>
                <c:pt idx="1874">
                  <c:v>0.7799999999999998</c:v>
                </c:pt>
                <c:pt idx="1875">
                  <c:v>0.24999999999999978</c:v>
                </c:pt>
                <c:pt idx="1876">
                  <c:v>0.24999999999999978</c:v>
                </c:pt>
                <c:pt idx="1877">
                  <c:v>0.24999999999999978</c:v>
                </c:pt>
                <c:pt idx="1878">
                  <c:v>0.24999999999999978</c:v>
                </c:pt>
                <c:pt idx="1879">
                  <c:v>0.7799999999999998</c:v>
                </c:pt>
                <c:pt idx="1880">
                  <c:v>0.7799999999999998</c:v>
                </c:pt>
                <c:pt idx="1881">
                  <c:v>0.7799999999999998</c:v>
                </c:pt>
                <c:pt idx="1882">
                  <c:v>0.7799999999999998</c:v>
                </c:pt>
                <c:pt idx="1883">
                  <c:v>0.24999999999999978</c:v>
                </c:pt>
                <c:pt idx="1884">
                  <c:v>0.24999999999999978</c:v>
                </c:pt>
                <c:pt idx="1885">
                  <c:v>0.24999999999999978</c:v>
                </c:pt>
                <c:pt idx="1886">
                  <c:v>0.24999999999999978</c:v>
                </c:pt>
                <c:pt idx="1887">
                  <c:v>0.7799999999999998</c:v>
                </c:pt>
                <c:pt idx="1888">
                  <c:v>0.7799999999999998</c:v>
                </c:pt>
                <c:pt idx="1889">
                  <c:v>0.7799999999999998</c:v>
                </c:pt>
                <c:pt idx="1890">
                  <c:v>0.7799999999999998</c:v>
                </c:pt>
                <c:pt idx="1891">
                  <c:v>0.24999999999999978</c:v>
                </c:pt>
                <c:pt idx="1892">
                  <c:v>0.24999999999999978</c:v>
                </c:pt>
                <c:pt idx="1893">
                  <c:v>0.24999999999999978</c:v>
                </c:pt>
                <c:pt idx="1894">
                  <c:v>0.24999999999999978</c:v>
                </c:pt>
                <c:pt idx="1895">
                  <c:v>0.7799999999999998</c:v>
                </c:pt>
                <c:pt idx="1896">
                  <c:v>0.7799999999999998</c:v>
                </c:pt>
                <c:pt idx="1897">
                  <c:v>0.7799999999999998</c:v>
                </c:pt>
                <c:pt idx="1898">
                  <c:v>0.7799999999999998</c:v>
                </c:pt>
                <c:pt idx="1899">
                  <c:v>0.24999999999999978</c:v>
                </c:pt>
                <c:pt idx="1900">
                  <c:v>0.24999999999999978</c:v>
                </c:pt>
                <c:pt idx="1901">
                  <c:v>0.24999999999999978</c:v>
                </c:pt>
                <c:pt idx="1902">
                  <c:v>0.24999999999999978</c:v>
                </c:pt>
                <c:pt idx="1903">
                  <c:v>0.7799999999999998</c:v>
                </c:pt>
                <c:pt idx="1904">
                  <c:v>0.7799999999999998</c:v>
                </c:pt>
                <c:pt idx="1905">
                  <c:v>0.7799999999999998</c:v>
                </c:pt>
                <c:pt idx="1906">
                  <c:v>0.7799999999999998</c:v>
                </c:pt>
                <c:pt idx="1907">
                  <c:v>0.24999999999999978</c:v>
                </c:pt>
                <c:pt idx="1908">
                  <c:v>0.24999999999999978</c:v>
                </c:pt>
                <c:pt idx="1909">
                  <c:v>0.24999999999999978</c:v>
                </c:pt>
                <c:pt idx="1910">
                  <c:v>0.24999999999999978</c:v>
                </c:pt>
                <c:pt idx="1911">
                  <c:v>0.7799999999999998</c:v>
                </c:pt>
                <c:pt idx="1912">
                  <c:v>0.7799999999999998</c:v>
                </c:pt>
                <c:pt idx="1913">
                  <c:v>0.7799999999999998</c:v>
                </c:pt>
                <c:pt idx="1914">
                  <c:v>0.7799999999999998</c:v>
                </c:pt>
                <c:pt idx="1915">
                  <c:v>0.24999999999999978</c:v>
                </c:pt>
                <c:pt idx="1916">
                  <c:v>0.24999999999999978</c:v>
                </c:pt>
                <c:pt idx="1917">
                  <c:v>0.24999999999999978</c:v>
                </c:pt>
                <c:pt idx="1918">
                  <c:v>0.24999999999999978</c:v>
                </c:pt>
                <c:pt idx="1919">
                  <c:v>0.7799999999999998</c:v>
                </c:pt>
                <c:pt idx="1920">
                  <c:v>0.7799999999999998</c:v>
                </c:pt>
                <c:pt idx="1921">
                  <c:v>0.7799999999999998</c:v>
                </c:pt>
                <c:pt idx="1922">
                  <c:v>0.7799999999999998</c:v>
                </c:pt>
                <c:pt idx="1923">
                  <c:v>0.24999999999999978</c:v>
                </c:pt>
                <c:pt idx="1924">
                  <c:v>0.24999999999999978</c:v>
                </c:pt>
                <c:pt idx="1925">
                  <c:v>0.24999999999999978</c:v>
                </c:pt>
                <c:pt idx="1926">
                  <c:v>0.78</c:v>
                </c:pt>
                <c:pt idx="1927">
                  <c:v>0.78</c:v>
                </c:pt>
                <c:pt idx="1928">
                  <c:v>0.78</c:v>
                </c:pt>
                <c:pt idx="1929">
                  <c:v>1.31</c:v>
                </c:pt>
                <c:pt idx="1930">
                  <c:v>1.31</c:v>
                </c:pt>
                <c:pt idx="1931">
                  <c:v>1.31</c:v>
                </c:pt>
                <c:pt idx="1932">
                  <c:v>1.31</c:v>
                </c:pt>
                <c:pt idx="1933">
                  <c:v>0.78</c:v>
                </c:pt>
                <c:pt idx="1934">
                  <c:v>0.78</c:v>
                </c:pt>
                <c:pt idx="1935">
                  <c:v>0.78</c:v>
                </c:pt>
                <c:pt idx="1936">
                  <c:v>0.78</c:v>
                </c:pt>
                <c:pt idx="1937">
                  <c:v>1.31</c:v>
                </c:pt>
                <c:pt idx="1938">
                  <c:v>1.31</c:v>
                </c:pt>
                <c:pt idx="1939">
                  <c:v>1.31</c:v>
                </c:pt>
                <c:pt idx="1940">
                  <c:v>1.31</c:v>
                </c:pt>
                <c:pt idx="1941">
                  <c:v>0.78</c:v>
                </c:pt>
                <c:pt idx="1942">
                  <c:v>0.78</c:v>
                </c:pt>
                <c:pt idx="1943">
                  <c:v>0.78</c:v>
                </c:pt>
                <c:pt idx="1944">
                  <c:v>0.78</c:v>
                </c:pt>
                <c:pt idx="1945">
                  <c:v>1.31</c:v>
                </c:pt>
                <c:pt idx="1946">
                  <c:v>1.31</c:v>
                </c:pt>
                <c:pt idx="1947">
                  <c:v>1.31</c:v>
                </c:pt>
                <c:pt idx="1948">
                  <c:v>1.31</c:v>
                </c:pt>
                <c:pt idx="1949">
                  <c:v>0.78</c:v>
                </c:pt>
                <c:pt idx="1950">
                  <c:v>0.78</c:v>
                </c:pt>
                <c:pt idx="1951">
                  <c:v>0.78</c:v>
                </c:pt>
                <c:pt idx="1952">
                  <c:v>0.78</c:v>
                </c:pt>
                <c:pt idx="1953">
                  <c:v>1.31</c:v>
                </c:pt>
                <c:pt idx="1954">
                  <c:v>1.31</c:v>
                </c:pt>
                <c:pt idx="1955">
                  <c:v>1.31</c:v>
                </c:pt>
                <c:pt idx="1956">
                  <c:v>1.31</c:v>
                </c:pt>
                <c:pt idx="1957">
                  <c:v>0.78</c:v>
                </c:pt>
                <c:pt idx="1958">
                  <c:v>0.78</c:v>
                </c:pt>
                <c:pt idx="1959">
                  <c:v>0.78</c:v>
                </c:pt>
                <c:pt idx="1960">
                  <c:v>0.78</c:v>
                </c:pt>
                <c:pt idx="1961">
                  <c:v>1.31</c:v>
                </c:pt>
                <c:pt idx="1962">
                  <c:v>1.31</c:v>
                </c:pt>
                <c:pt idx="1963">
                  <c:v>1.31</c:v>
                </c:pt>
                <c:pt idx="1964">
                  <c:v>1.31</c:v>
                </c:pt>
                <c:pt idx="1965">
                  <c:v>0.78</c:v>
                </c:pt>
                <c:pt idx="1966">
                  <c:v>0.78</c:v>
                </c:pt>
                <c:pt idx="1967">
                  <c:v>0.78</c:v>
                </c:pt>
                <c:pt idx="1968">
                  <c:v>0.78</c:v>
                </c:pt>
                <c:pt idx="1969">
                  <c:v>1.31</c:v>
                </c:pt>
                <c:pt idx="1970">
                  <c:v>1.31</c:v>
                </c:pt>
                <c:pt idx="1971">
                  <c:v>1.31</c:v>
                </c:pt>
                <c:pt idx="1972">
                  <c:v>1.31</c:v>
                </c:pt>
                <c:pt idx="1973">
                  <c:v>0.78</c:v>
                </c:pt>
                <c:pt idx="1974">
                  <c:v>0.78</c:v>
                </c:pt>
                <c:pt idx="1975">
                  <c:v>0.78</c:v>
                </c:pt>
                <c:pt idx="1976">
                  <c:v>0.78</c:v>
                </c:pt>
                <c:pt idx="1977">
                  <c:v>1.31</c:v>
                </c:pt>
                <c:pt idx="1978">
                  <c:v>1.31</c:v>
                </c:pt>
                <c:pt idx="1979">
                  <c:v>1.31</c:v>
                </c:pt>
                <c:pt idx="1980">
                  <c:v>1.31</c:v>
                </c:pt>
                <c:pt idx="1981">
                  <c:v>0.78</c:v>
                </c:pt>
                <c:pt idx="1982">
                  <c:v>0.78</c:v>
                </c:pt>
                <c:pt idx="1983">
                  <c:v>0.78</c:v>
                </c:pt>
                <c:pt idx="1984">
                  <c:v>0.78</c:v>
                </c:pt>
                <c:pt idx="1985">
                  <c:v>1.31</c:v>
                </c:pt>
                <c:pt idx="1986">
                  <c:v>1.31</c:v>
                </c:pt>
                <c:pt idx="1987">
                  <c:v>1.31</c:v>
                </c:pt>
                <c:pt idx="1988">
                  <c:v>1.31</c:v>
                </c:pt>
                <c:pt idx="1989">
                  <c:v>0.78</c:v>
                </c:pt>
                <c:pt idx="1990">
                  <c:v>0.78</c:v>
                </c:pt>
                <c:pt idx="1991">
                  <c:v>0.78</c:v>
                </c:pt>
                <c:pt idx="1992">
                  <c:v>0.78</c:v>
                </c:pt>
                <c:pt idx="1993">
                  <c:v>1.31</c:v>
                </c:pt>
                <c:pt idx="1994">
                  <c:v>1.31</c:v>
                </c:pt>
                <c:pt idx="1995">
                  <c:v>1.31</c:v>
                </c:pt>
                <c:pt idx="1996">
                  <c:v>1.31</c:v>
                </c:pt>
                <c:pt idx="1997">
                  <c:v>0.78</c:v>
                </c:pt>
                <c:pt idx="1998">
                  <c:v>0.78</c:v>
                </c:pt>
                <c:pt idx="1999">
                  <c:v>0.78</c:v>
                </c:pt>
                <c:pt idx="2000">
                  <c:v>0.78</c:v>
                </c:pt>
                <c:pt idx="2001">
                  <c:v>1.31</c:v>
                </c:pt>
                <c:pt idx="2002">
                  <c:v>1.31</c:v>
                </c:pt>
                <c:pt idx="2003">
                  <c:v>1.31</c:v>
                </c:pt>
                <c:pt idx="2004">
                  <c:v>1.31</c:v>
                </c:pt>
                <c:pt idx="2005">
                  <c:v>0.78</c:v>
                </c:pt>
                <c:pt idx="2006">
                  <c:v>0.78</c:v>
                </c:pt>
                <c:pt idx="2007">
                  <c:v>0.78</c:v>
                </c:pt>
                <c:pt idx="2008">
                  <c:v>0.78</c:v>
                </c:pt>
                <c:pt idx="2009">
                  <c:v>1.31</c:v>
                </c:pt>
                <c:pt idx="2010">
                  <c:v>1.31</c:v>
                </c:pt>
                <c:pt idx="2011">
                  <c:v>1.31</c:v>
                </c:pt>
                <c:pt idx="2012">
                  <c:v>1.31</c:v>
                </c:pt>
                <c:pt idx="2013">
                  <c:v>0.78</c:v>
                </c:pt>
                <c:pt idx="2014">
                  <c:v>0.78</c:v>
                </c:pt>
                <c:pt idx="2015">
                  <c:v>0.78</c:v>
                </c:pt>
                <c:pt idx="2016">
                  <c:v>0.78</c:v>
                </c:pt>
                <c:pt idx="2017">
                  <c:v>1.31</c:v>
                </c:pt>
                <c:pt idx="2018">
                  <c:v>1.31</c:v>
                </c:pt>
                <c:pt idx="2019">
                  <c:v>1.31</c:v>
                </c:pt>
                <c:pt idx="2020">
                  <c:v>1.31</c:v>
                </c:pt>
                <c:pt idx="2021">
                  <c:v>0.78</c:v>
                </c:pt>
                <c:pt idx="2022">
                  <c:v>0.78</c:v>
                </c:pt>
                <c:pt idx="2023">
                  <c:v>0.78</c:v>
                </c:pt>
                <c:pt idx="2024">
                  <c:v>0.78</c:v>
                </c:pt>
                <c:pt idx="2025">
                  <c:v>1.31</c:v>
                </c:pt>
                <c:pt idx="2026">
                  <c:v>1.31</c:v>
                </c:pt>
                <c:pt idx="2027">
                  <c:v>1.31</c:v>
                </c:pt>
                <c:pt idx="2028">
                  <c:v>1.31</c:v>
                </c:pt>
                <c:pt idx="2029">
                  <c:v>0.78</c:v>
                </c:pt>
                <c:pt idx="2030">
                  <c:v>0.78</c:v>
                </c:pt>
                <c:pt idx="2031">
                  <c:v>0.78</c:v>
                </c:pt>
                <c:pt idx="2032">
                  <c:v>0.78</c:v>
                </c:pt>
                <c:pt idx="2033">
                  <c:v>1.31</c:v>
                </c:pt>
                <c:pt idx="2034">
                  <c:v>1.31</c:v>
                </c:pt>
                <c:pt idx="2035">
                  <c:v>1.31</c:v>
                </c:pt>
                <c:pt idx="2036">
                  <c:v>1.31</c:v>
                </c:pt>
                <c:pt idx="2037">
                  <c:v>0.78</c:v>
                </c:pt>
                <c:pt idx="2038">
                  <c:v>0.78</c:v>
                </c:pt>
                <c:pt idx="2039">
                  <c:v>0.78</c:v>
                </c:pt>
                <c:pt idx="2040">
                  <c:v>0.78</c:v>
                </c:pt>
                <c:pt idx="2041">
                  <c:v>1.31</c:v>
                </c:pt>
                <c:pt idx="2042">
                  <c:v>1.31</c:v>
                </c:pt>
                <c:pt idx="2043">
                  <c:v>1.31</c:v>
                </c:pt>
                <c:pt idx="2044">
                  <c:v>1.31</c:v>
                </c:pt>
                <c:pt idx="2045">
                  <c:v>0.78</c:v>
                </c:pt>
                <c:pt idx="2046">
                  <c:v>0.78</c:v>
                </c:pt>
                <c:pt idx="2047">
                  <c:v>0.78</c:v>
                </c:pt>
                <c:pt idx="2048">
                  <c:v>0.78</c:v>
                </c:pt>
                <c:pt idx="2049">
                  <c:v>1.31</c:v>
                </c:pt>
                <c:pt idx="2050">
                  <c:v>1.31</c:v>
                </c:pt>
                <c:pt idx="2051">
                  <c:v>1.31</c:v>
                </c:pt>
                <c:pt idx="2052">
                  <c:v>1.31</c:v>
                </c:pt>
                <c:pt idx="2053">
                  <c:v>0.78</c:v>
                </c:pt>
                <c:pt idx="2054">
                  <c:v>0.78</c:v>
                </c:pt>
                <c:pt idx="2055">
                  <c:v>0.78</c:v>
                </c:pt>
                <c:pt idx="2056">
                  <c:v>0.78</c:v>
                </c:pt>
                <c:pt idx="2057">
                  <c:v>1.31</c:v>
                </c:pt>
                <c:pt idx="2058">
                  <c:v>1.31</c:v>
                </c:pt>
                <c:pt idx="2059">
                  <c:v>1.31</c:v>
                </c:pt>
                <c:pt idx="2060">
                  <c:v>1.31</c:v>
                </c:pt>
                <c:pt idx="2061">
                  <c:v>0.78</c:v>
                </c:pt>
                <c:pt idx="2062">
                  <c:v>0.78</c:v>
                </c:pt>
                <c:pt idx="2063">
                  <c:v>0.78</c:v>
                </c:pt>
                <c:pt idx="2064">
                  <c:v>0.78</c:v>
                </c:pt>
                <c:pt idx="2065">
                  <c:v>1.31</c:v>
                </c:pt>
                <c:pt idx="2066">
                  <c:v>1.31</c:v>
                </c:pt>
                <c:pt idx="2067">
                  <c:v>1.31</c:v>
                </c:pt>
                <c:pt idx="2068">
                  <c:v>1.31</c:v>
                </c:pt>
                <c:pt idx="2069">
                  <c:v>0.78</c:v>
                </c:pt>
                <c:pt idx="2070">
                  <c:v>0.78</c:v>
                </c:pt>
                <c:pt idx="2071">
                  <c:v>0.78</c:v>
                </c:pt>
                <c:pt idx="2072">
                  <c:v>0.78</c:v>
                </c:pt>
                <c:pt idx="2073">
                  <c:v>1.31</c:v>
                </c:pt>
                <c:pt idx="2074">
                  <c:v>1.31</c:v>
                </c:pt>
                <c:pt idx="2075">
                  <c:v>1.31</c:v>
                </c:pt>
                <c:pt idx="2076">
                  <c:v>1.31</c:v>
                </c:pt>
                <c:pt idx="2077">
                  <c:v>0.78</c:v>
                </c:pt>
                <c:pt idx="2078">
                  <c:v>0.78</c:v>
                </c:pt>
                <c:pt idx="2079">
                  <c:v>0.78</c:v>
                </c:pt>
                <c:pt idx="2080">
                  <c:v>0.78</c:v>
                </c:pt>
                <c:pt idx="2081">
                  <c:v>1.31</c:v>
                </c:pt>
                <c:pt idx="2082">
                  <c:v>1.31</c:v>
                </c:pt>
                <c:pt idx="2083">
                  <c:v>1.31</c:v>
                </c:pt>
                <c:pt idx="2084">
                  <c:v>1.31</c:v>
                </c:pt>
                <c:pt idx="2085">
                  <c:v>0.78</c:v>
                </c:pt>
                <c:pt idx="2086">
                  <c:v>0.78</c:v>
                </c:pt>
                <c:pt idx="2087">
                  <c:v>0.78</c:v>
                </c:pt>
                <c:pt idx="2088">
                  <c:v>0.78</c:v>
                </c:pt>
                <c:pt idx="2089">
                  <c:v>1.31</c:v>
                </c:pt>
                <c:pt idx="2090">
                  <c:v>1.31</c:v>
                </c:pt>
                <c:pt idx="2091">
                  <c:v>1.31</c:v>
                </c:pt>
                <c:pt idx="2092">
                  <c:v>1.31</c:v>
                </c:pt>
                <c:pt idx="2093">
                  <c:v>0.78</c:v>
                </c:pt>
                <c:pt idx="2094">
                  <c:v>0.78</c:v>
                </c:pt>
                <c:pt idx="2095">
                  <c:v>0.78</c:v>
                </c:pt>
                <c:pt idx="2096">
                  <c:v>0.78</c:v>
                </c:pt>
                <c:pt idx="2097">
                  <c:v>1.31</c:v>
                </c:pt>
                <c:pt idx="2098">
                  <c:v>1.31</c:v>
                </c:pt>
                <c:pt idx="2099">
                  <c:v>1.31</c:v>
                </c:pt>
                <c:pt idx="2100">
                  <c:v>1.31</c:v>
                </c:pt>
                <c:pt idx="2101">
                  <c:v>0.78</c:v>
                </c:pt>
                <c:pt idx="2102">
                  <c:v>0.78</c:v>
                </c:pt>
                <c:pt idx="2103">
                  <c:v>0.78</c:v>
                </c:pt>
                <c:pt idx="2104">
                  <c:v>0.78</c:v>
                </c:pt>
                <c:pt idx="2105">
                  <c:v>1.31</c:v>
                </c:pt>
                <c:pt idx="2106">
                  <c:v>1.31</c:v>
                </c:pt>
                <c:pt idx="2107">
                  <c:v>1.31</c:v>
                </c:pt>
                <c:pt idx="2108">
                  <c:v>1.31</c:v>
                </c:pt>
                <c:pt idx="2109">
                  <c:v>0.78</c:v>
                </c:pt>
                <c:pt idx="2110">
                  <c:v>0.78</c:v>
                </c:pt>
                <c:pt idx="2111">
                  <c:v>0.78</c:v>
                </c:pt>
                <c:pt idx="2112">
                  <c:v>0.78</c:v>
                </c:pt>
                <c:pt idx="2113">
                  <c:v>1.31</c:v>
                </c:pt>
                <c:pt idx="2114">
                  <c:v>1.31</c:v>
                </c:pt>
                <c:pt idx="2115">
                  <c:v>1.31</c:v>
                </c:pt>
                <c:pt idx="2116">
                  <c:v>1.31</c:v>
                </c:pt>
                <c:pt idx="2117">
                  <c:v>0.78</c:v>
                </c:pt>
                <c:pt idx="2118">
                  <c:v>0.78</c:v>
                </c:pt>
                <c:pt idx="2119">
                  <c:v>0.78</c:v>
                </c:pt>
                <c:pt idx="2120">
                  <c:v>0.78</c:v>
                </c:pt>
                <c:pt idx="2121">
                  <c:v>1.31</c:v>
                </c:pt>
                <c:pt idx="2122">
                  <c:v>1.31</c:v>
                </c:pt>
                <c:pt idx="2123">
                  <c:v>1.31</c:v>
                </c:pt>
                <c:pt idx="2124">
                  <c:v>1.31</c:v>
                </c:pt>
                <c:pt idx="2125">
                  <c:v>0.78</c:v>
                </c:pt>
                <c:pt idx="2126">
                  <c:v>0.78</c:v>
                </c:pt>
                <c:pt idx="2127">
                  <c:v>0.78</c:v>
                </c:pt>
                <c:pt idx="2128">
                  <c:v>0.78</c:v>
                </c:pt>
                <c:pt idx="2129">
                  <c:v>1.31</c:v>
                </c:pt>
                <c:pt idx="2130">
                  <c:v>1.31</c:v>
                </c:pt>
                <c:pt idx="2131">
                  <c:v>1.31</c:v>
                </c:pt>
                <c:pt idx="2132">
                  <c:v>1.31</c:v>
                </c:pt>
                <c:pt idx="2133">
                  <c:v>0.78</c:v>
                </c:pt>
                <c:pt idx="2134">
                  <c:v>0.78</c:v>
                </c:pt>
                <c:pt idx="2135">
                  <c:v>0.78</c:v>
                </c:pt>
                <c:pt idx="2136">
                  <c:v>0.78</c:v>
                </c:pt>
                <c:pt idx="2137">
                  <c:v>1.31</c:v>
                </c:pt>
                <c:pt idx="2138">
                  <c:v>1.31</c:v>
                </c:pt>
                <c:pt idx="2139">
                  <c:v>1.31</c:v>
                </c:pt>
                <c:pt idx="2140">
                  <c:v>1.31</c:v>
                </c:pt>
                <c:pt idx="2141">
                  <c:v>0.78</c:v>
                </c:pt>
                <c:pt idx="2142">
                  <c:v>0.78</c:v>
                </c:pt>
                <c:pt idx="2143">
                  <c:v>0.78</c:v>
                </c:pt>
                <c:pt idx="2144">
                  <c:v>0.78</c:v>
                </c:pt>
                <c:pt idx="2145">
                  <c:v>1.31</c:v>
                </c:pt>
                <c:pt idx="2146">
                  <c:v>1.31</c:v>
                </c:pt>
                <c:pt idx="2147">
                  <c:v>1.31</c:v>
                </c:pt>
                <c:pt idx="2148">
                  <c:v>1.31</c:v>
                </c:pt>
                <c:pt idx="2149">
                  <c:v>0.78</c:v>
                </c:pt>
                <c:pt idx="2150">
                  <c:v>0.78</c:v>
                </c:pt>
                <c:pt idx="2151">
                  <c:v>0.78</c:v>
                </c:pt>
                <c:pt idx="2152">
                  <c:v>0.78</c:v>
                </c:pt>
                <c:pt idx="2153">
                  <c:v>1.31</c:v>
                </c:pt>
                <c:pt idx="2154">
                  <c:v>1.31</c:v>
                </c:pt>
                <c:pt idx="2155">
                  <c:v>1.31</c:v>
                </c:pt>
                <c:pt idx="2156">
                  <c:v>1.31</c:v>
                </c:pt>
                <c:pt idx="2157">
                  <c:v>0.78</c:v>
                </c:pt>
                <c:pt idx="2158">
                  <c:v>0.78</c:v>
                </c:pt>
                <c:pt idx="2159">
                  <c:v>0.78</c:v>
                </c:pt>
                <c:pt idx="2160">
                  <c:v>0.78</c:v>
                </c:pt>
                <c:pt idx="2161">
                  <c:v>1.31</c:v>
                </c:pt>
                <c:pt idx="2162">
                  <c:v>1.31</c:v>
                </c:pt>
                <c:pt idx="2163">
                  <c:v>1.31</c:v>
                </c:pt>
                <c:pt idx="2164">
                  <c:v>1.31</c:v>
                </c:pt>
                <c:pt idx="2165">
                  <c:v>0.78</c:v>
                </c:pt>
                <c:pt idx="2166">
                  <c:v>0.78</c:v>
                </c:pt>
                <c:pt idx="2167">
                  <c:v>0.78</c:v>
                </c:pt>
                <c:pt idx="2168">
                  <c:v>0.78</c:v>
                </c:pt>
                <c:pt idx="2169">
                  <c:v>1.31</c:v>
                </c:pt>
                <c:pt idx="2170">
                  <c:v>1.31</c:v>
                </c:pt>
                <c:pt idx="2171">
                  <c:v>1.31</c:v>
                </c:pt>
                <c:pt idx="2172">
                  <c:v>1.31</c:v>
                </c:pt>
                <c:pt idx="2173">
                  <c:v>0.78</c:v>
                </c:pt>
                <c:pt idx="2174">
                  <c:v>0.78</c:v>
                </c:pt>
                <c:pt idx="2175">
                  <c:v>0.78</c:v>
                </c:pt>
                <c:pt idx="2176">
                  <c:v>0.78</c:v>
                </c:pt>
                <c:pt idx="2177">
                  <c:v>1.31</c:v>
                </c:pt>
                <c:pt idx="2178">
                  <c:v>1.31</c:v>
                </c:pt>
                <c:pt idx="2179">
                  <c:v>1.31</c:v>
                </c:pt>
                <c:pt idx="2180">
                  <c:v>1.31</c:v>
                </c:pt>
                <c:pt idx="2181">
                  <c:v>0.78</c:v>
                </c:pt>
                <c:pt idx="2182">
                  <c:v>0.78</c:v>
                </c:pt>
                <c:pt idx="2183">
                  <c:v>0.78</c:v>
                </c:pt>
                <c:pt idx="2184">
                  <c:v>0.78</c:v>
                </c:pt>
                <c:pt idx="2185">
                  <c:v>1.31</c:v>
                </c:pt>
                <c:pt idx="2186">
                  <c:v>1.31</c:v>
                </c:pt>
                <c:pt idx="2187">
                  <c:v>1.31</c:v>
                </c:pt>
                <c:pt idx="2188">
                  <c:v>1.31</c:v>
                </c:pt>
                <c:pt idx="2189">
                  <c:v>0.78</c:v>
                </c:pt>
                <c:pt idx="2190">
                  <c:v>0.78</c:v>
                </c:pt>
                <c:pt idx="2191">
                  <c:v>0.78</c:v>
                </c:pt>
                <c:pt idx="2192">
                  <c:v>0.78</c:v>
                </c:pt>
                <c:pt idx="2193">
                  <c:v>1.31</c:v>
                </c:pt>
                <c:pt idx="2194">
                  <c:v>1.31</c:v>
                </c:pt>
                <c:pt idx="2195">
                  <c:v>1.31</c:v>
                </c:pt>
                <c:pt idx="2196">
                  <c:v>1.31</c:v>
                </c:pt>
                <c:pt idx="2197">
                  <c:v>0.78</c:v>
                </c:pt>
                <c:pt idx="2198">
                  <c:v>0.78</c:v>
                </c:pt>
                <c:pt idx="2199">
                  <c:v>0.78</c:v>
                </c:pt>
                <c:pt idx="2200">
                  <c:v>0.78</c:v>
                </c:pt>
                <c:pt idx="2201">
                  <c:v>1.31</c:v>
                </c:pt>
                <c:pt idx="2202">
                  <c:v>1.31</c:v>
                </c:pt>
                <c:pt idx="2203">
                  <c:v>1.31</c:v>
                </c:pt>
                <c:pt idx="2204">
                  <c:v>1.31</c:v>
                </c:pt>
                <c:pt idx="2205">
                  <c:v>0.78</c:v>
                </c:pt>
                <c:pt idx="2206">
                  <c:v>0.78</c:v>
                </c:pt>
                <c:pt idx="2207">
                  <c:v>0.78</c:v>
                </c:pt>
                <c:pt idx="2208">
                  <c:v>0.78</c:v>
                </c:pt>
                <c:pt idx="2209">
                  <c:v>1.31</c:v>
                </c:pt>
                <c:pt idx="2210">
                  <c:v>1.31</c:v>
                </c:pt>
                <c:pt idx="2211">
                  <c:v>1.31</c:v>
                </c:pt>
                <c:pt idx="2212">
                  <c:v>1.31</c:v>
                </c:pt>
                <c:pt idx="2213">
                  <c:v>0.78</c:v>
                </c:pt>
                <c:pt idx="2214">
                  <c:v>0.78</c:v>
                </c:pt>
                <c:pt idx="2215">
                  <c:v>0.78</c:v>
                </c:pt>
                <c:pt idx="2216">
                  <c:v>0.78</c:v>
                </c:pt>
                <c:pt idx="2217">
                  <c:v>1.31</c:v>
                </c:pt>
                <c:pt idx="2218">
                  <c:v>1.31</c:v>
                </c:pt>
                <c:pt idx="2219">
                  <c:v>1.31</c:v>
                </c:pt>
                <c:pt idx="2220">
                  <c:v>1.31</c:v>
                </c:pt>
                <c:pt idx="2221">
                  <c:v>0.78</c:v>
                </c:pt>
                <c:pt idx="2222">
                  <c:v>0.78</c:v>
                </c:pt>
                <c:pt idx="2223">
                  <c:v>0.78</c:v>
                </c:pt>
                <c:pt idx="2224">
                  <c:v>0.78</c:v>
                </c:pt>
                <c:pt idx="2225">
                  <c:v>1.31</c:v>
                </c:pt>
                <c:pt idx="2226">
                  <c:v>1.31</c:v>
                </c:pt>
                <c:pt idx="2227">
                  <c:v>1.31</c:v>
                </c:pt>
                <c:pt idx="2228">
                  <c:v>1.31</c:v>
                </c:pt>
                <c:pt idx="2229">
                  <c:v>0.78</c:v>
                </c:pt>
                <c:pt idx="2230">
                  <c:v>0.78</c:v>
                </c:pt>
                <c:pt idx="2231">
                  <c:v>0.78</c:v>
                </c:pt>
                <c:pt idx="2232">
                  <c:v>0.78</c:v>
                </c:pt>
                <c:pt idx="2233">
                  <c:v>1.31</c:v>
                </c:pt>
                <c:pt idx="2234">
                  <c:v>1.31</c:v>
                </c:pt>
                <c:pt idx="2235">
                  <c:v>1.31</c:v>
                </c:pt>
                <c:pt idx="2236">
                  <c:v>1.31</c:v>
                </c:pt>
                <c:pt idx="2237">
                  <c:v>0.78</c:v>
                </c:pt>
                <c:pt idx="2238">
                  <c:v>0.78</c:v>
                </c:pt>
                <c:pt idx="2239">
                  <c:v>0.78</c:v>
                </c:pt>
                <c:pt idx="2240">
                  <c:v>0.78</c:v>
                </c:pt>
                <c:pt idx="2241">
                  <c:v>1.31</c:v>
                </c:pt>
                <c:pt idx="2242">
                  <c:v>1.31</c:v>
                </c:pt>
                <c:pt idx="2243">
                  <c:v>1.31</c:v>
                </c:pt>
                <c:pt idx="2244">
                  <c:v>1.31</c:v>
                </c:pt>
                <c:pt idx="2245">
                  <c:v>0.78</c:v>
                </c:pt>
                <c:pt idx="2246">
                  <c:v>0.78</c:v>
                </c:pt>
                <c:pt idx="2247">
                  <c:v>0.78</c:v>
                </c:pt>
                <c:pt idx="2248">
                  <c:v>0.78</c:v>
                </c:pt>
                <c:pt idx="2249">
                  <c:v>1.31</c:v>
                </c:pt>
                <c:pt idx="2250">
                  <c:v>1.31</c:v>
                </c:pt>
                <c:pt idx="2251">
                  <c:v>1.31</c:v>
                </c:pt>
                <c:pt idx="2252">
                  <c:v>1.31</c:v>
                </c:pt>
                <c:pt idx="2253">
                  <c:v>0.78</c:v>
                </c:pt>
                <c:pt idx="2254">
                  <c:v>0.78</c:v>
                </c:pt>
                <c:pt idx="2255">
                  <c:v>0.78</c:v>
                </c:pt>
                <c:pt idx="2256">
                  <c:v>0.78</c:v>
                </c:pt>
                <c:pt idx="2257">
                  <c:v>1.31</c:v>
                </c:pt>
                <c:pt idx="2258">
                  <c:v>1.31</c:v>
                </c:pt>
                <c:pt idx="2259">
                  <c:v>1.31</c:v>
                </c:pt>
                <c:pt idx="2260">
                  <c:v>1.31</c:v>
                </c:pt>
                <c:pt idx="2261">
                  <c:v>0.78</c:v>
                </c:pt>
                <c:pt idx="2262">
                  <c:v>0.78</c:v>
                </c:pt>
                <c:pt idx="2263">
                  <c:v>0.78</c:v>
                </c:pt>
                <c:pt idx="2264">
                  <c:v>0.78</c:v>
                </c:pt>
                <c:pt idx="2265">
                  <c:v>1.31</c:v>
                </c:pt>
                <c:pt idx="2266">
                  <c:v>1.31</c:v>
                </c:pt>
                <c:pt idx="2267">
                  <c:v>1.31</c:v>
                </c:pt>
                <c:pt idx="2268">
                  <c:v>1.31</c:v>
                </c:pt>
                <c:pt idx="2269">
                  <c:v>0.78</c:v>
                </c:pt>
                <c:pt idx="2270">
                  <c:v>0.78</c:v>
                </c:pt>
                <c:pt idx="2271">
                  <c:v>0.78</c:v>
                </c:pt>
                <c:pt idx="2272">
                  <c:v>0.78</c:v>
                </c:pt>
                <c:pt idx="2273">
                  <c:v>1.31</c:v>
                </c:pt>
                <c:pt idx="2274">
                  <c:v>1.31</c:v>
                </c:pt>
                <c:pt idx="2275">
                  <c:v>1.31</c:v>
                </c:pt>
                <c:pt idx="2276">
                  <c:v>1.31</c:v>
                </c:pt>
                <c:pt idx="2277">
                  <c:v>0.78</c:v>
                </c:pt>
                <c:pt idx="2278">
                  <c:v>0.78</c:v>
                </c:pt>
                <c:pt idx="2279">
                  <c:v>0.78</c:v>
                </c:pt>
                <c:pt idx="2280">
                  <c:v>0.78</c:v>
                </c:pt>
                <c:pt idx="2281">
                  <c:v>1.31</c:v>
                </c:pt>
                <c:pt idx="2282">
                  <c:v>1.31</c:v>
                </c:pt>
                <c:pt idx="2283">
                  <c:v>1.31</c:v>
                </c:pt>
                <c:pt idx="2284">
                  <c:v>1.31</c:v>
                </c:pt>
                <c:pt idx="2285">
                  <c:v>0.78</c:v>
                </c:pt>
                <c:pt idx="2286">
                  <c:v>0.78</c:v>
                </c:pt>
                <c:pt idx="2287">
                  <c:v>0.78</c:v>
                </c:pt>
                <c:pt idx="2288">
                  <c:v>0.78</c:v>
                </c:pt>
                <c:pt idx="2289">
                  <c:v>1.31</c:v>
                </c:pt>
                <c:pt idx="2290">
                  <c:v>1.31</c:v>
                </c:pt>
                <c:pt idx="2291">
                  <c:v>1.31</c:v>
                </c:pt>
                <c:pt idx="2292">
                  <c:v>1.31</c:v>
                </c:pt>
                <c:pt idx="2293">
                  <c:v>0.78</c:v>
                </c:pt>
                <c:pt idx="2294">
                  <c:v>0.78</c:v>
                </c:pt>
                <c:pt idx="2295">
                  <c:v>0.78</c:v>
                </c:pt>
                <c:pt idx="2296">
                  <c:v>0.78</c:v>
                </c:pt>
                <c:pt idx="2297">
                  <c:v>1.31</c:v>
                </c:pt>
                <c:pt idx="2298">
                  <c:v>1.31</c:v>
                </c:pt>
                <c:pt idx="2299">
                  <c:v>1.31</c:v>
                </c:pt>
                <c:pt idx="2300">
                  <c:v>1.31</c:v>
                </c:pt>
                <c:pt idx="2301">
                  <c:v>0.78</c:v>
                </c:pt>
                <c:pt idx="2302">
                  <c:v>0.78</c:v>
                </c:pt>
                <c:pt idx="2303">
                  <c:v>0.78</c:v>
                </c:pt>
                <c:pt idx="2304">
                  <c:v>0.78</c:v>
                </c:pt>
                <c:pt idx="2305">
                  <c:v>1.31</c:v>
                </c:pt>
                <c:pt idx="2306">
                  <c:v>1.31</c:v>
                </c:pt>
                <c:pt idx="2307">
                  <c:v>1.31</c:v>
                </c:pt>
                <c:pt idx="2308">
                  <c:v>1.31</c:v>
                </c:pt>
                <c:pt idx="2309">
                  <c:v>0.78</c:v>
                </c:pt>
                <c:pt idx="2310">
                  <c:v>0.78</c:v>
                </c:pt>
                <c:pt idx="2311">
                  <c:v>0.78</c:v>
                </c:pt>
                <c:pt idx="2312">
                  <c:v>0.78</c:v>
                </c:pt>
                <c:pt idx="2313">
                  <c:v>1.31</c:v>
                </c:pt>
                <c:pt idx="2314">
                  <c:v>1.31</c:v>
                </c:pt>
                <c:pt idx="2315">
                  <c:v>1.31</c:v>
                </c:pt>
                <c:pt idx="2316">
                  <c:v>1.31</c:v>
                </c:pt>
                <c:pt idx="2317">
                  <c:v>0.78</c:v>
                </c:pt>
                <c:pt idx="2318">
                  <c:v>0.78</c:v>
                </c:pt>
                <c:pt idx="2319">
                  <c:v>0.78</c:v>
                </c:pt>
                <c:pt idx="2320">
                  <c:v>0.78</c:v>
                </c:pt>
                <c:pt idx="2321">
                  <c:v>1.31</c:v>
                </c:pt>
                <c:pt idx="2322">
                  <c:v>1.31</c:v>
                </c:pt>
                <c:pt idx="2323">
                  <c:v>1.31</c:v>
                </c:pt>
                <c:pt idx="2324">
                  <c:v>1.31</c:v>
                </c:pt>
                <c:pt idx="2325">
                  <c:v>0.78</c:v>
                </c:pt>
                <c:pt idx="2326">
                  <c:v>0.78</c:v>
                </c:pt>
                <c:pt idx="2327">
                  <c:v>0.78</c:v>
                </c:pt>
                <c:pt idx="2328">
                  <c:v>0.78</c:v>
                </c:pt>
                <c:pt idx="2329">
                  <c:v>1.31</c:v>
                </c:pt>
                <c:pt idx="2330">
                  <c:v>1.31</c:v>
                </c:pt>
                <c:pt idx="2331">
                  <c:v>1.31</c:v>
                </c:pt>
                <c:pt idx="2332">
                  <c:v>1.31</c:v>
                </c:pt>
                <c:pt idx="2333">
                  <c:v>0.78</c:v>
                </c:pt>
                <c:pt idx="2334">
                  <c:v>0.78</c:v>
                </c:pt>
                <c:pt idx="2335">
                  <c:v>0.78</c:v>
                </c:pt>
                <c:pt idx="2336">
                  <c:v>0.78</c:v>
                </c:pt>
                <c:pt idx="2337">
                  <c:v>1.31</c:v>
                </c:pt>
                <c:pt idx="2338">
                  <c:v>1.31</c:v>
                </c:pt>
                <c:pt idx="2339">
                  <c:v>1.31</c:v>
                </c:pt>
                <c:pt idx="2340">
                  <c:v>1.31</c:v>
                </c:pt>
                <c:pt idx="2341">
                  <c:v>0.78</c:v>
                </c:pt>
                <c:pt idx="2342">
                  <c:v>0.78</c:v>
                </c:pt>
                <c:pt idx="2343">
                  <c:v>0.78</c:v>
                </c:pt>
                <c:pt idx="2344">
                  <c:v>0.78</c:v>
                </c:pt>
                <c:pt idx="2345">
                  <c:v>1.31</c:v>
                </c:pt>
                <c:pt idx="2346">
                  <c:v>1.31</c:v>
                </c:pt>
                <c:pt idx="2347">
                  <c:v>1.31</c:v>
                </c:pt>
                <c:pt idx="2348">
                  <c:v>1.31</c:v>
                </c:pt>
                <c:pt idx="2349">
                  <c:v>0.78</c:v>
                </c:pt>
                <c:pt idx="2350">
                  <c:v>0.78</c:v>
                </c:pt>
                <c:pt idx="2351">
                  <c:v>0.78</c:v>
                </c:pt>
                <c:pt idx="2352">
                  <c:v>0.78</c:v>
                </c:pt>
                <c:pt idx="2353">
                  <c:v>1.31</c:v>
                </c:pt>
                <c:pt idx="2354">
                  <c:v>1.31</c:v>
                </c:pt>
                <c:pt idx="2355">
                  <c:v>1.31</c:v>
                </c:pt>
                <c:pt idx="2356">
                  <c:v>1.31</c:v>
                </c:pt>
                <c:pt idx="2357">
                  <c:v>0.78</c:v>
                </c:pt>
                <c:pt idx="2358">
                  <c:v>0.78</c:v>
                </c:pt>
                <c:pt idx="2359">
                  <c:v>0.78</c:v>
                </c:pt>
                <c:pt idx="2360">
                  <c:v>0.78</c:v>
                </c:pt>
                <c:pt idx="2361">
                  <c:v>1.31</c:v>
                </c:pt>
                <c:pt idx="2362">
                  <c:v>1.31</c:v>
                </c:pt>
                <c:pt idx="2363">
                  <c:v>1.31</c:v>
                </c:pt>
                <c:pt idx="2364">
                  <c:v>1.31</c:v>
                </c:pt>
                <c:pt idx="2365">
                  <c:v>0.78</c:v>
                </c:pt>
                <c:pt idx="2366">
                  <c:v>0.78</c:v>
                </c:pt>
                <c:pt idx="2367">
                  <c:v>0.78</c:v>
                </c:pt>
                <c:pt idx="2368">
                  <c:v>0.78</c:v>
                </c:pt>
                <c:pt idx="2369">
                  <c:v>1.31</c:v>
                </c:pt>
                <c:pt idx="2370">
                  <c:v>1.31</c:v>
                </c:pt>
                <c:pt idx="2371">
                  <c:v>1.31</c:v>
                </c:pt>
                <c:pt idx="2372">
                  <c:v>1.31</c:v>
                </c:pt>
                <c:pt idx="2373">
                  <c:v>0.78</c:v>
                </c:pt>
                <c:pt idx="2374">
                  <c:v>0.78</c:v>
                </c:pt>
                <c:pt idx="2375">
                  <c:v>0.78</c:v>
                </c:pt>
                <c:pt idx="2376">
                  <c:v>0.78</c:v>
                </c:pt>
                <c:pt idx="2377">
                  <c:v>1.31</c:v>
                </c:pt>
                <c:pt idx="2378">
                  <c:v>1.31</c:v>
                </c:pt>
                <c:pt idx="2379">
                  <c:v>1.31</c:v>
                </c:pt>
                <c:pt idx="2380">
                  <c:v>1.31</c:v>
                </c:pt>
                <c:pt idx="2381">
                  <c:v>0.78</c:v>
                </c:pt>
                <c:pt idx="2382">
                  <c:v>0.78</c:v>
                </c:pt>
                <c:pt idx="2383">
                  <c:v>0.78</c:v>
                </c:pt>
                <c:pt idx="2384">
                  <c:v>0.78</c:v>
                </c:pt>
                <c:pt idx="2385">
                  <c:v>1.31</c:v>
                </c:pt>
                <c:pt idx="2386">
                  <c:v>1.31</c:v>
                </c:pt>
                <c:pt idx="2387">
                  <c:v>1.31</c:v>
                </c:pt>
                <c:pt idx="2388">
                  <c:v>1.31</c:v>
                </c:pt>
                <c:pt idx="2389">
                  <c:v>0.78</c:v>
                </c:pt>
                <c:pt idx="2390">
                  <c:v>0.78</c:v>
                </c:pt>
                <c:pt idx="2391">
                  <c:v>0.78</c:v>
                </c:pt>
                <c:pt idx="2392">
                  <c:v>0.78</c:v>
                </c:pt>
                <c:pt idx="2393">
                  <c:v>1.31</c:v>
                </c:pt>
                <c:pt idx="2394">
                  <c:v>1.31</c:v>
                </c:pt>
                <c:pt idx="2395">
                  <c:v>1.31</c:v>
                </c:pt>
                <c:pt idx="2396">
                  <c:v>1.31</c:v>
                </c:pt>
                <c:pt idx="2397">
                  <c:v>0.78</c:v>
                </c:pt>
                <c:pt idx="2398">
                  <c:v>0.78</c:v>
                </c:pt>
                <c:pt idx="2399">
                  <c:v>0.78</c:v>
                </c:pt>
                <c:pt idx="2400">
                  <c:v>0.78</c:v>
                </c:pt>
                <c:pt idx="2401">
                  <c:v>1.31</c:v>
                </c:pt>
                <c:pt idx="2402">
                  <c:v>1.31</c:v>
                </c:pt>
                <c:pt idx="2403">
                  <c:v>1.31</c:v>
                </c:pt>
                <c:pt idx="2404">
                  <c:v>1.31</c:v>
                </c:pt>
                <c:pt idx="2405">
                  <c:v>0.78</c:v>
                </c:pt>
                <c:pt idx="2406">
                  <c:v>0.78</c:v>
                </c:pt>
                <c:pt idx="2407">
                  <c:v>0.78</c:v>
                </c:pt>
                <c:pt idx="2408">
                  <c:v>1.3100000000000003</c:v>
                </c:pt>
                <c:pt idx="2409">
                  <c:v>1.3100000000000003</c:v>
                </c:pt>
                <c:pt idx="2410">
                  <c:v>1.3100000000000003</c:v>
                </c:pt>
                <c:pt idx="2411">
                  <c:v>1.8400000000000003</c:v>
                </c:pt>
                <c:pt idx="2412">
                  <c:v>1.8400000000000003</c:v>
                </c:pt>
                <c:pt idx="2413">
                  <c:v>1.8400000000000003</c:v>
                </c:pt>
                <c:pt idx="2414">
                  <c:v>1.8400000000000003</c:v>
                </c:pt>
                <c:pt idx="2415">
                  <c:v>1.3100000000000003</c:v>
                </c:pt>
                <c:pt idx="2416">
                  <c:v>1.3100000000000003</c:v>
                </c:pt>
                <c:pt idx="2417">
                  <c:v>1.3100000000000003</c:v>
                </c:pt>
                <c:pt idx="2418">
                  <c:v>1.3100000000000003</c:v>
                </c:pt>
                <c:pt idx="2419">
                  <c:v>1.8400000000000003</c:v>
                </c:pt>
                <c:pt idx="2420">
                  <c:v>1.8400000000000003</c:v>
                </c:pt>
                <c:pt idx="2421">
                  <c:v>1.8400000000000003</c:v>
                </c:pt>
                <c:pt idx="2422">
                  <c:v>1.8400000000000003</c:v>
                </c:pt>
                <c:pt idx="2423">
                  <c:v>1.3100000000000003</c:v>
                </c:pt>
                <c:pt idx="2424">
                  <c:v>1.3100000000000003</c:v>
                </c:pt>
                <c:pt idx="2425">
                  <c:v>1.3100000000000003</c:v>
                </c:pt>
                <c:pt idx="2426">
                  <c:v>1.3100000000000003</c:v>
                </c:pt>
                <c:pt idx="2427">
                  <c:v>1.8400000000000003</c:v>
                </c:pt>
                <c:pt idx="2428">
                  <c:v>1.8400000000000003</c:v>
                </c:pt>
                <c:pt idx="2429">
                  <c:v>1.8400000000000003</c:v>
                </c:pt>
                <c:pt idx="2430">
                  <c:v>1.8400000000000003</c:v>
                </c:pt>
                <c:pt idx="2431">
                  <c:v>1.3100000000000003</c:v>
                </c:pt>
                <c:pt idx="2432">
                  <c:v>1.3100000000000003</c:v>
                </c:pt>
                <c:pt idx="2433">
                  <c:v>1.3100000000000003</c:v>
                </c:pt>
                <c:pt idx="2434">
                  <c:v>1.3100000000000003</c:v>
                </c:pt>
                <c:pt idx="2435">
                  <c:v>1.8400000000000003</c:v>
                </c:pt>
                <c:pt idx="2436">
                  <c:v>1.8400000000000003</c:v>
                </c:pt>
                <c:pt idx="2437">
                  <c:v>1.8400000000000003</c:v>
                </c:pt>
                <c:pt idx="2438">
                  <c:v>1.8400000000000003</c:v>
                </c:pt>
                <c:pt idx="2439">
                  <c:v>1.3100000000000003</c:v>
                </c:pt>
                <c:pt idx="2440">
                  <c:v>1.3100000000000003</c:v>
                </c:pt>
                <c:pt idx="2441">
                  <c:v>1.3100000000000003</c:v>
                </c:pt>
                <c:pt idx="2442">
                  <c:v>1.3100000000000003</c:v>
                </c:pt>
                <c:pt idx="2443">
                  <c:v>1.8400000000000003</c:v>
                </c:pt>
                <c:pt idx="2444">
                  <c:v>1.8400000000000003</c:v>
                </c:pt>
                <c:pt idx="2445">
                  <c:v>1.8400000000000003</c:v>
                </c:pt>
                <c:pt idx="2446">
                  <c:v>1.8400000000000003</c:v>
                </c:pt>
                <c:pt idx="2447">
                  <c:v>1.3100000000000003</c:v>
                </c:pt>
                <c:pt idx="2448">
                  <c:v>1.3100000000000003</c:v>
                </c:pt>
                <c:pt idx="2449">
                  <c:v>1.3100000000000003</c:v>
                </c:pt>
                <c:pt idx="2450">
                  <c:v>1.3100000000000003</c:v>
                </c:pt>
                <c:pt idx="2451">
                  <c:v>1.8400000000000003</c:v>
                </c:pt>
                <c:pt idx="2452">
                  <c:v>1.8400000000000003</c:v>
                </c:pt>
                <c:pt idx="2453">
                  <c:v>1.8400000000000003</c:v>
                </c:pt>
                <c:pt idx="2454">
                  <c:v>1.8400000000000003</c:v>
                </c:pt>
                <c:pt idx="2455">
                  <c:v>1.3100000000000003</c:v>
                </c:pt>
                <c:pt idx="2456">
                  <c:v>1.3100000000000003</c:v>
                </c:pt>
                <c:pt idx="2457">
                  <c:v>1.3100000000000003</c:v>
                </c:pt>
                <c:pt idx="2458">
                  <c:v>1.3100000000000003</c:v>
                </c:pt>
                <c:pt idx="2459">
                  <c:v>1.8400000000000003</c:v>
                </c:pt>
                <c:pt idx="2460">
                  <c:v>1.8400000000000003</c:v>
                </c:pt>
                <c:pt idx="2461">
                  <c:v>1.8400000000000003</c:v>
                </c:pt>
                <c:pt idx="2462">
                  <c:v>1.8400000000000003</c:v>
                </c:pt>
                <c:pt idx="2463">
                  <c:v>1.3100000000000003</c:v>
                </c:pt>
                <c:pt idx="2464">
                  <c:v>1.3100000000000003</c:v>
                </c:pt>
                <c:pt idx="2465">
                  <c:v>1.3100000000000003</c:v>
                </c:pt>
                <c:pt idx="2466">
                  <c:v>1.3100000000000003</c:v>
                </c:pt>
                <c:pt idx="2467">
                  <c:v>1.8400000000000003</c:v>
                </c:pt>
                <c:pt idx="2468">
                  <c:v>1.8400000000000003</c:v>
                </c:pt>
                <c:pt idx="2469">
                  <c:v>1.8400000000000003</c:v>
                </c:pt>
                <c:pt idx="2470">
                  <c:v>1.8400000000000003</c:v>
                </c:pt>
                <c:pt idx="2471">
                  <c:v>1.3100000000000003</c:v>
                </c:pt>
                <c:pt idx="2472">
                  <c:v>1.3100000000000003</c:v>
                </c:pt>
                <c:pt idx="2473">
                  <c:v>1.3100000000000003</c:v>
                </c:pt>
                <c:pt idx="2474">
                  <c:v>1.3100000000000003</c:v>
                </c:pt>
                <c:pt idx="2475">
                  <c:v>1.8400000000000003</c:v>
                </c:pt>
                <c:pt idx="2476">
                  <c:v>1.8400000000000003</c:v>
                </c:pt>
                <c:pt idx="2477">
                  <c:v>1.8400000000000003</c:v>
                </c:pt>
                <c:pt idx="2478">
                  <c:v>1.8400000000000003</c:v>
                </c:pt>
                <c:pt idx="2479">
                  <c:v>1.3100000000000003</c:v>
                </c:pt>
                <c:pt idx="2480">
                  <c:v>1.3100000000000003</c:v>
                </c:pt>
                <c:pt idx="2481">
                  <c:v>1.3100000000000003</c:v>
                </c:pt>
                <c:pt idx="2482">
                  <c:v>1.3100000000000003</c:v>
                </c:pt>
                <c:pt idx="2483">
                  <c:v>1.8400000000000003</c:v>
                </c:pt>
                <c:pt idx="2484">
                  <c:v>1.8400000000000003</c:v>
                </c:pt>
                <c:pt idx="2485">
                  <c:v>1.8400000000000003</c:v>
                </c:pt>
                <c:pt idx="2486">
                  <c:v>1.8400000000000003</c:v>
                </c:pt>
                <c:pt idx="2487">
                  <c:v>1.3100000000000003</c:v>
                </c:pt>
                <c:pt idx="2488">
                  <c:v>1.3100000000000003</c:v>
                </c:pt>
                <c:pt idx="2489">
                  <c:v>1.3100000000000003</c:v>
                </c:pt>
                <c:pt idx="2490">
                  <c:v>1.3100000000000003</c:v>
                </c:pt>
                <c:pt idx="2491">
                  <c:v>1.8400000000000003</c:v>
                </c:pt>
                <c:pt idx="2492">
                  <c:v>1.8400000000000003</c:v>
                </c:pt>
                <c:pt idx="2493">
                  <c:v>1.8400000000000003</c:v>
                </c:pt>
                <c:pt idx="2494">
                  <c:v>1.8400000000000003</c:v>
                </c:pt>
                <c:pt idx="2495">
                  <c:v>1.3100000000000003</c:v>
                </c:pt>
                <c:pt idx="2496">
                  <c:v>1.3100000000000003</c:v>
                </c:pt>
                <c:pt idx="2497">
                  <c:v>1.3100000000000003</c:v>
                </c:pt>
                <c:pt idx="2498">
                  <c:v>1.3100000000000003</c:v>
                </c:pt>
                <c:pt idx="2499">
                  <c:v>1.8400000000000003</c:v>
                </c:pt>
                <c:pt idx="2500">
                  <c:v>1.8400000000000003</c:v>
                </c:pt>
                <c:pt idx="2501">
                  <c:v>1.8400000000000003</c:v>
                </c:pt>
                <c:pt idx="2502">
                  <c:v>1.8400000000000003</c:v>
                </c:pt>
                <c:pt idx="2503">
                  <c:v>1.3100000000000003</c:v>
                </c:pt>
                <c:pt idx="2504">
                  <c:v>1.3100000000000003</c:v>
                </c:pt>
                <c:pt idx="2505">
                  <c:v>1.3100000000000003</c:v>
                </c:pt>
                <c:pt idx="2506">
                  <c:v>1.3100000000000003</c:v>
                </c:pt>
                <c:pt idx="2507">
                  <c:v>1.8400000000000003</c:v>
                </c:pt>
                <c:pt idx="2508">
                  <c:v>1.8400000000000003</c:v>
                </c:pt>
                <c:pt idx="2509">
                  <c:v>1.8400000000000003</c:v>
                </c:pt>
                <c:pt idx="2510">
                  <c:v>1.8400000000000003</c:v>
                </c:pt>
                <c:pt idx="2511">
                  <c:v>1.3100000000000003</c:v>
                </c:pt>
                <c:pt idx="2512">
                  <c:v>1.3100000000000003</c:v>
                </c:pt>
                <c:pt idx="2513">
                  <c:v>1.3100000000000003</c:v>
                </c:pt>
                <c:pt idx="2514">
                  <c:v>1.3100000000000003</c:v>
                </c:pt>
                <c:pt idx="2515">
                  <c:v>1.8400000000000003</c:v>
                </c:pt>
                <c:pt idx="2516">
                  <c:v>1.8400000000000003</c:v>
                </c:pt>
                <c:pt idx="2517">
                  <c:v>1.8400000000000003</c:v>
                </c:pt>
                <c:pt idx="2518">
                  <c:v>1.8400000000000003</c:v>
                </c:pt>
                <c:pt idx="2519">
                  <c:v>1.3100000000000003</c:v>
                </c:pt>
                <c:pt idx="2520">
                  <c:v>1.3100000000000003</c:v>
                </c:pt>
                <c:pt idx="2521">
                  <c:v>1.3100000000000003</c:v>
                </c:pt>
                <c:pt idx="2522">
                  <c:v>1.3100000000000003</c:v>
                </c:pt>
                <c:pt idx="2523">
                  <c:v>1.8400000000000003</c:v>
                </c:pt>
                <c:pt idx="2524">
                  <c:v>1.8400000000000003</c:v>
                </c:pt>
                <c:pt idx="2525">
                  <c:v>1.8400000000000003</c:v>
                </c:pt>
                <c:pt idx="2526">
                  <c:v>1.8400000000000003</c:v>
                </c:pt>
                <c:pt idx="2527">
                  <c:v>1.3100000000000003</c:v>
                </c:pt>
                <c:pt idx="2528">
                  <c:v>1.3100000000000003</c:v>
                </c:pt>
                <c:pt idx="2529">
                  <c:v>1.3100000000000003</c:v>
                </c:pt>
                <c:pt idx="2530">
                  <c:v>1.3100000000000003</c:v>
                </c:pt>
                <c:pt idx="2531">
                  <c:v>1.8400000000000003</c:v>
                </c:pt>
                <c:pt idx="2532">
                  <c:v>1.8400000000000003</c:v>
                </c:pt>
                <c:pt idx="2533">
                  <c:v>1.8400000000000003</c:v>
                </c:pt>
                <c:pt idx="2534">
                  <c:v>1.8400000000000003</c:v>
                </c:pt>
                <c:pt idx="2535">
                  <c:v>1.3100000000000003</c:v>
                </c:pt>
                <c:pt idx="2536">
                  <c:v>1.3100000000000003</c:v>
                </c:pt>
                <c:pt idx="2537">
                  <c:v>1.3100000000000003</c:v>
                </c:pt>
                <c:pt idx="2538">
                  <c:v>1.3100000000000003</c:v>
                </c:pt>
                <c:pt idx="2539">
                  <c:v>1.8400000000000003</c:v>
                </c:pt>
                <c:pt idx="2540">
                  <c:v>1.8400000000000003</c:v>
                </c:pt>
                <c:pt idx="2541">
                  <c:v>1.8400000000000003</c:v>
                </c:pt>
                <c:pt idx="2542">
                  <c:v>1.8400000000000003</c:v>
                </c:pt>
                <c:pt idx="2543">
                  <c:v>1.3100000000000003</c:v>
                </c:pt>
                <c:pt idx="2544">
                  <c:v>1.3100000000000003</c:v>
                </c:pt>
                <c:pt idx="2545">
                  <c:v>1.3100000000000003</c:v>
                </c:pt>
                <c:pt idx="2546">
                  <c:v>1.3100000000000003</c:v>
                </c:pt>
                <c:pt idx="2547">
                  <c:v>1.8400000000000003</c:v>
                </c:pt>
                <c:pt idx="2548">
                  <c:v>1.8400000000000003</c:v>
                </c:pt>
                <c:pt idx="2549">
                  <c:v>1.8400000000000003</c:v>
                </c:pt>
                <c:pt idx="2550">
                  <c:v>1.8400000000000003</c:v>
                </c:pt>
                <c:pt idx="2551">
                  <c:v>1.3100000000000003</c:v>
                </c:pt>
                <c:pt idx="2552">
                  <c:v>1.3100000000000003</c:v>
                </c:pt>
                <c:pt idx="2553">
                  <c:v>1.3100000000000003</c:v>
                </c:pt>
                <c:pt idx="2554">
                  <c:v>1.3100000000000003</c:v>
                </c:pt>
                <c:pt idx="2555">
                  <c:v>1.8400000000000003</c:v>
                </c:pt>
                <c:pt idx="2556">
                  <c:v>1.8400000000000003</c:v>
                </c:pt>
                <c:pt idx="2557">
                  <c:v>1.8400000000000003</c:v>
                </c:pt>
                <c:pt idx="2558">
                  <c:v>1.8400000000000003</c:v>
                </c:pt>
                <c:pt idx="2559">
                  <c:v>1.3100000000000003</c:v>
                </c:pt>
                <c:pt idx="2560">
                  <c:v>1.3100000000000003</c:v>
                </c:pt>
                <c:pt idx="2561">
                  <c:v>1.3100000000000003</c:v>
                </c:pt>
                <c:pt idx="2562">
                  <c:v>1.3100000000000003</c:v>
                </c:pt>
                <c:pt idx="2563">
                  <c:v>1.8400000000000003</c:v>
                </c:pt>
                <c:pt idx="2564">
                  <c:v>1.8400000000000003</c:v>
                </c:pt>
                <c:pt idx="2565">
                  <c:v>1.8400000000000003</c:v>
                </c:pt>
                <c:pt idx="2566">
                  <c:v>1.8400000000000003</c:v>
                </c:pt>
                <c:pt idx="2567">
                  <c:v>1.3100000000000003</c:v>
                </c:pt>
                <c:pt idx="2568">
                  <c:v>1.3100000000000003</c:v>
                </c:pt>
                <c:pt idx="2569">
                  <c:v>1.3100000000000003</c:v>
                </c:pt>
                <c:pt idx="2570">
                  <c:v>1.3100000000000003</c:v>
                </c:pt>
                <c:pt idx="2571">
                  <c:v>1.8400000000000003</c:v>
                </c:pt>
                <c:pt idx="2572">
                  <c:v>1.8400000000000003</c:v>
                </c:pt>
                <c:pt idx="2573">
                  <c:v>1.8400000000000003</c:v>
                </c:pt>
                <c:pt idx="2574">
                  <c:v>1.8400000000000003</c:v>
                </c:pt>
                <c:pt idx="2575">
                  <c:v>1.3100000000000003</c:v>
                </c:pt>
                <c:pt idx="2576">
                  <c:v>1.3100000000000003</c:v>
                </c:pt>
                <c:pt idx="2577">
                  <c:v>1.3100000000000003</c:v>
                </c:pt>
                <c:pt idx="2578">
                  <c:v>1.3100000000000003</c:v>
                </c:pt>
                <c:pt idx="2579">
                  <c:v>1.8400000000000003</c:v>
                </c:pt>
                <c:pt idx="2580">
                  <c:v>1.8400000000000003</c:v>
                </c:pt>
                <c:pt idx="2581">
                  <c:v>1.8400000000000003</c:v>
                </c:pt>
                <c:pt idx="2582">
                  <c:v>1.8400000000000003</c:v>
                </c:pt>
                <c:pt idx="2583">
                  <c:v>1.3100000000000003</c:v>
                </c:pt>
                <c:pt idx="2584">
                  <c:v>1.3100000000000003</c:v>
                </c:pt>
                <c:pt idx="2585">
                  <c:v>1.3100000000000003</c:v>
                </c:pt>
                <c:pt idx="2586">
                  <c:v>1.3100000000000003</c:v>
                </c:pt>
                <c:pt idx="2587">
                  <c:v>1.8400000000000003</c:v>
                </c:pt>
                <c:pt idx="2588">
                  <c:v>1.8400000000000003</c:v>
                </c:pt>
                <c:pt idx="2589">
                  <c:v>1.8400000000000003</c:v>
                </c:pt>
                <c:pt idx="2590">
                  <c:v>1.8400000000000003</c:v>
                </c:pt>
                <c:pt idx="2591">
                  <c:v>1.3100000000000003</c:v>
                </c:pt>
                <c:pt idx="2592">
                  <c:v>1.3100000000000003</c:v>
                </c:pt>
                <c:pt idx="2593">
                  <c:v>1.3100000000000003</c:v>
                </c:pt>
                <c:pt idx="2594">
                  <c:v>1.3100000000000003</c:v>
                </c:pt>
                <c:pt idx="2595">
                  <c:v>1.8400000000000003</c:v>
                </c:pt>
                <c:pt idx="2596">
                  <c:v>1.8400000000000003</c:v>
                </c:pt>
                <c:pt idx="2597">
                  <c:v>1.8400000000000003</c:v>
                </c:pt>
                <c:pt idx="2598">
                  <c:v>1.8400000000000003</c:v>
                </c:pt>
                <c:pt idx="2599">
                  <c:v>1.3100000000000003</c:v>
                </c:pt>
                <c:pt idx="2600">
                  <c:v>1.3100000000000003</c:v>
                </c:pt>
                <c:pt idx="2601">
                  <c:v>1.3100000000000003</c:v>
                </c:pt>
                <c:pt idx="2602">
                  <c:v>1.3100000000000003</c:v>
                </c:pt>
                <c:pt idx="2603">
                  <c:v>1.8400000000000003</c:v>
                </c:pt>
                <c:pt idx="2604">
                  <c:v>1.8400000000000003</c:v>
                </c:pt>
                <c:pt idx="2605">
                  <c:v>1.8400000000000003</c:v>
                </c:pt>
                <c:pt idx="2606">
                  <c:v>1.8400000000000003</c:v>
                </c:pt>
                <c:pt idx="2607">
                  <c:v>1.3100000000000003</c:v>
                </c:pt>
                <c:pt idx="2608">
                  <c:v>1.3100000000000003</c:v>
                </c:pt>
                <c:pt idx="2609">
                  <c:v>1.3100000000000003</c:v>
                </c:pt>
                <c:pt idx="2610">
                  <c:v>1.3100000000000003</c:v>
                </c:pt>
                <c:pt idx="2611">
                  <c:v>1.8400000000000003</c:v>
                </c:pt>
                <c:pt idx="2612">
                  <c:v>1.8400000000000003</c:v>
                </c:pt>
                <c:pt idx="2613">
                  <c:v>1.8400000000000003</c:v>
                </c:pt>
                <c:pt idx="2614">
                  <c:v>1.8400000000000003</c:v>
                </c:pt>
                <c:pt idx="2615">
                  <c:v>1.3100000000000003</c:v>
                </c:pt>
                <c:pt idx="2616">
                  <c:v>1.3100000000000003</c:v>
                </c:pt>
                <c:pt idx="2617">
                  <c:v>1.3100000000000003</c:v>
                </c:pt>
                <c:pt idx="2618">
                  <c:v>1.3100000000000003</c:v>
                </c:pt>
                <c:pt idx="2619">
                  <c:v>1.8400000000000003</c:v>
                </c:pt>
                <c:pt idx="2620">
                  <c:v>1.8400000000000003</c:v>
                </c:pt>
                <c:pt idx="2621">
                  <c:v>1.8400000000000003</c:v>
                </c:pt>
                <c:pt idx="2622">
                  <c:v>1.8400000000000003</c:v>
                </c:pt>
                <c:pt idx="2623">
                  <c:v>1.3100000000000003</c:v>
                </c:pt>
                <c:pt idx="2624">
                  <c:v>1.3100000000000003</c:v>
                </c:pt>
                <c:pt idx="2625">
                  <c:v>1.3100000000000003</c:v>
                </c:pt>
                <c:pt idx="2626">
                  <c:v>1.3100000000000003</c:v>
                </c:pt>
                <c:pt idx="2627">
                  <c:v>1.8400000000000003</c:v>
                </c:pt>
                <c:pt idx="2628">
                  <c:v>1.8400000000000003</c:v>
                </c:pt>
                <c:pt idx="2629">
                  <c:v>1.8400000000000003</c:v>
                </c:pt>
                <c:pt idx="2630">
                  <c:v>1.8400000000000003</c:v>
                </c:pt>
                <c:pt idx="2631">
                  <c:v>1.3100000000000003</c:v>
                </c:pt>
                <c:pt idx="2632">
                  <c:v>1.3100000000000003</c:v>
                </c:pt>
                <c:pt idx="2633">
                  <c:v>1.3100000000000003</c:v>
                </c:pt>
                <c:pt idx="2634">
                  <c:v>1.3100000000000003</c:v>
                </c:pt>
                <c:pt idx="2635">
                  <c:v>1.8400000000000003</c:v>
                </c:pt>
                <c:pt idx="2636">
                  <c:v>1.8400000000000003</c:v>
                </c:pt>
                <c:pt idx="2637">
                  <c:v>1.8400000000000003</c:v>
                </c:pt>
                <c:pt idx="2638">
                  <c:v>1.8400000000000003</c:v>
                </c:pt>
                <c:pt idx="2639">
                  <c:v>1.3100000000000003</c:v>
                </c:pt>
                <c:pt idx="2640">
                  <c:v>1.3100000000000003</c:v>
                </c:pt>
                <c:pt idx="2641">
                  <c:v>1.3100000000000003</c:v>
                </c:pt>
                <c:pt idx="2642">
                  <c:v>1.3100000000000003</c:v>
                </c:pt>
                <c:pt idx="2643">
                  <c:v>1.8400000000000003</c:v>
                </c:pt>
                <c:pt idx="2644">
                  <c:v>1.8400000000000003</c:v>
                </c:pt>
                <c:pt idx="2645">
                  <c:v>1.8400000000000003</c:v>
                </c:pt>
                <c:pt idx="2646">
                  <c:v>1.8400000000000003</c:v>
                </c:pt>
                <c:pt idx="2647">
                  <c:v>1.3100000000000003</c:v>
                </c:pt>
                <c:pt idx="2648">
                  <c:v>1.3100000000000003</c:v>
                </c:pt>
                <c:pt idx="2649">
                  <c:v>1.3100000000000003</c:v>
                </c:pt>
                <c:pt idx="2650">
                  <c:v>1.3100000000000003</c:v>
                </c:pt>
                <c:pt idx="2651">
                  <c:v>1.8400000000000003</c:v>
                </c:pt>
                <c:pt idx="2652">
                  <c:v>1.8400000000000003</c:v>
                </c:pt>
                <c:pt idx="2653">
                  <c:v>1.8400000000000003</c:v>
                </c:pt>
                <c:pt idx="2654">
                  <c:v>1.8400000000000003</c:v>
                </c:pt>
                <c:pt idx="2655">
                  <c:v>1.3100000000000003</c:v>
                </c:pt>
                <c:pt idx="2656">
                  <c:v>1.3100000000000003</c:v>
                </c:pt>
                <c:pt idx="2657">
                  <c:v>1.3100000000000003</c:v>
                </c:pt>
                <c:pt idx="2658">
                  <c:v>1.3100000000000003</c:v>
                </c:pt>
                <c:pt idx="2659">
                  <c:v>1.8400000000000003</c:v>
                </c:pt>
                <c:pt idx="2660">
                  <c:v>1.8400000000000003</c:v>
                </c:pt>
                <c:pt idx="2661">
                  <c:v>1.8400000000000003</c:v>
                </c:pt>
                <c:pt idx="2662">
                  <c:v>1.8400000000000003</c:v>
                </c:pt>
                <c:pt idx="2663">
                  <c:v>1.3100000000000003</c:v>
                </c:pt>
                <c:pt idx="2664">
                  <c:v>1.3100000000000003</c:v>
                </c:pt>
                <c:pt idx="2665">
                  <c:v>1.3100000000000003</c:v>
                </c:pt>
                <c:pt idx="2666">
                  <c:v>1.3100000000000003</c:v>
                </c:pt>
                <c:pt idx="2667">
                  <c:v>1.8400000000000003</c:v>
                </c:pt>
                <c:pt idx="2668">
                  <c:v>1.8400000000000003</c:v>
                </c:pt>
                <c:pt idx="2669">
                  <c:v>1.8400000000000003</c:v>
                </c:pt>
                <c:pt idx="2670">
                  <c:v>1.8400000000000003</c:v>
                </c:pt>
                <c:pt idx="2671">
                  <c:v>1.3100000000000003</c:v>
                </c:pt>
                <c:pt idx="2672">
                  <c:v>1.3100000000000003</c:v>
                </c:pt>
                <c:pt idx="2673">
                  <c:v>1.3100000000000003</c:v>
                </c:pt>
                <c:pt idx="2674">
                  <c:v>1.3100000000000003</c:v>
                </c:pt>
                <c:pt idx="2675">
                  <c:v>1.8400000000000003</c:v>
                </c:pt>
                <c:pt idx="2676">
                  <c:v>1.8400000000000003</c:v>
                </c:pt>
                <c:pt idx="2677">
                  <c:v>1.8400000000000003</c:v>
                </c:pt>
                <c:pt idx="2678">
                  <c:v>1.8400000000000003</c:v>
                </c:pt>
                <c:pt idx="2679">
                  <c:v>1.3100000000000003</c:v>
                </c:pt>
                <c:pt idx="2680">
                  <c:v>1.3100000000000003</c:v>
                </c:pt>
                <c:pt idx="2681">
                  <c:v>1.3100000000000003</c:v>
                </c:pt>
                <c:pt idx="2682">
                  <c:v>1.3100000000000003</c:v>
                </c:pt>
                <c:pt idx="2683">
                  <c:v>1.8400000000000003</c:v>
                </c:pt>
                <c:pt idx="2684">
                  <c:v>1.8400000000000003</c:v>
                </c:pt>
                <c:pt idx="2685">
                  <c:v>1.8400000000000003</c:v>
                </c:pt>
                <c:pt idx="2686">
                  <c:v>1.8400000000000003</c:v>
                </c:pt>
                <c:pt idx="2687">
                  <c:v>1.3100000000000003</c:v>
                </c:pt>
                <c:pt idx="2688">
                  <c:v>1.3100000000000003</c:v>
                </c:pt>
                <c:pt idx="2689">
                  <c:v>1.3100000000000003</c:v>
                </c:pt>
                <c:pt idx="2690">
                  <c:v>1.3100000000000003</c:v>
                </c:pt>
                <c:pt idx="2691">
                  <c:v>1.8400000000000003</c:v>
                </c:pt>
                <c:pt idx="2692">
                  <c:v>1.8400000000000003</c:v>
                </c:pt>
                <c:pt idx="2693">
                  <c:v>1.8400000000000003</c:v>
                </c:pt>
                <c:pt idx="2694">
                  <c:v>1.8400000000000003</c:v>
                </c:pt>
                <c:pt idx="2695">
                  <c:v>1.3100000000000003</c:v>
                </c:pt>
                <c:pt idx="2696">
                  <c:v>1.3100000000000003</c:v>
                </c:pt>
                <c:pt idx="2697">
                  <c:v>1.3100000000000003</c:v>
                </c:pt>
                <c:pt idx="2698">
                  <c:v>1.3100000000000003</c:v>
                </c:pt>
                <c:pt idx="2699">
                  <c:v>1.8400000000000003</c:v>
                </c:pt>
                <c:pt idx="2700">
                  <c:v>1.8400000000000003</c:v>
                </c:pt>
                <c:pt idx="2701">
                  <c:v>1.8400000000000003</c:v>
                </c:pt>
                <c:pt idx="2702">
                  <c:v>1.8400000000000003</c:v>
                </c:pt>
                <c:pt idx="2703">
                  <c:v>1.3100000000000003</c:v>
                </c:pt>
                <c:pt idx="2704">
                  <c:v>1.3100000000000003</c:v>
                </c:pt>
                <c:pt idx="2705">
                  <c:v>1.3100000000000003</c:v>
                </c:pt>
                <c:pt idx="2706">
                  <c:v>1.3100000000000003</c:v>
                </c:pt>
                <c:pt idx="2707">
                  <c:v>1.8400000000000003</c:v>
                </c:pt>
                <c:pt idx="2708">
                  <c:v>1.8400000000000003</c:v>
                </c:pt>
                <c:pt idx="2709">
                  <c:v>1.8400000000000003</c:v>
                </c:pt>
                <c:pt idx="2710">
                  <c:v>1.8400000000000003</c:v>
                </c:pt>
                <c:pt idx="2711">
                  <c:v>1.3100000000000003</c:v>
                </c:pt>
                <c:pt idx="2712">
                  <c:v>1.3100000000000003</c:v>
                </c:pt>
                <c:pt idx="2713">
                  <c:v>1.3100000000000003</c:v>
                </c:pt>
                <c:pt idx="2714">
                  <c:v>1.3100000000000003</c:v>
                </c:pt>
                <c:pt idx="2715">
                  <c:v>1.8400000000000003</c:v>
                </c:pt>
                <c:pt idx="2716">
                  <c:v>1.8400000000000003</c:v>
                </c:pt>
                <c:pt idx="2717">
                  <c:v>1.8400000000000003</c:v>
                </c:pt>
                <c:pt idx="2718">
                  <c:v>1.8400000000000003</c:v>
                </c:pt>
                <c:pt idx="2719">
                  <c:v>1.3100000000000003</c:v>
                </c:pt>
                <c:pt idx="2720">
                  <c:v>1.3100000000000003</c:v>
                </c:pt>
                <c:pt idx="2721">
                  <c:v>1.3100000000000003</c:v>
                </c:pt>
                <c:pt idx="2722">
                  <c:v>1.3100000000000003</c:v>
                </c:pt>
                <c:pt idx="2723">
                  <c:v>1.8400000000000003</c:v>
                </c:pt>
                <c:pt idx="2724">
                  <c:v>1.8400000000000003</c:v>
                </c:pt>
                <c:pt idx="2725">
                  <c:v>1.8400000000000003</c:v>
                </c:pt>
                <c:pt idx="2726">
                  <c:v>1.8400000000000003</c:v>
                </c:pt>
                <c:pt idx="2727">
                  <c:v>1.3100000000000003</c:v>
                </c:pt>
                <c:pt idx="2728">
                  <c:v>1.3100000000000003</c:v>
                </c:pt>
                <c:pt idx="2729">
                  <c:v>1.3100000000000003</c:v>
                </c:pt>
                <c:pt idx="2730">
                  <c:v>1.3100000000000003</c:v>
                </c:pt>
                <c:pt idx="2731">
                  <c:v>1.8400000000000003</c:v>
                </c:pt>
                <c:pt idx="2732">
                  <c:v>1.8400000000000003</c:v>
                </c:pt>
                <c:pt idx="2733">
                  <c:v>1.8400000000000003</c:v>
                </c:pt>
                <c:pt idx="2734">
                  <c:v>1.8400000000000003</c:v>
                </c:pt>
                <c:pt idx="2735">
                  <c:v>1.3100000000000003</c:v>
                </c:pt>
                <c:pt idx="2736">
                  <c:v>1.3100000000000003</c:v>
                </c:pt>
                <c:pt idx="2737">
                  <c:v>1.3100000000000003</c:v>
                </c:pt>
                <c:pt idx="2738">
                  <c:v>1.3100000000000003</c:v>
                </c:pt>
                <c:pt idx="2739">
                  <c:v>1.8400000000000003</c:v>
                </c:pt>
                <c:pt idx="2740">
                  <c:v>1.8400000000000003</c:v>
                </c:pt>
                <c:pt idx="2741">
                  <c:v>1.8400000000000003</c:v>
                </c:pt>
                <c:pt idx="2742">
                  <c:v>1.8400000000000003</c:v>
                </c:pt>
                <c:pt idx="2743">
                  <c:v>1.3100000000000003</c:v>
                </c:pt>
                <c:pt idx="2744">
                  <c:v>1.3100000000000003</c:v>
                </c:pt>
                <c:pt idx="2745">
                  <c:v>1.3100000000000003</c:v>
                </c:pt>
                <c:pt idx="2746">
                  <c:v>1.3100000000000003</c:v>
                </c:pt>
                <c:pt idx="2747">
                  <c:v>1.8400000000000003</c:v>
                </c:pt>
                <c:pt idx="2748">
                  <c:v>1.8400000000000003</c:v>
                </c:pt>
                <c:pt idx="2749">
                  <c:v>1.8400000000000003</c:v>
                </c:pt>
                <c:pt idx="2750">
                  <c:v>1.8400000000000003</c:v>
                </c:pt>
                <c:pt idx="2751">
                  <c:v>1.3100000000000003</c:v>
                </c:pt>
                <c:pt idx="2752">
                  <c:v>1.3100000000000003</c:v>
                </c:pt>
                <c:pt idx="2753">
                  <c:v>1.3100000000000003</c:v>
                </c:pt>
                <c:pt idx="2754">
                  <c:v>1.3100000000000003</c:v>
                </c:pt>
                <c:pt idx="2755">
                  <c:v>1.8400000000000003</c:v>
                </c:pt>
                <c:pt idx="2756">
                  <c:v>1.8400000000000003</c:v>
                </c:pt>
                <c:pt idx="2757">
                  <c:v>1.8400000000000003</c:v>
                </c:pt>
                <c:pt idx="2758">
                  <c:v>1.8400000000000003</c:v>
                </c:pt>
                <c:pt idx="2759">
                  <c:v>1.3100000000000003</c:v>
                </c:pt>
                <c:pt idx="2760">
                  <c:v>1.3100000000000003</c:v>
                </c:pt>
                <c:pt idx="2761">
                  <c:v>1.3100000000000003</c:v>
                </c:pt>
                <c:pt idx="2762">
                  <c:v>1.3100000000000003</c:v>
                </c:pt>
                <c:pt idx="2763">
                  <c:v>1.8400000000000003</c:v>
                </c:pt>
                <c:pt idx="2764">
                  <c:v>1.8400000000000003</c:v>
                </c:pt>
                <c:pt idx="2765">
                  <c:v>1.8400000000000003</c:v>
                </c:pt>
                <c:pt idx="2766">
                  <c:v>1.8400000000000003</c:v>
                </c:pt>
                <c:pt idx="2767">
                  <c:v>1.3100000000000003</c:v>
                </c:pt>
                <c:pt idx="2768">
                  <c:v>1.3100000000000003</c:v>
                </c:pt>
                <c:pt idx="2769">
                  <c:v>1.3100000000000003</c:v>
                </c:pt>
                <c:pt idx="2770">
                  <c:v>1.3100000000000003</c:v>
                </c:pt>
                <c:pt idx="2771">
                  <c:v>1.8400000000000003</c:v>
                </c:pt>
                <c:pt idx="2772">
                  <c:v>1.8400000000000003</c:v>
                </c:pt>
                <c:pt idx="2773">
                  <c:v>1.8400000000000003</c:v>
                </c:pt>
                <c:pt idx="2774">
                  <c:v>1.8400000000000003</c:v>
                </c:pt>
                <c:pt idx="2775">
                  <c:v>1.3100000000000003</c:v>
                </c:pt>
                <c:pt idx="2776">
                  <c:v>1.3100000000000003</c:v>
                </c:pt>
                <c:pt idx="2777">
                  <c:v>1.3100000000000003</c:v>
                </c:pt>
                <c:pt idx="2778">
                  <c:v>1.3100000000000003</c:v>
                </c:pt>
                <c:pt idx="2779">
                  <c:v>1.8400000000000003</c:v>
                </c:pt>
                <c:pt idx="2780">
                  <c:v>1.8400000000000003</c:v>
                </c:pt>
                <c:pt idx="2781">
                  <c:v>1.8400000000000003</c:v>
                </c:pt>
                <c:pt idx="2782">
                  <c:v>1.8400000000000003</c:v>
                </c:pt>
                <c:pt idx="2783">
                  <c:v>1.3100000000000003</c:v>
                </c:pt>
                <c:pt idx="2784">
                  <c:v>1.3100000000000003</c:v>
                </c:pt>
                <c:pt idx="2785">
                  <c:v>1.3100000000000003</c:v>
                </c:pt>
                <c:pt idx="2786">
                  <c:v>1.3100000000000003</c:v>
                </c:pt>
                <c:pt idx="2787">
                  <c:v>1.8400000000000003</c:v>
                </c:pt>
                <c:pt idx="2788">
                  <c:v>1.8400000000000003</c:v>
                </c:pt>
                <c:pt idx="2789">
                  <c:v>1.8400000000000003</c:v>
                </c:pt>
                <c:pt idx="2790">
                  <c:v>1.8400000000000003</c:v>
                </c:pt>
                <c:pt idx="2791">
                  <c:v>1.3100000000000003</c:v>
                </c:pt>
                <c:pt idx="2792">
                  <c:v>1.3100000000000003</c:v>
                </c:pt>
                <c:pt idx="2793">
                  <c:v>1.3100000000000003</c:v>
                </c:pt>
                <c:pt idx="2794">
                  <c:v>1.3100000000000003</c:v>
                </c:pt>
                <c:pt idx="2795">
                  <c:v>1.8400000000000003</c:v>
                </c:pt>
                <c:pt idx="2796">
                  <c:v>1.8400000000000003</c:v>
                </c:pt>
                <c:pt idx="2797">
                  <c:v>1.8400000000000003</c:v>
                </c:pt>
                <c:pt idx="2798">
                  <c:v>1.8400000000000003</c:v>
                </c:pt>
                <c:pt idx="2799">
                  <c:v>1.3100000000000003</c:v>
                </c:pt>
                <c:pt idx="2800">
                  <c:v>1.3100000000000003</c:v>
                </c:pt>
                <c:pt idx="2801">
                  <c:v>1.3100000000000003</c:v>
                </c:pt>
                <c:pt idx="2802">
                  <c:v>1.3100000000000003</c:v>
                </c:pt>
                <c:pt idx="2803">
                  <c:v>1.8400000000000003</c:v>
                </c:pt>
                <c:pt idx="2804">
                  <c:v>1.8400000000000003</c:v>
                </c:pt>
                <c:pt idx="2805">
                  <c:v>1.8400000000000003</c:v>
                </c:pt>
                <c:pt idx="2806">
                  <c:v>1.8400000000000003</c:v>
                </c:pt>
                <c:pt idx="2807">
                  <c:v>1.3100000000000003</c:v>
                </c:pt>
                <c:pt idx="2808">
                  <c:v>1.3100000000000003</c:v>
                </c:pt>
                <c:pt idx="2809">
                  <c:v>1.3100000000000003</c:v>
                </c:pt>
                <c:pt idx="2810">
                  <c:v>1.3100000000000003</c:v>
                </c:pt>
                <c:pt idx="2811">
                  <c:v>1.8400000000000003</c:v>
                </c:pt>
                <c:pt idx="2812">
                  <c:v>1.8400000000000003</c:v>
                </c:pt>
                <c:pt idx="2813">
                  <c:v>1.8400000000000003</c:v>
                </c:pt>
                <c:pt idx="2814">
                  <c:v>1.8400000000000003</c:v>
                </c:pt>
                <c:pt idx="2815">
                  <c:v>1.3100000000000003</c:v>
                </c:pt>
                <c:pt idx="2816">
                  <c:v>1.3100000000000003</c:v>
                </c:pt>
                <c:pt idx="2817">
                  <c:v>1.3100000000000003</c:v>
                </c:pt>
                <c:pt idx="2818">
                  <c:v>1.3100000000000003</c:v>
                </c:pt>
                <c:pt idx="2819">
                  <c:v>1.8400000000000003</c:v>
                </c:pt>
                <c:pt idx="2820">
                  <c:v>1.8400000000000003</c:v>
                </c:pt>
                <c:pt idx="2821">
                  <c:v>1.8400000000000003</c:v>
                </c:pt>
                <c:pt idx="2822">
                  <c:v>1.8400000000000003</c:v>
                </c:pt>
                <c:pt idx="2823">
                  <c:v>1.3100000000000003</c:v>
                </c:pt>
                <c:pt idx="2824">
                  <c:v>1.3100000000000003</c:v>
                </c:pt>
                <c:pt idx="2825">
                  <c:v>1.3100000000000003</c:v>
                </c:pt>
                <c:pt idx="2826">
                  <c:v>1.3100000000000003</c:v>
                </c:pt>
                <c:pt idx="2827">
                  <c:v>1.8400000000000003</c:v>
                </c:pt>
                <c:pt idx="2828">
                  <c:v>1.8400000000000003</c:v>
                </c:pt>
                <c:pt idx="2829">
                  <c:v>1.8400000000000003</c:v>
                </c:pt>
                <c:pt idx="2830">
                  <c:v>1.8400000000000003</c:v>
                </c:pt>
                <c:pt idx="2831">
                  <c:v>1.3100000000000003</c:v>
                </c:pt>
                <c:pt idx="2832">
                  <c:v>1.3100000000000003</c:v>
                </c:pt>
                <c:pt idx="2833">
                  <c:v>1.3100000000000003</c:v>
                </c:pt>
                <c:pt idx="2834">
                  <c:v>1.3100000000000003</c:v>
                </c:pt>
                <c:pt idx="2835">
                  <c:v>1.8400000000000003</c:v>
                </c:pt>
                <c:pt idx="2836">
                  <c:v>1.8400000000000003</c:v>
                </c:pt>
                <c:pt idx="2837">
                  <c:v>1.8400000000000003</c:v>
                </c:pt>
                <c:pt idx="2838">
                  <c:v>1.8400000000000003</c:v>
                </c:pt>
                <c:pt idx="2839">
                  <c:v>1.3100000000000003</c:v>
                </c:pt>
                <c:pt idx="2840">
                  <c:v>1.3100000000000003</c:v>
                </c:pt>
                <c:pt idx="2841">
                  <c:v>1.3100000000000003</c:v>
                </c:pt>
                <c:pt idx="2842">
                  <c:v>1.3100000000000003</c:v>
                </c:pt>
                <c:pt idx="2843">
                  <c:v>1.8400000000000003</c:v>
                </c:pt>
                <c:pt idx="2844">
                  <c:v>1.8400000000000003</c:v>
                </c:pt>
                <c:pt idx="2845">
                  <c:v>1.8400000000000003</c:v>
                </c:pt>
                <c:pt idx="2846">
                  <c:v>1.8400000000000003</c:v>
                </c:pt>
                <c:pt idx="2847">
                  <c:v>1.3100000000000003</c:v>
                </c:pt>
                <c:pt idx="2848">
                  <c:v>1.3100000000000003</c:v>
                </c:pt>
                <c:pt idx="2849">
                  <c:v>1.3100000000000003</c:v>
                </c:pt>
                <c:pt idx="2850">
                  <c:v>1.3100000000000003</c:v>
                </c:pt>
                <c:pt idx="2851">
                  <c:v>1.8400000000000003</c:v>
                </c:pt>
                <c:pt idx="2852">
                  <c:v>1.8400000000000003</c:v>
                </c:pt>
                <c:pt idx="2853">
                  <c:v>1.8400000000000003</c:v>
                </c:pt>
                <c:pt idx="2854">
                  <c:v>1.8400000000000003</c:v>
                </c:pt>
                <c:pt idx="2855">
                  <c:v>1.3100000000000003</c:v>
                </c:pt>
                <c:pt idx="2856">
                  <c:v>1.3100000000000003</c:v>
                </c:pt>
                <c:pt idx="2857">
                  <c:v>1.3100000000000003</c:v>
                </c:pt>
                <c:pt idx="2858">
                  <c:v>1.3100000000000003</c:v>
                </c:pt>
                <c:pt idx="2859">
                  <c:v>1.8400000000000003</c:v>
                </c:pt>
                <c:pt idx="2860">
                  <c:v>1.8400000000000003</c:v>
                </c:pt>
                <c:pt idx="2861">
                  <c:v>1.8400000000000003</c:v>
                </c:pt>
                <c:pt idx="2862">
                  <c:v>1.8400000000000003</c:v>
                </c:pt>
                <c:pt idx="2863">
                  <c:v>1.3100000000000003</c:v>
                </c:pt>
                <c:pt idx="2864">
                  <c:v>1.3100000000000003</c:v>
                </c:pt>
                <c:pt idx="2865">
                  <c:v>1.3100000000000003</c:v>
                </c:pt>
                <c:pt idx="2866">
                  <c:v>1.3100000000000003</c:v>
                </c:pt>
                <c:pt idx="2867">
                  <c:v>1.8400000000000003</c:v>
                </c:pt>
                <c:pt idx="2868">
                  <c:v>1.8400000000000003</c:v>
                </c:pt>
                <c:pt idx="2869">
                  <c:v>1.8400000000000003</c:v>
                </c:pt>
                <c:pt idx="2870">
                  <c:v>1.8400000000000003</c:v>
                </c:pt>
                <c:pt idx="2871">
                  <c:v>1.3100000000000003</c:v>
                </c:pt>
                <c:pt idx="2872">
                  <c:v>1.3100000000000003</c:v>
                </c:pt>
                <c:pt idx="2873">
                  <c:v>1.3100000000000003</c:v>
                </c:pt>
                <c:pt idx="2874">
                  <c:v>1.3100000000000003</c:v>
                </c:pt>
                <c:pt idx="2875">
                  <c:v>1.8400000000000003</c:v>
                </c:pt>
                <c:pt idx="2876">
                  <c:v>1.8400000000000003</c:v>
                </c:pt>
                <c:pt idx="2877">
                  <c:v>1.8400000000000003</c:v>
                </c:pt>
                <c:pt idx="2878">
                  <c:v>1.8400000000000003</c:v>
                </c:pt>
                <c:pt idx="2879">
                  <c:v>1.3100000000000003</c:v>
                </c:pt>
                <c:pt idx="2880">
                  <c:v>1.3100000000000003</c:v>
                </c:pt>
                <c:pt idx="2881">
                  <c:v>1.3100000000000003</c:v>
                </c:pt>
                <c:pt idx="2882">
                  <c:v>1.3100000000000003</c:v>
                </c:pt>
                <c:pt idx="2883">
                  <c:v>1.8400000000000003</c:v>
                </c:pt>
                <c:pt idx="2884">
                  <c:v>1.8400000000000003</c:v>
                </c:pt>
                <c:pt idx="2885">
                  <c:v>1.8400000000000003</c:v>
                </c:pt>
                <c:pt idx="2886">
                  <c:v>1.8400000000000003</c:v>
                </c:pt>
                <c:pt idx="2887">
                  <c:v>1.3100000000000003</c:v>
                </c:pt>
                <c:pt idx="2888">
                  <c:v>1.3100000000000003</c:v>
                </c:pt>
                <c:pt idx="2889">
                  <c:v>1.3100000000000003</c:v>
                </c:pt>
                <c:pt idx="2890">
                  <c:v>1.3100000000000003</c:v>
                </c:pt>
                <c:pt idx="2891">
                  <c:v>1.3100000000000003</c:v>
                </c:pt>
                <c:pt idx="2892">
                  <c:v>1.3100000000000003</c:v>
                </c:pt>
                <c:pt idx="2893">
                  <c:v>1.8400000000000003</c:v>
                </c:pt>
                <c:pt idx="2894">
                  <c:v>1.8400000000000003</c:v>
                </c:pt>
                <c:pt idx="2895">
                  <c:v>1.8400000000000003</c:v>
                </c:pt>
                <c:pt idx="2896">
                  <c:v>1.8400000000000003</c:v>
                </c:pt>
                <c:pt idx="2897">
                  <c:v>1.3100000000000003</c:v>
                </c:pt>
                <c:pt idx="2898">
                  <c:v>1.3100000000000003</c:v>
                </c:pt>
                <c:pt idx="2899">
                  <c:v>1.3100000000000003</c:v>
                </c:pt>
                <c:pt idx="2900">
                  <c:v>1.3100000000000003</c:v>
                </c:pt>
                <c:pt idx="2901">
                  <c:v>1.8400000000000003</c:v>
                </c:pt>
                <c:pt idx="2902">
                  <c:v>1.8400000000000003</c:v>
                </c:pt>
                <c:pt idx="2903">
                  <c:v>1.8400000000000003</c:v>
                </c:pt>
                <c:pt idx="2904">
                  <c:v>1.8400000000000003</c:v>
                </c:pt>
                <c:pt idx="2905">
                  <c:v>1.3100000000000003</c:v>
                </c:pt>
                <c:pt idx="2906">
                  <c:v>1.3100000000000003</c:v>
                </c:pt>
                <c:pt idx="2907">
                  <c:v>1.3100000000000003</c:v>
                </c:pt>
                <c:pt idx="2908">
                  <c:v>1.3100000000000003</c:v>
                </c:pt>
                <c:pt idx="2909">
                  <c:v>1.8400000000000003</c:v>
                </c:pt>
                <c:pt idx="2910">
                  <c:v>1.8400000000000003</c:v>
                </c:pt>
                <c:pt idx="2911">
                  <c:v>1.8400000000000003</c:v>
                </c:pt>
                <c:pt idx="2912">
                  <c:v>1.8400000000000003</c:v>
                </c:pt>
                <c:pt idx="2913">
                  <c:v>1.3100000000000003</c:v>
                </c:pt>
                <c:pt idx="2914">
                  <c:v>1.3100000000000003</c:v>
                </c:pt>
                <c:pt idx="2915">
                  <c:v>1.3100000000000003</c:v>
                </c:pt>
                <c:pt idx="2916">
                  <c:v>1.3100000000000003</c:v>
                </c:pt>
                <c:pt idx="2917">
                  <c:v>1.8400000000000003</c:v>
                </c:pt>
                <c:pt idx="2918">
                  <c:v>1.8400000000000003</c:v>
                </c:pt>
                <c:pt idx="2919">
                  <c:v>1.8400000000000003</c:v>
                </c:pt>
                <c:pt idx="2920">
                  <c:v>1.8400000000000003</c:v>
                </c:pt>
                <c:pt idx="2921">
                  <c:v>1.3100000000000003</c:v>
                </c:pt>
                <c:pt idx="2922">
                  <c:v>1.3100000000000003</c:v>
                </c:pt>
                <c:pt idx="2923">
                  <c:v>1.3100000000000003</c:v>
                </c:pt>
                <c:pt idx="2924">
                  <c:v>1.3100000000000003</c:v>
                </c:pt>
                <c:pt idx="2925">
                  <c:v>1.8400000000000003</c:v>
                </c:pt>
                <c:pt idx="2926">
                  <c:v>1.8400000000000003</c:v>
                </c:pt>
                <c:pt idx="2927">
                  <c:v>1.8400000000000003</c:v>
                </c:pt>
                <c:pt idx="2928">
                  <c:v>1.8400000000000003</c:v>
                </c:pt>
                <c:pt idx="2929">
                  <c:v>1.3100000000000003</c:v>
                </c:pt>
                <c:pt idx="2930">
                  <c:v>1.3100000000000003</c:v>
                </c:pt>
                <c:pt idx="2931">
                  <c:v>1.3100000000000003</c:v>
                </c:pt>
                <c:pt idx="2932">
                  <c:v>1.3100000000000003</c:v>
                </c:pt>
                <c:pt idx="2933">
                  <c:v>1.8400000000000003</c:v>
                </c:pt>
                <c:pt idx="2934">
                  <c:v>1.8400000000000003</c:v>
                </c:pt>
                <c:pt idx="2935">
                  <c:v>1.8400000000000003</c:v>
                </c:pt>
                <c:pt idx="2936">
                  <c:v>1.8400000000000003</c:v>
                </c:pt>
                <c:pt idx="2937">
                  <c:v>1.3100000000000003</c:v>
                </c:pt>
                <c:pt idx="2938">
                  <c:v>1.3100000000000003</c:v>
                </c:pt>
                <c:pt idx="2939">
                  <c:v>1.3100000000000003</c:v>
                </c:pt>
                <c:pt idx="2940">
                  <c:v>1.3100000000000003</c:v>
                </c:pt>
                <c:pt idx="2941">
                  <c:v>1.8400000000000003</c:v>
                </c:pt>
                <c:pt idx="2942">
                  <c:v>1.8400000000000003</c:v>
                </c:pt>
                <c:pt idx="2943">
                  <c:v>1.8400000000000003</c:v>
                </c:pt>
                <c:pt idx="2944">
                  <c:v>1.8400000000000003</c:v>
                </c:pt>
                <c:pt idx="2945">
                  <c:v>1.3100000000000003</c:v>
                </c:pt>
                <c:pt idx="2946">
                  <c:v>1.3100000000000003</c:v>
                </c:pt>
                <c:pt idx="2947">
                  <c:v>1.3100000000000003</c:v>
                </c:pt>
                <c:pt idx="2948">
                  <c:v>1.3100000000000003</c:v>
                </c:pt>
                <c:pt idx="2949">
                  <c:v>1.8400000000000003</c:v>
                </c:pt>
                <c:pt idx="2950">
                  <c:v>1.8400000000000003</c:v>
                </c:pt>
                <c:pt idx="2951">
                  <c:v>1.8400000000000003</c:v>
                </c:pt>
                <c:pt idx="2952">
                  <c:v>1.8400000000000003</c:v>
                </c:pt>
                <c:pt idx="2953">
                  <c:v>1.3100000000000003</c:v>
                </c:pt>
                <c:pt idx="2954">
                  <c:v>1.3100000000000003</c:v>
                </c:pt>
                <c:pt idx="2955">
                  <c:v>1.3100000000000003</c:v>
                </c:pt>
                <c:pt idx="2956">
                  <c:v>1.3100000000000003</c:v>
                </c:pt>
                <c:pt idx="2957">
                  <c:v>1.8400000000000003</c:v>
                </c:pt>
                <c:pt idx="2958">
                  <c:v>1.8400000000000003</c:v>
                </c:pt>
                <c:pt idx="2959">
                  <c:v>1.8400000000000003</c:v>
                </c:pt>
                <c:pt idx="2960">
                  <c:v>1.8400000000000003</c:v>
                </c:pt>
                <c:pt idx="2961">
                  <c:v>1.3100000000000003</c:v>
                </c:pt>
                <c:pt idx="2962">
                  <c:v>1.3100000000000003</c:v>
                </c:pt>
                <c:pt idx="2963">
                  <c:v>1.3100000000000003</c:v>
                </c:pt>
                <c:pt idx="2964">
                  <c:v>1.3100000000000003</c:v>
                </c:pt>
                <c:pt idx="2965">
                  <c:v>1.8400000000000003</c:v>
                </c:pt>
                <c:pt idx="2966">
                  <c:v>1.8400000000000003</c:v>
                </c:pt>
                <c:pt idx="2967">
                  <c:v>1.8400000000000003</c:v>
                </c:pt>
                <c:pt idx="2968">
                  <c:v>1.8400000000000003</c:v>
                </c:pt>
                <c:pt idx="2969">
                  <c:v>1.3100000000000003</c:v>
                </c:pt>
                <c:pt idx="2970">
                  <c:v>1.3100000000000003</c:v>
                </c:pt>
                <c:pt idx="2971">
                  <c:v>1.3100000000000003</c:v>
                </c:pt>
                <c:pt idx="2972">
                  <c:v>1.3100000000000003</c:v>
                </c:pt>
                <c:pt idx="2973">
                  <c:v>1.8400000000000003</c:v>
                </c:pt>
                <c:pt idx="2974">
                  <c:v>1.8400000000000003</c:v>
                </c:pt>
                <c:pt idx="2975">
                  <c:v>1.8400000000000003</c:v>
                </c:pt>
                <c:pt idx="2976">
                  <c:v>1.8400000000000003</c:v>
                </c:pt>
                <c:pt idx="2977">
                  <c:v>1.3100000000000003</c:v>
                </c:pt>
                <c:pt idx="2978">
                  <c:v>1.3100000000000003</c:v>
                </c:pt>
                <c:pt idx="2979">
                  <c:v>1.3100000000000003</c:v>
                </c:pt>
                <c:pt idx="2980">
                  <c:v>1.3100000000000003</c:v>
                </c:pt>
                <c:pt idx="2981">
                  <c:v>1.8400000000000003</c:v>
                </c:pt>
                <c:pt idx="2982">
                  <c:v>1.8400000000000003</c:v>
                </c:pt>
                <c:pt idx="2983">
                  <c:v>1.8400000000000003</c:v>
                </c:pt>
                <c:pt idx="2984">
                  <c:v>1.8400000000000003</c:v>
                </c:pt>
                <c:pt idx="2985">
                  <c:v>1.3100000000000003</c:v>
                </c:pt>
                <c:pt idx="2986">
                  <c:v>1.3100000000000003</c:v>
                </c:pt>
                <c:pt idx="2987">
                  <c:v>1.3100000000000003</c:v>
                </c:pt>
                <c:pt idx="2988">
                  <c:v>1.3100000000000003</c:v>
                </c:pt>
                <c:pt idx="2989">
                  <c:v>1.8400000000000003</c:v>
                </c:pt>
                <c:pt idx="2990">
                  <c:v>1.8400000000000003</c:v>
                </c:pt>
                <c:pt idx="2991">
                  <c:v>1.8400000000000003</c:v>
                </c:pt>
                <c:pt idx="2992">
                  <c:v>1.8400000000000003</c:v>
                </c:pt>
                <c:pt idx="2993">
                  <c:v>1.3100000000000003</c:v>
                </c:pt>
                <c:pt idx="2994">
                  <c:v>1.3100000000000003</c:v>
                </c:pt>
                <c:pt idx="2995">
                  <c:v>1.3100000000000003</c:v>
                </c:pt>
                <c:pt idx="2996">
                  <c:v>1.3100000000000003</c:v>
                </c:pt>
                <c:pt idx="2997">
                  <c:v>1.8400000000000003</c:v>
                </c:pt>
                <c:pt idx="2998">
                  <c:v>1.8400000000000003</c:v>
                </c:pt>
                <c:pt idx="2999">
                  <c:v>1.8400000000000003</c:v>
                </c:pt>
                <c:pt idx="3000">
                  <c:v>1.8400000000000003</c:v>
                </c:pt>
                <c:pt idx="3001">
                  <c:v>1.3100000000000003</c:v>
                </c:pt>
                <c:pt idx="3002">
                  <c:v>1.3100000000000003</c:v>
                </c:pt>
                <c:pt idx="3003">
                  <c:v>1.3100000000000003</c:v>
                </c:pt>
                <c:pt idx="3004">
                  <c:v>1.3100000000000003</c:v>
                </c:pt>
                <c:pt idx="3005">
                  <c:v>1.8400000000000003</c:v>
                </c:pt>
                <c:pt idx="3006">
                  <c:v>1.8400000000000003</c:v>
                </c:pt>
                <c:pt idx="3007">
                  <c:v>1.8400000000000003</c:v>
                </c:pt>
                <c:pt idx="3008">
                  <c:v>1.8400000000000003</c:v>
                </c:pt>
                <c:pt idx="3009">
                  <c:v>1.3100000000000003</c:v>
                </c:pt>
                <c:pt idx="3010">
                  <c:v>1.3100000000000003</c:v>
                </c:pt>
                <c:pt idx="3011">
                  <c:v>1.3100000000000003</c:v>
                </c:pt>
                <c:pt idx="3012">
                  <c:v>1.3100000000000003</c:v>
                </c:pt>
                <c:pt idx="3013">
                  <c:v>1.8400000000000003</c:v>
                </c:pt>
                <c:pt idx="3014">
                  <c:v>1.8400000000000003</c:v>
                </c:pt>
                <c:pt idx="3015">
                  <c:v>1.8400000000000003</c:v>
                </c:pt>
                <c:pt idx="3016">
                  <c:v>1.8400000000000003</c:v>
                </c:pt>
                <c:pt idx="3017">
                  <c:v>1.3100000000000003</c:v>
                </c:pt>
                <c:pt idx="3018">
                  <c:v>1.3100000000000003</c:v>
                </c:pt>
                <c:pt idx="3019">
                  <c:v>1.3100000000000003</c:v>
                </c:pt>
                <c:pt idx="3020">
                  <c:v>1.3100000000000003</c:v>
                </c:pt>
                <c:pt idx="3021">
                  <c:v>1.8400000000000003</c:v>
                </c:pt>
                <c:pt idx="3022">
                  <c:v>1.8400000000000003</c:v>
                </c:pt>
                <c:pt idx="3023">
                  <c:v>1.8400000000000003</c:v>
                </c:pt>
                <c:pt idx="3024">
                  <c:v>1.8400000000000003</c:v>
                </c:pt>
                <c:pt idx="3025">
                  <c:v>1.3100000000000003</c:v>
                </c:pt>
                <c:pt idx="3026">
                  <c:v>1.3100000000000003</c:v>
                </c:pt>
                <c:pt idx="3027">
                  <c:v>1.3100000000000003</c:v>
                </c:pt>
                <c:pt idx="3028">
                  <c:v>1.3100000000000003</c:v>
                </c:pt>
                <c:pt idx="3029">
                  <c:v>1.8400000000000003</c:v>
                </c:pt>
                <c:pt idx="3030">
                  <c:v>1.8400000000000003</c:v>
                </c:pt>
                <c:pt idx="3031">
                  <c:v>1.8400000000000003</c:v>
                </c:pt>
                <c:pt idx="3032">
                  <c:v>1.8400000000000003</c:v>
                </c:pt>
                <c:pt idx="3033">
                  <c:v>1.3100000000000003</c:v>
                </c:pt>
                <c:pt idx="3034">
                  <c:v>1.3100000000000003</c:v>
                </c:pt>
                <c:pt idx="3035">
                  <c:v>1.3100000000000003</c:v>
                </c:pt>
                <c:pt idx="3036">
                  <c:v>1.3100000000000003</c:v>
                </c:pt>
                <c:pt idx="3037">
                  <c:v>1.8400000000000003</c:v>
                </c:pt>
                <c:pt idx="3038">
                  <c:v>1.8400000000000003</c:v>
                </c:pt>
                <c:pt idx="3039">
                  <c:v>1.8400000000000003</c:v>
                </c:pt>
                <c:pt idx="3040">
                  <c:v>1.8400000000000003</c:v>
                </c:pt>
                <c:pt idx="3041">
                  <c:v>1.3100000000000003</c:v>
                </c:pt>
                <c:pt idx="3042">
                  <c:v>1.3100000000000003</c:v>
                </c:pt>
                <c:pt idx="3043">
                  <c:v>1.3100000000000003</c:v>
                </c:pt>
                <c:pt idx="3044">
                  <c:v>1.3100000000000003</c:v>
                </c:pt>
                <c:pt idx="3045">
                  <c:v>1.8400000000000003</c:v>
                </c:pt>
                <c:pt idx="3046">
                  <c:v>1.8400000000000003</c:v>
                </c:pt>
                <c:pt idx="3047">
                  <c:v>1.8400000000000003</c:v>
                </c:pt>
                <c:pt idx="3048">
                  <c:v>1.8400000000000003</c:v>
                </c:pt>
                <c:pt idx="3049">
                  <c:v>1.3100000000000003</c:v>
                </c:pt>
                <c:pt idx="3050">
                  <c:v>1.3100000000000003</c:v>
                </c:pt>
                <c:pt idx="3051">
                  <c:v>1.3100000000000003</c:v>
                </c:pt>
                <c:pt idx="3052">
                  <c:v>1.3100000000000003</c:v>
                </c:pt>
                <c:pt idx="3053">
                  <c:v>1.8400000000000003</c:v>
                </c:pt>
                <c:pt idx="3054">
                  <c:v>1.8400000000000003</c:v>
                </c:pt>
                <c:pt idx="3055">
                  <c:v>1.8400000000000003</c:v>
                </c:pt>
                <c:pt idx="3056">
                  <c:v>1.8400000000000003</c:v>
                </c:pt>
                <c:pt idx="3057">
                  <c:v>1.3100000000000003</c:v>
                </c:pt>
                <c:pt idx="3058">
                  <c:v>1.3100000000000003</c:v>
                </c:pt>
                <c:pt idx="3059">
                  <c:v>1.3100000000000003</c:v>
                </c:pt>
                <c:pt idx="3060">
                  <c:v>1.3100000000000003</c:v>
                </c:pt>
                <c:pt idx="3061">
                  <c:v>1.8400000000000003</c:v>
                </c:pt>
                <c:pt idx="3062">
                  <c:v>1.8400000000000003</c:v>
                </c:pt>
                <c:pt idx="3063">
                  <c:v>1.8400000000000003</c:v>
                </c:pt>
                <c:pt idx="3064">
                  <c:v>1.8400000000000003</c:v>
                </c:pt>
                <c:pt idx="3065">
                  <c:v>1.3100000000000003</c:v>
                </c:pt>
                <c:pt idx="3066">
                  <c:v>1.3100000000000003</c:v>
                </c:pt>
                <c:pt idx="3067">
                  <c:v>1.3100000000000003</c:v>
                </c:pt>
                <c:pt idx="3068">
                  <c:v>1.3100000000000003</c:v>
                </c:pt>
                <c:pt idx="3069">
                  <c:v>1.8400000000000003</c:v>
                </c:pt>
                <c:pt idx="3070">
                  <c:v>1.8400000000000003</c:v>
                </c:pt>
                <c:pt idx="3071">
                  <c:v>1.8400000000000003</c:v>
                </c:pt>
                <c:pt idx="3072">
                  <c:v>1.8400000000000003</c:v>
                </c:pt>
                <c:pt idx="3073">
                  <c:v>1.3100000000000003</c:v>
                </c:pt>
                <c:pt idx="3074">
                  <c:v>1.3100000000000003</c:v>
                </c:pt>
                <c:pt idx="3075">
                  <c:v>1.3100000000000003</c:v>
                </c:pt>
                <c:pt idx="3076">
                  <c:v>1.3100000000000003</c:v>
                </c:pt>
                <c:pt idx="3077">
                  <c:v>1.8400000000000003</c:v>
                </c:pt>
                <c:pt idx="3078">
                  <c:v>1.8400000000000003</c:v>
                </c:pt>
                <c:pt idx="3079">
                  <c:v>1.8400000000000003</c:v>
                </c:pt>
                <c:pt idx="3080">
                  <c:v>1.8400000000000003</c:v>
                </c:pt>
                <c:pt idx="3081">
                  <c:v>1.3100000000000003</c:v>
                </c:pt>
                <c:pt idx="3082">
                  <c:v>1.3100000000000003</c:v>
                </c:pt>
                <c:pt idx="3083">
                  <c:v>1.3100000000000003</c:v>
                </c:pt>
                <c:pt idx="3084">
                  <c:v>1.3100000000000003</c:v>
                </c:pt>
                <c:pt idx="3085">
                  <c:v>1.8400000000000003</c:v>
                </c:pt>
                <c:pt idx="3086">
                  <c:v>1.8400000000000003</c:v>
                </c:pt>
                <c:pt idx="3087">
                  <c:v>1.8400000000000003</c:v>
                </c:pt>
                <c:pt idx="3088">
                  <c:v>1.8400000000000003</c:v>
                </c:pt>
                <c:pt idx="3089">
                  <c:v>1.3100000000000003</c:v>
                </c:pt>
                <c:pt idx="3090">
                  <c:v>1.3100000000000003</c:v>
                </c:pt>
                <c:pt idx="3091">
                  <c:v>1.3100000000000003</c:v>
                </c:pt>
                <c:pt idx="3092">
                  <c:v>1.3100000000000003</c:v>
                </c:pt>
                <c:pt idx="3093">
                  <c:v>1.8400000000000003</c:v>
                </c:pt>
                <c:pt idx="3094">
                  <c:v>1.8400000000000003</c:v>
                </c:pt>
                <c:pt idx="3095">
                  <c:v>1.8400000000000003</c:v>
                </c:pt>
                <c:pt idx="3096">
                  <c:v>1.8400000000000003</c:v>
                </c:pt>
                <c:pt idx="3097">
                  <c:v>1.3100000000000003</c:v>
                </c:pt>
                <c:pt idx="3098">
                  <c:v>1.3100000000000003</c:v>
                </c:pt>
                <c:pt idx="3099">
                  <c:v>1.3100000000000003</c:v>
                </c:pt>
                <c:pt idx="3100">
                  <c:v>1.3100000000000003</c:v>
                </c:pt>
                <c:pt idx="3101">
                  <c:v>1.8400000000000003</c:v>
                </c:pt>
                <c:pt idx="3102">
                  <c:v>1.8400000000000003</c:v>
                </c:pt>
                <c:pt idx="3103">
                  <c:v>1.8400000000000003</c:v>
                </c:pt>
                <c:pt idx="3104">
                  <c:v>1.8400000000000003</c:v>
                </c:pt>
                <c:pt idx="3105">
                  <c:v>1.3100000000000003</c:v>
                </c:pt>
                <c:pt idx="3106">
                  <c:v>1.3100000000000003</c:v>
                </c:pt>
                <c:pt idx="3107">
                  <c:v>1.3100000000000003</c:v>
                </c:pt>
                <c:pt idx="3108">
                  <c:v>1.3100000000000003</c:v>
                </c:pt>
                <c:pt idx="3109">
                  <c:v>1.8400000000000003</c:v>
                </c:pt>
                <c:pt idx="3110">
                  <c:v>1.8400000000000003</c:v>
                </c:pt>
                <c:pt idx="3111">
                  <c:v>1.8400000000000003</c:v>
                </c:pt>
                <c:pt idx="3112">
                  <c:v>1.8400000000000003</c:v>
                </c:pt>
                <c:pt idx="3113">
                  <c:v>1.3100000000000003</c:v>
                </c:pt>
                <c:pt idx="3114">
                  <c:v>1.3100000000000003</c:v>
                </c:pt>
                <c:pt idx="3115">
                  <c:v>1.3100000000000003</c:v>
                </c:pt>
                <c:pt idx="3116">
                  <c:v>1.3100000000000003</c:v>
                </c:pt>
                <c:pt idx="3117">
                  <c:v>1.8400000000000003</c:v>
                </c:pt>
                <c:pt idx="3118">
                  <c:v>1.8400000000000003</c:v>
                </c:pt>
                <c:pt idx="3119">
                  <c:v>1.8400000000000003</c:v>
                </c:pt>
                <c:pt idx="3120">
                  <c:v>1.8400000000000003</c:v>
                </c:pt>
                <c:pt idx="3121">
                  <c:v>1.3100000000000003</c:v>
                </c:pt>
                <c:pt idx="3122">
                  <c:v>1.3100000000000003</c:v>
                </c:pt>
                <c:pt idx="3123">
                  <c:v>1.3100000000000003</c:v>
                </c:pt>
                <c:pt idx="3124">
                  <c:v>1.3100000000000003</c:v>
                </c:pt>
                <c:pt idx="3125">
                  <c:v>1.8400000000000003</c:v>
                </c:pt>
                <c:pt idx="3126">
                  <c:v>1.8400000000000003</c:v>
                </c:pt>
                <c:pt idx="3127">
                  <c:v>1.8400000000000003</c:v>
                </c:pt>
                <c:pt idx="3128">
                  <c:v>1.8400000000000003</c:v>
                </c:pt>
                <c:pt idx="3129">
                  <c:v>1.3100000000000003</c:v>
                </c:pt>
                <c:pt idx="3130">
                  <c:v>1.3100000000000003</c:v>
                </c:pt>
                <c:pt idx="3131">
                  <c:v>1.3100000000000003</c:v>
                </c:pt>
                <c:pt idx="3132">
                  <c:v>1.3100000000000003</c:v>
                </c:pt>
                <c:pt idx="3133">
                  <c:v>1.8400000000000003</c:v>
                </c:pt>
                <c:pt idx="3134">
                  <c:v>1.8400000000000003</c:v>
                </c:pt>
                <c:pt idx="3135">
                  <c:v>1.8400000000000003</c:v>
                </c:pt>
                <c:pt idx="3136">
                  <c:v>1.8400000000000003</c:v>
                </c:pt>
                <c:pt idx="3137">
                  <c:v>1.3100000000000003</c:v>
                </c:pt>
                <c:pt idx="3138">
                  <c:v>1.3100000000000003</c:v>
                </c:pt>
                <c:pt idx="3139">
                  <c:v>1.3100000000000003</c:v>
                </c:pt>
                <c:pt idx="3140">
                  <c:v>1.3100000000000003</c:v>
                </c:pt>
                <c:pt idx="3141">
                  <c:v>1.8400000000000003</c:v>
                </c:pt>
                <c:pt idx="3142">
                  <c:v>1.8400000000000003</c:v>
                </c:pt>
                <c:pt idx="3143">
                  <c:v>1.8400000000000003</c:v>
                </c:pt>
                <c:pt idx="3144">
                  <c:v>1.8400000000000003</c:v>
                </c:pt>
                <c:pt idx="3145">
                  <c:v>1.3100000000000003</c:v>
                </c:pt>
                <c:pt idx="3146">
                  <c:v>1.3100000000000003</c:v>
                </c:pt>
                <c:pt idx="3147">
                  <c:v>1.3100000000000003</c:v>
                </c:pt>
                <c:pt idx="3148">
                  <c:v>1.3100000000000003</c:v>
                </c:pt>
                <c:pt idx="3149">
                  <c:v>1.8400000000000003</c:v>
                </c:pt>
                <c:pt idx="3150">
                  <c:v>1.8400000000000003</c:v>
                </c:pt>
                <c:pt idx="3151">
                  <c:v>1.8400000000000003</c:v>
                </c:pt>
                <c:pt idx="3152">
                  <c:v>1.8400000000000003</c:v>
                </c:pt>
                <c:pt idx="3153">
                  <c:v>1.3100000000000003</c:v>
                </c:pt>
                <c:pt idx="3154">
                  <c:v>1.3100000000000003</c:v>
                </c:pt>
                <c:pt idx="3155">
                  <c:v>1.3100000000000003</c:v>
                </c:pt>
                <c:pt idx="3156">
                  <c:v>1.3100000000000003</c:v>
                </c:pt>
                <c:pt idx="3157">
                  <c:v>1.8400000000000003</c:v>
                </c:pt>
                <c:pt idx="3158">
                  <c:v>1.8400000000000003</c:v>
                </c:pt>
                <c:pt idx="3159">
                  <c:v>1.8400000000000003</c:v>
                </c:pt>
                <c:pt idx="3160">
                  <c:v>1.8400000000000003</c:v>
                </c:pt>
                <c:pt idx="3161">
                  <c:v>1.3100000000000003</c:v>
                </c:pt>
                <c:pt idx="3162">
                  <c:v>1.3100000000000003</c:v>
                </c:pt>
                <c:pt idx="3163">
                  <c:v>1.3100000000000003</c:v>
                </c:pt>
                <c:pt idx="3164">
                  <c:v>1.3100000000000003</c:v>
                </c:pt>
                <c:pt idx="3165">
                  <c:v>1.8400000000000003</c:v>
                </c:pt>
                <c:pt idx="3166">
                  <c:v>1.8400000000000003</c:v>
                </c:pt>
                <c:pt idx="3167">
                  <c:v>1.8400000000000003</c:v>
                </c:pt>
                <c:pt idx="3168">
                  <c:v>1.8400000000000003</c:v>
                </c:pt>
                <c:pt idx="3169">
                  <c:v>1.3100000000000003</c:v>
                </c:pt>
                <c:pt idx="3170">
                  <c:v>1.3100000000000003</c:v>
                </c:pt>
                <c:pt idx="3171">
                  <c:v>1.3100000000000003</c:v>
                </c:pt>
                <c:pt idx="3172">
                  <c:v>1.3100000000000003</c:v>
                </c:pt>
                <c:pt idx="3173">
                  <c:v>1.8400000000000003</c:v>
                </c:pt>
                <c:pt idx="3174">
                  <c:v>1.8400000000000003</c:v>
                </c:pt>
                <c:pt idx="3175">
                  <c:v>1.8400000000000003</c:v>
                </c:pt>
                <c:pt idx="3176">
                  <c:v>1.8400000000000003</c:v>
                </c:pt>
                <c:pt idx="3177">
                  <c:v>1.3100000000000003</c:v>
                </c:pt>
                <c:pt idx="3178">
                  <c:v>1.3100000000000003</c:v>
                </c:pt>
                <c:pt idx="3179">
                  <c:v>1.3100000000000003</c:v>
                </c:pt>
                <c:pt idx="3180">
                  <c:v>1.3100000000000003</c:v>
                </c:pt>
                <c:pt idx="3181">
                  <c:v>1.8400000000000003</c:v>
                </c:pt>
                <c:pt idx="3182">
                  <c:v>1.8400000000000003</c:v>
                </c:pt>
                <c:pt idx="3183">
                  <c:v>1.8400000000000003</c:v>
                </c:pt>
                <c:pt idx="3184">
                  <c:v>1.8400000000000003</c:v>
                </c:pt>
                <c:pt idx="3185">
                  <c:v>1.3100000000000003</c:v>
                </c:pt>
                <c:pt idx="3186">
                  <c:v>1.3100000000000003</c:v>
                </c:pt>
                <c:pt idx="3187">
                  <c:v>1.3100000000000003</c:v>
                </c:pt>
                <c:pt idx="3188">
                  <c:v>1.3100000000000003</c:v>
                </c:pt>
                <c:pt idx="3189">
                  <c:v>1.8400000000000003</c:v>
                </c:pt>
                <c:pt idx="3190">
                  <c:v>1.8400000000000003</c:v>
                </c:pt>
                <c:pt idx="3191">
                  <c:v>1.8400000000000003</c:v>
                </c:pt>
                <c:pt idx="3192">
                  <c:v>1.8400000000000003</c:v>
                </c:pt>
                <c:pt idx="3193">
                  <c:v>1.3100000000000003</c:v>
                </c:pt>
                <c:pt idx="3194">
                  <c:v>1.3100000000000003</c:v>
                </c:pt>
                <c:pt idx="3195">
                  <c:v>1.3100000000000003</c:v>
                </c:pt>
                <c:pt idx="3196">
                  <c:v>1.3100000000000003</c:v>
                </c:pt>
                <c:pt idx="3197">
                  <c:v>1.8400000000000003</c:v>
                </c:pt>
                <c:pt idx="3198">
                  <c:v>1.8400000000000003</c:v>
                </c:pt>
                <c:pt idx="3199">
                  <c:v>1.8400000000000003</c:v>
                </c:pt>
                <c:pt idx="3200">
                  <c:v>1.8400000000000003</c:v>
                </c:pt>
                <c:pt idx="3201">
                  <c:v>1.3100000000000003</c:v>
                </c:pt>
                <c:pt idx="3202">
                  <c:v>1.3100000000000003</c:v>
                </c:pt>
                <c:pt idx="3203">
                  <c:v>1.3100000000000003</c:v>
                </c:pt>
                <c:pt idx="3204">
                  <c:v>1.3100000000000003</c:v>
                </c:pt>
                <c:pt idx="3205">
                  <c:v>1.8400000000000003</c:v>
                </c:pt>
                <c:pt idx="3206">
                  <c:v>1.8400000000000003</c:v>
                </c:pt>
                <c:pt idx="3207">
                  <c:v>1.8400000000000003</c:v>
                </c:pt>
                <c:pt idx="3208">
                  <c:v>1.8400000000000003</c:v>
                </c:pt>
                <c:pt idx="3209">
                  <c:v>1.3100000000000003</c:v>
                </c:pt>
                <c:pt idx="3210">
                  <c:v>1.3100000000000003</c:v>
                </c:pt>
                <c:pt idx="3211">
                  <c:v>1.3100000000000003</c:v>
                </c:pt>
                <c:pt idx="3212">
                  <c:v>1.3100000000000003</c:v>
                </c:pt>
                <c:pt idx="3213">
                  <c:v>1.8400000000000003</c:v>
                </c:pt>
                <c:pt idx="3214">
                  <c:v>1.8400000000000003</c:v>
                </c:pt>
                <c:pt idx="3215">
                  <c:v>1.8400000000000003</c:v>
                </c:pt>
                <c:pt idx="3216">
                  <c:v>1.8400000000000003</c:v>
                </c:pt>
                <c:pt idx="3217">
                  <c:v>1.3100000000000003</c:v>
                </c:pt>
                <c:pt idx="3218">
                  <c:v>1.3100000000000003</c:v>
                </c:pt>
                <c:pt idx="3219">
                  <c:v>1.3100000000000003</c:v>
                </c:pt>
                <c:pt idx="3220">
                  <c:v>1.3100000000000003</c:v>
                </c:pt>
                <c:pt idx="3221">
                  <c:v>1.8400000000000003</c:v>
                </c:pt>
                <c:pt idx="3222">
                  <c:v>1.8400000000000003</c:v>
                </c:pt>
                <c:pt idx="3223">
                  <c:v>1.8400000000000003</c:v>
                </c:pt>
                <c:pt idx="3224">
                  <c:v>1.8400000000000003</c:v>
                </c:pt>
                <c:pt idx="3225">
                  <c:v>1.3100000000000003</c:v>
                </c:pt>
                <c:pt idx="3226">
                  <c:v>1.3100000000000003</c:v>
                </c:pt>
                <c:pt idx="3227">
                  <c:v>1.3100000000000003</c:v>
                </c:pt>
                <c:pt idx="3228">
                  <c:v>1.3100000000000003</c:v>
                </c:pt>
                <c:pt idx="3229">
                  <c:v>1.8400000000000003</c:v>
                </c:pt>
                <c:pt idx="3230">
                  <c:v>1.8400000000000003</c:v>
                </c:pt>
                <c:pt idx="3231">
                  <c:v>1.8400000000000003</c:v>
                </c:pt>
                <c:pt idx="3232">
                  <c:v>1.8400000000000003</c:v>
                </c:pt>
                <c:pt idx="3233">
                  <c:v>1.3100000000000003</c:v>
                </c:pt>
                <c:pt idx="3234">
                  <c:v>1.3100000000000003</c:v>
                </c:pt>
                <c:pt idx="3235">
                  <c:v>1.3100000000000003</c:v>
                </c:pt>
                <c:pt idx="3236">
                  <c:v>1.3100000000000003</c:v>
                </c:pt>
                <c:pt idx="3237">
                  <c:v>1.8400000000000003</c:v>
                </c:pt>
                <c:pt idx="3238">
                  <c:v>1.8400000000000003</c:v>
                </c:pt>
                <c:pt idx="3239">
                  <c:v>1.8400000000000003</c:v>
                </c:pt>
                <c:pt idx="3240">
                  <c:v>1.8400000000000003</c:v>
                </c:pt>
                <c:pt idx="3241">
                  <c:v>1.3100000000000003</c:v>
                </c:pt>
                <c:pt idx="3242">
                  <c:v>1.3100000000000003</c:v>
                </c:pt>
                <c:pt idx="3243">
                  <c:v>1.3100000000000003</c:v>
                </c:pt>
                <c:pt idx="3244">
                  <c:v>1.3100000000000003</c:v>
                </c:pt>
                <c:pt idx="3245">
                  <c:v>1.8400000000000003</c:v>
                </c:pt>
                <c:pt idx="3246">
                  <c:v>1.8400000000000003</c:v>
                </c:pt>
                <c:pt idx="3247">
                  <c:v>1.8400000000000003</c:v>
                </c:pt>
                <c:pt idx="3248">
                  <c:v>1.8400000000000003</c:v>
                </c:pt>
                <c:pt idx="3249">
                  <c:v>1.3100000000000003</c:v>
                </c:pt>
                <c:pt idx="3250">
                  <c:v>1.3100000000000003</c:v>
                </c:pt>
                <c:pt idx="3251">
                  <c:v>1.3100000000000003</c:v>
                </c:pt>
                <c:pt idx="3252">
                  <c:v>1.3100000000000003</c:v>
                </c:pt>
                <c:pt idx="3253">
                  <c:v>1.8400000000000003</c:v>
                </c:pt>
                <c:pt idx="3254">
                  <c:v>1.8400000000000003</c:v>
                </c:pt>
                <c:pt idx="3255">
                  <c:v>1.8400000000000003</c:v>
                </c:pt>
                <c:pt idx="3256">
                  <c:v>1.8400000000000003</c:v>
                </c:pt>
                <c:pt idx="3257">
                  <c:v>1.3100000000000003</c:v>
                </c:pt>
                <c:pt idx="3258">
                  <c:v>1.3100000000000003</c:v>
                </c:pt>
                <c:pt idx="3259">
                  <c:v>1.3100000000000003</c:v>
                </c:pt>
                <c:pt idx="3260">
                  <c:v>1.3100000000000003</c:v>
                </c:pt>
                <c:pt idx="3261">
                  <c:v>1.8400000000000003</c:v>
                </c:pt>
                <c:pt idx="3262">
                  <c:v>1.8400000000000003</c:v>
                </c:pt>
                <c:pt idx="3263">
                  <c:v>1.8400000000000003</c:v>
                </c:pt>
                <c:pt idx="3264">
                  <c:v>1.8400000000000003</c:v>
                </c:pt>
                <c:pt idx="3265">
                  <c:v>1.3100000000000003</c:v>
                </c:pt>
                <c:pt idx="3266">
                  <c:v>1.3100000000000003</c:v>
                </c:pt>
                <c:pt idx="3267">
                  <c:v>1.3100000000000003</c:v>
                </c:pt>
                <c:pt idx="3268">
                  <c:v>1.3100000000000003</c:v>
                </c:pt>
                <c:pt idx="3269">
                  <c:v>1.8400000000000003</c:v>
                </c:pt>
                <c:pt idx="3270">
                  <c:v>1.8400000000000003</c:v>
                </c:pt>
                <c:pt idx="3271">
                  <c:v>1.8400000000000003</c:v>
                </c:pt>
                <c:pt idx="3272">
                  <c:v>1.8400000000000003</c:v>
                </c:pt>
                <c:pt idx="3273">
                  <c:v>1.3100000000000003</c:v>
                </c:pt>
                <c:pt idx="3274">
                  <c:v>1.3100000000000003</c:v>
                </c:pt>
                <c:pt idx="3275">
                  <c:v>1.3100000000000003</c:v>
                </c:pt>
                <c:pt idx="3276">
                  <c:v>1.3100000000000003</c:v>
                </c:pt>
                <c:pt idx="3277">
                  <c:v>1.8400000000000003</c:v>
                </c:pt>
                <c:pt idx="3278">
                  <c:v>1.8400000000000003</c:v>
                </c:pt>
                <c:pt idx="3279">
                  <c:v>1.8400000000000003</c:v>
                </c:pt>
                <c:pt idx="3280">
                  <c:v>1.8400000000000003</c:v>
                </c:pt>
                <c:pt idx="3281">
                  <c:v>1.3100000000000003</c:v>
                </c:pt>
                <c:pt idx="3282">
                  <c:v>1.3100000000000003</c:v>
                </c:pt>
                <c:pt idx="3283">
                  <c:v>1.3100000000000003</c:v>
                </c:pt>
                <c:pt idx="3284">
                  <c:v>1.3100000000000003</c:v>
                </c:pt>
                <c:pt idx="3285">
                  <c:v>1.8400000000000003</c:v>
                </c:pt>
                <c:pt idx="3286">
                  <c:v>1.8400000000000003</c:v>
                </c:pt>
                <c:pt idx="3287">
                  <c:v>1.8400000000000003</c:v>
                </c:pt>
                <c:pt idx="3288">
                  <c:v>1.8400000000000003</c:v>
                </c:pt>
                <c:pt idx="3289">
                  <c:v>1.3100000000000003</c:v>
                </c:pt>
                <c:pt idx="3290">
                  <c:v>1.3100000000000003</c:v>
                </c:pt>
                <c:pt idx="3291">
                  <c:v>1.3100000000000003</c:v>
                </c:pt>
                <c:pt idx="3292">
                  <c:v>1.3100000000000003</c:v>
                </c:pt>
                <c:pt idx="3293">
                  <c:v>1.8400000000000003</c:v>
                </c:pt>
                <c:pt idx="3294">
                  <c:v>1.8400000000000003</c:v>
                </c:pt>
                <c:pt idx="3295">
                  <c:v>1.8400000000000003</c:v>
                </c:pt>
                <c:pt idx="3296">
                  <c:v>1.8400000000000003</c:v>
                </c:pt>
                <c:pt idx="3297">
                  <c:v>1.3100000000000003</c:v>
                </c:pt>
                <c:pt idx="3298">
                  <c:v>1.3100000000000003</c:v>
                </c:pt>
                <c:pt idx="3299">
                  <c:v>1.3100000000000003</c:v>
                </c:pt>
                <c:pt idx="3300">
                  <c:v>1.3100000000000003</c:v>
                </c:pt>
                <c:pt idx="3301">
                  <c:v>1.8400000000000003</c:v>
                </c:pt>
                <c:pt idx="3302">
                  <c:v>1.8400000000000003</c:v>
                </c:pt>
                <c:pt idx="3303">
                  <c:v>1.8400000000000003</c:v>
                </c:pt>
                <c:pt idx="3304">
                  <c:v>1.8400000000000003</c:v>
                </c:pt>
                <c:pt idx="3305">
                  <c:v>1.3100000000000003</c:v>
                </c:pt>
                <c:pt idx="3306">
                  <c:v>1.3100000000000003</c:v>
                </c:pt>
                <c:pt idx="3307">
                  <c:v>1.3100000000000003</c:v>
                </c:pt>
                <c:pt idx="3308">
                  <c:v>1.3100000000000003</c:v>
                </c:pt>
                <c:pt idx="3309">
                  <c:v>1.8400000000000003</c:v>
                </c:pt>
                <c:pt idx="3310">
                  <c:v>1.8400000000000003</c:v>
                </c:pt>
                <c:pt idx="3311">
                  <c:v>1.8400000000000003</c:v>
                </c:pt>
                <c:pt idx="3312">
                  <c:v>1.8400000000000003</c:v>
                </c:pt>
                <c:pt idx="3313">
                  <c:v>1.3100000000000003</c:v>
                </c:pt>
                <c:pt idx="3314">
                  <c:v>1.3100000000000003</c:v>
                </c:pt>
                <c:pt idx="3315">
                  <c:v>1.3100000000000003</c:v>
                </c:pt>
                <c:pt idx="3316">
                  <c:v>1.3100000000000003</c:v>
                </c:pt>
                <c:pt idx="3317">
                  <c:v>1.8400000000000003</c:v>
                </c:pt>
                <c:pt idx="3318">
                  <c:v>1.8400000000000003</c:v>
                </c:pt>
                <c:pt idx="3319">
                  <c:v>1.8400000000000003</c:v>
                </c:pt>
                <c:pt idx="3320">
                  <c:v>1.8400000000000003</c:v>
                </c:pt>
                <c:pt idx="3321">
                  <c:v>1.3100000000000003</c:v>
                </c:pt>
                <c:pt idx="3322">
                  <c:v>1.3100000000000003</c:v>
                </c:pt>
                <c:pt idx="3323">
                  <c:v>1.3100000000000003</c:v>
                </c:pt>
                <c:pt idx="3324">
                  <c:v>1.3100000000000003</c:v>
                </c:pt>
                <c:pt idx="3325">
                  <c:v>1.8400000000000003</c:v>
                </c:pt>
                <c:pt idx="3326">
                  <c:v>1.8400000000000003</c:v>
                </c:pt>
                <c:pt idx="3327">
                  <c:v>1.8400000000000003</c:v>
                </c:pt>
                <c:pt idx="3328">
                  <c:v>1.8400000000000003</c:v>
                </c:pt>
                <c:pt idx="3329">
                  <c:v>1.3100000000000003</c:v>
                </c:pt>
                <c:pt idx="3330">
                  <c:v>1.3100000000000003</c:v>
                </c:pt>
                <c:pt idx="3331">
                  <c:v>1.3100000000000003</c:v>
                </c:pt>
                <c:pt idx="3332">
                  <c:v>1.3100000000000003</c:v>
                </c:pt>
                <c:pt idx="3333">
                  <c:v>1.8400000000000003</c:v>
                </c:pt>
                <c:pt idx="3334">
                  <c:v>1.8400000000000003</c:v>
                </c:pt>
                <c:pt idx="3335">
                  <c:v>1.8400000000000003</c:v>
                </c:pt>
                <c:pt idx="3336">
                  <c:v>1.8400000000000003</c:v>
                </c:pt>
                <c:pt idx="3337">
                  <c:v>1.3100000000000003</c:v>
                </c:pt>
                <c:pt idx="3338">
                  <c:v>1.3100000000000003</c:v>
                </c:pt>
                <c:pt idx="3339">
                  <c:v>1.3100000000000003</c:v>
                </c:pt>
                <c:pt idx="3340">
                  <c:v>1.3100000000000003</c:v>
                </c:pt>
                <c:pt idx="3341">
                  <c:v>1.8400000000000003</c:v>
                </c:pt>
                <c:pt idx="3342">
                  <c:v>1.8400000000000003</c:v>
                </c:pt>
                <c:pt idx="3343">
                  <c:v>1.8400000000000003</c:v>
                </c:pt>
                <c:pt idx="3344">
                  <c:v>1.8400000000000003</c:v>
                </c:pt>
                <c:pt idx="3345">
                  <c:v>1.3100000000000003</c:v>
                </c:pt>
                <c:pt idx="3346">
                  <c:v>1.3100000000000003</c:v>
                </c:pt>
                <c:pt idx="3347">
                  <c:v>1.3100000000000003</c:v>
                </c:pt>
                <c:pt idx="3348">
                  <c:v>1.3100000000000003</c:v>
                </c:pt>
                <c:pt idx="3349">
                  <c:v>1.8400000000000003</c:v>
                </c:pt>
                <c:pt idx="3350">
                  <c:v>1.8400000000000003</c:v>
                </c:pt>
                <c:pt idx="3351">
                  <c:v>1.8400000000000003</c:v>
                </c:pt>
                <c:pt idx="3352">
                  <c:v>1.8400000000000003</c:v>
                </c:pt>
                <c:pt idx="3353">
                  <c:v>1.3100000000000003</c:v>
                </c:pt>
                <c:pt idx="3354">
                  <c:v>1.3100000000000003</c:v>
                </c:pt>
                <c:pt idx="3355">
                  <c:v>1.3100000000000003</c:v>
                </c:pt>
                <c:pt idx="3356">
                  <c:v>1.3100000000000003</c:v>
                </c:pt>
                <c:pt idx="3357">
                  <c:v>1.8400000000000003</c:v>
                </c:pt>
                <c:pt idx="3358">
                  <c:v>1.8400000000000003</c:v>
                </c:pt>
                <c:pt idx="3359">
                  <c:v>1.8400000000000003</c:v>
                </c:pt>
                <c:pt idx="3360">
                  <c:v>1.8400000000000003</c:v>
                </c:pt>
                <c:pt idx="3361">
                  <c:v>1.3100000000000003</c:v>
                </c:pt>
                <c:pt idx="3362">
                  <c:v>1.3100000000000003</c:v>
                </c:pt>
                <c:pt idx="3363">
                  <c:v>1.3100000000000003</c:v>
                </c:pt>
                <c:pt idx="3364">
                  <c:v>1.3100000000000003</c:v>
                </c:pt>
                <c:pt idx="3365">
                  <c:v>1.8400000000000003</c:v>
                </c:pt>
                <c:pt idx="3366">
                  <c:v>1.8400000000000003</c:v>
                </c:pt>
                <c:pt idx="3367">
                  <c:v>1.8400000000000003</c:v>
                </c:pt>
                <c:pt idx="3368">
                  <c:v>1.8400000000000003</c:v>
                </c:pt>
                <c:pt idx="3369">
                  <c:v>1.3100000000000003</c:v>
                </c:pt>
                <c:pt idx="3370">
                  <c:v>1.3100000000000003</c:v>
                </c:pt>
                <c:pt idx="3371">
                  <c:v>1.3100000000000003</c:v>
                </c:pt>
                <c:pt idx="3372">
                  <c:v>1.3100000000000003</c:v>
                </c:pt>
                <c:pt idx="3373">
                  <c:v>1.3100000000000003</c:v>
                </c:pt>
                <c:pt idx="3374">
                  <c:v>1.3100000000000003</c:v>
                </c:pt>
                <c:pt idx="3375">
                  <c:v>1.8400000000000003</c:v>
                </c:pt>
                <c:pt idx="3376">
                  <c:v>1.8400000000000003</c:v>
                </c:pt>
                <c:pt idx="3377">
                  <c:v>1.8400000000000003</c:v>
                </c:pt>
                <c:pt idx="3378">
                  <c:v>1.8400000000000003</c:v>
                </c:pt>
                <c:pt idx="3379">
                  <c:v>1.3100000000000003</c:v>
                </c:pt>
                <c:pt idx="3380">
                  <c:v>1.3100000000000003</c:v>
                </c:pt>
                <c:pt idx="3381">
                  <c:v>1.3100000000000003</c:v>
                </c:pt>
                <c:pt idx="3382">
                  <c:v>1.3100000000000003</c:v>
                </c:pt>
                <c:pt idx="3383">
                  <c:v>1.8400000000000003</c:v>
                </c:pt>
                <c:pt idx="3384">
                  <c:v>1.8400000000000003</c:v>
                </c:pt>
                <c:pt idx="3385">
                  <c:v>1.8400000000000003</c:v>
                </c:pt>
                <c:pt idx="3386">
                  <c:v>1.8400000000000003</c:v>
                </c:pt>
                <c:pt idx="3387">
                  <c:v>1.3100000000000003</c:v>
                </c:pt>
                <c:pt idx="3388">
                  <c:v>1.3100000000000003</c:v>
                </c:pt>
                <c:pt idx="3389">
                  <c:v>1.3100000000000003</c:v>
                </c:pt>
                <c:pt idx="3390">
                  <c:v>1.3100000000000003</c:v>
                </c:pt>
                <c:pt idx="3391">
                  <c:v>1.8400000000000003</c:v>
                </c:pt>
                <c:pt idx="3392">
                  <c:v>1.8400000000000003</c:v>
                </c:pt>
                <c:pt idx="3393">
                  <c:v>1.8400000000000003</c:v>
                </c:pt>
                <c:pt idx="3394">
                  <c:v>1.8400000000000003</c:v>
                </c:pt>
                <c:pt idx="3395">
                  <c:v>1.3100000000000003</c:v>
                </c:pt>
                <c:pt idx="3396">
                  <c:v>1.3100000000000003</c:v>
                </c:pt>
                <c:pt idx="3397">
                  <c:v>1.3100000000000003</c:v>
                </c:pt>
                <c:pt idx="3398">
                  <c:v>1.3100000000000003</c:v>
                </c:pt>
                <c:pt idx="3399">
                  <c:v>1.8400000000000003</c:v>
                </c:pt>
                <c:pt idx="3400">
                  <c:v>1.8400000000000003</c:v>
                </c:pt>
                <c:pt idx="3401">
                  <c:v>1.8400000000000003</c:v>
                </c:pt>
                <c:pt idx="3402">
                  <c:v>1.8400000000000003</c:v>
                </c:pt>
                <c:pt idx="3403">
                  <c:v>1.3100000000000003</c:v>
                </c:pt>
                <c:pt idx="3404">
                  <c:v>1.3100000000000003</c:v>
                </c:pt>
                <c:pt idx="3405">
                  <c:v>1.3100000000000003</c:v>
                </c:pt>
                <c:pt idx="3406">
                  <c:v>1.3100000000000003</c:v>
                </c:pt>
                <c:pt idx="3407">
                  <c:v>1.8400000000000003</c:v>
                </c:pt>
                <c:pt idx="3408">
                  <c:v>1.8400000000000003</c:v>
                </c:pt>
                <c:pt idx="3409">
                  <c:v>1.8400000000000003</c:v>
                </c:pt>
                <c:pt idx="3410">
                  <c:v>1.8400000000000003</c:v>
                </c:pt>
                <c:pt idx="3411">
                  <c:v>1.3100000000000003</c:v>
                </c:pt>
                <c:pt idx="3412">
                  <c:v>1.3100000000000003</c:v>
                </c:pt>
                <c:pt idx="3413">
                  <c:v>1.3100000000000003</c:v>
                </c:pt>
                <c:pt idx="3414">
                  <c:v>1.3100000000000003</c:v>
                </c:pt>
                <c:pt idx="3415">
                  <c:v>1.8400000000000003</c:v>
                </c:pt>
                <c:pt idx="3416">
                  <c:v>1.8400000000000003</c:v>
                </c:pt>
                <c:pt idx="3417">
                  <c:v>1.8400000000000003</c:v>
                </c:pt>
                <c:pt idx="3418">
                  <c:v>1.8400000000000003</c:v>
                </c:pt>
                <c:pt idx="3419">
                  <c:v>1.3100000000000003</c:v>
                </c:pt>
                <c:pt idx="3420">
                  <c:v>1.3100000000000003</c:v>
                </c:pt>
                <c:pt idx="3421">
                  <c:v>1.3100000000000003</c:v>
                </c:pt>
                <c:pt idx="3422">
                  <c:v>1.3100000000000003</c:v>
                </c:pt>
                <c:pt idx="3423">
                  <c:v>1.8400000000000003</c:v>
                </c:pt>
                <c:pt idx="3424">
                  <c:v>1.8400000000000003</c:v>
                </c:pt>
                <c:pt idx="3425">
                  <c:v>1.8400000000000003</c:v>
                </c:pt>
                <c:pt idx="3426">
                  <c:v>1.8400000000000003</c:v>
                </c:pt>
                <c:pt idx="3427">
                  <c:v>1.3100000000000003</c:v>
                </c:pt>
                <c:pt idx="3428">
                  <c:v>1.3100000000000003</c:v>
                </c:pt>
                <c:pt idx="3429">
                  <c:v>1.3100000000000003</c:v>
                </c:pt>
                <c:pt idx="3430">
                  <c:v>1.3100000000000003</c:v>
                </c:pt>
                <c:pt idx="3431">
                  <c:v>1.8400000000000003</c:v>
                </c:pt>
                <c:pt idx="3432">
                  <c:v>1.8400000000000003</c:v>
                </c:pt>
                <c:pt idx="3433">
                  <c:v>1.8400000000000003</c:v>
                </c:pt>
                <c:pt idx="3434">
                  <c:v>1.8400000000000003</c:v>
                </c:pt>
                <c:pt idx="3435">
                  <c:v>1.3100000000000003</c:v>
                </c:pt>
                <c:pt idx="3436">
                  <c:v>1.3100000000000003</c:v>
                </c:pt>
                <c:pt idx="3437">
                  <c:v>1.3100000000000003</c:v>
                </c:pt>
                <c:pt idx="3438">
                  <c:v>1.3100000000000003</c:v>
                </c:pt>
                <c:pt idx="3439">
                  <c:v>1.8400000000000003</c:v>
                </c:pt>
                <c:pt idx="3440">
                  <c:v>1.8400000000000003</c:v>
                </c:pt>
                <c:pt idx="3441">
                  <c:v>1.8400000000000003</c:v>
                </c:pt>
                <c:pt idx="3442">
                  <c:v>1.8400000000000003</c:v>
                </c:pt>
                <c:pt idx="3443">
                  <c:v>1.3100000000000003</c:v>
                </c:pt>
                <c:pt idx="3444">
                  <c:v>1.3100000000000003</c:v>
                </c:pt>
                <c:pt idx="3445">
                  <c:v>1.3100000000000003</c:v>
                </c:pt>
                <c:pt idx="3446">
                  <c:v>1.3100000000000003</c:v>
                </c:pt>
                <c:pt idx="3447">
                  <c:v>1.8400000000000003</c:v>
                </c:pt>
                <c:pt idx="3448">
                  <c:v>1.8400000000000003</c:v>
                </c:pt>
                <c:pt idx="3449">
                  <c:v>1.8400000000000003</c:v>
                </c:pt>
                <c:pt idx="3450">
                  <c:v>1.8400000000000003</c:v>
                </c:pt>
                <c:pt idx="3451">
                  <c:v>1.3100000000000003</c:v>
                </c:pt>
                <c:pt idx="3452">
                  <c:v>1.3100000000000003</c:v>
                </c:pt>
                <c:pt idx="3453">
                  <c:v>1.3100000000000003</c:v>
                </c:pt>
                <c:pt idx="3454">
                  <c:v>1.3100000000000003</c:v>
                </c:pt>
                <c:pt idx="3455">
                  <c:v>1.8400000000000003</c:v>
                </c:pt>
                <c:pt idx="3456">
                  <c:v>1.8400000000000003</c:v>
                </c:pt>
                <c:pt idx="3457">
                  <c:v>1.8400000000000003</c:v>
                </c:pt>
                <c:pt idx="3458">
                  <c:v>1.8400000000000003</c:v>
                </c:pt>
                <c:pt idx="3459">
                  <c:v>1.3100000000000003</c:v>
                </c:pt>
                <c:pt idx="3460">
                  <c:v>1.3100000000000003</c:v>
                </c:pt>
                <c:pt idx="3461">
                  <c:v>1.3100000000000003</c:v>
                </c:pt>
                <c:pt idx="3462">
                  <c:v>1.3100000000000003</c:v>
                </c:pt>
                <c:pt idx="3463">
                  <c:v>1.8400000000000003</c:v>
                </c:pt>
                <c:pt idx="3464">
                  <c:v>1.8400000000000003</c:v>
                </c:pt>
                <c:pt idx="3465">
                  <c:v>1.8400000000000003</c:v>
                </c:pt>
                <c:pt idx="3466">
                  <c:v>1.8400000000000003</c:v>
                </c:pt>
                <c:pt idx="3467">
                  <c:v>1.3100000000000003</c:v>
                </c:pt>
                <c:pt idx="3468">
                  <c:v>1.3100000000000003</c:v>
                </c:pt>
                <c:pt idx="3469">
                  <c:v>1.3100000000000003</c:v>
                </c:pt>
                <c:pt idx="3470">
                  <c:v>1.3100000000000003</c:v>
                </c:pt>
                <c:pt idx="3471">
                  <c:v>1.8400000000000003</c:v>
                </c:pt>
                <c:pt idx="3472">
                  <c:v>1.8400000000000003</c:v>
                </c:pt>
                <c:pt idx="3473">
                  <c:v>1.8400000000000003</c:v>
                </c:pt>
                <c:pt idx="3474">
                  <c:v>1.8400000000000003</c:v>
                </c:pt>
                <c:pt idx="3475">
                  <c:v>1.3100000000000003</c:v>
                </c:pt>
                <c:pt idx="3476">
                  <c:v>1.3100000000000003</c:v>
                </c:pt>
                <c:pt idx="3477">
                  <c:v>1.3100000000000003</c:v>
                </c:pt>
                <c:pt idx="3478">
                  <c:v>1.3100000000000003</c:v>
                </c:pt>
                <c:pt idx="3479">
                  <c:v>1.8400000000000003</c:v>
                </c:pt>
                <c:pt idx="3480">
                  <c:v>1.8400000000000003</c:v>
                </c:pt>
                <c:pt idx="3481">
                  <c:v>1.8400000000000003</c:v>
                </c:pt>
                <c:pt idx="3482">
                  <c:v>1.8400000000000003</c:v>
                </c:pt>
                <c:pt idx="3483">
                  <c:v>1.3100000000000003</c:v>
                </c:pt>
                <c:pt idx="3484">
                  <c:v>1.3100000000000003</c:v>
                </c:pt>
                <c:pt idx="3485">
                  <c:v>1.3100000000000003</c:v>
                </c:pt>
                <c:pt idx="3486">
                  <c:v>1.3100000000000003</c:v>
                </c:pt>
                <c:pt idx="3487">
                  <c:v>1.8400000000000003</c:v>
                </c:pt>
                <c:pt idx="3488">
                  <c:v>1.8400000000000003</c:v>
                </c:pt>
                <c:pt idx="3489">
                  <c:v>1.8400000000000003</c:v>
                </c:pt>
                <c:pt idx="3490">
                  <c:v>1.8400000000000003</c:v>
                </c:pt>
                <c:pt idx="3491">
                  <c:v>1.3100000000000003</c:v>
                </c:pt>
                <c:pt idx="3492">
                  <c:v>1.3100000000000003</c:v>
                </c:pt>
                <c:pt idx="3493">
                  <c:v>1.3100000000000003</c:v>
                </c:pt>
                <c:pt idx="3494">
                  <c:v>1.3100000000000003</c:v>
                </c:pt>
                <c:pt idx="3495">
                  <c:v>1.8400000000000003</c:v>
                </c:pt>
                <c:pt idx="3496">
                  <c:v>1.8400000000000003</c:v>
                </c:pt>
                <c:pt idx="3497">
                  <c:v>1.8400000000000003</c:v>
                </c:pt>
                <c:pt idx="3498">
                  <c:v>1.8400000000000003</c:v>
                </c:pt>
                <c:pt idx="3499">
                  <c:v>1.3100000000000003</c:v>
                </c:pt>
                <c:pt idx="3500">
                  <c:v>1.3100000000000003</c:v>
                </c:pt>
                <c:pt idx="3501">
                  <c:v>1.3100000000000003</c:v>
                </c:pt>
                <c:pt idx="3502">
                  <c:v>1.3100000000000003</c:v>
                </c:pt>
                <c:pt idx="3503">
                  <c:v>1.8400000000000003</c:v>
                </c:pt>
                <c:pt idx="3504">
                  <c:v>1.8400000000000003</c:v>
                </c:pt>
                <c:pt idx="3505">
                  <c:v>1.8400000000000003</c:v>
                </c:pt>
                <c:pt idx="3506">
                  <c:v>1.8400000000000003</c:v>
                </c:pt>
                <c:pt idx="3507">
                  <c:v>1.3100000000000003</c:v>
                </c:pt>
                <c:pt idx="3508">
                  <c:v>1.3100000000000003</c:v>
                </c:pt>
                <c:pt idx="3509">
                  <c:v>1.3100000000000003</c:v>
                </c:pt>
                <c:pt idx="3510">
                  <c:v>1.3100000000000003</c:v>
                </c:pt>
                <c:pt idx="3511">
                  <c:v>1.8400000000000003</c:v>
                </c:pt>
                <c:pt idx="3512">
                  <c:v>1.8400000000000003</c:v>
                </c:pt>
                <c:pt idx="3513">
                  <c:v>1.8400000000000003</c:v>
                </c:pt>
                <c:pt idx="3514">
                  <c:v>1.8400000000000003</c:v>
                </c:pt>
                <c:pt idx="3515">
                  <c:v>1.3100000000000003</c:v>
                </c:pt>
                <c:pt idx="3516">
                  <c:v>1.3100000000000003</c:v>
                </c:pt>
                <c:pt idx="3517">
                  <c:v>1.3100000000000003</c:v>
                </c:pt>
                <c:pt idx="3518">
                  <c:v>1.3100000000000003</c:v>
                </c:pt>
                <c:pt idx="3519">
                  <c:v>1.8400000000000003</c:v>
                </c:pt>
                <c:pt idx="3520">
                  <c:v>1.8400000000000003</c:v>
                </c:pt>
                <c:pt idx="3521">
                  <c:v>1.8400000000000003</c:v>
                </c:pt>
                <c:pt idx="3522">
                  <c:v>1.8400000000000003</c:v>
                </c:pt>
                <c:pt idx="3523">
                  <c:v>1.3100000000000003</c:v>
                </c:pt>
                <c:pt idx="3524">
                  <c:v>1.3100000000000003</c:v>
                </c:pt>
                <c:pt idx="3525">
                  <c:v>1.3100000000000003</c:v>
                </c:pt>
                <c:pt idx="3526">
                  <c:v>1.3100000000000003</c:v>
                </c:pt>
                <c:pt idx="3527">
                  <c:v>1.8400000000000003</c:v>
                </c:pt>
                <c:pt idx="3528">
                  <c:v>1.8400000000000003</c:v>
                </c:pt>
                <c:pt idx="3529">
                  <c:v>1.8400000000000003</c:v>
                </c:pt>
                <c:pt idx="3530">
                  <c:v>1.8400000000000003</c:v>
                </c:pt>
                <c:pt idx="3531">
                  <c:v>1.3100000000000003</c:v>
                </c:pt>
                <c:pt idx="3532">
                  <c:v>1.3100000000000003</c:v>
                </c:pt>
                <c:pt idx="3533">
                  <c:v>1.3100000000000003</c:v>
                </c:pt>
                <c:pt idx="3534">
                  <c:v>1.3100000000000003</c:v>
                </c:pt>
                <c:pt idx="3535">
                  <c:v>1.8400000000000003</c:v>
                </c:pt>
                <c:pt idx="3536">
                  <c:v>1.8400000000000003</c:v>
                </c:pt>
                <c:pt idx="3537">
                  <c:v>1.8400000000000003</c:v>
                </c:pt>
                <c:pt idx="3538">
                  <c:v>1.8400000000000003</c:v>
                </c:pt>
                <c:pt idx="3539">
                  <c:v>1.3100000000000003</c:v>
                </c:pt>
                <c:pt idx="3540">
                  <c:v>1.3100000000000003</c:v>
                </c:pt>
                <c:pt idx="3541">
                  <c:v>1.3100000000000003</c:v>
                </c:pt>
                <c:pt idx="3542">
                  <c:v>1.3100000000000003</c:v>
                </c:pt>
                <c:pt idx="3543">
                  <c:v>1.8400000000000003</c:v>
                </c:pt>
                <c:pt idx="3544">
                  <c:v>1.8400000000000003</c:v>
                </c:pt>
                <c:pt idx="3545">
                  <c:v>1.8400000000000003</c:v>
                </c:pt>
                <c:pt idx="3546">
                  <c:v>1.8400000000000003</c:v>
                </c:pt>
                <c:pt idx="3547">
                  <c:v>1.3100000000000003</c:v>
                </c:pt>
                <c:pt idx="3548">
                  <c:v>1.3100000000000003</c:v>
                </c:pt>
                <c:pt idx="3549">
                  <c:v>1.3100000000000003</c:v>
                </c:pt>
                <c:pt idx="3550">
                  <c:v>1.3100000000000003</c:v>
                </c:pt>
                <c:pt idx="3551">
                  <c:v>1.8400000000000003</c:v>
                </c:pt>
                <c:pt idx="3552">
                  <c:v>1.8400000000000003</c:v>
                </c:pt>
                <c:pt idx="3553">
                  <c:v>1.8400000000000003</c:v>
                </c:pt>
                <c:pt idx="3554">
                  <c:v>1.8400000000000003</c:v>
                </c:pt>
                <c:pt idx="3555">
                  <c:v>1.3100000000000003</c:v>
                </c:pt>
                <c:pt idx="3556">
                  <c:v>1.3100000000000003</c:v>
                </c:pt>
                <c:pt idx="3557">
                  <c:v>1.3100000000000003</c:v>
                </c:pt>
                <c:pt idx="3558">
                  <c:v>1.3100000000000003</c:v>
                </c:pt>
                <c:pt idx="3559">
                  <c:v>1.8400000000000003</c:v>
                </c:pt>
                <c:pt idx="3560">
                  <c:v>1.8400000000000003</c:v>
                </c:pt>
                <c:pt idx="3561">
                  <c:v>1.8400000000000003</c:v>
                </c:pt>
                <c:pt idx="3562">
                  <c:v>1.8400000000000003</c:v>
                </c:pt>
                <c:pt idx="3563">
                  <c:v>1.3100000000000003</c:v>
                </c:pt>
                <c:pt idx="3564">
                  <c:v>1.3100000000000003</c:v>
                </c:pt>
                <c:pt idx="3565">
                  <c:v>1.3100000000000003</c:v>
                </c:pt>
                <c:pt idx="3566">
                  <c:v>1.3100000000000003</c:v>
                </c:pt>
                <c:pt idx="3567">
                  <c:v>1.8400000000000003</c:v>
                </c:pt>
                <c:pt idx="3568">
                  <c:v>1.8400000000000003</c:v>
                </c:pt>
                <c:pt idx="3569">
                  <c:v>1.8400000000000003</c:v>
                </c:pt>
                <c:pt idx="3570">
                  <c:v>1.8400000000000003</c:v>
                </c:pt>
                <c:pt idx="3571">
                  <c:v>1.3100000000000003</c:v>
                </c:pt>
                <c:pt idx="3572">
                  <c:v>1.3100000000000003</c:v>
                </c:pt>
                <c:pt idx="3573">
                  <c:v>1.3100000000000003</c:v>
                </c:pt>
                <c:pt idx="3574">
                  <c:v>1.3100000000000003</c:v>
                </c:pt>
                <c:pt idx="3575">
                  <c:v>1.8400000000000003</c:v>
                </c:pt>
                <c:pt idx="3576">
                  <c:v>1.8400000000000003</c:v>
                </c:pt>
                <c:pt idx="3577">
                  <c:v>1.8400000000000003</c:v>
                </c:pt>
                <c:pt idx="3578">
                  <c:v>1.8400000000000003</c:v>
                </c:pt>
                <c:pt idx="3579">
                  <c:v>1.3100000000000003</c:v>
                </c:pt>
                <c:pt idx="3580">
                  <c:v>1.3100000000000003</c:v>
                </c:pt>
                <c:pt idx="3581">
                  <c:v>1.3100000000000003</c:v>
                </c:pt>
                <c:pt idx="3582">
                  <c:v>1.3100000000000003</c:v>
                </c:pt>
                <c:pt idx="3583">
                  <c:v>1.8400000000000003</c:v>
                </c:pt>
                <c:pt idx="3584">
                  <c:v>1.8400000000000003</c:v>
                </c:pt>
                <c:pt idx="3585">
                  <c:v>1.8400000000000003</c:v>
                </c:pt>
                <c:pt idx="3586">
                  <c:v>1.8400000000000003</c:v>
                </c:pt>
                <c:pt idx="3587">
                  <c:v>1.3100000000000003</c:v>
                </c:pt>
                <c:pt idx="3588">
                  <c:v>1.3100000000000003</c:v>
                </c:pt>
                <c:pt idx="3589">
                  <c:v>1.3100000000000003</c:v>
                </c:pt>
                <c:pt idx="3590">
                  <c:v>1.3100000000000003</c:v>
                </c:pt>
                <c:pt idx="3591">
                  <c:v>1.8400000000000003</c:v>
                </c:pt>
                <c:pt idx="3592">
                  <c:v>1.8400000000000003</c:v>
                </c:pt>
                <c:pt idx="3593">
                  <c:v>1.8400000000000003</c:v>
                </c:pt>
                <c:pt idx="3594">
                  <c:v>1.8400000000000003</c:v>
                </c:pt>
                <c:pt idx="3595">
                  <c:v>1.3100000000000003</c:v>
                </c:pt>
                <c:pt idx="3596">
                  <c:v>1.3100000000000003</c:v>
                </c:pt>
                <c:pt idx="3597">
                  <c:v>1.3100000000000003</c:v>
                </c:pt>
                <c:pt idx="3598">
                  <c:v>1.3100000000000003</c:v>
                </c:pt>
                <c:pt idx="3599">
                  <c:v>1.8400000000000003</c:v>
                </c:pt>
                <c:pt idx="3600">
                  <c:v>1.8400000000000003</c:v>
                </c:pt>
                <c:pt idx="3601">
                  <c:v>1.8400000000000003</c:v>
                </c:pt>
                <c:pt idx="3602">
                  <c:v>1.8400000000000003</c:v>
                </c:pt>
                <c:pt idx="3603">
                  <c:v>1.3100000000000003</c:v>
                </c:pt>
                <c:pt idx="3604">
                  <c:v>1.3100000000000003</c:v>
                </c:pt>
                <c:pt idx="3605">
                  <c:v>1.3100000000000003</c:v>
                </c:pt>
                <c:pt idx="3606">
                  <c:v>1.3100000000000003</c:v>
                </c:pt>
                <c:pt idx="3607">
                  <c:v>1.8400000000000003</c:v>
                </c:pt>
                <c:pt idx="3608">
                  <c:v>1.8400000000000003</c:v>
                </c:pt>
                <c:pt idx="3609">
                  <c:v>1.8400000000000003</c:v>
                </c:pt>
                <c:pt idx="3610">
                  <c:v>1.8400000000000003</c:v>
                </c:pt>
                <c:pt idx="3611">
                  <c:v>1.3100000000000003</c:v>
                </c:pt>
                <c:pt idx="3612">
                  <c:v>1.3100000000000003</c:v>
                </c:pt>
                <c:pt idx="3613">
                  <c:v>1.3100000000000003</c:v>
                </c:pt>
                <c:pt idx="3614">
                  <c:v>1.3100000000000003</c:v>
                </c:pt>
                <c:pt idx="3615">
                  <c:v>1.8400000000000003</c:v>
                </c:pt>
                <c:pt idx="3616">
                  <c:v>1.8400000000000003</c:v>
                </c:pt>
                <c:pt idx="3617">
                  <c:v>1.8400000000000003</c:v>
                </c:pt>
                <c:pt idx="3618">
                  <c:v>1.8400000000000003</c:v>
                </c:pt>
                <c:pt idx="3619">
                  <c:v>1.3100000000000003</c:v>
                </c:pt>
                <c:pt idx="3620">
                  <c:v>1.3100000000000003</c:v>
                </c:pt>
                <c:pt idx="3621">
                  <c:v>1.3100000000000003</c:v>
                </c:pt>
                <c:pt idx="3622">
                  <c:v>1.3100000000000003</c:v>
                </c:pt>
                <c:pt idx="3623">
                  <c:v>1.8400000000000003</c:v>
                </c:pt>
                <c:pt idx="3624">
                  <c:v>1.8400000000000003</c:v>
                </c:pt>
                <c:pt idx="3625">
                  <c:v>1.8400000000000003</c:v>
                </c:pt>
                <c:pt idx="3626">
                  <c:v>1.8400000000000003</c:v>
                </c:pt>
                <c:pt idx="3627">
                  <c:v>1.3100000000000003</c:v>
                </c:pt>
                <c:pt idx="3628">
                  <c:v>1.3100000000000003</c:v>
                </c:pt>
                <c:pt idx="3629">
                  <c:v>1.3100000000000003</c:v>
                </c:pt>
                <c:pt idx="3630">
                  <c:v>1.3100000000000003</c:v>
                </c:pt>
                <c:pt idx="3631">
                  <c:v>1.8400000000000003</c:v>
                </c:pt>
                <c:pt idx="3632">
                  <c:v>1.8400000000000003</c:v>
                </c:pt>
                <c:pt idx="3633">
                  <c:v>1.8400000000000003</c:v>
                </c:pt>
                <c:pt idx="3634">
                  <c:v>1.8400000000000003</c:v>
                </c:pt>
                <c:pt idx="3635">
                  <c:v>1.3100000000000003</c:v>
                </c:pt>
                <c:pt idx="3636">
                  <c:v>1.3100000000000003</c:v>
                </c:pt>
                <c:pt idx="3637">
                  <c:v>1.3100000000000003</c:v>
                </c:pt>
                <c:pt idx="3638">
                  <c:v>1.3100000000000003</c:v>
                </c:pt>
                <c:pt idx="3639">
                  <c:v>1.8400000000000003</c:v>
                </c:pt>
                <c:pt idx="3640">
                  <c:v>1.8400000000000003</c:v>
                </c:pt>
                <c:pt idx="3641">
                  <c:v>1.8400000000000003</c:v>
                </c:pt>
                <c:pt idx="3642">
                  <c:v>1.8400000000000003</c:v>
                </c:pt>
                <c:pt idx="3643">
                  <c:v>1.3100000000000003</c:v>
                </c:pt>
                <c:pt idx="3644">
                  <c:v>1.3100000000000003</c:v>
                </c:pt>
                <c:pt idx="3645">
                  <c:v>1.3100000000000003</c:v>
                </c:pt>
                <c:pt idx="3646">
                  <c:v>1.3100000000000003</c:v>
                </c:pt>
                <c:pt idx="3647">
                  <c:v>1.8400000000000003</c:v>
                </c:pt>
                <c:pt idx="3648">
                  <c:v>1.8400000000000003</c:v>
                </c:pt>
                <c:pt idx="3649">
                  <c:v>1.8400000000000003</c:v>
                </c:pt>
                <c:pt idx="3650">
                  <c:v>1.8400000000000003</c:v>
                </c:pt>
                <c:pt idx="3651">
                  <c:v>1.3100000000000003</c:v>
                </c:pt>
                <c:pt idx="3652">
                  <c:v>1.3100000000000003</c:v>
                </c:pt>
                <c:pt idx="3653">
                  <c:v>1.3100000000000003</c:v>
                </c:pt>
                <c:pt idx="3654">
                  <c:v>1.3100000000000003</c:v>
                </c:pt>
                <c:pt idx="3655">
                  <c:v>1.8400000000000003</c:v>
                </c:pt>
                <c:pt idx="3656">
                  <c:v>1.8400000000000003</c:v>
                </c:pt>
                <c:pt idx="3657">
                  <c:v>1.8400000000000003</c:v>
                </c:pt>
                <c:pt idx="3658">
                  <c:v>1.8400000000000003</c:v>
                </c:pt>
                <c:pt idx="3659">
                  <c:v>1.3100000000000003</c:v>
                </c:pt>
                <c:pt idx="3660">
                  <c:v>1.3100000000000003</c:v>
                </c:pt>
                <c:pt idx="3661">
                  <c:v>1.3100000000000003</c:v>
                </c:pt>
                <c:pt idx="3662">
                  <c:v>1.3100000000000003</c:v>
                </c:pt>
                <c:pt idx="3663">
                  <c:v>1.8400000000000003</c:v>
                </c:pt>
                <c:pt idx="3664">
                  <c:v>1.8400000000000003</c:v>
                </c:pt>
                <c:pt idx="3665">
                  <c:v>1.8400000000000003</c:v>
                </c:pt>
                <c:pt idx="3666">
                  <c:v>1.8400000000000003</c:v>
                </c:pt>
                <c:pt idx="3667">
                  <c:v>1.3100000000000003</c:v>
                </c:pt>
                <c:pt idx="3668">
                  <c:v>1.3100000000000003</c:v>
                </c:pt>
                <c:pt idx="3669">
                  <c:v>1.3100000000000003</c:v>
                </c:pt>
                <c:pt idx="3670">
                  <c:v>1.3100000000000003</c:v>
                </c:pt>
                <c:pt idx="3671">
                  <c:v>1.8400000000000003</c:v>
                </c:pt>
                <c:pt idx="3672">
                  <c:v>1.8400000000000003</c:v>
                </c:pt>
                <c:pt idx="3673">
                  <c:v>1.8400000000000003</c:v>
                </c:pt>
                <c:pt idx="3674">
                  <c:v>1.8400000000000003</c:v>
                </c:pt>
                <c:pt idx="3675">
                  <c:v>1.3100000000000003</c:v>
                </c:pt>
                <c:pt idx="3676">
                  <c:v>1.3100000000000003</c:v>
                </c:pt>
                <c:pt idx="3677">
                  <c:v>1.3100000000000003</c:v>
                </c:pt>
                <c:pt idx="3678">
                  <c:v>1.3100000000000003</c:v>
                </c:pt>
                <c:pt idx="3679">
                  <c:v>1.8400000000000003</c:v>
                </c:pt>
                <c:pt idx="3680">
                  <c:v>1.8400000000000003</c:v>
                </c:pt>
                <c:pt idx="3681">
                  <c:v>1.8400000000000003</c:v>
                </c:pt>
                <c:pt idx="3682">
                  <c:v>1.8400000000000003</c:v>
                </c:pt>
                <c:pt idx="3683">
                  <c:v>1.3100000000000003</c:v>
                </c:pt>
                <c:pt idx="3684">
                  <c:v>1.3100000000000003</c:v>
                </c:pt>
                <c:pt idx="3685">
                  <c:v>1.3100000000000003</c:v>
                </c:pt>
                <c:pt idx="3686">
                  <c:v>1.3100000000000003</c:v>
                </c:pt>
                <c:pt idx="3687">
                  <c:v>1.8400000000000003</c:v>
                </c:pt>
                <c:pt idx="3688">
                  <c:v>1.8400000000000003</c:v>
                </c:pt>
                <c:pt idx="3689">
                  <c:v>1.8400000000000003</c:v>
                </c:pt>
                <c:pt idx="3690">
                  <c:v>1.8400000000000003</c:v>
                </c:pt>
                <c:pt idx="3691">
                  <c:v>1.3100000000000003</c:v>
                </c:pt>
                <c:pt idx="3692">
                  <c:v>1.3100000000000003</c:v>
                </c:pt>
                <c:pt idx="3693">
                  <c:v>1.3100000000000003</c:v>
                </c:pt>
                <c:pt idx="3694">
                  <c:v>1.3100000000000003</c:v>
                </c:pt>
                <c:pt idx="3695">
                  <c:v>1.8400000000000003</c:v>
                </c:pt>
                <c:pt idx="3696">
                  <c:v>1.8400000000000003</c:v>
                </c:pt>
                <c:pt idx="3697">
                  <c:v>1.8400000000000003</c:v>
                </c:pt>
                <c:pt idx="3698">
                  <c:v>1.8400000000000003</c:v>
                </c:pt>
                <c:pt idx="3699">
                  <c:v>1.3100000000000003</c:v>
                </c:pt>
                <c:pt idx="3700">
                  <c:v>1.3100000000000003</c:v>
                </c:pt>
                <c:pt idx="3701">
                  <c:v>1.3100000000000003</c:v>
                </c:pt>
                <c:pt idx="3702">
                  <c:v>1.3100000000000003</c:v>
                </c:pt>
                <c:pt idx="3703">
                  <c:v>1.8400000000000003</c:v>
                </c:pt>
                <c:pt idx="3704">
                  <c:v>1.8400000000000003</c:v>
                </c:pt>
                <c:pt idx="3705">
                  <c:v>1.8400000000000003</c:v>
                </c:pt>
                <c:pt idx="3706">
                  <c:v>1.8400000000000003</c:v>
                </c:pt>
                <c:pt idx="3707">
                  <c:v>1.3100000000000003</c:v>
                </c:pt>
                <c:pt idx="3708">
                  <c:v>1.3100000000000003</c:v>
                </c:pt>
                <c:pt idx="3709">
                  <c:v>1.3100000000000003</c:v>
                </c:pt>
                <c:pt idx="3710">
                  <c:v>1.3100000000000003</c:v>
                </c:pt>
                <c:pt idx="3711">
                  <c:v>1.8400000000000003</c:v>
                </c:pt>
                <c:pt idx="3712">
                  <c:v>1.8400000000000003</c:v>
                </c:pt>
                <c:pt idx="3713">
                  <c:v>1.8400000000000003</c:v>
                </c:pt>
                <c:pt idx="3714">
                  <c:v>1.8400000000000003</c:v>
                </c:pt>
                <c:pt idx="3715">
                  <c:v>1.3100000000000003</c:v>
                </c:pt>
                <c:pt idx="3716">
                  <c:v>1.3100000000000003</c:v>
                </c:pt>
                <c:pt idx="3717">
                  <c:v>1.3100000000000003</c:v>
                </c:pt>
                <c:pt idx="3718">
                  <c:v>1.3100000000000003</c:v>
                </c:pt>
                <c:pt idx="3719">
                  <c:v>1.8400000000000003</c:v>
                </c:pt>
                <c:pt idx="3720">
                  <c:v>1.8400000000000003</c:v>
                </c:pt>
                <c:pt idx="3721">
                  <c:v>1.8400000000000003</c:v>
                </c:pt>
                <c:pt idx="3722">
                  <c:v>1.8400000000000003</c:v>
                </c:pt>
                <c:pt idx="3723">
                  <c:v>1.3100000000000003</c:v>
                </c:pt>
                <c:pt idx="3724">
                  <c:v>1.3100000000000003</c:v>
                </c:pt>
                <c:pt idx="3725">
                  <c:v>1.3100000000000003</c:v>
                </c:pt>
                <c:pt idx="3726">
                  <c:v>1.3100000000000003</c:v>
                </c:pt>
                <c:pt idx="3727">
                  <c:v>1.8400000000000003</c:v>
                </c:pt>
                <c:pt idx="3728">
                  <c:v>1.8400000000000003</c:v>
                </c:pt>
                <c:pt idx="3729">
                  <c:v>1.8400000000000003</c:v>
                </c:pt>
                <c:pt idx="3730">
                  <c:v>1.8400000000000003</c:v>
                </c:pt>
                <c:pt idx="3731">
                  <c:v>1.3100000000000003</c:v>
                </c:pt>
                <c:pt idx="3732">
                  <c:v>1.3100000000000003</c:v>
                </c:pt>
                <c:pt idx="3733">
                  <c:v>1.3100000000000003</c:v>
                </c:pt>
                <c:pt idx="3734">
                  <c:v>1.3100000000000003</c:v>
                </c:pt>
                <c:pt idx="3735">
                  <c:v>1.8400000000000003</c:v>
                </c:pt>
                <c:pt idx="3736">
                  <c:v>1.8400000000000003</c:v>
                </c:pt>
                <c:pt idx="3737">
                  <c:v>1.8400000000000003</c:v>
                </c:pt>
                <c:pt idx="3738">
                  <c:v>1.8400000000000003</c:v>
                </c:pt>
                <c:pt idx="3739">
                  <c:v>1.3100000000000003</c:v>
                </c:pt>
                <c:pt idx="3740">
                  <c:v>1.3100000000000003</c:v>
                </c:pt>
                <c:pt idx="3741">
                  <c:v>1.3100000000000003</c:v>
                </c:pt>
                <c:pt idx="3742">
                  <c:v>1.3100000000000003</c:v>
                </c:pt>
                <c:pt idx="3743">
                  <c:v>1.8400000000000003</c:v>
                </c:pt>
                <c:pt idx="3744">
                  <c:v>1.8400000000000003</c:v>
                </c:pt>
                <c:pt idx="3745">
                  <c:v>1.8400000000000003</c:v>
                </c:pt>
                <c:pt idx="3746">
                  <c:v>1.8400000000000003</c:v>
                </c:pt>
                <c:pt idx="3747">
                  <c:v>1.3100000000000003</c:v>
                </c:pt>
                <c:pt idx="3748">
                  <c:v>1.3100000000000003</c:v>
                </c:pt>
                <c:pt idx="3749">
                  <c:v>1.3100000000000003</c:v>
                </c:pt>
                <c:pt idx="3750">
                  <c:v>1.3100000000000003</c:v>
                </c:pt>
                <c:pt idx="3751">
                  <c:v>1.8400000000000003</c:v>
                </c:pt>
                <c:pt idx="3752">
                  <c:v>1.8400000000000003</c:v>
                </c:pt>
                <c:pt idx="3753">
                  <c:v>1.8400000000000003</c:v>
                </c:pt>
                <c:pt idx="3754">
                  <c:v>1.8400000000000003</c:v>
                </c:pt>
                <c:pt idx="3755">
                  <c:v>1.3100000000000003</c:v>
                </c:pt>
                <c:pt idx="3756">
                  <c:v>1.3100000000000003</c:v>
                </c:pt>
                <c:pt idx="3757">
                  <c:v>1.3100000000000003</c:v>
                </c:pt>
                <c:pt idx="3758">
                  <c:v>1.3100000000000003</c:v>
                </c:pt>
                <c:pt idx="3759">
                  <c:v>1.8400000000000003</c:v>
                </c:pt>
                <c:pt idx="3760">
                  <c:v>1.8400000000000003</c:v>
                </c:pt>
                <c:pt idx="3761">
                  <c:v>1.8400000000000003</c:v>
                </c:pt>
                <c:pt idx="3762">
                  <c:v>1.8400000000000003</c:v>
                </c:pt>
                <c:pt idx="3763">
                  <c:v>1.3100000000000003</c:v>
                </c:pt>
                <c:pt idx="3764">
                  <c:v>1.3100000000000003</c:v>
                </c:pt>
                <c:pt idx="3765">
                  <c:v>1.3100000000000003</c:v>
                </c:pt>
                <c:pt idx="3766">
                  <c:v>1.3100000000000003</c:v>
                </c:pt>
                <c:pt idx="3767">
                  <c:v>1.8400000000000003</c:v>
                </c:pt>
                <c:pt idx="3768">
                  <c:v>1.8400000000000003</c:v>
                </c:pt>
                <c:pt idx="3769">
                  <c:v>1.8400000000000003</c:v>
                </c:pt>
                <c:pt idx="3770">
                  <c:v>1.8400000000000003</c:v>
                </c:pt>
                <c:pt idx="3771">
                  <c:v>1.3100000000000003</c:v>
                </c:pt>
                <c:pt idx="3772">
                  <c:v>1.3100000000000003</c:v>
                </c:pt>
                <c:pt idx="3773">
                  <c:v>1.3100000000000003</c:v>
                </c:pt>
                <c:pt idx="3774">
                  <c:v>1.3100000000000003</c:v>
                </c:pt>
                <c:pt idx="3775">
                  <c:v>1.8400000000000003</c:v>
                </c:pt>
                <c:pt idx="3776">
                  <c:v>1.8400000000000003</c:v>
                </c:pt>
                <c:pt idx="3777">
                  <c:v>1.8400000000000003</c:v>
                </c:pt>
                <c:pt idx="3778">
                  <c:v>1.8400000000000003</c:v>
                </c:pt>
                <c:pt idx="3779">
                  <c:v>1.3100000000000003</c:v>
                </c:pt>
                <c:pt idx="3780">
                  <c:v>1.3100000000000003</c:v>
                </c:pt>
                <c:pt idx="3781">
                  <c:v>1.3100000000000003</c:v>
                </c:pt>
                <c:pt idx="3782">
                  <c:v>1.3100000000000003</c:v>
                </c:pt>
                <c:pt idx="3783">
                  <c:v>1.8400000000000003</c:v>
                </c:pt>
                <c:pt idx="3784">
                  <c:v>1.8400000000000003</c:v>
                </c:pt>
                <c:pt idx="3785">
                  <c:v>1.8400000000000003</c:v>
                </c:pt>
                <c:pt idx="3786">
                  <c:v>1.8400000000000003</c:v>
                </c:pt>
                <c:pt idx="3787">
                  <c:v>1.3100000000000003</c:v>
                </c:pt>
                <c:pt idx="3788">
                  <c:v>1.3100000000000003</c:v>
                </c:pt>
                <c:pt idx="3789">
                  <c:v>1.3100000000000003</c:v>
                </c:pt>
                <c:pt idx="3790">
                  <c:v>1.3100000000000003</c:v>
                </c:pt>
                <c:pt idx="3791">
                  <c:v>1.8400000000000003</c:v>
                </c:pt>
                <c:pt idx="3792">
                  <c:v>1.8400000000000003</c:v>
                </c:pt>
                <c:pt idx="3793">
                  <c:v>1.8400000000000003</c:v>
                </c:pt>
                <c:pt idx="3794">
                  <c:v>1.8400000000000003</c:v>
                </c:pt>
                <c:pt idx="3795">
                  <c:v>1.3100000000000003</c:v>
                </c:pt>
                <c:pt idx="3796">
                  <c:v>1.3100000000000003</c:v>
                </c:pt>
                <c:pt idx="3797">
                  <c:v>1.3100000000000003</c:v>
                </c:pt>
                <c:pt idx="3798">
                  <c:v>1.3100000000000003</c:v>
                </c:pt>
                <c:pt idx="3799">
                  <c:v>1.8400000000000003</c:v>
                </c:pt>
                <c:pt idx="3800">
                  <c:v>1.8400000000000003</c:v>
                </c:pt>
                <c:pt idx="3801">
                  <c:v>1.8400000000000003</c:v>
                </c:pt>
                <c:pt idx="3802">
                  <c:v>1.8400000000000003</c:v>
                </c:pt>
                <c:pt idx="3803">
                  <c:v>1.3100000000000003</c:v>
                </c:pt>
                <c:pt idx="3804">
                  <c:v>1.3100000000000003</c:v>
                </c:pt>
                <c:pt idx="3805">
                  <c:v>1.3100000000000003</c:v>
                </c:pt>
                <c:pt idx="3806">
                  <c:v>1.3100000000000003</c:v>
                </c:pt>
                <c:pt idx="3807">
                  <c:v>1.8400000000000003</c:v>
                </c:pt>
                <c:pt idx="3808">
                  <c:v>1.8400000000000003</c:v>
                </c:pt>
                <c:pt idx="3809">
                  <c:v>1.8400000000000003</c:v>
                </c:pt>
                <c:pt idx="3810">
                  <c:v>1.8400000000000003</c:v>
                </c:pt>
                <c:pt idx="3811">
                  <c:v>1.3100000000000003</c:v>
                </c:pt>
                <c:pt idx="3812">
                  <c:v>1.3100000000000003</c:v>
                </c:pt>
                <c:pt idx="3813">
                  <c:v>1.3100000000000003</c:v>
                </c:pt>
                <c:pt idx="3814">
                  <c:v>1.3100000000000003</c:v>
                </c:pt>
                <c:pt idx="3815">
                  <c:v>1.8400000000000003</c:v>
                </c:pt>
                <c:pt idx="3816">
                  <c:v>1.8400000000000003</c:v>
                </c:pt>
                <c:pt idx="3817">
                  <c:v>1.8400000000000003</c:v>
                </c:pt>
                <c:pt idx="3818">
                  <c:v>1.8400000000000003</c:v>
                </c:pt>
                <c:pt idx="3819">
                  <c:v>1.3100000000000003</c:v>
                </c:pt>
                <c:pt idx="3820">
                  <c:v>1.3100000000000003</c:v>
                </c:pt>
                <c:pt idx="3821">
                  <c:v>1.3100000000000003</c:v>
                </c:pt>
                <c:pt idx="3822">
                  <c:v>1.3100000000000003</c:v>
                </c:pt>
                <c:pt idx="3823">
                  <c:v>1.8400000000000003</c:v>
                </c:pt>
                <c:pt idx="3824">
                  <c:v>1.8400000000000003</c:v>
                </c:pt>
                <c:pt idx="3825">
                  <c:v>1.8400000000000003</c:v>
                </c:pt>
                <c:pt idx="3826">
                  <c:v>1.8400000000000003</c:v>
                </c:pt>
                <c:pt idx="3827">
                  <c:v>1.3100000000000003</c:v>
                </c:pt>
                <c:pt idx="3828">
                  <c:v>1.3100000000000003</c:v>
                </c:pt>
                <c:pt idx="3829">
                  <c:v>1.3100000000000003</c:v>
                </c:pt>
                <c:pt idx="3830">
                  <c:v>1.3100000000000003</c:v>
                </c:pt>
                <c:pt idx="3831">
                  <c:v>1.8400000000000003</c:v>
                </c:pt>
                <c:pt idx="3832">
                  <c:v>1.8400000000000003</c:v>
                </c:pt>
                <c:pt idx="3833">
                  <c:v>1.8400000000000003</c:v>
                </c:pt>
                <c:pt idx="3834">
                  <c:v>1.8400000000000003</c:v>
                </c:pt>
                <c:pt idx="3835">
                  <c:v>1.3100000000000003</c:v>
                </c:pt>
                <c:pt idx="3836">
                  <c:v>1.3100000000000003</c:v>
                </c:pt>
                <c:pt idx="3837">
                  <c:v>1.3100000000000003</c:v>
                </c:pt>
                <c:pt idx="3838">
                  <c:v>1.3100000000000003</c:v>
                </c:pt>
                <c:pt idx="3839">
                  <c:v>1.8400000000000003</c:v>
                </c:pt>
                <c:pt idx="3840">
                  <c:v>1.8400000000000003</c:v>
                </c:pt>
                <c:pt idx="3841">
                  <c:v>1.8400000000000003</c:v>
                </c:pt>
                <c:pt idx="3842">
                  <c:v>1.8400000000000003</c:v>
                </c:pt>
                <c:pt idx="3843">
                  <c:v>1.3100000000000003</c:v>
                </c:pt>
                <c:pt idx="3844">
                  <c:v>1.3100000000000003</c:v>
                </c:pt>
                <c:pt idx="3845">
                  <c:v>1.3100000000000003</c:v>
                </c:pt>
                <c:pt idx="3846">
                  <c:v>1.3100000000000003</c:v>
                </c:pt>
                <c:pt idx="3847">
                  <c:v>1.8400000000000003</c:v>
                </c:pt>
                <c:pt idx="3848">
                  <c:v>1.8400000000000003</c:v>
                </c:pt>
                <c:pt idx="3849">
                  <c:v>1.8400000000000003</c:v>
                </c:pt>
                <c:pt idx="3850">
                  <c:v>1.8400000000000003</c:v>
                </c:pt>
                <c:pt idx="3851">
                  <c:v>1.3100000000000003</c:v>
                </c:pt>
                <c:pt idx="3852">
                  <c:v>1.3100000000000003</c:v>
                </c:pt>
                <c:pt idx="3853">
                  <c:v>1.3100000000000003</c:v>
                </c:pt>
                <c:pt idx="3854">
                  <c:v>1.3100000000000003</c:v>
                </c:pt>
                <c:pt idx="3855">
                  <c:v>1.3100000000000003</c:v>
                </c:pt>
                <c:pt idx="3856">
                  <c:v>1.3100000000000003</c:v>
                </c:pt>
                <c:pt idx="3857">
                  <c:v>1.8400000000000003</c:v>
                </c:pt>
                <c:pt idx="3858">
                  <c:v>1.8400000000000003</c:v>
                </c:pt>
                <c:pt idx="3859">
                  <c:v>1.8400000000000003</c:v>
                </c:pt>
                <c:pt idx="3860">
                  <c:v>1.8400000000000003</c:v>
                </c:pt>
                <c:pt idx="3861">
                  <c:v>1.3100000000000003</c:v>
                </c:pt>
                <c:pt idx="3862">
                  <c:v>1.3100000000000003</c:v>
                </c:pt>
                <c:pt idx="3863">
                  <c:v>1.3100000000000003</c:v>
                </c:pt>
                <c:pt idx="3864">
                  <c:v>1.3100000000000003</c:v>
                </c:pt>
                <c:pt idx="3865">
                  <c:v>1.8400000000000003</c:v>
                </c:pt>
                <c:pt idx="3866">
                  <c:v>1.8400000000000003</c:v>
                </c:pt>
                <c:pt idx="3867">
                  <c:v>1.8400000000000003</c:v>
                </c:pt>
                <c:pt idx="3868">
                  <c:v>1.8400000000000003</c:v>
                </c:pt>
                <c:pt idx="3869">
                  <c:v>1.3100000000000003</c:v>
                </c:pt>
                <c:pt idx="3870">
                  <c:v>1.3100000000000003</c:v>
                </c:pt>
                <c:pt idx="3871">
                  <c:v>1.3100000000000003</c:v>
                </c:pt>
                <c:pt idx="3872">
                  <c:v>1.3100000000000003</c:v>
                </c:pt>
                <c:pt idx="3873">
                  <c:v>1.8400000000000003</c:v>
                </c:pt>
                <c:pt idx="3874">
                  <c:v>1.8400000000000003</c:v>
                </c:pt>
                <c:pt idx="3875">
                  <c:v>1.8400000000000003</c:v>
                </c:pt>
                <c:pt idx="3876">
                  <c:v>1.8400000000000003</c:v>
                </c:pt>
                <c:pt idx="3877">
                  <c:v>1.3100000000000003</c:v>
                </c:pt>
                <c:pt idx="3878">
                  <c:v>1.3100000000000003</c:v>
                </c:pt>
                <c:pt idx="3879">
                  <c:v>1.3100000000000003</c:v>
                </c:pt>
                <c:pt idx="3880">
                  <c:v>1.3100000000000003</c:v>
                </c:pt>
                <c:pt idx="3881">
                  <c:v>1.8400000000000003</c:v>
                </c:pt>
                <c:pt idx="3882">
                  <c:v>1.8400000000000003</c:v>
                </c:pt>
                <c:pt idx="3883">
                  <c:v>1.8400000000000003</c:v>
                </c:pt>
                <c:pt idx="3884">
                  <c:v>1.8400000000000003</c:v>
                </c:pt>
                <c:pt idx="3885">
                  <c:v>1.3100000000000003</c:v>
                </c:pt>
                <c:pt idx="3886">
                  <c:v>1.3100000000000003</c:v>
                </c:pt>
                <c:pt idx="3887">
                  <c:v>1.3100000000000003</c:v>
                </c:pt>
                <c:pt idx="3888">
                  <c:v>1.3100000000000003</c:v>
                </c:pt>
                <c:pt idx="3889">
                  <c:v>1.8400000000000003</c:v>
                </c:pt>
                <c:pt idx="3890">
                  <c:v>1.8400000000000003</c:v>
                </c:pt>
                <c:pt idx="3891">
                  <c:v>1.8400000000000003</c:v>
                </c:pt>
                <c:pt idx="3892">
                  <c:v>1.8400000000000003</c:v>
                </c:pt>
                <c:pt idx="3893">
                  <c:v>1.3100000000000003</c:v>
                </c:pt>
                <c:pt idx="3894">
                  <c:v>1.3100000000000003</c:v>
                </c:pt>
                <c:pt idx="3895">
                  <c:v>1.3100000000000003</c:v>
                </c:pt>
                <c:pt idx="3896">
                  <c:v>1.3100000000000003</c:v>
                </c:pt>
                <c:pt idx="3897">
                  <c:v>1.8400000000000003</c:v>
                </c:pt>
                <c:pt idx="3898">
                  <c:v>1.8400000000000003</c:v>
                </c:pt>
                <c:pt idx="3899">
                  <c:v>1.8400000000000003</c:v>
                </c:pt>
                <c:pt idx="3900">
                  <c:v>1.8400000000000003</c:v>
                </c:pt>
                <c:pt idx="3901">
                  <c:v>1.3100000000000003</c:v>
                </c:pt>
                <c:pt idx="3902">
                  <c:v>1.3100000000000003</c:v>
                </c:pt>
                <c:pt idx="3903">
                  <c:v>1.3100000000000003</c:v>
                </c:pt>
                <c:pt idx="3904">
                  <c:v>1.3100000000000003</c:v>
                </c:pt>
                <c:pt idx="3905">
                  <c:v>1.8400000000000003</c:v>
                </c:pt>
                <c:pt idx="3906">
                  <c:v>1.8400000000000003</c:v>
                </c:pt>
                <c:pt idx="3907">
                  <c:v>1.8400000000000003</c:v>
                </c:pt>
                <c:pt idx="3908">
                  <c:v>1.8400000000000003</c:v>
                </c:pt>
                <c:pt idx="3909">
                  <c:v>1.3100000000000003</c:v>
                </c:pt>
                <c:pt idx="3910">
                  <c:v>1.3100000000000003</c:v>
                </c:pt>
                <c:pt idx="3911">
                  <c:v>1.3100000000000003</c:v>
                </c:pt>
                <c:pt idx="3912">
                  <c:v>1.3100000000000003</c:v>
                </c:pt>
                <c:pt idx="3913">
                  <c:v>1.8400000000000003</c:v>
                </c:pt>
                <c:pt idx="3914">
                  <c:v>1.8400000000000003</c:v>
                </c:pt>
                <c:pt idx="3915">
                  <c:v>1.8400000000000003</c:v>
                </c:pt>
                <c:pt idx="3916">
                  <c:v>1.8400000000000003</c:v>
                </c:pt>
                <c:pt idx="3917">
                  <c:v>1.3100000000000003</c:v>
                </c:pt>
                <c:pt idx="3918">
                  <c:v>1.3100000000000003</c:v>
                </c:pt>
                <c:pt idx="3919">
                  <c:v>1.3100000000000003</c:v>
                </c:pt>
                <c:pt idx="3920">
                  <c:v>1.3100000000000003</c:v>
                </c:pt>
                <c:pt idx="3921">
                  <c:v>1.8400000000000003</c:v>
                </c:pt>
                <c:pt idx="3922">
                  <c:v>1.8400000000000003</c:v>
                </c:pt>
                <c:pt idx="3923">
                  <c:v>1.8400000000000003</c:v>
                </c:pt>
                <c:pt idx="3924">
                  <c:v>1.8400000000000003</c:v>
                </c:pt>
                <c:pt idx="3925">
                  <c:v>1.3100000000000003</c:v>
                </c:pt>
                <c:pt idx="3926">
                  <c:v>1.3100000000000003</c:v>
                </c:pt>
                <c:pt idx="3927">
                  <c:v>1.3100000000000003</c:v>
                </c:pt>
                <c:pt idx="3928">
                  <c:v>1.3100000000000003</c:v>
                </c:pt>
                <c:pt idx="3929">
                  <c:v>1.8400000000000003</c:v>
                </c:pt>
                <c:pt idx="3930">
                  <c:v>1.8400000000000003</c:v>
                </c:pt>
                <c:pt idx="3931">
                  <c:v>1.8400000000000003</c:v>
                </c:pt>
                <c:pt idx="3932">
                  <c:v>1.8400000000000003</c:v>
                </c:pt>
                <c:pt idx="3933">
                  <c:v>1.3100000000000003</c:v>
                </c:pt>
                <c:pt idx="3934">
                  <c:v>1.3100000000000003</c:v>
                </c:pt>
                <c:pt idx="3935">
                  <c:v>1.3100000000000003</c:v>
                </c:pt>
                <c:pt idx="3936">
                  <c:v>1.3100000000000003</c:v>
                </c:pt>
                <c:pt idx="3937">
                  <c:v>1.8400000000000003</c:v>
                </c:pt>
                <c:pt idx="3938">
                  <c:v>1.8400000000000003</c:v>
                </c:pt>
                <c:pt idx="3939">
                  <c:v>1.8400000000000003</c:v>
                </c:pt>
                <c:pt idx="3940">
                  <c:v>1.8400000000000003</c:v>
                </c:pt>
                <c:pt idx="3941">
                  <c:v>1.3100000000000003</c:v>
                </c:pt>
                <c:pt idx="3942">
                  <c:v>1.3100000000000003</c:v>
                </c:pt>
                <c:pt idx="3943">
                  <c:v>1.3100000000000003</c:v>
                </c:pt>
                <c:pt idx="3944">
                  <c:v>1.3100000000000003</c:v>
                </c:pt>
                <c:pt idx="3945">
                  <c:v>1.8400000000000003</c:v>
                </c:pt>
                <c:pt idx="3946">
                  <c:v>1.8400000000000003</c:v>
                </c:pt>
                <c:pt idx="3947">
                  <c:v>1.8400000000000003</c:v>
                </c:pt>
                <c:pt idx="3948">
                  <c:v>1.8400000000000003</c:v>
                </c:pt>
                <c:pt idx="3949">
                  <c:v>1.3100000000000003</c:v>
                </c:pt>
                <c:pt idx="3950">
                  <c:v>1.3100000000000003</c:v>
                </c:pt>
                <c:pt idx="3951">
                  <c:v>1.3100000000000003</c:v>
                </c:pt>
                <c:pt idx="3952">
                  <c:v>1.3100000000000003</c:v>
                </c:pt>
                <c:pt idx="3953">
                  <c:v>1.8400000000000003</c:v>
                </c:pt>
                <c:pt idx="3954">
                  <c:v>1.8400000000000003</c:v>
                </c:pt>
                <c:pt idx="3955">
                  <c:v>1.8400000000000003</c:v>
                </c:pt>
                <c:pt idx="3956">
                  <c:v>1.8400000000000003</c:v>
                </c:pt>
                <c:pt idx="3957">
                  <c:v>1.3100000000000003</c:v>
                </c:pt>
                <c:pt idx="3958">
                  <c:v>1.3100000000000003</c:v>
                </c:pt>
                <c:pt idx="3959">
                  <c:v>1.3100000000000003</c:v>
                </c:pt>
                <c:pt idx="3960">
                  <c:v>1.3100000000000003</c:v>
                </c:pt>
                <c:pt idx="3961">
                  <c:v>1.8400000000000003</c:v>
                </c:pt>
                <c:pt idx="3962">
                  <c:v>1.8400000000000003</c:v>
                </c:pt>
                <c:pt idx="3963">
                  <c:v>1.8400000000000003</c:v>
                </c:pt>
                <c:pt idx="3964">
                  <c:v>1.8400000000000003</c:v>
                </c:pt>
                <c:pt idx="3965">
                  <c:v>1.3100000000000003</c:v>
                </c:pt>
                <c:pt idx="3966">
                  <c:v>1.3100000000000003</c:v>
                </c:pt>
                <c:pt idx="3967">
                  <c:v>1.3100000000000003</c:v>
                </c:pt>
                <c:pt idx="3968">
                  <c:v>1.3100000000000003</c:v>
                </c:pt>
                <c:pt idx="3969">
                  <c:v>1.8400000000000003</c:v>
                </c:pt>
                <c:pt idx="3970">
                  <c:v>1.8400000000000003</c:v>
                </c:pt>
                <c:pt idx="3971">
                  <c:v>1.8400000000000003</c:v>
                </c:pt>
                <c:pt idx="3972">
                  <c:v>1.8400000000000003</c:v>
                </c:pt>
                <c:pt idx="3973">
                  <c:v>1.3100000000000003</c:v>
                </c:pt>
                <c:pt idx="3974">
                  <c:v>1.3100000000000003</c:v>
                </c:pt>
                <c:pt idx="3975">
                  <c:v>1.3100000000000003</c:v>
                </c:pt>
                <c:pt idx="3976">
                  <c:v>1.3100000000000003</c:v>
                </c:pt>
                <c:pt idx="3977">
                  <c:v>1.8400000000000003</c:v>
                </c:pt>
                <c:pt idx="3978">
                  <c:v>1.8400000000000003</c:v>
                </c:pt>
                <c:pt idx="3979">
                  <c:v>1.8400000000000003</c:v>
                </c:pt>
                <c:pt idx="3980">
                  <c:v>1.8400000000000003</c:v>
                </c:pt>
                <c:pt idx="3981">
                  <c:v>1.3100000000000003</c:v>
                </c:pt>
                <c:pt idx="3982">
                  <c:v>1.3100000000000003</c:v>
                </c:pt>
                <c:pt idx="3983">
                  <c:v>1.3100000000000003</c:v>
                </c:pt>
                <c:pt idx="3984">
                  <c:v>1.3100000000000003</c:v>
                </c:pt>
                <c:pt idx="3985">
                  <c:v>1.8400000000000003</c:v>
                </c:pt>
                <c:pt idx="3986">
                  <c:v>1.8400000000000003</c:v>
                </c:pt>
                <c:pt idx="3987">
                  <c:v>1.8400000000000003</c:v>
                </c:pt>
                <c:pt idx="3988">
                  <c:v>1.8400000000000003</c:v>
                </c:pt>
                <c:pt idx="3989">
                  <c:v>1.3100000000000003</c:v>
                </c:pt>
                <c:pt idx="3990">
                  <c:v>1.3100000000000003</c:v>
                </c:pt>
                <c:pt idx="3991">
                  <c:v>1.3100000000000003</c:v>
                </c:pt>
                <c:pt idx="3992">
                  <c:v>1.3100000000000003</c:v>
                </c:pt>
                <c:pt idx="3993">
                  <c:v>1.8400000000000003</c:v>
                </c:pt>
                <c:pt idx="3994">
                  <c:v>1.8400000000000003</c:v>
                </c:pt>
                <c:pt idx="3995">
                  <c:v>1.8400000000000003</c:v>
                </c:pt>
                <c:pt idx="3996">
                  <c:v>1.8400000000000003</c:v>
                </c:pt>
                <c:pt idx="3997">
                  <c:v>1.3100000000000003</c:v>
                </c:pt>
                <c:pt idx="3998">
                  <c:v>1.3100000000000003</c:v>
                </c:pt>
                <c:pt idx="3999">
                  <c:v>1.3100000000000003</c:v>
                </c:pt>
                <c:pt idx="4000">
                  <c:v>1.3100000000000003</c:v>
                </c:pt>
                <c:pt idx="4001">
                  <c:v>1.8400000000000003</c:v>
                </c:pt>
                <c:pt idx="4002">
                  <c:v>1.8400000000000003</c:v>
                </c:pt>
                <c:pt idx="4003">
                  <c:v>1.8400000000000003</c:v>
                </c:pt>
                <c:pt idx="4004">
                  <c:v>1.8400000000000003</c:v>
                </c:pt>
                <c:pt idx="4005">
                  <c:v>1.3100000000000003</c:v>
                </c:pt>
                <c:pt idx="4006">
                  <c:v>1.3100000000000003</c:v>
                </c:pt>
                <c:pt idx="4007">
                  <c:v>1.3100000000000003</c:v>
                </c:pt>
                <c:pt idx="4008">
                  <c:v>1.3100000000000003</c:v>
                </c:pt>
                <c:pt idx="4009">
                  <c:v>1.8400000000000003</c:v>
                </c:pt>
                <c:pt idx="4010">
                  <c:v>1.8400000000000003</c:v>
                </c:pt>
                <c:pt idx="4011">
                  <c:v>1.8400000000000003</c:v>
                </c:pt>
                <c:pt idx="4012">
                  <c:v>1.8400000000000003</c:v>
                </c:pt>
                <c:pt idx="4013">
                  <c:v>1.3100000000000003</c:v>
                </c:pt>
                <c:pt idx="4014">
                  <c:v>1.3100000000000003</c:v>
                </c:pt>
                <c:pt idx="4015">
                  <c:v>1.3100000000000003</c:v>
                </c:pt>
                <c:pt idx="4016">
                  <c:v>1.3100000000000003</c:v>
                </c:pt>
                <c:pt idx="4017">
                  <c:v>1.8400000000000003</c:v>
                </c:pt>
                <c:pt idx="4018">
                  <c:v>1.8400000000000003</c:v>
                </c:pt>
                <c:pt idx="4019">
                  <c:v>1.8400000000000003</c:v>
                </c:pt>
                <c:pt idx="4020">
                  <c:v>1.8400000000000003</c:v>
                </c:pt>
                <c:pt idx="4021">
                  <c:v>1.3100000000000003</c:v>
                </c:pt>
                <c:pt idx="4022">
                  <c:v>1.3100000000000003</c:v>
                </c:pt>
                <c:pt idx="4023">
                  <c:v>1.3100000000000003</c:v>
                </c:pt>
                <c:pt idx="4024">
                  <c:v>1.3100000000000003</c:v>
                </c:pt>
                <c:pt idx="4025">
                  <c:v>1.8400000000000003</c:v>
                </c:pt>
                <c:pt idx="4026">
                  <c:v>1.8400000000000003</c:v>
                </c:pt>
                <c:pt idx="4027">
                  <c:v>1.8400000000000003</c:v>
                </c:pt>
                <c:pt idx="4028">
                  <c:v>1.8400000000000003</c:v>
                </c:pt>
                <c:pt idx="4029">
                  <c:v>1.3100000000000003</c:v>
                </c:pt>
                <c:pt idx="4030">
                  <c:v>1.3100000000000003</c:v>
                </c:pt>
                <c:pt idx="4031">
                  <c:v>1.3100000000000003</c:v>
                </c:pt>
                <c:pt idx="4032">
                  <c:v>1.3100000000000003</c:v>
                </c:pt>
                <c:pt idx="4033">
                  <c:v>1.8400000000000003</c:v>
                </c:pt>
                <c:pt idx="4034">
                  <c:v>1.8400000000000003</c:v>
                </c:pt>
                <c:pt idx="4035">
                  <c:v>1.8400000000000003</c:v>
                </c:pt>
                <c:pt idx="4036">
                  <c:v>1.8400000000000003</c:v>
                </c:pt>
                <c:pt idx="4037">
                  <c:v>1.3100000000000003</c:v>
                </c:pt>
                <c:pt idx="4038">
                  <c:v>1.3100000000000003</c:v>
                </c:pt>
                <c:pt idx="4039">
                  <c:v>1.3100000000000003</c:v>
                </c:pt>
                <c:pt idx="4040">
                  <c:v>1.3100000000000003</c:v>
                </c:pt>
                <c:pt idx="4041">
                  <c:v>1.8400000000000003</c:v>
                </c:pt>
                <c:pt idx="4042">
                  <c:v>1.8400000000000003</c:v>
                </c:pt>
                <c:pt idx="4043">
                  <c:v>1.8400000000000003</c:v>
                </c:pt>
                <c:pt idx="4044">
                  <c:v>1.8400000000000003</c:v>
                </c:pt>
                <c:pt idx="4045">
                  <c:v>1.3100000000000003</c:v>
                </c:pt>
                <c:pt idx="4046">
                  <c:v>1.3100000000000003</c:v>
                </c:pt>
                <c:pt idx="4047">
                  <c:v>1.3100000000000003</c:v>
                </c:pt>
                <c:pt idx="4048">
                  <c:v>1.3100000000000003</c:v>
                </c:pt>
                <c:pt idx="4049">
                  <c:v>1.8400000000000003</c:v>
                </c:pt>
                <c:pt idx="4050">
                  <c:v>1.8400000000000003</c:v>
                </c:pt>
                <c:pt idx="4051">
                  <c:v>1.8400000000000003</c:v>
                </c:pt>
                <c:pt idx="4052">
                  <c:v>1.8400000000000003</c:v>
                </c:pt>
                <c:pt idx="4053">
                  <c:v>1.3100000000000003</c:v>
                </c:pt>
                <c:pt idx="4054">
                  <c:v>1.3100000000000003</c:v>
                </c:pt>
                <c:pt idx="4055">
                  <c:v>1.3100000000000003</c:v>
                </c:pt>
                <c:pt idx="4056">
                  <c:v>1.3100000000000003</c:v>
                </c:pt>
                <c:pt idx="4057">
                  <c:v>1.8400000000000003</c:v>
                </c:pt>
                <c:pt idx="4058">
                  <c:v>1.8400000000000003</c:v>
                </c:pt>
                <c:pt idx="4059">
                  <c:v>1.8400000000000003</c:v>
                </c:pt>
                <c:pt idx="4060">
                  <c:v>1.8400000000000003</c:v>
                </c:pt>
                <c:pt idx="4061">
                  <c:v>1.3100000000000003</c:v>
                </c:pt>
                <c:pt idx="4062">
                  <c:v>1.3100000000000003</c:v>
                </c:pt>
                <c:pt idx="4063">
                  <c:v>1.3100000000000003</c:v>
                </c:pt>
                <c:pt idx="4064">
                  <c:v>1.3100000000000003</c:v>
                </c:pt>
                <c:pt idx="4065">
                  <c:v>1.8400000000000003</c:v>
                </c:pt>
                <c:pt idx="4066">
                  <c:v>1.8400000000000003</c:v>
                </c:pt>
                <c:pt idx="4067">
                  <c:v>1.8400000000000003</c:v>
                </c:pt>
                <c:pt idx="4068">
                  <c:v>1.8400000000000003</c:v>
                </c:pt>
                <c:pt idx="4069">
                  <c:v>1.3100000000000003</c:v>
                </c:pt>
                <c:pt idx="4070">
                  <c:v>1.3100000000000003</c:v>
                </c:pt>
                <c:pt idx="4071">
                  <c:v>1.3100000000000003</c:v>
                </c:pt>
                <c:pt idx="4072">
                  <c:v>1.3100000000000003</c:v>
                </c:pt>
                <c:pt idx="4073">
                  <c:v>1.8400000000000003</c:v>
                </c:pt>
                <c:pt idx="4074">
                  <c:v>1.8400000000000003</c:v>
                </c:pt>
                <c:pt idx="4075">
                  <c:v>1.8400000000000003</c:v>
                </c:pt>
                <c:pt idx="4076">
                  <c:v>1.8400000000000003</c:v>
                </c:pt>
                <c:pt idx="4077">
                  <c:v>1.3100000000000003</c:v>
                </c:pt>
                <c:pt idx="4078">
                  <c:v>1.3100000000000003</c:v>
                </c:pt>
                <c:pt idx="4079">
                  <c:v>1.3100000000000003</c:v>
                </c:pt>
                <c:pt idx="4080">
                  <c:v>1.3100000000000003</c:v>
                </c:pt>
                <c:pt idx="4081">
                  <c:v>1.8400000000000003</c:v>
                </c:pt>
                <c:pt idx="4082">
                  <c:v>1.8400000000000003</c:v>
                </c:pt>
                <c:pt idx="4083">
                  <c:v>1.8400000000000003</c:v>
                </c:pt>
                <c:pt idx="4084">
                  <c:v>1.8400000000000003</c:v>
                </c:pt>
                <c:pt idx="4085">
                  <c:v>1.3100000000000003</c:v>
                </c:pt>
                <c:pt idx="4086">
                  <c:v>1.3100000000000003</c:v>
                </c:pt>
                <c:pt idx="4087">
                  <c:v>1.3100000000000003</c:v>
                </c:pt>
                <c:pt idx="4088">
                  <c:v>1.3100000000000003</c:v>
                </c:pt>
                <c:pt idx="4089">
                  <c:v>1.8400000000000003</c:v>
                </c:pt>
                <c:pt idx="4090">
                  <c:v>1.8400000000000003</c:v>
                </c:pt>
                <c:pt idx="4091">
                  <c:v>1.8400000000000003</c:v>
                </c:pt>
                <c:pt idx="4092">
                  <c:v>1.8400000000000003</c:v>
                </c:pt>
                <c:pt idx="4093">
                  <c:v>1.3100000000000003</c:v>
                </c:pt>
                <c:pt idx="4094">
                  <c:v>1.3100000000000003</c:v>
                </c:pt>
                <c:pt idx="4095">
                  <c:v>1.3100000000000003</c:v>
                </c:pt>
                <c:pt idx="4096">
                  <c:v>1.3100000000000003</c:v>
                </c:pt>
                <c:pt idx="4097">
                  <c:v>1.8400000000000003</c:v>
                </c:pt>
                <c:pt idx="4098">
                  <c:v>1.8400000000000003</c:v>
                </c:pt>
                <c:pt idx="4099">
                  <c:v>1.8400000000000003</c:v>
                </c:pt>
                <c:pt idx="4100">
                  <c:v>1.8400000000000003</c:v>
                </c:pt>
                <c:pt idx="4101">
                  <c:v>1.3100000000000003</c:v>
                </c:pt>
                <c:pt idx="4102">
                  <c:v>1.3100000000000003</c:v>
                </c:pt>
                <c:pt idx="4103">
                  <c:v>1.3100000000000003</c:v>
                </c:pt>
                <c:pt idx="4104">
                  <c:v>1.3100000000000003</c:v>
                </c:pt>
                <c:pt idx="4105">
                  <c:v>1.8400000000000003</c:v>
                </c:pt>
                <c:pt idx="4106">
                  <c:v>1.8400000000000003</c:v>
                </c:pt>
                <c:pt idx="4107">
                  <c:v>1.8400000000000003</c:v>
                </c:pt>
                <c:pt idx="4108">
                  <c:v>1.8400000000000003</c:v>
                </c:pt>
                <c:pt idx="4109">
                  <c:v>1.3100000000000003</c:v>
                </c:pt>
                <c:pt idx="4110">
                  <c:v>1.3100000000000003</c:v>
                </c:pt>
                <c:pt idx="4111">
                  <c:v>1.3100000000000003</c:v>
                </c:pt>
                <c:pt idx="4112">
                  <c:v>1.3100000000000003</c:v>
                </c:pt>
                <c:pt idx="4113">
                  <c:v>1.8400000000000003</c:v>
                </c:pt>
                <c:pt idx="4114">
                  <c:v>1.8400000000000003</c:v>
                </c:pt>
                <c:pt idx="4115">
                  <c:v>1.8400000000000003</c:v>
                </c:pt>
                <c:pt idx="4116">
                  <c:v>1.8400000000000003</c:v>
                </c:pt>
                <c:pt idx="4117">
                  <c:v>1.3100000000000003</c:v>
                </c:pt>
                <c:pt idx="4118">
                  <c:v>1.3100000000000003</c:v>
                </c:pt>
                <c:pt idx="4119">
                  <c:v>1.3100000000000003</c:v>
                </c:pt>
                <c:pt idx="4120">
                  <c:v>1.3100000000000003</c:v>
                </c:pt>
                <c:pt idx="4121">
                  <c:v>1.8400000000000003</c:v>
                </c:pt>
                <c:pt idx="4122">
                  <c:v>1.8400000000000003</c:v>
                </c:pt>
                <c:pt idx="4123">
                  <c:v>1.8400000000000003</c:v>
                </c:pt>
                <c:pt idx="4124">
                  <c:v>1.8400000000000003</c:v>
                </c:pt>
                <c:pt idx="4125">
                  <c:v>1.3100000000000003</c:v>
                </c:pt>
                <c:pt idx="4126">
                  <c:v>1.3100000000000003</c:v>
                </c:pt>
                <c:pt idx="4127">
                  <c:v>1.3100000000000003</c:v>
                </c:pt>
                <c:pt idx="4128">
                  <c:v>1.3100000000000003</c:v>
                </c:pt>
                <c:pt idx="4129">
                  <c:v>1.8400000000000003</c:v>
                </c:pt>
                <c:pt idx="4130">
                  <c:v>1.8400000000000003</c:v>
                </c:pt>
                <c:pt idx="4131">
                  <c:v>1.8400000000000003</c:v>
                </c:pt>
                <c:pt idx="4132">
                  <c:v>1.8400000000000003</c:v>
                </c:pt>
                <c:pt idx="4133">
                  <c:v>1.3100000000000003</c:v>
                </c:pt>
                <c:pt idx="4134">
                  <c:v>1.3100000000000003</c:v>
                </c:pt>
                <c:pt idx="4135">
                  <c:v>1.3100000000000003</c:v>
                </c:pt>
                <c:pt idx="4136">
                  <c:v>1.3100000000000003</c:v>
                </c:pt>
                <c:pt idx="4137">
                  <c:v>1.8400000000000003</c:v>
                </c:pt>
                <c:pt idx="4138">
                  <c:v>1.8400000000000003</c:v>
                </c:pt>
                <c:pt idx="4139">
                  <c:v>1.8400000000000003</c:v>
                </c:pt>
                <c:pt idx="4140">
                  <c:v>1.8400000000000003</c:v>
                </c:pt>
                <c:pt idx="4141">
                  <c:v>1.3100000000000003</c:v>
                </c:pt>
                <c:pt idx="4142">
                  <c:v>1.3100000000000003</c:v>
                </c:pt>
                <c:pt idx="4143">
                  <c:v>1.3100000000000003</c:v>
                </c:pt>
                <c:pt idx="4144">
                  <c:v>1.3100000000000003</c:v>
                </c:pt>
                <c:pt idx="4145">
                  <c:v>1.8400000000000003</c:v>
                </c:pt>
                <c:pt idx="4146">
                  <c:v>1.8400000000000003</c:v>
                </c:pt>
                <c:pt idx="4147">
                  <c:v>1.8400000000000003</c:v>
                </c:pt>
                <c:pt idx="4148">
                  <c:v>1.8400000000000003</c:v>
                </c:pt>
                <c:pt idx="4149">
                  <c:v>1.3100000000000003</c:v>
                </c:pt>
                <c:pt idx="4150">
                  <c:v>1.3100000000000003</c:v>
                </c:pt>
                <c:pt idx="4151">
                  <c:v>1.3100000000000003</c:v>
                </c:pt>
                <c:pt idx="4152">
                  <c:v>1.3100000000000003</c:v>
                </c:pt>
                <c:pt idx="4153">
                  <c:v>1.8400000000000003</c:v>
                </c:pt>
                <c:pt idx="4154">
                  <c:v>1.8400000000000003</c:v>
                </c:pt>
                <c:pt idx="4155">
                  <c:v>1.8400000000000003</c:v>
                </c:pt>
                <c:pt idx="4156">
                  <c:v>1.8400000000000003</c:v>
                </c:pt>
                <c:pt idx="4157">
                  <c:v>1.3100000000000003</c:v>
                </c:pt>
                <c:pt idx="4158">
                  <c:v>1.3100000000000003</c:v>
                </c:pt>
                <c:pt idx="4159">
                  <c:v>1.3100000000000003</c:v>
                </c:pt>
                <c:pt idx="4160">
                  <c:v>1.3100000000000003</c:v>
                </c:pt>
                <c:pt idx="4161">
                  <c:v>1.8400000000000003</c:v>
                </c:pt>
                <c:pt idx="4162">
                  <c:v>1.8400000000000003</c:v>
                </c:pt>
                <c:pt idx="4163">
                  <c:v>1.8400000000000003</c:v>
                </c:pt>
                <c:pt idx="4164">
                  <c:v>1.8400000000000003</c:v>
                </c:pt>
                <c:pt idx="4165">
                  <c:v>1.3100000000000003</c:v>
                </c:pt>
                <c:pt idx="4166">
                  <c:v>1.3100000000000003</c:v>
                </c:pt>
                <c:pt idx="4167">
                  <c:v>1.3100000000000003</c:v>
                </c:pt>
                <c:pt idx="4168">
                  <c:v>1.3100000000000003</c:v>
                </c:pt>
                <c:pt idx="4169">
                  <c:v>1.8400000000000003</c:v>
                </c:pt>
                <c:pt idx="4170">
                  <c:v>1.8400000000000003</c:v>
                </c:pt>
                <c:pt idx="4171">
                  <c:v>1.8400000000000003</c:v>
                </c:pt>
                <c:pt idx="4172">
                  <c:v>1.8400000000000003</c:v>
                </c:pt>
                <c:pt idx="4173">
                  <c:v>1.3100000000000003</c:v>
                </c:pt>
                <c:pt idx="4174">
                  <c:v>1.3100000000000003</c:v>
                </c:pt>
                <c:pt idx="4175">
                  <c:v>1.3100000000000003</c:v>
                </c:pt>
                <c:pt idx="4176">
                  <c:v>1.3100000000000003</c:v>
                </c:pt>
                <c:pt idx="4177">
                  <c:v>1.8400000000000003</c:v>
                </c:pt>
                <c:pt idx="4178">
                  <c:v>1.8400000000000003</c:v>
                </c:pt>
                <c:pt idx="4179">
                  <c:v>1.8400000000000003</c:v>
                </c:pt>
                <c:pt idx="4180">
                  <c:v>1.8400000000000003</c:v>
                </c:pt>
                <c:pt idx="4181">
                  <c:v>1.3100000000000003</c:v>
                </c:pt>
                <c:pt idx="4182">
                  <c:v>1.3100000000000003</c:v>
                </c:pt>
                <c:pt idx="4183">
                  <c:v>1.3100000000000003</c:v>
                </c:pt>
                <c:pt idx="4184">
                  <c:v>1.3100000000000003</c:v>
                </c:pt>
                <c:pt idx="4185">
                  <c:v>1.8400000000000003</c:v>
                </c:pt>
                <c:pt idx="4186">
                  <c:v>1.8400000000000003</c:v>
                </c:pt>
                <c:pt idx="4187">
                  <c:v>1.8400000000000003</c:v>
                </c:pt>
                <c:pt idx="4188">
                  <c:v>1.8400000000000003</c:v>
                </c:pt>
                <c:pt idx="4189">
                  <c:v>1.3100000000000003</c:v>
                </c:pt>
                <c:pt idx="4190">
                  <c:v>1.3100000000000003</c:v>
                </c:pt>
                <c:pt idx="4191">
                  <c:v>1.3100000000000003</c:v>
                </c:pt>
                <c:pt idx="4192">
                  <c:v>1.3100000000000003</c:v>
                </c:pt>
                <c:pt idx="4193">
                  <c:v>1.8400000000000003</c:v>
                </c:pt>
                <c:pt idx="4194">
                  <c:v>1.8400000000000003</c:v>
                </c:pt>
                <c:pt idx="4195">
                  <c:v>1.8400000000000003</c:v>
                </c:pt>
                <c:pt idx="4196">
                  <c:v>1.8400000000000003</c:v>
                </c:pt>
                <c:pt idx="4197">
                  <c:v>1.3100000000000003</c:v>
                </c:pt>
                <c:pt idx="4198">
                  <c:v>1.3100000000000003</c:v>
                </c:pt>
                <c:pt idx="4199">
                  <c:v>1.3100000000000003</c:v>
                </c:pt>
                <c:pt idx="4200">
                  <c:v>1.3100000000000003</c:v>
                </c:pt>
                <c:pt idx="4201">
                  <c:v>1.8400000000000003</c:v>
                </c:pt>
                <c:pt idx="4202">
                  <c:v>1.8400000000000003</c:v>
                </c:pt>
                <c:pt idx="4203">
                  <c:v>1.8400000000000003</c:v>
                </c:pt>
                <c:pt idx="4204">
                  <c:v>1.8400000000000003</c:v>
                </c:pt>
                <c:pt idx="4205">
                  <c:v>1.3100000000000003</c:v>
                </c:pt>
                <c:pt idx="4206">
                  <c:v>1.3100000000000003</c:v>
                </c:pt>
                <c:pt idx="4207">
                  <c:v>1.3100000000000003</c:v>
                </c:pt>
                <c:pt idx="4208">
                  <c:v>1.3100000000000003</c:v>
                </c:pt>
                <c:pt idx="4209">
                  <c:v>1.8400000000000003</c:v>
                </c:pt>
                <c:pt idx="4210">
                  <c:v>1.8400000000000003</c:v>
                </c:pt>
                <c:pt idx="4211">
                  <c:v>1.8400000000000003</c:v>
                </c:pt>
                <c:pt idx="4212">
                  <c:v>1.8400000000000003</c:v>
                </c:pt>
                <c:pt idx="4213">
                  <c:v>1.3100000000000003</c:v>
                </c:pt>
                <c:pt idx="4214">
                  <c:v>1.3100000000000003</c:v>
                </c:pt>
                <c:pt idx="4215">
                  <c:v>1.3100000000000003</c:v>
                </c:pt>
                <c:pt idx="4216">
                  <c:v>1.3100000000000003</c:v>
                </c:pt>
                <c:pt idx="4217">
                  <c:v>1.8400000000000003</c:v>
                </c:pt>
                <c:pt idx="4218">
                  <c:v>1.8400000000000003</c:v>
                </c:pt>
                <c:pt idx="4219">
                  <c:v>1.8400000000000003</c:v>
                </c:pt>
                <c:pt idx="4220">
                  <c:v>1.8400000000000003</c:v>
                </c:pt>
                <c:pt idx="4221">
                  <c:v>1.3100000000000003</c:v>
                </c:pt>
                <c:pt idx="4222">
                  <c:v>1.3100000000000003</c:v>
                </c:pt>
                <c:pt idx="4223">
                  <c:v>1.3100000000000003</c:v>
                </c:pt>
                <c:pt idx="4224">
                  <c:v>1.3100000000000003</c:v>
                </c:pt>
                <c:pt idx="4225">
                  <c:v>1.8400000000000003</c:v>
                </c:pt>
                <c:pt idx="4226">
                  <c:v>1.8400000000000003</c:v>
                </c:pt>
                <c:pt idx="4227">
                  <c:v>1.8400000000000003</c:v>
                </c:pt>
                <c:pt idx="4228">
                  <c:v>1.8400000000000003</c:v>
                </c:pt>
                <c:pt idx="4229">
                  <c:v>1.3100000000000003</c:v>
                </c:pt>
                <c:pt idx="4230">
                  <c:v>1.3100000000000003</c:v>
                </c:pt>
                <c:pt idx="4231">
                  <c:v>1.3100000000000003</c:v>
                </c:pt>
                <c:pt idx="4232">
                  <c:v>1.3100000000000003</c:v>
                </c:pt>
                <c:pt idx="4233">
                  <c:v>1.8400000000000003</c:v>
                </c:pt>
                <c:pt idx="4234">
                  <c:v>1.8400000000000003</c:v>
                </c:pt>
                <c:pt idx="4235">
                  <c:v>1.8400000000000003</c:v>
                </c:pt>
                <c:pt idx="4236">
                  <c:v>1.8400000000000003</c:v>
                </c:pt>
                <c:pt idx="4237">
                  <c:v>1.3100000000000003</c:v>
                </c:pt>
                <c:pt idx="4238">
                  <c:v>1.3100000000000003</c:v>
                </c:pt>
                <c:pt idx="4239">
                  <c:v>1.3100000000000003</c:v>
                </c:pt>
                <c:pt idx="4240">
                  <c:v>1.3100000000000003</c:v>
                </c:pt>
                <c:pt idx="4241">
                  <c:v>1.8400000000000003</c:v>
                </c:pt>
                <c:pt idx="4242">
                  <c:v>1.8400000000000003</c:v>
                </c:pt>
                <c:pt idx="4243">
                  <c:v>1.8400000000000003</c:v>
                </c:pt>
                <c:pt idx="4244">
                  <c:v>1.8400000000000003</c:v>
                </c:pt>
                <c:pt idx="4245">
                  <c:v>1.3100000000000003</c:v>
                </c:pt>
                <c:pt idx="4246">
                  <c:v>1.3100000000000003</c:v>
                </c:pt>
                <c:pt idx="4247">
                  <c:v>1.3100000000000003</c:v>
                </c:pt>
                <c:pt idx="4248">
                  <c:v>1.3100000000000003</c:v>
                </c:pt>
                <c:pt idx="4249">
                  <c:v>1.8400000000000003</c:v>
                </c:pt>
                <c:pt idx="4250">
                  <c:v>1.8400000000000003</c:v>
                </c:pt>
                <c:pt idx="4251">
                  <c:v>1.8400000000000003</c:v>
                </c:pt>
                <c:pt idx="4252">
                  <c:v>1.8400000000000003</c:v>
                </c:pt>
                <c:pt idx="4253">
                  <c:v>1.3100000000000003</c:v>
                </c:pt>
                <c:pt idx="4254">
                  <c:v>1.3100000000000003</c:v>
                </c:pt>
                <c:pt idx="4255">
                  <c:v>1.3100000000000003</c:v>
                </c:pt>
                <c:pt idx="4256">
                  <c:v>1.3100000000000003</c:v>
                </c:pt>
                <c:pt idx="4257">
                  <c:v>1.8400000000000003</c:v>
                </c:pt>
                <c:pt idx="4258">
                  <c:v>1.8400000000000003</c:v>
                </c:pt>
                <c:pt idx="4259">
                  <c:v>1.8400000000000003</c:v>
                </c:pt>
                <c:pt idx="4260">
                  <c:v>1.8400000000000003</c:v>
                </c:pt>
                <c:pt idx="4261">
                  <c:v>1.3100000000000003</c:v>
                </c:pt>
                <c:pt idx="4262">
                  <c:v>1.3100000000000003</c:v>
                </c:pt>
                <c:pt idx="4263">
                  <c:v>1.3100000000000003</c:v>
                </c:pt>
                <c:pt idx="4264">
                  <c:v>1.3100000000000003</c:v>
                </c:pt>
                <c:pt idx="4265">
                  <c:v>1.8400000000000003</c:v>
                </c:pt>
                <c:pt idx="4266">
                  <c:v>1.8400000000000003</c:v>
                </c:pt>
                <c:pt idx="4267">
                  <c:v>1.8400000000000003</c:v>
                </c:pt>
                <c:pt idx="4268">
                  <c:v>1.8400000000000003</c:v>
                </c:pt>
                <c:pt idx="4269">
                  <c:v>1.3100000000000003</c:v>
                </c:pt>
                <c:pt idx="4270">
                  <c:v>1.3100000000000003</c:v>
                </c:pt>
                <c:pt idx="4271">
                  <c:v>1.3100000000000003</c:v>
                </c:pt>
                <c:pt idx="4272">
                  <c:v>1.3100000000000003</c:v>
                </c:pt>
                <c:pt idx="4273">
                  <c:v>1.8400000000000003</c:v>
                </c:pt>
                <c:pt idx="4274">
                  <c:v>1.8400000000000003</c:v>
                </c:pt>
                <c:pt idx="4275">
                  <c:v>1.8400000000000003</c:v>
                </c:pt>
                <c:pt idx="4276">
                  <c:v>1.8400000000000003</c:v>
                </c:pt>
                <c:pt idx="4277">
                  <c:v>1.3100000000000003</c:v>
                </c:pt>
                <c:pt idx="4278">
                  <c:v>1.3100000000000003</c:v>
                </c:pt>
                <c:pt idx="4279">
                  <c:v>1.3100000000000003</c:v>
                </c:pt>
                <c:pt idx="4280">
                  <c:v>1.3100000000000003</c:v>
                </c:pt>
                <c:pt idx="4281">
                  <c:v>1.8400000000000003</c:v>
                </c:pt>
                <c:pt idx="4282">
                  <c:v>1.8400000000000003</c:v>
                </c:pt>
                <c:pt idx="4283">
                  <c:v>1.8400000000000003</c:v>
                </c:pt>
                <c:pt idx="4284">
                  <c:v>1.8400000000000003</c:v>
                </c:pt>
                <c:pt idx="4285">
                  <c:v>1.3100000000000003</c:v>
                </c:pt>
                <c:pt idx="4286">
                  <c:v>1.3100000000000003</c:v>
                </c:pt>
                <c:pt idx="4287">
                  <c:v>1.3100000000000003</c:v>
                </c:pt>
                <c:pt idx="4288">
                  <c:v>1.3100000000000003</c:v>
                </c:pt>
                <c:pt idx="4289">
                  <c:v>1.8400000000000003</c:v>
                </c:pt>
                <c:pt idx="4290">
                  <c:v>1.8400000000000003</c:v>
                </c:pt>
                <c:pt idx="4291">
                  <c:v>1.8400000000000003</c:v>
                </c:pt>
                <c:pt idx="4292">
                  <c:v>1.8400000000000003</c:v>
                </c:pt>
                <c:pt idx="4293">
                  <c:v>1.3100000000000003</c:v>
                </c:pt>
                <c:pt idx="4294">
                  <c:v>1.3100000000000003</c:v>
                </c:pt>
                <c:pt idx="4295">
                  <c:v>1.3100000000000003</c:v>
                </c:pt>
                <c:pt idx="4296">
                  <c:v>1.3100000000000003</c:v>
                </c:pt>
                <c:pt idx="4297">
                  <c:v>1.8400000000000003</c:v>
                </c:pt>
                <c:pt idx="4298">
                  <c:v>1.8400000000000003</c:v>
                </c:pt>
                <c:pt idx="4299">
                  <c:v>1.8400000000000003</c:v>
                </c:pt>
                <c:pt idx="4300">
                  <c:v>1.8400000000000003</c:v>
                </c:pt>
                <c:pt idx="4301">
                  <c:v>1.3100000000000003</c:v>
                </c:pt>
                <c:pt idx="4302">
                  <c:v>1.3100000000000003</c:v>
                </c:pt>
                <c:pt idx="4303">
                  <c:v>1.3100000000000003</c:v>
                </c:pt>
                <c:pt idx="4304">
                  <c:v>1.3100000000000003</c:v>
                </c:pt>
                <c:pt idx="4305">
                  <c:v>1.8400000000000003</c:v>
                </c:pt>
                <c:pt idx="4306">
                  <c:v>1.8400000000000003</c:v>
                </c:pt>
                <c:pt idx="4307">
                  <c:v>1.8400000000000003</c:v>
                </c:pt>
                <c:pt idx="4308">
                  <c:v>1.8400000000000003</c:v>
                </c:pt>
                <c:pt idx="4309">
                  <c:v>1.3100000000000003</c:v>
                </c:pt>
                <c:pt idx="4310">
                  <c:v>1.3100000000000003</c:v>
                </c:pt>
                <c:pt idx="4311">
                  <c:v>1.3100000000000003</c:v>
                </c:pt>
                <c:pt idx="4312">
                  <c:v>1.3100000000000003</c:v>
                </c:pt>
                <c:pt idx="4313">
                  <c:v>1.8400000000000003</c:v>
                </c:pt>
                <c:pt idx="4314">
                  <c:v>1.8400000000000003</c:v>
                </c:pt>
                <c:pt idx="4315">
                  <c:v>1.8400000000000003</c:v>
                </c:pt>
                <c:pt idx="4316">
                  <c:v>1.8400000000000003</c:v>
                </c:pt>
                <c:pt idx="4317">
                  <c:v>1.3100000000000003</c:v>
                </c:pt>
                <c:pt idx="4318">
                  <c:v>1.3100000000000003</c:v>
                </c:pt>
                <c:pt idx="4319">
                  <c:v>1.3100000000000003</c:v>
                </c:pt>
                <c:pt idx="4320">
                  <c:v>1.3100000000000003</c:v>
                </c:pt>
                <c:pt idx="4321">
                  <c:v>1.8400000000000003</c:v>
                </c:pt>
                <c:pt idx="4322">
                  <c:v>1.8400000000000003</c:v>
                </c:pt>
                <c:pt idx="4323">
                  <c:v>1.8400000000000003</c:v>
                </c:pt>
                <c:pt idx="4324">
                  <c:v>1.8400000000000003</c:v>
                </c:pt>
                <c:pt idx="4325">
                  <c:v>1.3100000000000003</c:v>
                </c:pt>
                <c:pt idx="4326">
                  <c:v>1.3100000000000003</c:v>
                </c:pt>
                <c:pt idx="4327">
                  <c:v>1.3100000000000003</c:v>
                </c:pt>
                <c:pt idx="4328">
                  <c:v>1.3100000000000003</c:v>
                </c:pt>
                <c:pt idx="4329">
                  <c:v>1.8400000000000003</c:v>
                </c:pt>
                <c:pt idx="4330">
                  <c:v>1.8400000000000003</c:v>
                </c:pt>
                <c:pt idx="4331">
                  <c:v>1.8400000000000003</c:v>
                </c:pt>
                <c:pt idx="4332">
                  <c:v>1.8400000000000003</c:v>
                </c:pt>
                <c:pt idx="4333">
                  <c:v>1.3100000000000003</c:v>
                </c:pt>
                <c:pt idx="4334">
                  <c:v>1.3100000000000003</c:v>
                </c:pt>
                <c:pt idx="4335">
                  <c:v>1.3100000000000003</c:v>
                </c:pt>
                <c:pt idx="4336">
                  <c:v>1.3100000000000003</c:v>
                </c:pt>
                <c:pt idx="4337">
                  <c:v>1.3100000000000003</c:v>
                </c:pt>
                <c:pt idx="4338">
                  <c:v>1.3100000000000003</c:v>
                </c:pt>
                <c:pt idx="4339">
                  <c:v>1.8400000000000003</c:v>
                </c:pt>
                <c:pt idx="4340">
                  <c:v>1.8400000000000003</c:v>
                </c:pt>
                <c:pt idx="4341">
                  <c:v>1.8400000000000003</c:v>
                </c:pt>
                <c:pt idx="4342">
                  <c:v>1.8400000000000003</c:v>
                </c:pt>
                <c:pt idx="4343">
                  <c:v>1.3100000000000003</c:v>
                </c:pt>
                <c:pt idx="4344">
                  <c:v>1.3100000000000003</c:v>
                </c:pt>
                <c:pt idx="4345">
                  <c:v>1.3100000000000003</c:v>
                </c:pt>
                <c:pt idx="4346">
                  <c:v>1.3100000000000003</c:v>
                </c:pt>
                <c:pt idx="4347">
                  <c:v>1.8400000000000003</c:v>
                </c:pt>
                <c:pt idx="4348">
                  <c:v>1.8400000000000003</c:v>
                </c:pt>
                <c:pt idx="4349">
                  <c:v>1.8400000000000003</c:v>
                </c:pt>
                <c:pt idx="4350">
                  <c:v>1.8400000000000003</c:v>
                </c:pt>
                <c:pt idx="4351">
                  <c:v>1.3100000000000003</c:v>
                </c:pt>
                <c:pt idx="4352">
                  <c:v>1.3100000000000003</c:v>
                </c:pt>
                <c:pt idx="4353">
                  <c:v>1.3100000000000003</c:v>
                </c:pt>
                <c:pt idx="4354">
                  <c:v>1.3100000000000003</c:v>
                </c:pt>
                <c:pt idx="4355">
                  <c:v>1.8400000000000003</c:v>
                </c:pt>
                <c:pt idx="4356">
                  <c:v>1.8400000000000003</c:v>
                </c:pt>
                <c:pt idx="4357">
                  <c:v>1.8400000000000003</c:v>
                </c:pt>
                <c:pt idx="4358">
                  <c:v>1.8400000000000003</c:v>
                </c:pt>
                <c:pt idx="4359">
                  <c:v>1.3100000000000003</c:v>
                </c:pt>
                <c:pt idx="4360">
                  <c:v>1.3100000000000003</c:v>
                </c:pt>
                <c:pt idx="4361">
                  <c:v>1.3100000000000003</c:v>
                </c:pt>
                <c:pt idx="4362">
                  <c:v>1.3100000000000003</c:v>
                </c:pt>
                <c:pt idx="4363">
                  <c:v>1.8400000000000003</c:v>
                </c:pt>
                <c:pt idx="4364">
                  <c:v>1.8400000000000003</c:v>
                </c:pt>
                <c:pt idx="4365">
                  <c:v>1.8400000000000003</c:v>
                </c:pt>
                <c:pt idx="4366">
                  <c:v>1.8400000000000003</c:v>
                </c:pt>
                <c:pt idx="4367">
                  <c:v>1.3100000000000003</c:v>
                </c:pt>
                <c:pt idx="4368">
                  <c:v>1.3100000000000003</c:v>
                </c:pt>
                <c:pt idx="4369">
                  <c:v>1.3100000000000003</c:v>
                </c:pt>
                <c:pt idx="4370">
                  <c:v>1.3100000000000003</c:v>
                </c:pt>
                <c:pt idx="4371">
                  <c:v>1.8400000000000003</c:v>
                </c:pt>
                <c:pt idx="4372">
                  <c:v>1.8400000000000003</c:v>
                </c:pt>
                <c:pt idx="4373">
                  <c:v>1.8400000000000003</c:v>
                </c:pt>
                <c:pt idx="4374">
                  <c:v>1.8400000000000003</c:v>
                </c:pt>
                <c:pt idx="4375">
                  <c:v>1.3100000000000003</c:v>
                </c:pt>
                <c:pt idx="4376">
                  <c:v>1.3100000000000003</c:v>
                </c:pt>
                <c:pt idx="4377">
                  <c:v>1.3100000000000003</c:v>
                </c:pt>
                <c:pt idx="4378">
                  <c:v>1.3100000000000003</c:v>
                </c:pt>
                <c:pt idx="4379">
                  <c:v>1.8400000000000003</c:v>
                </c:pt>
                <c:pt idx="4380">
                  <c:v>1.8400000000000003</c:v>
                </c:pt>
                <c:pt idx="4381">
                  <c:v>1.8400000000000003</c:v>
                </c:pt>
                <c:pt idx="4382">
                  <c:v>1.8400000000000003</c:v>
                </c:pt>
                <c:pt idx="4383">
                  <c:v>1.3100000000000003</c:v>
                </c:pt>
                <c:pt idx="4384">
                  <c:v>1.3100000000000003</c:v>
                </c:pt>
                <c:pt idx="4385">
                  <c:v>1.3100000000000003</c:v>
                </c:pt>
                <c:pt idx="4386">
                  <c:v>1.3100000000000003</c:v>
                </c:pt>
                <c:pt idx="4387">
                  <c:v>1.8400000000000003</c:v>
                </c:pt>
                <c:pt idx="4388">
                  <c:v>1.8400000000000003</c:v>
                </c:pt>
                <c:pt idx="4389">
                  <c:v>1.8400000000000003</c:v>
                </c:pt>
                <c:pt idx="4390">
                  <c:v>1.8400000000000003</c:v>
                </c:pt>
                <c:pt idx="4391">
                  <c:v>1.3100000000000003</c:v>
                </c:pt>
                <c:pt idx="4392">
                  <c:v>1.3100000000000003</c:v>
                </c:pt>
                <c:pt idx="4393">
                  <c:v>1.3100000000000003</c:v>
                </c:pt>
                <c:pt idx="4394">
                  <c:v>1.3100000000000003</c:v>
                </c:pt>
                <c:pt idx="4395">
                  <c:v>1.8400000000000003</c:v>
                </c:pt>
                <c:pt idx="4396">
                  <c:v>1.8400000000000003</c:v>
                </c:pt>
                <c:pt idx="4397">
                  <c:v>1.8400000000000003</c:v>
                </c:pt>
                <c:pt idx="4398">
                  <c:v>1.8400000000000003</c:v>
                </c:pt>
                <c:pt idx="4399">
                  <c:v>1.3100000000000003</c:v>
                </c:pt>
                <c:pt idx="4400">
                  <c:v>1.3100000000000003</c:v>
                </c:pt>
                <c:pt idx="4401">
                  <c:v>1.3100000000000003</c:v>
                </c:pt>
                <c:pt idx="4402">
                  <c:v>1.3100000000000003</c:v>
                </c:pt>
                <c:pt idx="4403">
                  <c:v>1.8400000000000003</c:v>
                </c:pt>
                <c:pt idx="4404">
                  <c:v>1.8400000000000003</c:v>
                </c:pt>
                <c:pt idx="4405">
                  <c:v>1.8400000000000003</c:v>
                </c:pt>
                <c:pt idx="4406">
                  <c:v>1.8400000000000003</c:v>
                </c:pt>
                <c:pt idx="4407">
                  <c:v>1.3100000000000003</c:v>
                </c:pt>
                <c:pt idx="4408">
                  <c:v>1.3100000000000003</c:v>
                </c:pt>
                <c:pt idx="4409">
                  <c:v>1.3100000000000003</c:v>
                </c:pt>
                <c:pt idx="4410">
                  <c:v>1.3100000000000003</c:v>
                </c:pt>
                <c:pt idx="4411">
                  <c:v>1.8400000000000003</c:v>
                </c:pt>
                <c:pt idx="4412">
                  <c:v>1.8400000000000003</c:v>
                </c:pt>
                <c:pt idx="4413">
                  <c:v>1.8400000000000003</c:v>
                </c:pt>
                <c:pt idx="4414">
                  <c:v>1.8400000000000003</c:v>
                </c:pt>
                <c:pt idx="4415">
                  <c:v>1.3100000000000003</c:v>
                </c:pt>
                <c:pt idx="4416">
                  <c:v>1.3100000000000003</c:v>
                </c:pt>
                <c:pt idx="4417">
                  <c:v>1.3100000000000003</c:v>
                </c:pt>
                <c:pt idx="4418">
                  <c:v>1.3100000000000003</c:v>
                </c:pt>
                <c:pt idx="4419">
                  <c:v>1.8400000000000003</c:v>
                </c:pt>
                <c:pt idx="4420">
                  <c:v>1.8400000000000003</c:v>
                </c:pt>
                <c:pt idx="4421">
                  <c:v>1.8400000000000003</c:v>
                </c:pt>
                <c:pt idx="4422">
                  <c:v>1.8400000000000003</c:v>
                </c:pt>
                <c:pt idx="4423">
                  <c:v>1.3100000000000003</c:v>
                </c:pt>
                <c:pt idx="4424">
                  <c:v>1.3100000000000003</c:v>
                </c:pt>
                <c:pt idx="4425">
                  <c:v>1.3100000000000003</c:v>
                </c:pt>
                <c:pt idx="4426">
                  <c:v>1.3100000000000003</c:v>
                </c:pt>
                <c:pt idx="4427">
                  <c:v>1.8400000000000003</c:v>
                </c:pt>
                <c:pt idx="4428">
                  <c:v>1.8400000000000003</c:v>
                </c:pt>
                <c:pt idx="4429">
                  <c:v>1.8400000000000003</c:v>
                </c:pt>
                <c:pt idx="4430">
                  <c:v>1.8400000000000003</c:v>
                </c:pt>
                <c:pt idx="4431">
                  <c:v>1.3100000000000003</c:v>
                </c:pt>
                <c:pt idx="4432">
                  <c:v>1.3100000000000003</c:v>
                </c:pt>
                <c:pt idx="4433">
                  <c:v>1.3100000000000003</c:v>
                </c:pt>
                <c:pt idx="4434">
                  <c:v>1.3100000000000003</c:v>
                </c:pt>
                <c:pt idx="4435">
                  <c:v>1.8400000000000003</c:v>
                </c:pt>
                <c:pt idx="4436">
                  <c:v>1.8400000000000003</c:v>
                </c:pt>
                <c:pt idx="4437">
                  <c:v>1.8400000000000003</c:v>
                </c:pt>
                <c:pt idx="4438">
                  <c:v>1.8400000000000003</c:v>
                </c:pt>
                <c:pt idx="4439">
                  <c:v>1.3100000000000003</c:v>
                </c:pt>
                <c:pt idx="4440">
                  <c:v>1.3100000000000003</c:v>
                </c:pt>
                <c:pt idx="4441">
                  <c:v>1.3100000000000003</c:v>
                </c:pt>
                <c:pt idx="4442">
                  <c:v>1.3100000000000003</c:v>
                </c:pt>
                <c:pt idx="4443">
                  <c:v>1.8400000000000003</c:v>
                </c:pt>
                <c:pt idx="4444">
                  <c:v>1.8400000000000003</c:v>
                </c:pt>
                <c:pt idx="4445">
                  <c:v>1.8400000000000003</c:v>
                </c:pt>
                <c:pt idx="4446">
                  <c:v>1.8400000000000003</c:v>
                </c:pt>
                <c:pt idx="4447">
                  <c:v>1.3100000000000003</c:v>
                </c:pt>
                <c:pt idx="4448">
                  <c:v>1.3100000000000003</c:v>
                </c:pt>
                <c:pt idx="4449">
                  <c:v>1.3100000000000003</c:v>
                </c:pt>
                <c:pt idx="4450">
                  <c:v>1.3100000000000003</c:v>
                </c:pt>
                <c:pt idx="4451">
                  <c:v>1.8400000000000003</c:v>
                </c:pt>
                <c:pt idx="4452">
                  <c:v>1.8400000000000003</c:v>
                </c:pt>
                <c:pt idx="4453">
                  <c:v>1.8400000000000003</c:v>
                </c:pt>
                <c:pt idx="4454">
                  <c:v>1.8400000000000003</c:v>
                </c:pt>
                <c:pt idx="4455">
                  <c:v>1.3100000000000003</c:v>
                </c:pt>
                <c:pt idx="4456">
                  <c:v>1.3100000000000003</c:v>
                </c:pt>
                <c:pt idx="4457">
                  <c:v>1.3100000000000003</c:v>
                </c:pt>
                <c:pt idx="4458">
                  <c:v>1.3100000000000003</c:v>
                </c:pt>
                <c:pt idx="4459">
                  <c:v>1.8400000000000003</c:v>
                </c:pt>
                <c:pt idx="4460">
                  <c:v>1.8400000000000003</c:v>
                </c:pt>
                <c:pt idx="4461">
                  <c:v>1.8400000000000003</c:v>
                </c:pt>
                <c:pt idx="4462">
                  <c:v>1.8400000000000003</c:v>
                </c:pt>
                <c:pt idx="4463">
                  <c:v>1.3100000000000003</c:v>
                </c:pt>
                <c:pt idx="4464">
                  <c:v>1.3100000000000003</c:v>
                </c:pt>
                <c:pt idx="4465">
                  <c:v>1.3100000000000003</c:v>
                </c:pt>
                <c:pt idx="4466">
                  <c:v>1.3100000000000003</c:v>
                </c:pt>
                <c:pt idx="4467">
                  <c:v>1.8400000000000003</c:v>
                </c:pt>
                <c:pt idx="4468">
                  <c:v>1.8400000000000003</c:v>
                </c:pt>
                <c:pt idx="4469">
                  <c:v>1.8400000000000003</c:v>
                </c:pt>
                <c:pt idx="4470">
                  <c:v>1.8400000000000003</c:v>
                </c:pt>
                <c:pt idx="4471">
                  <c:v>1.3100000000000003</c:v>
                </c:pt>
                <c:pt idx="4472">
                  <c:v>1.3100000000000003</c:v>
                </c:pt>
                <c:pt idx="4473">
                  <c:v>1.3100000000000003</c:v>
                </c:pt>
                <c:pt idx="4474">
                  <c:v>1.3100000000000003</c:v>
                </c:pt>
                <c:pt idx="4475">
                  <c:v>1.8400000000000003</c:v>
                </c:pt>
                <c:pt idx="4476">
                  <c:v>1.8400000000000003</c:v>
                </c:pt>
                <c:pt idx="4477">
                  <c:v>1.8400000000000003</c:v>
                </c:pt>
                <c:pt idx="4478">
                  <c:v>1.8400000000000003</c:v>
                </c:pt>
                <c:pt idx="4479">
                  <c:v>1.3100000000000003</c:v>
                </c:pt>
                <c:pt idx="4480">
                  <c:v>1.3100000000000003</c:v>
                </c:pt>
                <c:pt idx="4481">
                  <c:v>1.3100000000000003</c:v>
                </c:pt>
                <c:pt idx="4482">
                  <c:v>1.3100000000000003</c:v>
                </c:pt>
                <c:pt idx="4483">
                  <c:v>1.8400000000000003</c:v>
                </c:pt>
                <c:pt idx="4484">
                  <c:v>1.8400000000000003</c:v>
                </c:pt>
                <c:pt idx="4485">
                  <c:v>1.8400000000000003</c:v>
                </c:pt>
                <c:pt idx="4486">
                  <c:v>1.8400000000000003</c:v>
                </c:pt>
                <c:pt idx="4487">
                  <c:v>1.3100000000000003</c:v>
                </c:pt>
                <c:pt idx="4488">
                  <c:v>1.3100000000000003</c:v>
                </c:pt>
                <c:pt idx="4489">
                  <c:v>1.3100000000000003</c:v>
                </c:pt>
                <c:pt idx="4490">
                  <c:v>1.3100000000000003</c:v>
                </c:pt>
                <c:pt idx="4491">
                  <c:v>1.8400000000000003</c:v>
                </c:pt>
                <c:pt idx="4492">
                  <c:v>1.8400000000000003</c:v>
                </c:pt>
                <c:pt idx="4493">
                  <c:v>1.8400000000000003</c:v>
                </c:pt>
                <c:pt idx="4494">
                  <c:v>1.8400000000000003</c:v>
                </c:pt>
                <c:pt idx="4495">
                  <c:v>1.3100000000000003</c:v>
                </c:pt>
                <c:pt idx="4496">
                  <c:v>1.3100000000000003</c:v>
                </c:pt>
                <c:pt idx="4497">
                  <c:v>1.3100000000000003</c:v>
                </c:pt>
                <c:pt idx="4498">
                  <c:v>1.3100000000000003</c:v>
                </c:pt>
                <c:pt idx="4499">
                  <c:v>1.8400000000000003</c:v>
                </c:pt>
                <c:pt idx="4500">
                  <c:v>1.8400000000000003</c:v>
                </c:pt>
                <c:pt idx="4501">
                  <c:v>1.8400000000000003</c:v>
                </c:pt>
                <c:pt idx="4502">
                  <c:v>1.8400000000000003</c:v>
                </c:pt>
                <c:pt idx="4503">
                  <c:v>1.3100000000000003</c:v>
                </c:pt>
                <c:pt idx="4504">
                  <c:v>1.3100000000000003</c:v>
                </c:pt>
                <c:pt idx="4505">
                  <c:v>1.3100000000000003</c:v>
                </c:pt>
                <c:pt idx="4506">
                  <c:v>1.3100000000000003</c:v>
                </c:pt>
                <c:pt idx="4507">
                  <c:v>1.8400000000000003</c:v>
                </c:pt>
                <c:pt idx="4508">
                  <c:v>1.8400000000000003</c:v>
                </c:pt>
                <c:pt idx="4509">
                  <c:v>1.8400000000000003</c:v>
                </c:pt>
                <c:pt idx="4510">
                  <c:v>1.8400000000000003</c:v>
                </c:pt>
                <c:pt idx="4511">
                  <c:v>1.3100000000000003</c:v>
                </c:pt>
                <c:pt idx="4512">
                  <c:v>1.3100000000000003</c:v>
                </c:pt>
                <c:pt idx="4513">
                  <c:v>1.3100000000000003</c:v>
                </c:pt>
                <c:pt idx="4514">
                  <c:v>1.3100000000000003</c:v>
                </c:pt>
                <c:pt idx="4515">
                  <c:v>1.8400000000000003</c:v>
                </c:pt>
                <c:pt idx="4516">
                  <c:v>1.8400000000000003</c:v>
                </c:pt>
                <c:pt idx="4517">
                  <c:v>1.8400000000000003</c:v>
                </c:pt>
                <c:pt idx="4518">
                  <c:v>1.8400000000000003</c:v>
                </c:pt>
                <c:pt idx="4519">
                  <c:v>1.3100000000000003</c:v>
                </c:pt>
                <c:pt idx="4520">
                  <c:v>1.3100000000000003</c:v>
                </c:pt>
                <c:pt idx="4521">
                  <c:v>1.3100000000000003</c:v>
                </c:pt>
                <c:pt idx="4522">
                  <c:v>1.3100000000000003</c:v>
                </c:pt>
                <c:pt idx="4523">
                  <c:v>1.8400000000000003</c:v>
                </c:pt>
                <c:pt idx="4524">
                  <c:v>1.8400000000000003</c:v>
                </c:pt>
                <c:pt idx="4525">
                  <c:v>1.8400000000000003</c:v>
                </c:pt>
                <c:pt idx="4526">
                  <c:v>1.8400000000000003</c:v>
                </c:pt>
                <c:pt idx="4527">
                  <c:v>1.3100000000000003</c:v>
                </c:pt>
                <c:pt idx="4528">
                  <c:v>1.3100000000000003</c:v>
                </c:pt>
                <c:pt idx="4529">
                  <c:v>1.3100000000000003</c:v>
                </c:pt>
                <c:pt idx="4530">
                  <c:v>1.3100000000000003</c:v>
                </c:pt>
                <c:pt idx="4531">
                  <c:v>1.8400000000000003</c:v>
                </c:pt>
                <c:pt idx="4532">
                  <c:v>1.8400000000000003</c:v>
                </c:pt>
                <c:pt idx="4533">
                  <c:v>1.8400000000000003</c:v>
                </c:pt>
                <c:pt idx="4534">
                  <c:v>1.8400000000000003</c:v>
                </c:pt>
                <c:pt idx="4535">
                  <c:v>1.3100000000000003</c:v>
                </c:pt>
                <c:pt idx="4536">
                  <c:v>1.3100000000000003</c:v>
                </c:pt>
                <c:pt idx="4537">
                  <c:v>1.3100000000000003</c:v>
                </c:pt>
                <c:pt idx="4538">
                  <c:v>1.3100000000000003</c:v>
                </c:pt>
                <c:pt idx="4539">
                  <c:v>1.8400000000000003</c:v>
                </c:pt>
                <c:pt idx="4540">
                  <c:v>1.8400000000000003</c:v>
                </c:pt>
                <c:pt idx="4541">
                  <c:v>1.8400000000000003</c:v>
                </c:pt>
                <c:pt idx="4542">
                  <c:v>1.8400000000000003</c:v>
                </c:pt>
                <c:pt idx="4543">
                  <c:v>1.3100000000000003</c:v>
                </c:pt>
                <c:pt idx="4544">
                  <c:v>1.3100000000000003</c:v>
                </c:pt>
                <c:pt idx="4545">
                  <c:v>1.3100000000000003</c:v>
                </c:pt>
                <c:pt idx="4546">
                  <c:v>1.3100000000000003</c:v>
                </c:pt>
                <c:pt idx="4547">
                  <c:v>1.8400000000000003</c:v>
                </c:pt>
                <c:pt idx="4548">
                  <c:v>1.8400000000000003</c:v>
                </c:pt>
                <c:pt idx="4549">
                  <c:v>1.8400000000000003</c:v>
                </c:pt>
                <c:pt idx="4550">
                  <c:v>1.8400000000000003</c:v>
                </c:pt>
                <c:pt idx="4551">
                  <c:v>1.3100000000000003</c:v>
                </c:pt>
                <c:pt idx="4552">
                  <c:v>1.3100000000000003</c:v>
                </c:pt>
                <c:pt idx="4553">
                  <c:v>1.3100000000000003</c:v>
                </c:pt>
                <c:pt idx="4554">
                  <c:v>1.3100000000000003</c:v>
                </c:pt>
                <c:pt idx="4555">
                  <c:v>1.8400000000000003</c:v>
                </c:pt>
                <c:pt idx="4556">
                  <c:v>1.8400000000000003</c:v>
                </c:pt>
                <c:pt idx="4557">
                  <c:v>1.8400000000000003</c:v>
                </c:pt>
                <c:pt idx="4558">
                  <c:v>1.8400000000000003</c:v>
                </c:pt>
                <c:pt idx="4559">
                  <c:v>1.3100000000000003</c:v>
                </c:pt>
                <c:pt idx="4560">
                  <c:v>1.3100000000000003</c:v>
                </c:pt>
                <c:pt idx="4561">
                  <c:v>1.3100000000000003</c:v>
                </c:pt>
                <c:pt idx="4562">
                  <c:v>1.3100000000000003</c:v>
                </c:pt>
                <c:pt idx="4563">
                  <c:v>1.8400000000000003</c:v>
                </c:pt>
                <c:pt idx="4564">
                  <c:v>1.8400000000000003</c:v>
                </c:pt>
                <c:pt idx="4565">
                  <c:v>1.8400000000000003</c:v>
                </c:pt>
                <c:pt idx="4566">
                  <c:v>1.8400000000000003</c:v>
                </c:pt>
                <c:pt idx="4567">
                  <c:v>1.3100000000000003</c:v>
                </c:pt>
                <c:pt idx="4568">
                  <c:v>1.3100000000000003</c:v>
                </c:pt>
                <c:pt idx="4569">
                  <c:v>1.3100000000000003</c:v>
                </c:pt>
                <c:pt idx="4570">
                  <c:v>1.3100000000000003</c:v>
                </c:pt>
                <c:pt idx="4571">
                  <c:v>1.8400000000000003</c:v>
                </c:pt>
                <c:pt idx="4572">
                  <c:v>1.8400000000000003</c:v>
                </c:pt>
                <c:pt idx="4573">
                  <c:v>1.8400000000000003</c:v>
                </c:pt>
                <c:pt idx="4574">
                  <c:v>1.8400000000000003</c:v>
                </c:pt>
                <c:pt idx="4575">
                  <c:v>1.3100000000000003</c:v>
                </c:pt>
                <c:pt idx="4576">
                  <c:v>1.3100000000000003</c:v>
                </c:pt>
                <c:pt idx="4577">
                  <c:v>1.3100000000000003</c:v>
                </c:pt>
                <c:pt idx="4578">
                  <c:v>1.3100000000000003</c:v>
                </c:pt>
                <c:pt idx="4579">
                  <c:v>1.8400000000000003</c:v>
                </c:pt>
                <c:pt idx="4580">
                  <c:v>1.8400000000000003</c:v>
                </c:pt>
                <c:pt idx="4581">
                  <c:v>1.8400000000000003</c:v>
                </c:pt>
                <c:pt idx="4582">
                  <c:v>1.8400000000000003</c:v>
                </c:pt>
                <c:pt idx="4583">
                  <c:v>1.3100000000000003</c:v>
                </c:pt>
                <c:pt idx="4584">
                  <c:v>1.3100000000000003</c:v>
                </c:pt>
                <c:pt idx="4585">
                  <c:v>1.3100000000000003</c:v>
                </c:pt>
                <c:pt idx="4586">
                  <c:v>1.3100000000000003</c:v>
                </c:pt>
                <c:pt idx="4587">
                  <c:v>1.8400000000000003</c:v>
                </c:pt>
                <c:pt idx="4588">
                  <c:v>1.8400000000000003</c:v>
                </c:pt>
                <c:pt idx="4589">
                  <c:v>1.8400000000000003</c:v>
                </c:pt>
                <c:pt idx="4590">
                  <c:v>1.8400000000000003</c:v>
                </c:pt>
                <c:pt idx="4591">
                  <c:v>1.3100000000000003</c:v>
                </c:pt>
                <c:pt idx="4592">
                  <c:v>1.3100000000000003</c:v>
                </c:pt>
                <c:pt idx="4593">
                  <c:v>1.3100000000000003</c:v>
                </c:pt>
                <c:pt idx="4594">
                  <c:v>1.3100000000000003</c:v>
                </c:pt>
                <c:pt idx="4595">
                  <c:v>1.8400000000000003</c:v>
                </c:pt>
                <c:pt idx="4596">
                  <c:v>1.8400000000000003</c:v>
                </c:pt>
                <c:pt idx="4597">
                  <c:v>1.8400000000000003</c:v>
                </c:pt>
                <c:pt idx="4598">
                  <c:v>1.8400000000000003</c:v>
                </c:pt>
                <c:pt idx="4599">
                  <c:v>1.3100000000000003</c:v>
                </c:pt>
                <c:pt idx="4600">
                  <c:v>1.3100000000000003</c:v>
                </c:pt>
                <c:pt idx="4601">
                  <c:v>1.3100000000000003</c:v>
                </c:pt>
                <c:pt idx="4602">
                  <c:v>1.3100000000000003</c:v>
                </c:pt>
                <c:pt idx="4603">
                  <c:v>1.8400000000000003</c:v>
                </c:pt>
                <c:pt idx="4604">
                  <c:v>1.8400000000000003</c:v>
                </c:pt>
                <c:pt idx="4605">
                  <c:v>1.8400000000000003</c:v>
                </c:pt>
                <c:pt idx="4606">
                  <c:v>1.8400000000000003</c:v>
                </c:pt>
                <c:pt idx="4607">
                  <c:v>1.3100000000000003</c:v>
                </c:pt>
                <c:pt idx="4608">
                  <c:v>1.3100000000000003</c:v>
                </c:pt>
                <c:pt idx="4609">
                  <c:v>1.3100000000000003</c:v>
                </c:pt>
                <c:pt idx="4610">
                  <c:v>1.3100000000000003</c:v>
                </c:pt>
                <c:pt idx="4611">
                  <c:v>1.8400000000000003</c:v>
                </c:pt>
                <c:pt idx="4612">
                  <c:v>1.8400000000000003</c:v>
                </c:pt>
                <c:pt idx="4613">
                  <c:v>1.8400000000000003</c:v>
                </c:pt>
                <c:pt idx="4614">
                  <c:v>1.8400000000000003</c:v>
                </c:pt>
                <c:pt idx="4615">
                  <c:v>1.3100000000000003</c:v>
                </c:pt>
                <c:pt idx="4616">
                  <c:v>1.3100000000000003</c:v>
                </c:pt>
                <c:pt idx="4617">
                  <c:v>1.3100000000000003</c:v>
                </c:pt>
                <c:pt idx="4618">
                  <c:v>1.3100000000000003</c:v>
                </c:pt>
                <c:pt idx="4619">
                  <c:v>1.8400000000000003</c:v>
                </c:pt>
                <c:pt idx="4620">
                  <c:v>1.8400000000000003</c:v>
                </c:pt>
                <c:pt idx="4621">
                  <c:v>1.8400000000000003</c:v>
                </c:pt>
                <c:pt idx="4622">
                  <c:v>1.8400000000000003</c:v>
                </c:pt>
                <c:pt idx="4623">
                  <c:v>1.3100000000000003</c:v>
                </c:pt>
                <c:pt idx="4624">
                  <c:v>1.3100000000000003</c:v>
                </c:pt>
                <c:pt idx="4625">
                  <c:v>1.3100000000000003</c:v>
                </c:pt>
                <c:pt idx="4626">
                  <c:v>1.3100000000000003</c:v>
                </c:pt>
                <c:pt idx="4627">
                  <c:v>1.8400000000000003</c:v>
                </c:pt>
                <c:pt idx="4628">
                  <c:v>1.8400000000000003</c:v>
                </c:pt>
                <c:pt idx="4629">
                  <c:v>1.8400000000000003</c:v>
                </c:pt>
                <c:pt idx="4630">
                  <c:v>1.8400000000000003</c:v>
                </c:pt>
                <c:pt idx="4631">
                  <c:v>1.3100000000000003</c:v>
                </c:pt>
                <c:pt idx="4632">
                  <c:v>1.3100000000000003</c:v>
                </c:pt>
                <c:pt idx="4633">
                  <c:v>1.3100000000000003</c:v>
                </c:pt>
                <c:pt idx="4634">
                  <c:v>1.3100000000000003</c:v>
                </c:pt>
                <c:pt idx="4635">
                  <c:v>1.8400000000000003</c:v>
                </c:pt>
                <c:pt idx="4636">
                  <c:v>1.8400000000000003</c:v>
                </c:pt>
                <c:pt idx="4637">
                  <c:v>1.8400000000000003</c:v>
                </c:pt>
                <c:pt idx="4638">
                  <c:v>1.8400000000000003</c:v>
                </c:pt>
                <c:pt idx="4639">
                  <c:v>1.3100000000000003</c:v>
                </c:pt>
                <c:pt idx="4640">
                  <c:v>1.3100000000000003</c:v>
                </c:pt>
                <c:pt idx="4641">
                  <c:v>1.3100000000000003</c:v>
                </c:pt>
                <c:pt idx="4642">
                  <c:v>1.3100000000000003</c:v>
                </c:pt>
                <c:pt idx="4643">
                  <c:v>1.8400000000000003</c:v>
                </c:pt>
                <c:pt idx="4644">
                  <c:v>1.8400000000000003</c:v>
                </c:pt>
                <c:pt idx="4645">
                  <c:v>1.8400000000000003</c:v>
                </c:pt>
                <c:pt idx="4646">
                  <c:v>1.8400000000000003</c:v>
                </c:pt>
                <c:pt idx="4647">
                  <c:v>1.3100000000000003</c:v>
                </c:pt>
                <c:pt idx="4648">
                  <c:v>1.3100000000000003</c:v>
                </c:pt>
                <c:pt idx="4649">
                  <c:v>1.3100000000000003</c:v>
                </c:pt>
                <c:pt idx="4650">
                  <c:v>1.3100000000000003</c:v>
                </c:pt>
                <c:pt idx="4651">
                  <c:v>1.8400000000000003</c:v>
                </c:pt>
                <c:pt idx="4652">
                  <c:v>1.8400000000000003</c:v>
                </c:pt>
                <c:pt idx="4653">
                  <c:v>1.8400000000000003</c:v>
                </c:pt>
                <c:pt idx="4654">
                  <c:v>1.8400000000000003</c:v>
                </c:pt>
                <c:pt idx="4655">
                  <c:v>1.3100000000000003</c:v>
                </c:pt>
                <c:pt idx="4656">
                  <c:v>1.3100000000000003</c:v>
                </c:pt>
                <c:pt idx="4657">
                  <c:v>1.3100000000000003</c:v>
                </c:pt>
                <c:pt idx="4658">
                  <c:v>1.3100000000000003</c:v>
                </c:pt>
                <c:pt idx="4659">
                  <c:v>1.8400000000000003</c:v>
                </c:pt>
                <c:pt idx="4660">
                  <c:v>1.8400000000000003</c:v>
                </c:pt>
                <c:pt idx="4661">
                  <c:v>1.8400000000000003</c:v>
                </c:pt>
                <c:pt idx="4662">
                  <c:v>1.8400000000000003</c:v>
                </c:pt>
                <c:pt idx="4663">
                  <c:v>1.3100000000000003</c:v>
                </c:pt>
                <c:pt idx="4664">
                  <c:v>1.3100000000000003</c:v>
                </c:pt>
                <c:pt idx="4665">
                  <c:v>1.3100000000000003</c:v>
                </c:pt>
                <c:pt idx="4666">
                  <c:v>1.3100000000000003</c:v>
                </c:pt>
                <c:pt idx="4667">
                  <c:v>1.8400000000000003</c:v>
                </c:pt>
                <c:pt idx="4668">
                  <c:v>1.8400000000000003</c:v>
                </c:pt>
                <c:pt idx="4669">
                  <c:v>1.8400000000000003</c:v>
                </c:pt>
                <c:pt idx="4670">
                  <c:v>1.8400000000000003</c:v>
                </c:pt>
                <c:pt idx="4671">
                  <c:v>1.3100000000000003</c:v>
                </c:pt>
                <c:pt idx="4672">
                  <c:v>1.3100000000000003</c:v>
                </c:pt>
                <c:pt idx="4673">
                  <c:v>1.3100000000000003</c:v>
                </c:pt>
                <c:pt idx="4674">
                  <c:v>1.3100000000000003</c:v>
                </c:pt>
                <c:pt idx="4675">
                  <c:v>1.8400000000000003</c:v>
                </c:pt>
                <c:pt idx="4676">
                  <c:v>1.8400000000000003</c:v>
                </c:pt>
                <c:pt idx="4677">
                  <c:v>1.8400000000000003</c:v>
                </c:pt>
                <c:pt idx="4678">
                  <c:v>1.8400000000000003</c:v>
                </c:pt>
                <c:pt idx="4679">
                  <c:v>1.3100000000000003</c:v>
                </c:pt>
                <c:pt idx="4680">
                  <c:v>1.3100000000000003</c:v>
                </c:pt>
                <c:pt idx="4681">
                  <c:v>1.3100000000000003</c:v>
                </c:pt>
                <c:pt idx="4682">
                  <c:v>1.3100000000000003</c:v>
                </c:pt>
                <c:pt idx="4683">
                  <c:v>1.8400000000000003</c:v>
                </c:pt>
                <c:pt idx="4684">
                  <c:v>1.8400000000000003</c:v>
                </c:pt>
                <c:pt idx="4685">
                  <c:v>1.8400000000000003</c:v>
                </c:pt>
                <c:pt idx="4686">
                  <c:v>1.8400000000000003</c:v>
                </c:pt>
                <c:pt idx="4687">
                  <c:v>1.3100000000000003</c:v>
                </c:pt>
                <c:pt idx="4688">
                  <c:v>1.3100000000000003</c:v>
                </c:pt>
                <c:pt idx="4689">
                  <c:v>1.3100000000000003</c:v>
                </c:pt>
                <c:pt idx="4690">
                  <c:v>1.3100000000000003</c:v>
                </c:pt>
                <c:pt idx="4691">
                  <c:v>1.8400000000000003</c:v>
                </c:pt>
                <c:pt idx="4692">
                  <c:v>1.8400000000000003</c:v>
                </c:pt>
                <c:pt idx="4693">
                  <c:v>1.8400000000000003</c:v>
                </c:pt>
                <c:pt idx="4694">
                  <c:v>1.8400000000000003</c:v>
                </c:pt>
                <c:pt idx="4695">
                  <c:v>1.3100000000000003</c:v>
                </c:pt>
                <c:pt idx="4696">
                  <c:v>1.3100000000000003</c:v>
                </c:pt>
                <c:pt idx="4697">
                  <c:v>1.3100000000000003</c:v>
                </c:pt>
                <c:pt idx="4698">
                  <c:v>1.3100000000000003</c:v>
                </c:pt>
                <c:pt idx="4699">
                  <c:v>1.8400000000000003</c:v>
                </c:pt>
                <c:pt idx="4700">
                  <c:v>1.8400000000000003</c:v>
                </c:pt>
                <c:pt idx="4701">
                  <c:v>1.8400000000000003</c:v>
                </c:pt>
                <c:pt idx="4702">
                  <c:v>1.8400000000000003</c:v>
                </c:pt>
                <c:pt idx="4703">
                  <c:v>1.3100000000000003</c:v>
                </c:pt>
                <c:pt idx="4704">
                  <c:v>1.3100000000000003</c:v>
                </c:pt>
                <c:pt idx="4705">
                  <c:v>1.3100000000000003</c:v>
                </c:pt>
                <c:pt idx="4706">
                  <c:v>1.3100000000000003</c:v>
                </c:pt>
                <c:pt idx="4707">
                  <c:v>1.8400000000000003</c:v>
                </c:pt>
                <c:pt idx="4708">
                  <c:v>1.8400000000000003</c:v>
                </c:pt>
                <c:pt idx="4709">
                  <c:v>1.8400000000000003</c:v>
                </c:pt>
                <c:pt idx="4710">
                  <c:v>1.8400000000000003</c:v>
                </c:pt>
                <c:pt idx="4711">
                  <c:v>1.3100000000000003</c:v>
                </c:pt>
                <c:pt idx="4712">
                  <c:v>1.3100000000000003</c:v>
                </c:pt>
                <c:pt idx="4713">
                  <c:v>1.3100000000000003</c:v>
                </c:pt>
                <c:pt idx="4714">
                  <c:v>1.3100000000000003</c:v>
                </c:pt>
                <c:pt idx="4715">
                  <c:v>1.8400000000000003</c:v>
                </c:pt>
                <c:pt idx="4716">
                  <c:v>1.8400000000000003</c:v>
                </c:pt>
                <c:pt idx="4717">
                  <c:v>1.8400000000000003</c:v>
                </c:pt>
                <c:pt idx="4718">
                  <c:v>1.8400000000000003</c:v>
                </c:pt>
                <c:pt idx="4719">
                  <c:v>1.3100000000000003</c:v>
                </c:pt>
                <c:pt idx="4720">
                  <c:v>1.3100000000000003</c:v>
                </c:pt>
                <c:pt idx="4721">
                  <c:v>1.3100000000000003</c:v>
                </c:pt>
                <c:pt idx="4722">
                  <c:v>1.3100000000000003</c:v>
                </c:pt>
                <c:pt idx="4723">
                  <c:v>1.8400000000000003</c:v>
                </c:pt>
                <c:pt idx="4724">
                  <c:v>1.8400000000000003</c:v>
                </c:pt>
                <c:pt idx="4725">
                  <c:v>1.8400000000000003</c:v>
                </c:pt>
                <c:pt idx="4726">
                  <c:v>1.8400000000000003</c:v>
                </c:pt>
                <c:pt idx="4727">
                  <c:v>1.3100000000000003</c:v>
                </c:pt>
                <c:pt idx="4728">
                  <c:v>1.3100000000000003</c:v>
                </c:pt>
                <c:pt idx="4729">
                  <c:v>1.3100000000000003</c:v>
                </c:pt>
                <c:pt idx="4730">
                  <c:v>1.3100000000000003</c:v>
                </c:pt>
                <c:pt idx="4731">
                  <c:v>1.8400000000000003</c:v>
                </c:pt>
                <c:pt idx="4732">
                  <c:v>1.8400000000000003</c:v>
                </c:pt>
                <c:pt idx="4733">
                  <c:v>1.8400000000000003</c:v>
                </c:pt>
                <c:pt idx="4734">
                  <c:v>1.8400000000000003</c:v>
                </c:pt>
                <c:pt idx="4735">
                  <c:v>1.3100000000000003</c:v>
                </c:pt>
                <c:pt idx="4736">
                  <c:v>1.3100000000000003</c:v>
                </c:pt>
                <c:pt idx="4737">
                  <c:v>1.3100000000000003</c:v>
                </c:pt>
                <c:pt idx="4738">
                  <c:v>1.3100000000000003</c:v>
                </c:pt>
                <c:pt idx="4739">
                  <c:v>1.8400000000000003</c:v>
                </c:pt>
                <c:pt idx="4740">
                  <c:v>1.8400000000000003</c:v>
                </c:pt>
                <c:pt idx="4741">
                  <c:v>1.8400000000000003</c:v>
                </c:pt>
                <c:pt idx="4742">
                  <c:v>1.8400000000000003</c:v>
                </c:pt>
                <c:pt idx="4743">
                  <c:v>1.3100000000000003</c:v>
                </c:pt>
                <c:pt idx="4744">
                  <c:v>1.3100000000000003</c:v>
                </c:pt>
                <c:pt idx="4745">
                  <c:v>1.3100000000000003</c:v>
                </c:pt>
                <c:pt idx="4746">
                  <c:v>1.3100000000000003</c:v>
                </c:pt>
                <c:pt idx="4747">
                  <c:v>1.8400000000000003</c:v>
                </c:pt>
                <c:pt idx="4748">
                  <c:v>1.8400000000000003</c:v>
                </c:pt>
                <c:pt idx="4749">
                  <c:v>1.8400000000000003</c:v>
                </c:pt>
                <c:pt idx="4750">
                  <c:v>1.8400000000000003</c:v>
                </c:pt>
                <c:pt idx="4751">
                  <c:v>1.3100000000000003</c:v>
                </c:pt>
                <c:pt idx="4752">
                  <c:v>1.3100000000000003</c:v>
                </c:pt>
                <c:pt idx="4753">
                  <c:v>1.3100000000000003</c:v>
                </c:pt>
                <c:pt idx="4754">
                  <c:v>1.3100000000000003</c:v>
                </c:pt>
                <c:pt idx="4755">
                  <c:v>1.8400000000000003</c:v>
                </c:pt>
                <c:pt idx="4756">
                  <c:v>1.8400000000000003</c:v>
                </c:pt>
                <c:pt idx="4757">
                  <c:v>1.8400000000000003</c:v>
                </c:pt>
                <c:pt idx="4758">
                  <c:v>1.8400000000000003</c:v>
                </c:pt>
                <c:pt idx="4759">
                  <c:v>1.3100000000000003</c:v>
                </c:pt>
                <c:pt idx="4760">
                  <c:v>1.3100000000000003</c:v>
                </c:pt>
                <c:pt idx="4761">
                  <c:v>1.3100000000000003</c:v>
                </c:pt>
                <c:pt idx="4762">
                  <c:v>1.3100000000000003</c:v>
                </c:pt>
                <c:pt idx="4763">
                  <c:v>1.8400000000000003</c:v>
                </c:pt>
                <c:pt idx="4764">
                  <c:v>1.8400000000000003</c:v>
                </c:pt>
                <c:pt idx="4765">
                  <c:v>1.8400000000000003</c:v>
                </c:pt>
                <c:pt idx="4766">
                  <c:v>1.8400000000000003</c:v>
                </c:pt>
                <c:pt idx="4767">
                  <c:v>1.3100000000000003</c:v>
                </c:pt>
                <c:pt idx="4768">
                  <c:v>1.3100000000000003</c:v>
                </c:pt>
                <c:pt idx="4769">
                  <c:v>1.3100000000000003</c:v>
                </c:pt>
                <c:pt idx="4770">
                  <c:v>1.3100000000000003</c:v>
                </c:pt>
                <c:pt idx="4771">
                  <c:v>1.8400000000000003</c:v>
                </c:pt>
                <c:pt idx="4772">
                  <c:v>1.8400000000000003</c:v>
                </c:pt>
                <c:pt idx="4773">
                  <c:v>1.8400000000000003</c:v>
                </c:pt>
                <c:pt idx="4774">
                  <c:v>1.8400000000000003</c:v>
                </c:pt>
                <c:pt idx="4775">
                  <c:v>1.3100000000000003</c:v>
                </c:pt>
                <c:pt idx="4776">
                  <c:v>1.3100000000000003</c:v>
                </c:pt>
                <c:pt idx="4777">
                  <c:v>1.3100000000000003</c:v>
                </c:pt>
                <c:pt idx="4778">
                  <c:v>1.3100000000000003</c:v>
                </c:pt>
                <c:pt idx="4779">
                  <c:v>1.8400000000000003</c:v>
                </c:pt>
                <c:pt idx="4780">
                  <c:v>1.8400000000000003</c:v>
                </c:pt>
                <c:pt idx="4781">
                  <c:v>1.8400000000000003</c:v>
                </c:pt>
                <c:pt idx="4782">
                  <c:v>1.8400000000000003</c:v>
                </c:pt>
                <c:pt idx="4783">
                  <c:v>1.3100000000000003</c:v>
                </c:pt>
                <c:pt idx="4784">
                  <c:v>1.3100000000000003</c:v>
                </c:pt>
                <c:pt idx="4785">
                  <c:v>1.3100000000000003</c:v>
                </c:pt>
                <c:pt idx="4786">
                  <c:v>1.3100000000000003</c:v>
                </c:pt>
                <c:pt idx="4787">
                  <c:v>1.8400000000000003</c:v>
                </c:pt>
                <c:pt idx="4788">
                  <c:v>1.8400000000000003</c:v>
                </c:pt>
                <c:pt idx="4789">
                  <c:v>1.8400000000000003</c:v>
                </c:pt>
                <c:pt idx="4790">
                  <c:v>1.8400000000000003</c:v>
                </c:pt>
                <c:pt idx="4791">
                  <c:v>1.3100000000000003</c:v>
                </c:pt>
                <c:pt idx="4792">
                  <c:v>1.3100000000000003</c:v>
                </c:pt>
                <c:pt idx="4793">
                  <c:v>1.3100000000000003</c:v>
                </c:pt>
                <c:pt idx="4794">
                  <c:v>1.3100000000000003</c:v>
                </c:pt>
                <c:pt idx="4795">
                  <c:v>1.8400000000000003</c:v>
                </c:pt>
                <c:pt idx="4796">
                  <c:v>1.8400000000000003</c:v>
                </c:pt>
                <c:pt idx="4797">
                  <c:v>1.8400000000000003</c:v>
                </c:pt>
                <c:pt idx="4798">
                  <c:v>1.8400000000000003</c:v>
                </c:pt>
                <c:pt idx="4799">
                  <c:v>1.3100000000000003</c:v>
                </c:pt>
                <c:pt idx="4800">
                  <c:v>1.3100000000000003</c:v>
                </c:pt>
                <c:pt idx="4801">
                  <c:v>1.3100000000000003</c:v>
                </c:pt>
                <c:pt idx="4802">
                  <c:v>1.3100000000000003</c:v>
                </c:pt>
                <c:pt idx="4803">
                  <c:v>1.8400000000000003</c:v>
                </c:pt>
                <c:pt idx="4804">
                  <c:v>1.8400000000000003</c:v>
                </c:pt>
                <c:pt idx="4805">
                  <c:v>1.8400000000000003</c:v>
                </c:pt>
                <c:pt idx="4806">
                  <c:v>1.8400000000000003</c:v>
                </c:pt>
                <c:pt idx="4807">
                  <c:v>1.3100000000000003</c:v>
                </c:pt>
                <c:pt idx="4808">
                  <c:v>1.3100000000000003</c:v>
                </c:pt>
                <c:pt idx="4809">
                  <c:v>1.3100000000000003</c:v>
                </c:pt>
                <c:pt idx="4810">
                  <c:v>1.3100000000000003</c:v>
                </c:pt>
                <c:pt idx="4811">
                  <c:v>1.8400000000000003</c:v>
                </c:pt>
                <c:pt idx="4812">
                  <c:v>1.8400000000000003</c:v>
                </c:pt>
                <c:pt idx="4813">
                  <c:v>1.8400000000000003</c:v>
                </c:pt>
                <c:pt idx="4814">
                  <c:v>1.8400000000000003</c:v>
                </c:pt>
                <c:pt idx="4815">
                  <c:v>1.3100000000000003</c:v>
                </c:pt>
                <c:pt idx="4816">
                  <c:v>1.3100000000000003</c:v>
                </c:pt>
                <c:pt idx="4817">
                  <c:v>1.3100000000000003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73E-49A9-9C9E-8C700FD02F52}"/>
            </c:ext>
          </c:extLst>
        </c:ser>
        <c:ser>
          <c:idx val="2"/>
          <c:order val="2"/>
          <c:tx>
            <c:strRef>
              <c:f>Plot_Data!$BK$10</c:f>
              <c:strCache>
                <c:ptCount val="1"/>
                <c:pt idx="0">
                  <c:v>Business: 0 seats, 4 abreast x 0 rows, pitch 0.97 m</c:v>
                </c:pt>
              </c:strCache>
            </c:strRef>
          </c:tx>
          <c:spPr>
            <a:ln w="12000">
              <a:solidFill>
                <a:srgbClr val="BF8F00"/>
              </a:solidFill>
              <a:prstDash val="solid"/>
            </a:ln>
          </c:spPr>
          <c:marker>
            <c:symbol val="none"/>
          </c:marker>
          <c:xVal>
            <c:numRef>
              <c:f>Plot_Data!$HY$5:$HY$1136</c:f>
              <c:numCache>
                <c:formatCode>0.000</c:formatCode>
                <c:ptCount val="1132"/>
                <c:pt idx="0">
                  <c:v>6.5</c:v>
                </c:pt>
                <c:pt idx="1">
                  <c:v>6.5</c:v>
                </c:pt>
                <c:pt idx="2">
                  <c:v>6.5</c:v>
                </c:pt>
                <c:pt idx="3">
                  <c:v>6.5</c:v>
                </c:pt>
                <c:pt idx="4">
                  <c:v>6.5</c:v>
                </c:pt>
                <c:pt idx="5">
                  <c:v>6.5</c:v>
                </c:pt>
                <c:pt idx="6">
                  <c:v>6.5</c:v>
                </c:pt>
                <c:pt idx="7">
                  <c:v>6.5</c:v>
                </c:pt>
                <c:pt idx="8">
                  <c:v>6.5</c:v>
                </c:pt>
                <c:pt idx="9">
                  <c:v>6.5</c:v>
                </c:pt>
                <c:pt idx="10">
                  <c:v>6.5</c:v>
                </c:pt>
                <c:pt idx="11">
                  <c:v>6.5</c:v>
                </c:pt>
                <c:pt idx="12">
                  <c:v>6.5</c:v>
                </c:pt>
                <c:pt idx="13">
                  <c:v>6.5</c:v>
                </c:pt>
                <c:pt idx="14">
                  <c:v>6.5</c:v>
                </c:pt>
                <c:pt idx="15">
                  <c:v>6.5</c:v>
                </c:pt>
                <c:pt idx="16">
                  <c:v>6.5</c:v>
                </c:pt>
                <c:pt idx="17">
                  <c:v>6.5</c:v>
                </c:pt>
                <c:pt idx="18">
                  <c:v>6.5</c:v>
                </c:pt>
                <c:pt idx="19">
                  <c:v>6.5</c:v>
                </c:pt>
                <c:pt idx="20">
                  <c:v>6.5</c:v>
                </c:pt>
                <c:pt idx="21">
                  <c:v>6.5</c:v>
                </c:pt>
                <c:pt idx="22">
                  <c:v>6.5</c:v>
                </c:pt>
                <c:pt idx="23">
                  <c:v>6.5</c:v>
                </c:pt>
                <c:pt idx="24">
                  <c:v>6.5</c:v>
                </c:pt>
                <c:pt idx="25">
                  <c:v>6.5</c:v>
                </c:pt>
                <c:pt idx="26">
                  <c:v>6.5</c:v>
                </c:pt>
                <c:pt idx="27">
                  <c:v>6.5</c:v>
                </c:pt>
                <c:pt idx="28">
                  <c:v>6.5</c:v>
                </c:pt>
                <c:pt idx="29">
                  <c:v>6.5</c:v>
                </c:pt>
                <c:pt idx="30">
                  <c:v>6.5</c:v>
                </c:pt>
                <c:pt idx="31">
                  <c:v>6.5</c:v>
                </c:pt>
                <c:pt idx="32">
                  <c:v>6.5</c:v>
                </c:pt>
                <c:pt idx="33">
                  <c:v>6.5</c:v>
                </c:pt>
                <c:pt idx="34">
                  <c:v>6.5</c:v>
                </c:pt>
                <c:pt idx="35">
                  <c:v>6.5</c:v>
                </c:pt>
                <c:pt idx="36">
                  <c:v>6.5</c:v>
                </c:pt>
                <c:pt idx="37">
                  <c:v>6.5</c:v>
                </c:pt>
                <c:pt idx="38">
                  <c:v>6.5</c:v>
                </c:pt>
                <c:pt idx="39">
                  <c:v>6.5</c:v>
                </c:pt>
                <c:pt idx="40">
                  <c:v>6.5</c:v>
                </c:pt>
                <c:pt idx="41">
                  <c:v>6.5</c:v>
                </c:pt>
                <c:pt idx="42">
                  <c:v>6.5</c:v>
                </c:pt>
                <c:pt idx="43">
                  <c:v>6.5</c:v>
                </c:pt>
                <c:pt idx="44">
                  <c:v>6.5</c:v>
                </c:pt>
                <c:pt idx="45">
                  <c:v>6.5</c:v>
                </c:pt>
                <c:pt idx="46">
                  <c:v>6.5</c:v>
                </c:pt>
                <c:pt idx="47">
                  <c:v>6.5</c:v>
                </c:pt>
                <c:pt idx="48">
                  <c:v>6.5</c:v>
                </c:pt>
                <c:pt idx="49">
                  <c:v>6.5</c:v>
                </c:pt>
                <c:pt idx="50">
                  <c:v>6.5</c:v>
                </c:pt>
                <c:pt idx="51">
                  <c:v>6.5</c:v>
                </c:pt>
                <c:pt idx="52">
                  <c:v>6.5</c:v>
                </c:pt>
                <c:pt idx="53">
                  <c:v>6.5</c:v>
                </c:pt>
                <c:pt idx="54">
                  <c:v>6.5</c:v>
                </c:pt>
                <c:pt idx="55">
                  <c:v>6.5</c:v>
                </c:pt>
                <c:pt idx="56">
                  <c:v>6.5</c:v>
                </c:pt>
                <c:pt idx="57">
                  <c:v>6.5</c:v>
                </c:pt>
                <c:pt idx="58">
                  <c:v>6.5</c:v>
                </c:pt>
                <c:pt idx="59">
                  <c:v>6.5</c:v>
                </c:pt>
                <c:pt idx="60">
                  <c:v>6.5</c:v>
                </c:pt>
                <c:pt idx="61">
                  <c:v>6.5</c:v>
                </c:pt>
                <c:pt idx="62">
                  <c:v>6.5</c:v>
                </c:pt>
                <c:pt idx="63">
                  <c:v>6.5</c:v>
                </c:pt>
                <c:pt idx="64">
                  <c:v>6.5</c:v>
                </c:pt>
                <c:pt idx="65">
                  <c:v>6.5</c:v>
                </c:pt>
                <c:pt idx="66">
                  <c:v>6.5</c:v>
                </c:pt>
                <c:pt idx="67">
                  <c:v>6.5</c:v>
                </c:pt>
                <c:pt idx="68">
                  <c:v>6.5</c:v>
                </c:pt>
                <c:pt idx="69">
                  <c:v>6.5</c:v>
                </c:pt>
                <c:pt idx="70">
                  <c:v>6.5</c:v>
                </c:pt>
                <c:pt idx="71">
                  <c:v>6.5</c:v>
                </c:pt>
                <c:pt idx="72">
                  <c:v>6.5</c:v>
                </c:pt>
                <c:pt idx="73">
                  <c:v>6.5</c:v>
                </c:pt>
                <c:pt idx="74">
                  <c:v>6.5</c:v>
                </c:pt>
                <c:pt idx="75">
                  <c:v>6.5</c:v>
                </c:pt>
                <c:pt idx="76">
                  <c:v>6.5</c:v>
                </c:pt>
                <c:pt idx="77">
                  <c:v>6.5</c:v>
                </c:pt>
                <c:pt idx="78">
                  <c:v>6.5</c:v>
                </c:pt>
                <c:pt idx="79">
                  <c:v>6.5</c:v>
                </c:pt>
                <c:pt idx="80">
                  <c:v>6.5</c:v>
                </c:pt>
                <c:pt idx="81">
                  <c:v>6.5</c:v>
                </c:pt>
                <c:pt idx="82">
                  <c:v>6.5</c:v>
                </c:pt>
                <c:pt idx="83">
                  <c:v>6.5</c:v>
                </c:pt>
                <c:pt idx="84">
                  <c:v>6.5</c:v>
                </c:pt>
                <c:pt idx="85">
                  <c:v>6.5</c:v>
                </c:pt>
                <c:pt idx="86">
                  <c:v>6.5</c:v>
                </c:pt>
                <c:pt idx="87">
                  <c:v>6.5</c:v>
                </c:pt>
                <c:pt idx="88">
                  <c:v>6.5</c:v>
                </c:pt>
                <c:pt idx="89">
                  <c:v>6.5</c:v>
                </c:pt>
                <c:pt idx="90">
                  <c:v>6.5</c:v>
                </c:pt>
                <c:pt idx="91">
                  <c:v>6.5</c:v>
                </c:pt>
                <c:pt idx="92">
                  <c:v>6.5</c:v>
                </c:pt>
                <c:pt idx="93">
                  <c:v>6.5</c:v>
                </c:pt>
                <c:pt idx="94">
                  <c:v>6.5</c:v>
                </c:pt>
                <c:pt idx="95">
                  <c:v>6.5</c:v>
                </c:pt>
                <c:pt idx="96">
                  <c:v>6.5</c:v>
                </c:pt>
                <c:pt idx="97">
                  <c:v>6.5</c:v>
                </c:pt>
                <c:pt idx="98">
                  <c:v>6.5</c:v>
                </c:pt>
                <c:pt idx="99">
                  <c:v>6.5</c:v>
                </c:pt>
                <c:pt idx="100">
                  <c:v>6.5</c:v>
                </c:pt>
                <c:pt idx="101">
                  <c:v>6.5</c:v>
                </c:pt>
                <c:pt idx="102">
                  <c:v>6.5</c:v>
                </c:pt>
                <c:pt idx="103">
                  <c:v>6.5</c:v>
                </c:pt>
                <c:pt idx="104">
                  <c:v>6.5</c:v>
                </c:pt>
                <c:pt idx="105">
                  <c:v>6.5</c:v>
                </c:pt>
                <c:pt idx="106">
                  <c:v>6.5</c:v>
                </c:pt>
                <c:pt idx="107">
                  <c:v>6.5</c:v>
                </c:pt>
                <c:pt idx="108">
                  <c:v>6.5</c:v>
                </c:pt>
                <c:pt idx="109">
                  <c:v>6.5</c:v>
                </c:pt>
                <c:pt idx="110">
                  <c:v>6.5</c:v>
                </c:pt>
                <c:pt idx="111">
                  <c:v>6.5</c:v>
                </c:pt>
                <c:pt idx="112">
                  <c:v>6.5</c:v>
                </c:pt>
                <c:pt idx="113">
                  <c:v>6.5</c:v>
                </c:pt>
                <c:pt idx="114">
                  <c:v>6.5</c:v>
                </c:pt>
                <c:pt idx="115">
                  <c:v>6.5</c:v>
                </c:pt>
                <c:pt idx="116">
                  <c:v>6.5</c:v>
                </c:pt>
                <c:pt idx="117">
                  <c:v>6.5</c:v>
                </c:pt>
                <c:pt idx="118">
                  <c:v>6.5</c:v>
                </c:pt>
                <c:pt idx="119">
                  <c:v>6.5</c:v>
                </c:pt>
                <c:pt idx="120">
                  <c:v>6.5</c:v>
                </c:pt>
                <c:pt idx="121">
                  <c:v>6.5</c:v>
                </c:pt>
                <c:pt idx="122">
                  <c:v>6.5</c:v>
                </c:pt>
                <c:pt idx="123">
                  <c:v>6.5</c:v>
                </c:pt>
                <c:pt idx="124">
                  <c:v>6.5</c:v>
                </c:pt>
                <c:pt idx="125">
                  <c:v>6.5</c:v>
                </c:pt>
                <c:pt idx="126">
                  <c:v>6.5</c:v>
                </c:pt>
                <c:pt idx="127">
                  <c:v>6.5</c:v>
                </c:pt>
                <c:pt idx="128">
                  <c:v>6.5</c:v>
                </c:pt>
                <c:pt idx="129">
                  <c:v>6.5</c:v>
                </c:pt>
                <c:pt idx="130">
                  <c:v>6.5</c:v>
                </c:pt>
                <c:pt idx="131">
                  <c:v>6.5</c:v>
                </c:pt>
                <c:pt idx="132">
                  <c:v>6.5</c:v>
                </c:pt>
                <c:pt idx="133">
                  <c:v>6.5</c:v>
                </c:pt>
                <c:pt idx="134">
                  <c:v>6.5</c:v>
                </c:pt>
                <c:pt idx="135">
                  <c:v>6.5</c:v>
                </c:pt>
                <c:pt idx="136">
                  <c:v>6.5</c:v>
                </c:pt>
                <c:pt idx="137">
                  <c:v>6.5</c:v>
                </c:pt>
                <c:pt idx="138">
                  <c:v>6.5</c:v>
                </c:pt>
                <c:pt idx="139">
                  <c:v>6.5</c:v>
                </c:pt>
                <c:pt idx="140">
                  <c:v>6.5</c:v>
                </c:pt>
                <c:pt idx="141">
                  <c:v>6.5</c:v>
                </c:pt>
                <c:pt idx="142">
                  <c:v>6.5</c:v>
                </c:pt>
                <c:pt idx="143">
                  <c:v>6.5</c:v>
                </c:pt>
                <c:pt idx="144">
                  <c:v>6.5</c:v>
                </c:pt>
                <c:pt idx="145">
                  <c:v>6.5</c:v>
                </c:pt>
                <c:pt idx="146">
                  <c:v>6.5</c:v>
                </c:pt>
                <c:pt idx="147">
                  <c:v>6.5</c:v>
                </c:pt>
                <c:pt idx="148">
                  <c:v>6.5</c:v>
                </c:pt>
                <c:pt idx="149">
                  <c:v>6.5</c:v>
                </c:pt>
                <c:pt idx="150">
                  <c:v>6.5</c:v>
                </c:pt>
                <c:pt idx="151">
                  <c:v>6.5</c:v>
                </c:pt>
                <c:pt idx="152">
                  <c:v>6.5</c:v>
                </c:pt>
                <c:pt idx="153">
                  <c:v>6.5</c:v>
                </c:pt>
                <c:pt idx="154">
                  <c:v>6.5</c:v>
                </c:pt>
                <c:pt idx="155">
                  <c:v>6.5</c:v>
                </c:pt>
                <c:pt idx="156">
                  <c:v>6.5</c:v>
                </c:pt>
                <c:pt idx="157">
                  <c:v>6.5</c:v>
                </c:pt>
                <c:pt idx="158">
                  <c:v>6.5</c:v>
                </c:pt>
                <c:pt idx="159">
                  <c:v>6.5</c:v>
                </c:pt>
                <c:pt idx="160">
                  <c:v>6.5</c:v>
                </c:pt>
                <c:pt idx="161">
                  <c:v>6.5</c:v>
                </c:pt>
                <c:pt idx="162">
                  <c:v>6.5</c:v>
                </c:pt>
                <c:pt idx="163">
                  <c:v>6.5</c:v>
                </c:pt>
                <c:pt idx="164">
                  <c:v>6.5</c:v>
                </c:pt>
                <c:pt idx="165">
                  <c:v>6.5</c:v>
                </c:pt>
                <c:pt idx="166">
                  <c:v>6.5</c:v>
                </c:pt>
                <c:pt idx="167">
                  <c:v>6.5</c:v>
                </c:pt>
                <c:pt idx="168">
                  <c:v>6.5</c:v>
                </c:pt>
                <c:pt idx="169">
                  <c:v>6.5</c:v>
                </c:pt>
                <c:pt idx="170">
                  <c:v>6.5</c:v>
                </c:pt>
                <c:pt idx="171">
                  <c:v>6.5</c:v>
                </c:pt>
                <c:pt idx="172">
                  <c:v>6.5</c:v>
                </c:pt>
                <c:pt idx="173">
                  <c:v>6.5</c:v>
                </c:pt>
                <c:pt idx="174">
                  <c:v>6.5</c:v>
                </c:pt>
                <c:pt idx="175">
                  <c:v>6.5</c:v>
                </c:pt>
                <c:pt idx="176">
                  <c:v>6.5</c:v>
                </c:pt>
                <c:pt idx="177">
                  <c:v>6.5</c:v>
                </c:pt>
                <c:pt idx="178">
                  <c:v>6.5</c:v>
                </c:pt>
                <c:pt idx="179">
                  <c:v>6.5</c:v>
                </c:pt>
                <c:pt idx="180">
                  <c:v>6.5</c:v>
                </c:pt>
                <c:pt idx="181">
                  <c:v>6.5</c:v>
                </c:pt>
                <c:pt idx="182">
                  <c:v>6.5</c:v>
                </c:pt>
                <c:pt idx="183">
                  <c:v>6.5</c:v>
                </c:pt>
                <c:pt idx="184">
                  <c:v>6.5</c:v>
                </c:pt>
                <c:pt idx="185">
                  <c:v>6.5</c:v>
                </c:pt>
                <c:pt idx="186">
                  <c:v>6.5</c:v>
                </c:pt>
                <c:pt idx="187">
                  <c:v>6.5</c:v>
                </c:pt>
                <c:pt idx="188">
                  <c:v>6.5</c:v>
                </c:pt>
                <c:pt idx="189">
                  <c:v>6.5</c:v>
                </c:pt>
                <c:pt idx="190">
                  <c:v>6.5</c:v>
                </c:pt>
                <c:pt idx="191">
                  <c:v>6.5</c:v>
                </c:pt>
                <c:pt idx="192">
                  <c:v>6.5</c:v>
                </c:pt>
                <c:pt idx="193">
                  <c:v>6.5</c:v>
                </c:pt>
                <c:pt idx="194">
                  <c:v>6.5</c:v>
                </c:pt>
                <c:pt idx="195">
                  <c:v>6.5</c:v>
                </c:pt>
                <c:pt idx="196">
                  <c:v>6.5</c:v>
                </c:pt>
                <c:pt idx="197">
                  <c:v>6.5</c:v>
                </c:pt>
                <c:pt idx="198">
                  <c:v>6.5</c:v>
                </c:pt>
                <c:pt idx="199">
                  <c:v>6.5</c:v>
                </c:pt>
                <c:pt idx="200">
                  <c:v>6.5</c:v>
                </c:pt>
                <c:pt idx="201">
                  <c:v>6.5</c:v>
                </c:pt>
                <c:pt idx="202">
                  <c:v>6.5</c:v>
                </c:pt>
                <c:pt idx="203">
                  <c:v>6.5</c:v>
                </c:pt>
                <c:pt idx="204">
                  <c:v>6.5</c:v>
                </c:pt>
                <c:pt idx="205">
                  <c:v>6.5</c:v>
                </c:pt>
                <c:pt idx="206">
                  <c:v>6.5</c:v>
                </c:pt>
                <c:pt idx="207">
                  <c:v>6.5</c:v>
                </c:pt>
                <c:pt idx="208">
                  <c:v>6.5</c:v>
                </c:pt>
                <c:pt idx="209">
                  <c:v>6.5</c:v>
                </c:pt>
                <c:pt idx="210">
                  <c:v>6.5</c:v>
                </c:pt>
                <c:pt idx="211">
                  <c:v>6.5</c:v>
                </c:pt>
                <c:pt idx="212">
                  <c:v>6.5</c:v>
                </c:pt>
                <c:pt idx="213">
                  <c:v>6.5</c:v>
                </c:pt>
                <c:pt idx="214">
                  <c:v>6.5</c:v>
                </c:pt>
                <c:pt idx="215">
                  <c:v>6.5</c:v>
                </c:pt>
                <c:pt idx="216">
                  <c:v>6.5</c:v>
                </c:pt>
                <c:pt idx="217">
                  <c:v>6.5</c:v>
                </c:pt>
                <c:pt idx="218">
                  <c:v>6.5</c:v>
                </c:pt>
                <c:pt idx="219">
                  <c:v>6.5</c:v>
                </c:pt>
                <c:pt idx="220">
                  <c:v>6.5</c:v>
                </c:pt>
                <c:pt idx="221">
                  <c:v>6.5</c:v>
                </c:pt>
                <c:pt idx="222">
                  <c:v>6.5</c:v>
                </c:pt>
                <c:pt idx="223">
                  <c:v>6.5</c:v>
                </c:pt>
                <c:pt idx="224">
                  <c:v>6.5</c:v>
                </c:pt>
                <c:pt idx="225">
                  <c:v>6.5</c:v>
                </c:pt>
                <c:pt idx="226">
                  <c:v>6.5</c:v>
                </c:pt>
                <c:pt idx="227">
                  <c:v>6.5</c:v>
                </c:pt>
                <c:pt idx="228">
                  <c:v>6.5</c:v>
                </c:pt>
                <c:pt idx="229">
                  <c:v>6.5</c:v>
                </c:pt>
                <c:pt idx="230">
                  <c:v>6.5</c:v>
                </c:pt>
                <c:pt idx="231">
                  <c:v>6.5</c:v>
                </c:pt>
                <c:pt idx="232">
                  <c:v>6.5</c:v>
                </c:pt>
                <c:pt idx="233">
                  <c:v>6.5</c:v>
                </c:pt>
                <c:pt idx="234">
                  <c:v>6.5</c:v>
                </c:pt>
                <c:pt idx="235">
                  <c:v>6.5</c:v>
                </c:pt>
                <c:pt idx="236">
                  <c:v>6.5</c:v>
                </c:pt>
                <c:pt idx="237">
                  <c:v>6.5</c:v>
                </c:pt>
                <c:pt idx="238">
                  <c:v>6.5</c:v>
                </c:pt>
                <c:pt idx="239">
                  <c:v>6.5</c:v>
                </c:pt>
                <c:pt idx="240">
                  <c:v>6.5</c:v>
                </c:pt>
                <c:pt idx="241">
                  <c:v>6.5</c:v>
                </c:pt>
                <c:pt idx="242">
                  <c:v>6.5</c:v>
                </c:pt>
                <c:pt idx="243">
                  <c:v>6.5</c:v>
                </c:pt>
                <c:pt idx="244">
                  <c:v>6.5</c:v>
                </c:pt>
                <c:pt idx="245">
                  <c:v>6.5</c:v>
                </c:pt>
                <c:pt idx="246">
                  <c:v>6.5</c:v>
                </c:pt>
                <c:pt idx="247">
                  <c:v>6.5</c:v>
                </c:pt>
                <c:pt idx="248">
                  <c:v>6.5</c:v>
                </c:pt>
                <c:pt idx="249">
                  <c:v>6.5</c:v>
                </c:pt>
                <c:pt idx="250">
                  <c:v>6.5</c:v>
                </c:pt>
                <c:pt idx="251">
                  <c:v>6.5</c:v>
                </c:pt>
                <c:pt idx="252">
                  <c:v>6.5</c:v>
                </c:pt>
                <c:pt idx="253">
                  <c:v>6.5</c:v>
                </c:pt>
                <c:pt idx="254">
                  <c:v>6.5</c:v>
                </c:pt>
                <c:pt idx="255">
                  <c:v>6.5</c:v>
                </c:pt>
                <c:pt idx="256">
                  <c:v>6.5</c:v>
                </c:pt>
                <c:pt idx="257">
                  <c:v>6.5</c:v>
                </c:pt>
                <c:pt idx="258">
                  <c:v>6.5</c:v>
                </c:pt>
                <c:pt idx="259">
                  <c:v>6.5</c:v>
                </c:pt>
                <c:pt idx="260">
                  <c:v>6.5</c:v>
                </c:pt>
                <c:pt idx="261">
                  <c:v>6.5</c:v>
                </c:pt>
                <c:pt idx="262">
                  <c:v>6.5</c:v>
                </c:pt>
                <c:pt idx="263">
                  <c:v>6.5</c:v>
                </c:pt>
                <c:pt idx="264">
                  <c:v>6.5</c:v>
                </c:pt>
                <c:pt idx="265">
                  <c:v>6.5</c:v>
                </c:pt>
                <c:pt idx="266">
                  <c:v>6.5</c:v>
                </c:pt>
                <c:pt idx="267">
                  <c:v>6.5</c:v>
                </c:pt>
                <c:pt idx="268">
                  <c:v>6.5</c:v>
                </c:pt>
                <c:pt idx="269">
                  <c:v>6.5</c:v>
                </c:pt>
                <c:pt idx="270">
                  <c:v>6.5</c:v>
                </c:pt>
                <c:pt idx="271">
                  <c:v>6.5</c:v>
                </c:pt>
                <c:pt idx="272">
                  <c:v>6.5</c:v>
                </c:pt>
                <c:pt idx="273">
                  <c:v>6.5</c:v>
                </c:pt>
                <c:pt idx="274">
                  <c:v>6.5</c:v>
                </c:pt>
                <c:pt idx="275">
                  <c:v>6.5</c:v>
                </c:pt>
                <c:pt idx="276">
                  <c:v>6.5</c:v>
                </c:pt>
                <c:pt idx="277">
                  <c:v>6.5</c:v>
                </c:pt>
                <c:pt idx="278">
                  <c:v>6.5</c:v>
                </c:pt>
                <c:pt idx="279">
                  <c:v>6.5</c:v>
                </c:pt>
                <c:pt idx="280">
                  <c:v>6.5</c:v>
                </c:pt>
                <c:pt idx="281">
                  <c:v>6.5</c:v>
                </c:pt>
                <c:pt idx="282">
                  <c:v>6.5</c:v>
                </c:pt>
                <c:pt idx="283">
                  <c:v>6.5</c:v>
                </c:pt>
                <c:pt idx="284">
                  <c:v>6.5</c:v>
                </c:pt>
                <c:pt idx="285">
                  <c:v>6.5</c:v>
                </c:pt>
                <c:pt idx="286">
                  <c:v>6.5</c:v>
                </c:pt>
                <c:pt idx="287">
                  <c:v>6.5</c:v>
                </c:pt>
                <c:pt idx="288">
                  <c:v>6.5</c:v>
                </c:pt>
                <c:pt idx="289">
                  <c:v>6.5</c:v>
                </c:pt>
                <c:pt idx="290">
                  <c:v>6.5</c:v>
                </c:pt>
                <c:pt idx="291">
                  <c:v>6.5</c:v>
                </c:pt>
                <c:pt idx="292">
                  <c:v>6.5</c:v>
                </c:pt>
                <c:pt idx="293">
                  <c:v>6.5</c:v>
                </c:pt>
                <c:pt idx="294">
                  <c:v>6.5</c:v>
                </c:pt>
                <c:pt idx="295">
                  <c:v>6.5</c:v>
                </c:pt>
                <c:pt idx="296">
                  <c:v>6.5</c:v>
                </c:pt>
                <c:pt idx="297">
                  <c:v>6.5</c:v>
                </c:pt>
                <c:pt idx="298">
                  <c:v>6.5</c:v>
                </c:pt>
                <c:pt idx="299">
                  <c:v>6.5</c:v>
                </c:pt>
                <c:pt idx="300">
                  <c:v>6.5</c:v>
                </c:pt>
                <c:pt idx="301">
                  <c:v>6.5</c:v>
                </c:pt>
                <c:pt idx="302">
                  <c:v>6.5</c:v>
                </c:pt>
                <c:pt idx="303">
                  <c:v>6.5</c:v>
                </c:pt>
                <c:pt idx="304">
                  <c:v>6.5</c:v>
                </c:pt>
                <c:pt idx="305">
                  <c:v>6.5</c:v>
                </c:pt>
                <c:pt idx="306">
                  <c:v>6.5</c:v>
                </c:pt>
                <c:pt idx="307">
                  <c:v>6.5</c:v>
                </c:pt>
                <c:pt idx="308">
                  <c:v>6.5</c:v>
                </c:pt>
                <c:pt idx="309">
                  <c:v>6.5</c:v>
                </c:pt>
                <c:pt idx="310">
                  <c:v>6.5</c:v>
                </c:pt>
                <c:pt idx="311">
                  <c:v>6.5</c:v>
                </c:pt>
                <c:pt idx="312">
                  <c:v>6.5</c:v>
                </c:pt>
                <c:pt idx="313">
                  <c:v>6.5</c:v>
                </c:pt>
                <c:pt idx="314">
                  <c:v>6.5</c:v>
                </c:pt>
                <c:pt idx="315">
                  <c:v>6.5</c:v>
                </c:pt>
                <c:pt idx="316">
                  <c:v>6.5</c:v>
                </c:pt>
                <c:pt idx="317">
                  <c:v>6.5</c:v>
                </c:pt>
                <c:pt idx="318">
                  <c:v>6.5</c:v>
                </c:pt>
                <c:pt idx="319">
                  <c:v>6.5</c:v>
                </c:pt>
                <c:pt idx="320">
                  <c:v>6.5</c:v>
                </c:pt>
                <c:pt idx="321">
                  <c:v>6.5</c:v>
                </c:pt>
                <c:pt idx="322">
                  <c:v>6.5</c:v>
                </c:pt>
                <c:pt idx="323">
                  <c:v>6.5</c:v>
                </c:pt>
                <c:pt idx="324">
                  <c:v>6.5</c:v>
                </c:pt>
                <c:pt idx="325">
                  <c:v>6.5</c:v>
                </c:pt>
                <c:pt idx="326">
                  <c:v>6.5</c:v>
                </c:pt>
                <c:pt idx="327">
                  <c:v>6.5</c:v>
                </c:pt>
                <c:pt idx="328">
                  <c:v>6.5</c:v>
                </c:pt>
                <c:pt idx="329">
                  <c:v>6.5</c:v>
                </c:pt>
                <c:pt idx="330">
                  <c:v>6.5</c:v>
                </c:pt>
                <c:pt idx="331">
                  <c:v>6.5</c:v>
                </c:pt>
                <c:pt idx="332">
                  <c:v>6.5</c:v>
                </c:pt>
                <c:pt idx="333">
                  <c:v>6.5</c:v>
                </c:pt>
                <c:pt idx="334">
                  <c:v>6.5</c:v>
                </c:pt>
                <c:pt idx="335">
                  <c:v>6.5</c:v>
                </c:pt>
                <c:pt idx="336">
                  <c:v>6.5</c:v>
                </c:pt>
                <c:pt idx="337">
                  <c:v>6.5</c:v>
                </c:pt>
                <c:pt idx="338">
                  <c:v>6.5</c:v>
                </c:pt>
                <c:pt idx="339">
                  <c:v>6.5</c:v>
                </c:pt>
                <c:pt idx="340">
                  <c:v>6.5</c:v>
                </c:pt>
                <c:pt idx="341">
                  <c:v>6.5</c:v>
                </c:pt>
                <c:pt idx="342">
                  <c:v>6.5</c:v>
                </c:pt>
                <c:pt idx="343">
                  <c:v>6.5</c:v>
                </c:pt>
                <c:pt idx="344">
                  <c:v>6.5</c:v>
                </c:pt>
                <c:pt idx="345">
                  <c:v>6.5</c:v>
                </c:pt>
                <c:pt idx="346">
                  <c:v>6.5</c:v>
                </c:pt>
                <c:pt idx="347">
                  <c:v>6.5</c:v>
                </c:pt>
                <c:pt idx="348">
                  <c:v>6.5</c:v>
                </c:pt>
                <c:pt idx="349">
                  <c:v>6.5</c:v>
                </c:pt>
                <c:pt idx="350">
                  <c:v>6.5</c:v>
                </c:pt>
                <c:pt idx="351">
                  <c:v>6.5</c:v>
                </c:pt>
                <c:pt idx="352">
                  <c:v>6.5</c:v>
                </c:pt>
                <c:pt idx="353">
                  <c:v>6.5</c:v>
                </c:pt>
                <c:pt idx="354">
                  <c:v>6.5</c:v>
                </c:pt>
                <c:pt idx="355">
                  <c:v>6.5</c:v>
                </c:pt>
                <c:pt idx="356">
                  <c:v>6.5</c:v>
                </c:pt>
                <c:pt idx="357">
                  <c:v>6.5</c:v>
                </c:pt>
                <c:pt idx="358">
                  <c:v>6.5</c:v>
                </c:pt>
                <c:pt idx="359">
                  <c:v>6.5</c:v>
                </c:pt>
                <c:pt idx="360">
                  <c:v>6.5</c:v>
                </c:pt>
                <c:pt idx="361">
                  <c:v>6.5</c:v>
                </c:pt>
                <c:pt idx="362">
                  <c:v>6.5</c:v>
                </c:pt>
                <c:pt idx="363">
                  <c:v>6.5</c:v>
                </c:pt>
                <c:pt idx="364">
                  <c:v>6.5</c:v>
                </c:pt>
                <c:pt idx="365">
                  <c:v>6.5</c:v>
                </c:pt>
                <c:pt idx="366">
                  <c:v>6.5</c:v>
                </c:pt>
                <c:pt idx="367">
                  <c:v>6.5</c:v>
                </c:pt>
                <c:pt idx="368">
                  <c:v>6.5</c:v>
                </c:pt>
                <c:pt idx="369">
                  <c:v>6.5</c:v>
                </c:pt>
                <c:pt idx="370">
                  <c:v>6.5</c:v>
                </c:pt>
                <c:pt idx="371">
                  <c:v>6.5</c:v>
                </c:pt>
                <c:pt idx="372">
                  <c:v>6.5</c:v>
                </c:pt>
                <c:pt idx="373">
                  <c:v>6.5</c:v>
                </c:pt>
                <c:pt idx="374">
                  <c:v>6.5</c:v>
                </c:pt>
                <c:pt idx="375">
                  <c:v>6.5</c:v>
                </c:pt>
                <c:pt idx="376">
                  <c:v>6.5</c:v>
                </c:pt>
                <c:pt idx="377">
                  <c:v>6.5</c:v>
                </c:pt>
                <c:pt idx="378">
                  <c:v>6.5</c:v>
                </c:pt>
                <c:pt idx="379">
                  <c:v>6.5</c:v>
                </c:pt>
                <c:pt idx="380">
                  <c:v>6.5</c:v>
                </c:pt>
                <c:pt idx="381">
                  <c:v>6.5</c:v>
                </c:pt>
                <c:pt idx="382">
                  <c:v>6.5</c:v>
                </c:pt>
                <c:pt idx="383">
                  <c:v>6.5</c:v>
                </c:pt>
                <c:pt idx="384">
                  <c:v>6.5</c:v>
                </c:pt>
                <c:pt idx="385">
                  <c:v>6.5</c:v>
                </c:pt>
                <c:pt idx="386">
                  <c:v>6.5</c:v>
                </c:pt>
                <c:pt idx="387">
                  <c:v>6.5</c:v>
                </c:pt>
                <c:pt idx="388">
                  <c:v>6.5</c:v>
                </c:pt>
                <c:pt idx="389">
                  <c:v>6.5</c:v>
                </c:pt>
                <c:pt idx="390">
                  <c:v>6.5</c:v>
                </c:pt>
                <c:pt idx="391">
                  <c:v>6.5</c:v>
                </c:pt>
                <c:pt idx="392">
                  <c:v>6.5</c:v>
                </c:pt>
                <c:pt idx="393">
                  <c:v>6.5</c:v>
                </c:pt>
                <c:pt idx="394">
                  <c:v>6.5</c:v>
                </c:pt>
                <c:pt idx="395">
                  <c:v>6.5</c:v>
                </c:pt>
                <c:pt idx="396">
                  <c:v>6.5</c:v>
                </c:pt>
                <c:pt idx="397">
                  <c:v>6.5</c:v>
                </c:pt>
                <c:pt idx="398">
                  <c:v>6.5</c:v>
                </c:pt>
                <c:pt idx="399">
                  <c:v>6.5</c:v>
                </c:pt>
                <c:pt idx="400">
                  <c:v>6.5</c:v>
                </c:pt>
                <c:pt idx="401">
                  <c:v>6.5</c:v>
                </c:pt>
                <c:pt idx="402">
                  <c:v>6.5</c:v>
                </c:pt>
                <c:pt idx="403">
                  <c:v>6.5</c:v>
                </c:pt>
                <c:pt idx="404">
                  <c:v>6.5</c:v>
                </c:pt>
                <c:pt idx="405">
                  <c:v>6.5</c:v>
                </c:pt>
                <c:pt idx="406">
                  <c:v>6.5</c:v>
                </c:pt>
                <c:pt idx="407">
                  <c:v>6.5</c:v>
                </c:pt>
                <c:pt idx="408">
                  <c:v>6.5</c:v>
                </c:pt>
                <c:pt idx="409">
                  <c:v>6.5</c:v>
                </c:pt>
                <c:pt idx="410">
                  <c:v>6.5</c:v>
                </c:pt>
                <c:pt idx="411">
                  <c:v>6.5</c:v>
                </c:pt>
                <c:pt idx="412">
                  <c:v>6.5</c:v>
                </c:pt>
                <c:pt idx="413">
                  <c:v>6.5</c:v>
                </c:pt>
                <c:pt idx="414">
                  <c:v>6.5</c:v>
                </c:pt>
                <c:pt idx="415">
                  <c:v>6.5</c:v>
                </c:pt>
                <c:pt idx="416">
                  <c:v>6.5</c:v>
                </c:pt>
                <c:pt idx="417">
                  <c:v>6.5</c:v>
                </c:pt>
                <c:pt idx="418">
                  <c:v>6.5</c:v>
                </c:pt>
                <c:pt idx="419">
                  <c:v>6.5</c:v>
                </c:pt>
                <c:pt idx="420">
                  <c:v>6.5</c:v>
                </c:pt>
                <c:pt idx="421">
                  <c:v>6.5</c:v>
                </c:pt>
                <c:pt idx="422">
                  <c:v>6.5</c:v>
                </c:pt>
                <c:pt idx="423">
                  <c:v>6.5</c:v>
                </c:pt>
                <c:pt idx="424">
                  <c:v>6.5</c:v>
                </c:pt>
                <c:pt idx="425">
                  <c:v>6.5</c:v>
                </c:pt>
                <c:pt idx="426">
                  <c:v>6.5</c:v>
                </c:pt>
                <c:pt idx="427">
                  <c:v>6.5</c:v>
                </c:pt>
                <c:pt idx="428">
                  <c:v>6.5</c:v>
                </c:pt>
                <c:pt idx="429">
                  <c:v>6.5</c:v>
                </c:pt>
                <c:pt idx="430">
                  <c:v>6.5</c:v>
                </c:pt>
                <c:pt idx="431">
                  <c:v>6.5</c:v>
                </c:pt>
                <c:pt idx="432">
                  <c:v>6.5</c:v>
                </c:pt>
                <c:pt idx="433">
                  <c:v>6.5</c:v>
                </c:pt>
                <c:pt idx="434">
                  <c:v>6.5</c:v>
                </c:pt>
                <c:pt idx="435">
                  <c:v>6.5</c:v>
                </c:pt>
                <c:pt idx="436">
                  <c:v>6.5</c:v>
                </c:pt>
                <c:pt idx="437">
                  <c:v>6.5</c:v>
                </c:pt>
                <c:pt idx="438">
                  <c:v>6.5</c:v>
                </c:pt>
                <c:pt idx="439">
                  <c:v>6.5</c:v>
                </c:pt>
                <c:pt idx="440">
                  <c:v>6.5</c:v>
                </c:pt>
                <c:pt idx="441">
                  <c:v>6.5</c:v>
                </c:pt>
                <c:pt idx="442">
                  <c:v>6.5</c:v>
                </c:pt>
                <c:pt idx="443">
                  <c:v>6.5</c:v>
                </c:pt>
                <c:pt idx="444">
                  <c:v>6.5</c:v>
                </c:pt>
                <c:pt idx="445">
                  <c:v>6.5</c:v>
                </c:pt>
                <c:pt idx="446">
                  <c:v>6.5</c:v>
                </c:pt>
                <c:pt idx="447">
                  <c:v>6.5</c:v>
                </c:pt>
                <c:pt idx="448">
                  <c:v>6.5</c:v>
                </c:pt>
                <c:pt idx="449">
                  <c:v>6.5</c:v>
                </c:pt>
                <c:pt idx="450">
                  <c:v>6.5</c:v>
                </c:pt>
                <c:pt idx="451">
                  <c:v>6.5</c:v>
                </c:pt>
                <c:pt idx="452">
                  <c:v>6.5</c:v>
                </c:pt>
                <c:pt idx="453">
                  <c:v>6.5</c:v>
                </c:pt>
                <c:pt idx="454">
                  <c:v>6.5</c:v>
                </c:pt>
                <c:pt idx="455">
                  <c:v>6.5</c:v>
                </c:pt>
                <c:pt idx="456">
                  <c:v>6.5</c:v>
                </c:pt>
                <c:pt idx="457">
                  <c:v>6.5</c:v>
                </c:pt>
                <c:pt idx="458">
                  <c:v>6.5</c:v>
                </c:pt>
                <c:pt idx="459">
                  <c:v>6.5</c:v>
                </c:pt>
                <c:pt idx="460">
                  <c:v>6.5</c:v>
                </c:pt>
                <c:pt idx="461">
                  <c:v>6.5</c:v>
                </c:pt>
                <c:pt idx="462">
                  <c:v>6.5</c:v>
                </c:pt>
                <c:pt idx="463">
                  <c:v>6.5</c:v>
                </c:pt>
                <c:pt idx="464">
                  <c:v>6.5</c:v>
                </c:pt>
                <c:pt idx="465">
                  <c:v>6.5</c:v>
                </c:pt>
                <c:pt idx="466">
                  <c:v>6.5</c:v>
                </c:pt>
                <c:pt idx="467">
                  <c:v>6.5</c:v>
                </c:pt>
                <c:pt idx="468">
                  <c:v>6.5</c:v>
                </c:pt>
                <c:pt idx="469">
                  <c:v>6.5</c:v>
                </c:pt>
                <c:pt idx="470">
                  <c:v>6.5</c:v>
                </c:pt>
                <c:pt idx="471">
                  <c:v>6.5</c:v>
                </c:pt>
                <c:pt idx="472">
                  <c:v>6.5</c:v>
                </c:pt>
                <c:pt idx="473">
                  <c:v>6.5</c:v>
                </c:pt>
                <c:pt idx="474">
                  <c:v>6.5</c:v>
                </c:pt>
                <c:pt idx="475">
                  <c:v>6.5</c:v>
                </c:pt>
                <c:pt idx="476">
                  <c:v>6.5</c:v>
                </c:pt>
                <c:pt idx="477">
                  <c:v>6.5</c:v>
                </c:pt>
                <c:pt idx="478">
                  <c:v>6.5</c:v>
                </c:pt>
                <c:pt idx="479">
                  <c:v>6.5</c:v>
                </c:pt>
                <c:pt idx="480">
                  <c:v>6.5</c:v>
                </c:pt>
                <c:pt idx="481">
                  <c:v>6.5</c:v>
                </c:pt>
                <c:pt idx="482">
                  <c:v>6.5</c:v>
                </c:pt>
                <c:pt idx="483">
                  <c:v>6.5</c:v>
                </c:pt>
                <c:pt idx="484">
                  <c:v>6.5</c:v>
                </c:pt>
                <c:pt idx="485">
                  <c:v>6.5</c:v>
                </c:pt>
                <c:pt idx="486">
                  <c:v>6.5</c:v>
                </c:pt>
                <c:pt idx="487">
                  <c:v>6.5</c:v>
                </c:pt>
                <c:pt idx="488">
                  <c:v>6.5</c:v>
                </c:pt>
                <c:pt idx="489">
                  <c:v>6.5</c:v>
                </c:pt>
                <c:pt idx="490">
                  <c:v>6.5</c:v>
                </c:pt>
                <c:pt idx="491">
                  <c:v>6.5</c:v>
                </c:pt>
                <c:pt idx="492">
                  <c:v>6.5</c:v>
                </c:pt>
                <c:pt idx="493">
                  <c:v>6.5</c:v>
                </c:pt>
                <c:pt idx="494">
                  <c:v>6.5</c:v>
                </c:pt>
                <c:pt idx="495">
                  <c:v>6.5</c:v>
                </c:pt>
                <c:pt idx="496">
                  <c:v>6.5</c:v>
                </c:pt>
                <c:pt idx="497">
                  <c:v>6.5</c:v>
                </c:pt>
                <c:pt idx="498">
                  <c:v>6.5</c:v>
                </c:pt>
                <c:pt idx="499">
                  <c:v>6.5</c:v>
                </c:pt>
                <c:pt idx="500">
                  <c:v>6.5</c:v>
                </c:pt>
                <c:pt idx="501">
                  <c:v>6.5</c:v>
                </c:pt>
                <c:pt idx="502">
                  <c:v>6.5</c:v>
                </c:pt>
                <c:pt idx="503">
                  <c:v>6.5</c:v>
                </c:pt>
                <c:pt idx="504">
                  <c:v>6.5</c:v>
                </c:pt>
                <c:pt idx="505">
                  <c:v>6.5</c:v>
                </c:pt>
                <c:pt idx="506">
                  <c:v>6.5</c:v>
                </c:pt>
                <c:pt idx="507">
                  <c:v>6.5</c:v>
                </c:pt>
                <c:pt idx="508">
                  <c:v>6.5</c:v>
                </c:pt>
                <c:pt idx="509">
                  <c:v>6.5</c:v>
                </c:pt>
                <c:pt idx="510">
                  <c:v>6.5</c:v>
                </c:pt>
                <c:pt idx="511">
                  <c:v>6.5</c:v>
                </c:pt>
                <c:pt idx="512">
                  <c:v>6.5</c:v>
                </c:pt>
                <c:pt idx="513">
                  <c:v>6.5</c:v>
                </c:pt>
                <c:pt idx="514">
                  <c:v>6.5</c:v>
                </c:pt>
                <c:pt idx="515">
                  <c:v>6.5</c:v>
                </c:pt>
                <c:pt idx="516">
                  <c:v>6.5</c:v>
                </c:pt>
                <c:pt idx="517">
                  <c:v>6.5</c:v>
                </c:pt>
                <c:pt idx="518">
                  <c:v>6.5</c:v>
                </c:pt>
                <c:pt idx="519">
                  <c:v>6.5</c:v>
                </c:pt>
                <c:pt idx="520">
                  <c:v>6.5</c:v>
                </c:pt>
                <c:pt idx="521">
                  <c:v>6.5</c:v>
                </c:pt>
                <c:pt idx="522">
                  <c:v>6.5</c:v>
                </c:pt>
                <c:pt idx="523">
                  <c:v>6.5</c:v>
                </c:pt>
                <c:pt idx="524">
                  <c:v>6.5</c:v>
                </c:pt>
                <c:pt idx="525">
                  <c:v>6.5</c:v>
                </c:pt>
                <c:pt idx="526">
                  <c:v>6.5</c:v>
                </c:pt>
                <c:pt idx="527">
                  <c:v>6.5</c:v>
                </c:pt>
                <c:pt idx="528">
                  <c:v>6.5</c:v>
                </c:pt>
                <c:pt idx="529">
                  <c:v>6.5</c:v>
                </c:pt>
                <c:pt idx="530">
                  <c:v>6.5</c:v>
                </c:pt>
                <c:pt idx="531">
                  <c:v>6.5</c:v>
                </c:pt>
                <c:pt idx="532">
                  <c:v>6.5</c:v>
                </c:pt>
                <c:pt idx="533">
                  <c:v>6.5</c:v>
                </c:pt>
                <c:pt idx="534">
                  <c:v>6.5</c:v>
                </c:pt>
                <c:pt idx="535">
                  <c:v>6.5</c:v>
                </c:pt>
                <c:pt idx="536">
                  <c:v>6.5</c:v>
                </c:pt>
                <c:pt idx="537">
                  <c:v>6.5</c:v>
                </c:pt>
                <c:pt idx="538">
                  <c:v>6.5</c:v>
                </c:pt>
                <c:pt idx="539">
                  <c:v>6.5</c:v>
                </c:pt>
                <c:pt idx="540">
                  <c:v>6.5</c:v>
                </c:pt>
                <c:pt idx="541">
                  <c:v>6.5</c:v>
                </c:pt>
                <c:pt idx="542">
                  <c:v>6.5</c:v>
                </c:pt>
                <c:pt idx="543">
                  <c:v>6.5</c:v>
                </c:pt>
                <c:pt idx="544">
                  <c:v>6.5</c:v>
                </c:pt>
                <c:pt idx="545">
                  <c:v>6.5</c:v>
                </c:pt>
                <c:pt idx="546">
                  <c:v>6.5</c:v>
                </c:pt>
                <c:pt idx="547">
                  <c:v>6.5</c:v>
                </c:pt>
                <c:pt idx="548">
                  <c:v>6.5</c:v>
                </c:pt>
                <c:pt idx="549">
                  <c:v>6.5</c:v>
                </c:pt>
                <c:pt idx="550">
                  <c:v>6.5</c:v>
                </c:pt>
                <c:pt idx="551">
                  <c:v>6.5</c:v>
                </c:pt>
                <c:pt idx="552">
                  <c:v>6.5</c:v>
                </c:pt>
                <c:pt idx="553">
                  <c:v>6.5</c:v>
                </c:pt>
                <c:pt idx="554">
                  <c:v>6.5</c:v>
                </c:pt>
                <c:pt idx="555">
                  <c:v>6.5</c:v>
                </c:pt>
                <c:pt idx="556">
                  <c:v>6.5</c:v>
                </c:pt>
                <c:pt idx="557">
                  <c:v>6.5</c:v>
                </c:pt>
                <c:pt idx="558">
                  <c:v>6.5</c:v>
                </c:pt>
                <c:pt idx="559">
                  <c:v>6.5</c:v>
                </c:pt>
                <c:pt idx="560">
                  <c:v>6.5</c:v>
                </c:pt>
                <c:pt idx="561">
                  <c:v>6.5</c:v>
                </c:pt>
                <c:pt idx="562">
                  <c:v>6.5</c:v>
                </c:pt>
                <c:pt idx="563">
                  <c:v>6.5</c:v>
                </c:pt>
                <c:pt idx="564">
                  <c:v>6.5</c:v>
                </c:pt>
                <c:pt idx="565">
                  <c:v>6.5</c:v>
                </c:pt>
                <c:pt idx="566">
                  <c:v>6.5</c:v>
                </c:pt>
                <c:pt idx="567">
                  <c:v>6.5</c:v>
                </c:pt>
                <c:pt idx="568">
                  <c:v>6.5</c:v>
                </c:pt>
                <c:pt idx="569">
                  <c:v>6.5</c:v>
                </c:pt>
                <c:pt idx="570">
                  <c:v>6.5</c:v>
                </c:pt>
                <c:pt idx="571">
                  <c:v>6.5</c:v>
                </c:pt>
                <c:pt idx="572">
                  <c:v>6.5</c:v>
                </c:pt>
                <c:pt idx="573">
                  <c:v>6.5</c:v>
                </c:pt>
                <c:pt idx="574">
                  <c:v>6.5</c:v>
                </c:pt>
                <c:pt idx="575">
                  <c:v>6.5</c:v>
                </c:pt>
                <c:pt idx="576">
                  <c:v>6.5</c:v>
                </c:pt>
                <c:pt idx="577">
                  <c:v>6.5</c:v>
                </c:pt>
                <c:pt idx="578">
                  <c:v>6.5</c:v>
                </c:pt>
                <c:pt idx="579">
                  <c:v>6.5</c:v>
                </c:pt>
                <c:pt idx="580">
                  <c:v>6.5</c:v>
                </c:pt>
                <c:pt idx="581">
                  <c:v>6.5</c:v>
                </c:pt>
                <c:pt idx="582">
                  <c:v>6.5</c:v>
                </c:pt>
                <c:pt idx="583">
                  <c:v>6.5</c:v>
                </c:pt>
                <c:pt idx="584">
                  <c:v>6.5</c:v>
                </c:pt>
                <c:pt idx="585">
                  <c:v>6.5</c:v>
                </c:pt>
                <c:pt idx="586">
                  <c:v>6.5</c:v>
                </c:pt>
                <c:pt idx="587">
                  <c:v>6.5</c:v>
                </c:pt>
                <c:pt idx="588">
                  <c:v>6.5</c:v>
                </c:pt>
                <c:pt idx="589">
                  <c:v>6.5</c:v>
                </c:pt>
                <c:pt idx="590">
                  <c:v>6.5</c:v>
                </c:pt>
                <c:pt idx="591">
                  <c:v>6.5</c:v>
                </c:pt>
                <c:pt idx="592">
                  <c:v>6.5</c:v>
                </c:pt>
                <c:pt idx="593">
                  <c:v>6.5</c:v>
                </c:pt>
                <c:pt idx="594">
                  <c:v>6.5</c:v>
                </c:pt>
                <c:pt idx="595">
                  <c:v>6.5</c:v>
                </c:pt>
                <c:pt idx="596">
                  <c:v>6.5</c:v>
                </c:pt>
                <c:pt idx="597">
                  <c:v>6.5</c:v>
                </c:pt>
                <c:pt idx="598">
                  <c:v>6.5</c:v>
                </c:pt>
                <c:pt idx="599">
                  <c:v>6.5</c:v>
                </c:pt>
                <c:pt idx="600">
                  <c:v>6.5</c:v>
                </c:pt>
                <c:pt idx="601">
                  <c:v>6.5</c:v>
                </c:pt>
                <c:pt idx="602">
                  <c:v>6.5</c:v>
                </c:pt>
                <c:pt idx="603">
                  <c:v>6.5</c:v>
                </c:pt>
                <c:pt idx="604">
                  <c:v>6.5</c:v>
                </c:pt>
                <c:pt idx="605">
                  <c:v>6.5</c:v>
                </c:pt>
                <c:pt idx="606">
                  <c:v>6.5</c:v>
                </c:pt>
                <c:pt idx="607">
                  <c:v>6.5</c:v>
                </c:pt>
                <c:pt idx="608">
                  <c:v>6.5</c:v>
                </c:pt>
                <c:pt idx="609">
                  <c:v>6.5</c:v>
                </c:pt>
                <c:pt idx="610">
                  <c:v>6.5</c:v>
                </c:pt>
                <c:pt idx="611">
                  <c:v>6.5</c:v>
                </c:pt>
                <c:pt idx="612">
                  <c:v>6.5</c:v>
                </c:pt>
                <c:pt idx="613">
                  <c:v>6.5</c:v>
                </c:pt>
                <c:pt idx="614">
                  <c:v>6.5</c:v>
                </c:pt>
                <c:pt idx="615">
                  <c:v>6.5</c:v>
                </c:pt>
                <c:pt idx="616">
                  <c:v>6.5</c:v>
                </c:pt>
                <c:pt idx="617">
                  <c:v>6.5</c:v>
                </c:pt>
                <c:pt idx="618">
                  <c:v>6.5</c:v>
                </c:pt>
                <c:pt idx="619">
                  <c:v>6.5</c:v>
                </c:pt>
                <c:pt idx="620">
                  <c:v>6.5</c:v>
                </c:pt>
                <c:pt idx="621">
                  <c:v>6.5</c:v>
                </c:pt>
                <c:pt idx="622">
                  <c:v>6.5</c:v>
                </c:pt>
                <c:pt idx="623">
                  <c:v>6.5</c:v>
                </c:pt>
                <c:pt idx="624">
                  <c:v>6.5</c:v>
                </c:pt>
                <c:pt idx="625">
                  <c:v>6.5</c:v>
                </c:pt>
                <c:pt idx="626">
                  <c:v>6.5</c:v>
                </c:pt>
                <c:pt idx="627">
                  <c:v>6.5</c:v>
                </c:pt>
                <c:pt idx="628">
                  <c:v>6.5</c:v>
                </c:pt>
                <c:pt idx="629">
                  <c:v>6.5</c:v>
                </c:pt>
                <c:pt idx="630">
                  <c:v>6.5</c:v>
                </c:pt>
                <c:pt idx="631">
                  <c:v>6.5</c:v>
                </c:pt>
                <c:pt idx="632">
                  <c:v>6.5</c:v>
                </c:pt>
                <c:pt idx="633">
                  <c:v>6.5</c:v>
                </c:pt>
                <c:pt idx="634">
                  <c:v>6.5</c:v>
                </c:pt>
                <c:pt idx="635">
                  <c:v>6.5</c:v>
                </c:pt>
                <c:pt idx="636">
                  <c:v>6.5</c:v>
                </c:pt>
                <c:pt idx="637">
                  <c:v>6.5</c:v>
                </c:pt>
                <c:pt idx="638">
                  <c:v>6.5</c:v>
                </c:pt>
                <c:pt idx="639">
                  <c:v>6.5</c:v>
                </c:pt>
                <c:pt idx="640">
                  <c:v>6.5</c:v>
                </c:pt>
                <c:pt idx="641">
                  <c:v>6.5</c:v>
                </c:pt>
                <c:pt idx="642">
                  <c:v>6.5</c:v>
                </c:pt>
                <c:pt idx="643">
                  <c:v>6.5</c:v>
                </c:pt>
                <c:pt idx="644">
                  <c:v>6.5</c:v>
                </c:pt>
                <c:pt idx="645">
                  <c:v>6.5</c:v>
                </c:pt>
                <c:pt idx="646">
                  <c:v>6.5</c:v>
                </c:pt>
                <c:pt idx="647">
                  <c:v>6.5</c:v>
                </c:pt>
                <c:pt idx="648">
                  <c:v>6.5</c:v>
                </c:pt>
                <c:pt idx="649">
                  <c:v>6.5</c:v>
                </c:pt>
                <c:pt idx="650">
                  <c:v>6.5</c:v>
                </c:pt>
                <c:pt idx="651">
                  <c:v>6.5</c:v>
                </c:pt>
                <c:pt idx="652">
                  <c:v>6.5</c:v>
                </c:pt>
                <c:pt idx="653">
                  <c:v>6.5</c:v>
                </c:pt>
                <c:pt idx="654">
                  <c:v>6.5</c:v>
                </c:pt>
                <c:pt idx="655">
                  <c:v>6.5</c:v>
                </c:pt>
                <c:pt idx="656">
                  <c:v>6.5</c:v>
                </c:pt>
                <c:pt idx="657">
                  <c:v>6.5</c:v>
                </c:pt>
                <c:pt idx="658">
                  <c:v>6.5</c:v>
                </c:pt>
                <c:pt idx="659">
                  <c:v>6.5</c:v>
                </c:pt>
                <c:pt idx="660">
                  <c:v>6.5</c:v>
                </c:pt>
                <c:pt idx="661">
                  <c:v>6.5</c:v>
                </c:pt>
                <c:pt idx="662">
                  <c:v>6.5</c:v>
                </c:pt>
                <c:pt idx="663">
                  <c:v>6.5</c:v>
                </c:pt>
                <c:pt idx="664">
                  <c:v>6.5</c:v>
                </c:pt>
                <c:pt idx="665">
                  <c:v>6.5</c:v>
                </c:pt>
                <c:pt idx="666">
                  <c:v>6.5</c:v>
                </c:pt>
                <c:pt idx="667">
                  <c:v>6.5</c:v>
                </c:pt>
                <c:pt idx="668">
                  <c:v>6.5</c:v>
                </c:pt>
                <c:pt idx="669">
                  <c:v>6.5</c:v>
                </c:pt>
                <c:pt idx="670">
                  <c:v>6.5</c:v>
                </c:pt>
                <c:pt idx="671">
                  <c:v>6.5</c:v>
                </c:pt>
                <c:pt idx="672">
                  <c:v>6.5</c:v>
                </c:pt>
                <c:pt idx="673">
                  <c:v>6.5</c:v>
                </c:pt>
                <c:pt idx="674">
                  <c:v>6.5</c:v>
                </c:pt>
                <c:pt idx="675">
                  <c:v>6.5</c:v>
                </c:pt>
                <c:pt idx="676">
                  <c:v>6.5</c:v>
                </c:pt>
                <c:pt idx="677">
                  <c:v>6.5</c:v>
                </c:pt>
                <c:pt idx="678">
                  <c:v>6.5</c:v>
                </c:pt>
                <c:pt idx="679">
                  <c:v>6.5</c:v>
                </c:pt>
                <c:pt idx="680">
                  <c:v>6.5</c:v>
                </c:pt>
                <c:pt idx="681">
                  <c:v>6.5</c:v>
                </c:pt>
                <c:pt idx="682">
                  <c:v>6.5</c:v>
                </c:pt>
                <c:pt idx="683">
                  <c:v>6.5</c:v>
                </c:pt>
                <c:pt idx="684">
                  <c:v>6.5</c:v>
                </c:pt>
                <c:pt idx="685">
                  <c:v>6.5</c:v>
                </c:pt>
                <c:pt idx="686">
                  <c:v>6.5</c:v>
                </c:pt>
                <c:pt idx="687">
                  <c:v>6.5</c:v>
                </c:pt>
                <c:pt idx="688">
                  <c:v>6.5</c:v>
                </c:pt>
                <c:pt idx="689">
                  <c:v>6.5</c:v>
                </c:pt>
                <c:pt idx="690">
                  <c:v>6.5</c:v>
                </c:pt>
                <c:pt idx="691">
                  <c:v>6.5</c:v>
                </c:pt>
                <c:pt idx="692">
                  <c:v>6.5</c:v>
                </c:pt>
                <c:pt idx="693">
                  <c:v>6.5</c:v>
                </c:pt>
                <c:pt idx="694">
                  <c:v>6.5</c:v>
                </c:pt>
                <c:pt idx="695">
                  <c:v>6.5</c:v>
                </c:pt>
                <c:pt idx="696">
                  <c:v>6.5</c:v>
                </c:pt>
                <c:pt idx="697">
                  <c:v>6.5</c:v>
                </c:pt>
                <c:pt idx="698">
                  <c:v>6.5</c:v>
                </c:pt>
                <c:pt idx="699">
                  <c:v>6.5</c:v>
                </c:pt>
                <c:pt idx="700">
                  <c:v>6.5</c:v>
                </c:pt>
                <c:pt idx="701">
                  <c:v>6.5</c:v>
                </c:pt>
                <c:pt idx="702">
                  <c:v>6.5</c:v>
                </c:pt>
                <c:pt idx="703">
                  <c:v>6.5</c:v>
                </c:pt>
                <c:pt idx="704">
                  <c:v>6.5</c:v>
                </c:pt>
                <c:pt idx="705">
                  <c:v>6.5</c:v>
                </c:pt>
                <c:pt idx="706">
                  <c:v>6.5</c:v>
                </c:pt>
                <c:pt idx="707">
                  <c:v>6.5</c:v>
                </c:pt>
                <c:pt idx="708">
                  <c:v>6.5</c:v>
                </c:pt>
                <c:pt idx="709">
                  <c:v>6.5</c:v>
                </c:pt>
                <c:pt idx="710">
                  <c:v>6.5</c:v>
                </c:pt>
                <c:pt idx="711">
                  <c:v>6.5</c:v>
                </c:pt>
                <c:pt idx="712">
                  <c:v>6.5</c:v>
                </c:pt>
                <c:pt idx="713">
                  <c:v>6.5</c:v>
                </c:pt>
                <c:pt idx="714">
                  <c:v>6.5</c:v>
                </c:pt>
                <c:pt idx="715">
                  <c:v>6.5</c:v>
                </c:pt>
                <c:pt idx="716">
                  <c:v>6.5</c:v>
                </c:pt>
                <c:pt idx="717">
                  <c:v>6.5</c:v>
                </c:pt>
                <c:pt idx="718">
                  <c:v>6.5</c:v>
                </c:pt>
                <c:pt idx="719">
                  <c:v>6.5</c:v>
                </c:pt>
                <c:pt idx="720">
                  <c:v>6.5</c:v>
                </c:pt>
                <c:pt idx="721">
                  <c:v>6.5</c:v>
                </c:pt>
                <c:pt idx="722">
                  <c:v>6.5</c:v>
                </c:pt>
                <c:pt idx="723">
                  <c:v>6.5</c:v>
                </c:pt>
                <c:pt idx="724">
                  <c:v>6.5</c:v>
                </c:pt>
                <c:pt idx="725">
                  <c:v>6.5</c:v>
                </c:pt>
                <c:pt idx="726">
                  <c:v>6.5</c:v>
                </c:pt>
                <c:pt idx="727">
                  <c:v>6.5</c:v>
                </c:pt>
                <c:pt idx="728">
                  <c:v>6.5</c:v>
                </c:pt>
                <c:pt idx="729">
                  <c:v>6.5</c:v>
                </c:pt>
                <c:pt idx="730">
                  <c:v>6.5</c:v>
                </c:pt>
                <c:pt idx="731">
                  <c:v>6.5</c:v>
                </c:pt>
                <c:pt idx="732">
                  <c:v>6.5</c:v>
                </c:pt>
                <c:pt idx="733">
                  <c:v>6.5</c:v>
                </c:pt>
                <c:pt idx="734">
                  <c:v>6.5</c:v>
                </c:pt>
                <c:pt idx="735">
                  <c:v>6.5</c:v>
                </c:pt>
                <c:pt idx="736">
                  <c:v>6.5</c:v>
                </c:pt>
                <c:pt idx="737">
                  <c:v>6.5</c:v>
                </c:pt>
                <c:pt idx="738">
                  <c:v>6.5</c:v>
                </c:pt>
                <c:pt idx="739">
                  <c:v>6.5</c:v>
                </c:pt>
                <c:pt idx="740">
                  <c:v>6.5</c:v>
                </c:pt>
                <c:pt idx="741">
                  <c:v>6.5</c:v>
                </c:pt>
                <c:pt idx="742">
                  <c:v>6.5</c:v>
                </c:pt>
                <c:pt idx="743">
                  <c:v>6.5</c:v>
                </c:pt>
                <c:pt idx="744">
                  <c:v>6.5</c:v>
                </c:pt>
                <c:pt idx="745">
                  <c:v>6.5</c:v>
                </c:pt>
                <c:pt idx="746">
                  <c:v>6.5</c:v>
                </c:pt>
                <c:pt idx="747">
                  <c:v>6.5</c:v>
                </c:pt>
                <c:pt idx="748">
                  <c:v>6.5</c:v>
                </c:pt>
                <c:pt idx="749">
                  <c:v>6.5</c:v>
                </c:pt>
                <c:pt idx="750">
                  <c:v>6.5</c:v>
                </c:pt>
                <c:pt idx="751">
                  <c:v>6.5</c:v>
                </c:pt>
                <c:pt idx="752">
                  <c:v>6.5</c:v>
                </c:pt>
                <c:pt idx="753">
                  <c:v>6.5</c:v>
                </c:pt>
                <c:pt idx="754">
                  <c:v>6.5</c:v>
                </c:pt>
                <c:pt idx="755">
                  <c:v>6.5</c:v>
                </c:pt>
                <c:pt idx="756">
                  <c:v>6.5</c:v>
                </c:pt>
                <c:pt idx="757">
                  <c:v>6.5</c:v>
                </c:pt>
                <c:pt idx="758">
                  <c:v>6.5</c:v>
                </c:pt>
                <c:pt idx="759">
                  <c:v>6.5</c:v>
                </c:pt>
                <c:pt idx="760">
                  <c:v>6.5</c:v>
                </c:pt>
                <c:pt idx="761">
                  <c:v>6.5</c:v>
                </c:pt>
                <c:pt idx="762">
                  <c:v>6.5</c:v>
                </c:pt>
                <c:pt idx="763">
                  <c:v>6.5</c:v>
                </c:pt>
                <c:pt idx="764">
                  <c:v>6.5</c:v>
                </c:pt>
                <c:pt idx="765">
                  <c:v>6.5</c:v>
                </c:pt>
                <c:pt idx="766">
                  <c:v>6.5</c:v>
                </c:pt>
                <c:pt idx="767">
                  <c:v>6.5</c:v>
                </c:pt>
                <c:pt idx="768">
                  <c:v>6.5</c:v>
                </c:pt>
                <c:pt idx="769">
                  <c:v>6.5</c:v>
                </c:pt>
                <c:pt idx="770">
                  <c:v>6.5</c:v>
                </c:pt>
                <c:pt idx="771">
                  <c:v>6.5</c:v>
                </c:pt>
                <c:pt idx="772">
                  <c:v>6.5</c:v>
                </c:pt>
                <c:pt idx="773">
                  <c:v>6.5</c:v>
                </c:pt>
                <c:pt idx="774">
                  <c:v>6.5</c:v>
                </c:pt>
                <c:pt idx="775">
                  <c:v>6.5</c:v>
                </c:pt>
                <c:pt idx="776">
                  <c:v>6.5</c:v>
                </c:pt>
                <c:pt idx="777">
                  <c:v>6.5</c:v>
                </c:pt>
                <c:pt idx="778">
                  <c:v>6.5</c:v>
                </c:pt>
                <c:pt idx="779">
                  <c:v>6.5</c:v>
                </c:pt>
                <c:pt idx="780">
                  <c:v>6.5</c:v>
                </c:pt>
                <c:pt idx="781">
                  <c:v>6.5</c:v>
                </c:pt>
                <c:pt idx="782">
                  <c:v>6.5</c:v>
                </c:pt>
                <c:pt idx="783">
                  <c:v>6.5</c:v>
                </c:pt>
                <c:pt idx="784">
                  <c:v>6.5</c:v>
                </c:pt>
                <c:pt idx="785">
                  <c:v>6.5</c:v>
                </c:pt>
                <c:pt idx="786">
                  <c:v>6.5</c:v>
                </c:pt>
                <c:pt idx="787">
                  <c:v>6.5</c:v>
                </c:pt>
                <c:pt idx="788">
                  <c:v>6.5</c:v>
                </c:pt>
                <c:pt idx="789">
                  <c:v>6.5</c:v>
                </c:pt>
                <c:pt idx="790">
                  <c:v>6.5</c:v>
                </c:pt>
                <c:pt idx="791">
                  <c:v>6.5</c:v>
                </c:pt>
                <c:pt idx="792">
                  <c:v>6.5</c:v>
                </c:pt>
                <c:pt idx="793">
                  <c:v>6.5</c:v>
                </c:pt>
                <c:pt idx="794">
                  <c:v>6.5</c:v>
                </c:pt>
                <c:pt idx="795">
                  <c:v>6.5</c:v>
                </c:pt>
                <c:pt idx="796">
                  <c:v>6.5</c:v>
                </c:pt>
                <c:pt idx="797">
                  <c:v>6.5</c:v>
                </c:pt>
                <c:pt idx="798">
                  <c:v>6.5</c:v>
                </c:pt>
                <c:pt idx="799">
                  <c:v>6.5</c:v>
                </c:pt>
                <c:pt idx="800">
                  <c:v>6.5</c:v>
                </c:pt>
                <c:pt idx="801">
                  <c:v>6.5</c:v>
                </c:pt>
                <c:pt idx="802">
                  <c:v>6.5</c:v>
                </c:pt>
                <c:pt idx="803">
                  <c:v>6.5</c:v>
                </c:pt>
                <c:pt idx="804">
                  <c:v>6.5</c:v>
                </c:pt>
                <c:pt idx="805">
                  <c:v>6.5</c:v>
                </c:pt>
                <c:pt idx="806">
                  <c:v>6.5</c:v>
                </c:pt>
                <c:pt idx="807">
                  <c:v>6.5</c:v>
                </c:pt>
                <c:pt idx="808">
                  <c:v>6.5</c:v>
                </c:pt>
                <c:pt idx="809">
                  <c:v>6.5</c:v>
                </c:pt>
                <c:pt idx="810">
                  <c:v>6.5</c:v>
                </c:pt>
                <c:pt idx="811">
                  <c:v>6.5</c:v>
                </c:pt>
                <c:pt idx="812">
                  <c:v>6.5</c:v>
                </c:pt>
                <c:pt idx="813">
                  <c:v>6.5</c:v>
                </c:pt>
                <c:pt idx="814">
                  <c:v>6.5</c:v>
                </c:pt>
                <c:pt idx="815">
                  <c:v>6.5</c:v>
                </c:pt>
                <c:pt idx="816">
                  <c:v>6.5</c:v>
                </c:pt>
                <c:pt idx="817">
                  <c:v>6.5</c:v>
                </c:pt>
                <c:pt idx="818">
                  <c:v>6.5</c:v>
                </c:pt>
                <c:pt idx="819">
                  <c:v>6.5</c:v>
                </c:pt>
                <c:pt idx="820">
                  <c:v>6.5</c:v>
                </c:pt>
                <c:pt idx="821">
                  <c:v>6.5</c:v>
                </c:pt>
                <c:pt idx="822">
                  <c:v>6.5</c:v>
                </c:pt>
                <c:pt idx="823">
                  <c:v>6.5</c:v>
                </c:pt>
                <c:pt idx="824">
                  <c:v>6.5</c:v>
                </c:pt>
                <c:pt idx="825">
                  <c:v>6.5</c:v>
                </c:pt>
                <c:pt idx="826">
                  <c:v>6.5</c:v>
                </c:pt>
                <c:pt idx="827">
                  <c:v>6.5</c:v>
                </c:pt>
                <c:pt idx="828">
                  <c:v>6.5</c:v>
                </c:pt>
                <c:pt idx="829">
                  <c:v>6.5</c:v>
                </c:pt>
                <c:pt idx="830">
                  <c:v>6.5</c:v>
                </c:pt>
                <c:pt idx="831">
                  <c:v>6.5</c:v>
                </c:pt>
                <c:pt idx="832">
                  <c:v>6.5</c:v>
                </c:pt>
                <c:pt idx="833">
                  <c:v>6.5</c:v>
                </c:pt>
                <c:pt idx="834">
                  <c:v>6.5</c:v>
                </c:pt>
                <c:pt idx="835">
                  <c:v>6.5</c:v>
                </c:pt>
                <c:pt idx="836">
                  <c:v>6.5</c:v>
                </c:pt>
                <c:pt idx="837">
                  <c:v>6.5</c:v>
                </c:pt>
                <c:pt idx="838">
                  <c:v>6.5</c:v>
                </c:pt>
                <c:pt idx="839">
                  <c:v>6.5</c:v>
                </c:pt>
                <c:pt idx="840">
                  <c:v>6.5</c:v>
                </c:pt>
                <c:pt idx="841">
                  <c:v>6.5</c:v>
                </c:pt>
                <c:pt idx="842">
                  <c:v>6.5</c:v>
                </c:pt>
                <c:pt idx="843">
                  <c:v>6.5</c:v>
                </c:pt>
                <c:pt idx="844">
                  <c:v>6.5</c:v>
                </c:pt>
                <c:pt idx="845">
                  <c:v>6.5</c:v>
                </c:pt>
                <c:pt idx="846">
                  <c:v>6.5</c:v>
                </c:pt>
                <c:pt idx="847">
                  <c:v>6.5</c:v>
                </c:pt>
                <c:pt idx="848">
                  <c:v>6.5</c:v>
                </c:pt>
                <c:pt idx="849">
                  <c:v>6.5</c:v>
                </c:pt>
                <c:pt idx="850">
                  <c:v>6.5</c:v>
                </c:pt>
                <c:pt idx="851">
                  <c:v>6.5</c:v>
                </c:pt>
                <c:pt idx="852">
                  <c:v>6.5</c:v>
                </c:pt>
                <c:pt idx="853">
                  <c:v>6.5</c:v>
                </c:pt>
                <c:pt idx="854">
                  <c:v>6.5</c:v>
                </c:pt>
                <c:pt idx="855">
                  <c:v>6.5</c:v>
                </c:pt>
                <c:pt idx="856">
                  <c:v>6.5</c:v>
                </c:pt>
                <c:pt idx="857">
                  <c:v>6.5</c:v>
                </c:pt>
                <c:pt idx="858">
                  <c:v>6.5</c:v>
                </c:pt>
                <c:pt idx="859">
                  <c:v>6.5</c:v>
                </c:pt>
                <c:pt idx="860">
                  <c:v>6.5</c:v>
                </c:pt>
                <c:pt idx="861">
                  <c:v>6.5</c:v>
                </c:pt>
                <c:pt idx="862">
                  <c:v>6.5</c:v>
                </c:pt>
                <c:pt idx="863">
                  <c:v>6.5</c:v>
                </c:pt>
                <c:pt idx="864">
                  <c:v>6.5</c:v>
                </c:pt>
                <c:pt idx="865">
                  <c:v>6.5</c:v>
                </c:pt>
                <c:pt idx="866">
                  <c:v>6.5</c:v>
                </c:pt>
                <c:pt idx="867">
                  <c:v>6.5</c:v>
                </c:pt>
                <c:pt idx="868">
                  <c:v>6.5</c:v>
                </c:pt>
                <c:pt idx="869">
                  <c:v>6.5</c:v>
                </c:pt>
                <c:pt idx="870">
                  <c:v>6.5</c:v>
                </c:pt>
                <c:pt idx="871">
                  <c:v>6.5</c:v>
                </c:pt>
                <c:pt idx="872">
                  <c:v>6.5</c:v>
                </c:pt>
                <c:pt idx="873">
                  <c:v>6.5</c:v>
                </c:pt>
                <c:pt idx="874">
                  <c:v>6.5</c:v>
                </c:pt>
                <c:pt idx="875">
                  <c:v>6.5</c:v>
                </c:pt>
                <c:pt idx="876">
                  <c:v>6.5</c:v>
                </c:pt>
                <c:pt idx="877">
                  <c:v>6.5</c:v>
                </c:pt>
                <c:pt idx="878">
                  <c:v>6.5</c:v>
                </c:pt>
                <c:pt idx="879">
                  <c:v>6.5</c:v>
                </c:pt>
                <c:pt idx="880">
                  <c:v>6.5</c:v>
                </c:pt>
                <c:pt idx="881">
                  <c:v>6.5</c:v>
                </c:pt>
                <c:pt idx="882">
                  <c:v>6.5</c:v>
                </c:pt>
                <c:pt idx="883">
                  <c:v>6.5</c:v>
                </c:pt>
                <c:pt idx="884">
                  <c:v>6.5</c:v>
                </c:pt>
                <c:pt idx="885">
                  <c:v>6.5</c:v>
                </c:pt>
                <c:pt idx="886">
                  <c:v>6.5</c:v>
                </c:pt>
                <c:pt idx="887">
                  <c:v>6.5</c:v>
                </c:pt>
                <c:pt idx="888">
                  <c:v>6.5</c:v>
                </c:pt>
                <c:pt idx="889">
                  <c:v>6.5</c:v>
                </c:pt>
                <c:pt idx="890">
                  <c:v>6.5</c:v>
                </c:pt>
                <c:pt idx="891">
                  <c:v>6.5</c:v>
                </c:pt>
                <c:pt idx="892">
                  <c:v>6.5</c:v>
                </c:pt>
                <c:pt idx="893">
                  <c:v>6.5</c:v>
                </c:pt>
                <c:pt idx="894">
                  <c:v>6.5</c:v>
                </c:pt>
                <c:pt idx="895">
                  <c:v>6.5</c:v>
                </c:pt>
                <c:pt idx="896">
                  <c:v>6.5</c:v>
                </c:pt>
                <c:pt idx="897">
                  <c:v>6.5</c:v>
                </c:pt>
                <c:pt idx="898">
                  <c:v>6.5</c:v>
                </c:pt>
                <c:pt idx="899">
                  <c:v>6.5</c:v>
                </c:pt>
                <c:pt idx="900">
                  <c:v>6.5</c:v>
                </c:pt>
                <c:pt idx="901">
                  <c:v>6.5</c:v>
                </c:pt>
                <c:pt idx="902">
                  <c:v>6.5</c:v>
                </c:pt>
                <c:pt idx="903">
                  <c:v>6.5</c:v>
                </c:pt>
                <c:pt idx="904">
                  <c:v>6.5</c:v>
                </c:pt>
                <c:pt idx="905">
                  <c:v>6.5</c:v>
                </c:pt>
                <c:pt idx="906">
                  <c:v>6.5</c:v>
                </c:pt>
                <c:pt idx="907">
                  <c:v>6.5</c:v>
                </c:pt>
                <c:pt idx="908">
                  <c:v>6.5</c:v>
                </c:pt>
                <c:pt idx="909">
                  <c:v>6.5</c:v>
                </c:pt>
                <c:pt idx="910">
                  <c:v>6.5</c:v>
                </c:pt>
                <c:pt idx="911">
                  <c:v>6.5</c:v>
                </c:pt>
                <c:pt idx="912">
                  <c:v>6.5</c:v>
                </c:pt>
                <c:pt idx="913">
                  <c:v>6.5</c:v>
                </c:pt>
                <c:pt idx="914">
                  <c:v>6.5</c:v>
                </c:pt>
                <c:pt idx="915">
                  <c:v>6.5</c:v>
                </c:pt>
                <c:pt idx="916">
                  <c:v>6.5</c:v>
                </c:pt>
                <c:pt idx="917">
                  <c:v>6.5</c:v>
                </c:pt>
                <c:pt idx="918">
                  <c:v>6.5</c:v>
                </c:pt>
                <c:pt idx="919">
                  <c:v>6.5</c:v>
                </c:pt>
                <c:pt idx="920">
                  <c:v>6.5</c:v>
                </c:pt>
                <c:pt idx="921">
                  <c:v>6.5</c:v>
                </c:pt>
                <c:pt idx="922">
                  <c:v>6.5</c:v>
                </c:pt>
                <c:pt idx="923">
                  <c:v>6.5</c:v>
                </c:pt>
                <c:pt idx="924">
                  <c:v>6.5</c:v>
                </c:pt>
                <c:pt idx="925">
                  <c:v>6.5</c:v>
                </c:pt>
                <c:pt idx="926">
                  <c:v>6.5</c:v>
                </c:pt>
                <c:pt idx="927">
                  <c:v>6.5</c:v>
                </c:pt>
                <c:pt idx="928">
                  <c:v>6.5</c:v>
                </c:pt>
                <c:pt idx="929">
                  <c:v>6.5</c:v>
                </c:pt>
                <c:pt idx="930">
                  <c:v>6.5</c:v>
                </c:pt>
                <c:pt idx="931">
                  <c:v>6.5</c:v>
                </c:pt>
                <c:pt idx="932">
                  <c:v>6.5</c:v>
                </c:pt>
                <c:pt idx="933">
                  <c:v>6.5</c:v>
                </c:pt>
                <c:pt idx="934">
                  <c:v>6.5</c:v>
                </c:pt>
                <c:pt idx="935">
                  <c:v>6.5</c:v>
                </c:pt>
                <c:pt idx="936">
                  <c:v>6.5</c:v>
                </c:pt>
                <c:pt idx="937">
                  <c:v>6.5</c:v>
                </c:pt>
                <c:pt idx="938">
                  <c:v>6.5</c:v>
                </c:pt>
                <c:pt idx="939">
                  <c:v>6.5</c:v>
                </c:pt>
                <c:pt idx="940">
                  <c:v>6.5</c:v>
                </c:pt>
                <c:pt idx="941">
                  <c:v>6.5</c:v>
                </c:pt>
                <c:pt idx="942">
                  <c:v>6.5</c:v>
                </c:pt>
                <c:pt idx="943">
                  <c:v>6.5</c:v>
                </c:pt>
                <c:pt idx="944">
                  <c:v>6.5</c:v>
                </c:pt>
                <c:pt idx="945">
                  <c:v>6.5</c:v>
                </c:pt>
                <c:pt idx="946">
                  <c:v>6.5</c:v>
                </c:pt>
                <c:pt idx="947">
                  <c:v>6.5</c:v>
                </c:pt>
                <c:pt idx="948">
                  <c:v>6.5</c:v>
                </c:pt>
                <c:pt idx="949">
                  <c:v>6.5</c:v>
                </c:pt>
                <c:pt idx="950">
                  <c:v>6.5</c:v>
                </c:pt>
                <c:pt idx="951">
                  <c:v>6.5</c:v>
                </c:pt>
                <c:pt idx="952">
                  <c:v>6.5</c:v>
                </c:pt>
                <c:pt idx="953">
                  <c:v>6.5</c:v>
                </c:pt>
                <c:pt idx="954">
                  <c:v>6.5</c:v>
                </c:pt>
                <c:pt idx="955">
                  <c:v>6.5</c:v>
                </c:pt>
                <c:pt idx="956">
                  <c:v>6.5</c:v>
                </c:pt>
                <c:pt idx="957">
                  <c:v>6.5</c:v>
                </c:pt>
                <c:pt idx="958">
                  <c:v>6.5</c:v>
                </c:pt>
                <c:pt idx="959">
                  <c:v>6.5</c:v>
                </c:pt>
                <c:pt idx="960">
                  <c:v>6.5</c:v>
                </c:pt>
                <c:pt idx="961">
                  <c:v>6.5</c:v>
                </c:pt>
                <c:pt idx="962">
                  <c:v>6.5</c:v>
                </c:pt>
                <c:pt idx="963">
                  <c:v>6.5</c:v>
                </c:pt>
                <c:pt idx="964">
                  <c:v>6.5</c:v>
                </c:pt>
                <c:pt idx="965">
                  <c:v>6.5</c:v>
                </c:pt>
                <c:pt idx="966">
                  <c:v>6.5</c:v>
                </c:pt>
                <c:pt idx="967">
                  <c:v>6.5</c:v>
                </c:pt>
                <c:pt idx="968">
                  <c:v>6.5</c:v>
                </c:pt>
                <c:pt idx="969">
                  <c:v>6.5</c:v>
                </c:pt>
                <c:pt idx="970">
                  <c:v>6.5</c:v>
                </c:pt>
                <c:pt idx="971">
                  <c:v>6.5</c:v>
                </c:pt>
                <c:pt idx="972">
                  <c:v>6.5</c:v>
                </c:pt>
                <c:pt idx="973">
                  <c:v>6.5</c:v>
                </c:pt>
                <c:pt idx="974">
                  <c:v>6.5</c:v>
                </c:pt>
                <c:pt idx="975">
                  <c:v>6.5</c:v>
                </c:pt>
                <c:pt idx="976">
                  <c:v>6.5</c:v>
                </c:pt>
                <c:pt idx="977">
                  <c:v>6.5</c:v>
                </c:pt>
                <c:pt idx="978">
                  <c:v>6.5</c:v>
                </c:pt>
                <c:pt idx="979">
                  <c:v>6.5</c:v>
                </c:pt>
                <c:pt idx="980">
                  <c:v>6.5</c:v>
                </c:pt>
                <c:pt idx="981">
                  <c:v>6.5</c:v>
                </c:pt>
                <c:pt idx="982">
                  <c:v>6.5</c:v>
                </c:pt>
                <c:pt idx="983">
                  <c:v>6.5</c:v>
                </c:pt>
                <c:pt idx="984">
                  <c:v>6.5</c:v>
                </c:pt>
                <c:pt idx="985">
                  <c:v>6.5</c:v>
                </c:pt>
                <c:pt idx="986">
                  <c:v>6.5</c:v>
                </c:pt>
                <c:pt idx="987">
                  <c:v>6.5</c:v>
                </c:pt>
                <c:pt idx="988">
                  <c:v>6.5</c:v>
                </c:pt>
                <c:pt idx="989">
                  <c:v>6.5</c:v>
                </c:pt>
                <c:pt idx="990">
                  <c:v>6.5</c:v>
                </c:pt>
                <c:pt idx="991">
                  <c:v>6.5</c:v>
                </c:pt>
                <c:pt idx="992">
                  <c:v>6.5</c:v>
                </c:pt>
                <c:pt idx="993">
                  <c:v>6.5</c:v>
                </c:pt>
                <c:pt idx="994">
                  <c:v>6.5</c:v>
                </c:pt>
                <c:pt idx="995">
                  <c:v>6.5</c:v>
                </c:pt>
                <c:pt idx="996">
                  <c:v>6.5</c:v>
                </c:pt>
                <c:pt idx="997">
                  <c:v>6.5</c:v>
                </c:pt>
                <c:pt idx="998">
                  <c:v>6.5</c:v>
                </c:pt>
                <c:pt idx="999">
                  <c:v>6.5</c:v>
                </c:pt>
                <c:pt idx="1000">
                  <c:v>6.5</c:v>
                </c:pt>
                <c:pt idx="1001">
                  <c:v>6.5</c:v>
                </c:pt>
                <c:pt idx="1002">
                  <c:v>6.5</c:v>
                </c:pt>
                <c:pt idx="1003">
                  <c:v>6.5</c:v>
                </c:pt>
                <c:pt idx="1004">
                  <c:v>6.5</c:v>
                </c:pt>
                <c:pt idx="1005">
                  <c:v>6.5</c:v>
                </c:pt>
                <c:pt idx="1006">
                  <c:v>6.5</c:v>
                </c:pt>
                <c:pt idx="1007">
                  <c:v>6.5</c:v>
                </c:pt>
                <c:pt idx="1008">
                  <c:v>6.5</c:v>
                </c:pt>
                <c:pt idx="1009">
                  <c:v>6.5</c:v>
                </c:pt>
                <c:pt idx="1010">
                  <c:v>6.5</c:v>
                </c:pt>
                <c:pt idx="1011">
                  <c:v>6.5</c:v>
                </c:pt>
                <c:pt idx="1012">
                  <c:v>6.5</c:v>
                </c:pt>
                <c:pt idx="1013">
                  <c:v>6.5</c:v>
                </c:pt>
                <c:pt idx="1014">
                  <c:v>6.5</c:v>
                </c:pt>
                <c:pt idx="1015">
                  <c:v>6.5</c:v>
                </c:pt>
                <c:pt idx="1016">
                  <c:v>6.5</c:v>
                </c:pt>
                <c:pt idx="1017">
                  <c:v>6.5</c:v>
                </c:pt>
                <c:pt idx="1018">
                  <c:v>6.5</c:v>
                </c:pt>
                <c:pt idx="1019">
                  <c:v>6.5</c:v>
                </c:pt>
                <c:pt idx="1020">
                  <c:v>6.5</c:v>
                </c:pt>
                <c:pt idx="1021">
                  <c:v>6.5</c:v>
                </c:pt>
                <c:pt idx="1022">
                  <c:v>6.5</c:v>
                </c:pt>
                <c:pt idx="1023">
                  <c:v>6.5</c:v>
                </c:pt>
                <c:pt idx="1024">
                  <c:v>6.5</c:v>
                </c:pt>
                <c:pt idx="1025">
                  <c:v>6.5</c:v>
                </c:pt>
                <c:pt idx="1026">
                  <c:v>6.5</c:v>
                </c:pt>
                <c:pt idx="1027">
                  <c:v>6.5</c:v>
                </c:pt>
                <c:pt idx="1028">
                  <c:v>6.5</c:v>
                </c:pt>
                <c:pt idx="1029">
                  <c:v>6.5</c:v>
                </c:pt>
                <c:pt idx="1030">
                  <c:v>6.5</c:v>
                </c:pt>
                <c:pt idx="1031">
                  <c:v>6.5</c:v>
                </c:pt>
                <c:pt idx="1032">
                  <c:v>6.5</c:v>
                </c:pt>
                <c:pt idx="1033">
                  <c:v>6.5</c:v>
                </c:pt>
                <c:pt idx="1034">
                  <c:v>6.5</c:v>
                </c:pt>
                <c:pt idx="1035">
                  <c:v>6.5</c:v>
                </c:pt>
                <c:pt idx="1036">
                  <c:v>6.5</c:v>
                </c:pt>
                <c:pt idx="1037">
                  <c:v>6.5</c:v>
                </c:pt>
                <c:pt idx="1038">
                  <c:v>6.5</c:v>
                </c:pt>
                <c:pt idx="1039">
                  <c:v>6.5</c:v>
                </c:pt>
                <c:pt idx="1040">
                  <c:v>6.5</c:v>
                </c:pt>
                <c:pt idx="1041">
                  <c:v>6.5</c:v>
                </c:pt>
                <c:pt idx="1042">
                  <c:v>6.5</c:v>
                </c:pt>
                <c:pt idx="1043">
                  <c:v>6.5</c:v>
                </c:pt>
                <c:pt idx="1044">
                  <c:v>6.5</c:v>
                </c:pt>
                <c:pt idx="1045">
                  <c:v>6.5</c:v>
                </c:pt>
                <c:pt idx="1046">
                  <c:v>6.5</c:v>
                </c:pt>
                <c:pt idx="1047">
                  <c:v>6.5</c:v>
                </c:pt>
                <c:pt idx="1048">
                  <c:v>6.5</c:v>
                </c:pt>
                <c:pt idx="1049">
                  <c:v>6.5</c:v>
                </c:pt>
                <c:pt idx="1050">
                  <c:v>6.5</c:v>
                </c:pt>
                <c:pt idx="1051">
                  <c:v>6.5</c:v>
                </c:pt>
                <c:pt idx="1052">
                  <c:v>6.5</c:v>
                </c:pt>
                <c:pt idx="1053">
                  <c:v>6.5</c:v>
                </c:pt>
                <c:pt idx="1054">
                  <c:v>6.5</c:v>
                </c:pt>
                <c:pt idx="1055">
                  <c:v>6.5</c:v>
                </c:pt>
                <c:pt idx="1056">
                  <c:v>6.5</c:v>
                </c:pt>
                <c:pt idx="1057">
                  <c:v>6.5</c:v>
                </c:pt>
                <c:pt idx="1058">
                  <c:v>6.5</c:v>
                </c:pt>
                <c:pt idx="1059">
                  <c:v>6.5</c:v>
                </c:pt>
                <c:pt idx="1060">
                  <c:v>6.5</c:v>
                </c:pt>
                <c:pt idx="1061">
                  <c:v>6.5</c:v>
                </c:pt>
                <c:pt idx="1062">
                  <c:v>6.5</c:v>
                </c:pt>
                <c:pt idx="1063">
                  <c:v>6.5</c:v>
                </c:pt>
                <c:pt idx="1064">
                  <c:v>6.5</c:v>
                </c:pt>
                <c:pt idx="1065">
                  <c:v>6.5</c:v>
                </c:pt>
                <c:pt idx="1066">
                  <c:v>6.5</c:v>
                </c:pt>
                <c:pt idx="1067">
                  <c:v>6.5</c:v>
                </c:pt>
                <c:pt idx="1068">
                  <c:v>6.5</c:v>
                </c:pt>
                <c:pt idx="1069">
                  <c:v>6.5</c:v>
                </c:pt>
                <c:pt idx="1070">
                  <c:v>6.5</c:v>
                </c:pt>
                <c:pt idx="1071">
                  <c:v>6.5</c:v>
                </c:pt>
                <c:pt idx="1072">
                  <c:v>6.5</c:v>
                </c:pt>
                <c:pt idx="1073">
                  <c:v>6.5</c:v>
                </c:pt>
                <c:pt idx="1074">
                  <c:v>6.5</c:v>
                </c:pt>
                <c:pt idx="1075">
                  <c:v>6.5</c:v>
                </c:pt>
                <c:pt idx="1076">
                  <c:v>6.5</c:v>
                </c:pt>
                <c:pt idx="1077">
                  <c:v>6.5</c:v>
                </c:pt>
                <c:pt idx="1078">
                  <c:v>6.5</c:v>
                </c:pt>
                <c:pt idx="1079">
                  <c:v>6.5</c:v>
                </c:pt>
                <c:pt idx="1080">
                  <c:v>6.5</c:v>
                </c:pt>
                <c:pt idx="1081">
                  <c:v>6.5</c:v>
                </c:pt>
                <c:pt idx="1082">
                  <c:v>6.5</c:v>
                </c:pt>
                <c:pt idx="1083">
                  <c:v>6.5</c:v>
                </c:pt>
                <c:pt idx="1084">
                  <c:v>6.5</c:v>
                </c:pt>
                <c:pt idx="1085">
                  <c:v>6.5</c:v>
                </c:pt>
                <c:pt idx="1086">
                  <c:v>6.5</c:v>
                </c:pt>
                <c:pt idx="1087">
                  <c:v>6.5</c:v>
                </c:pt>
                <c:pt idx="1088">
                  <c:v>6.5</c:v>
                </c:pt>
                <c:pt idx="1089">
                  <c:v>6.5</c:v>
                </c:pt>
                <c:pt idx="1090">
                  <c:v>6.5</c:v>
                </c:pt>
                <c:pt idx="1091">
                  <c:v>6.5</c:v>
                </c:pt>
                <c:pt idx="1092">
                  <c:v>6.5</c:v>
                </c:pt>
                <c:pt idx="1093">
                  <c:v>6.5</c:v>
                </c:pt>
                <c:pt idx="1094">
                  <c:v>6.5</c:v>
                </c:pt>
                <c:pt idx="1095">
                  <c:v>6.5</c:v>
                </c:pt>
                <c:pt idx="1096">
                  <c:v>6.5</c:v>
                </c:pt>
                <c:pt idx="1097">
                  <c:v>6.5</c:v>
                </c:pt>
                <c:pt idx="1098">
                  <c:v>6.5</c:v>
                </c:pt>
                <c:pt idx="1099">
                  <c:v>6.5</c:v>
                </c:pt>
                <c:pt idx="1100">
                  <c:v>6.5</c:v>
                </c:pt>
                <c:pt idx="1101">
                  <c:v>6.5</c:v>
                </c:pt>
                <c:pt idx="1102">
                  <c:v>6.5</c:v>
                </c:pt>
                <c:pt idx="1103">
                  <c:v>6.5</c:v>
                </c:pt>
                <c:pt idx="1104">
                  <c:v>6.5</c:v>
                </c:pt>
                <c:pt idx="1105">
                  <c:v>6.5</c:v>
                </c:pt>
                <c:pt idx="1106">
                  <c:v>6.5</c:v>
                </c:pt>
                <c:pt idx="1107">
                  <c:v>6.5</c:v>
                </c:pt>
                <c:pt idx="1108">
                  <c:v>6.5</c:v>
                </c:pt>
                <c:pt idx="1109">
                  <c:v>6.5</c:v>
                </c:pt>
                <c:pt idx="1110">
                  <c:v>6.5</c:v>
                </c:pt>
                <c:pt idx="1111">
                  <c:v>6.5</c:v>
                </c:pt>
                <c:pt idx="1112">
                  <c:v>6.5</c:v>
                </c:pt>
                <c:pt idx="1113">
                  <c:v>6.5</c:v>
                </c:pt>
                <c:pt idx="1114">
                  <c:v>6.5</c:v>
                </c:pt>
                <c:pt idx="1115">
                  <c:v>6.5</c:v>
                </c:pt>
                <c:pt idx="1116">
                  <c:v>6.5</c:v>
                </c:pt>
                <c:pt idx="1117">
                  <c:v>6.5</c:v>
                </c:pt>
                <c:pt idx="1118">
                  <c:v>6.5</c:v>
                </c:pt>
                <c:pt idx="1119">
                  <c:v>6.5</c:v>
                </c:pt>
                <c:pt idx="1120">
                  <c:v>6.5</c:v>
                </c:pt>
                <c:pt idx="1121">
                  <c:v>6.5</c:v>
                </c:pt>
                <c:pt idx="1122">
                  <c:v>6.5</c:v>
                </c:pt>
                <c:pt idx="1123">
                  <c:v>6.5</c:v>
                </c:pt>
                <c:pt idx="1124">
                  <c:v>6.5</c:v>
                </c:pt>
                <c:pt idx="1125">
                  <c:v>6.5</c:v>
                </c:pt>
                <c:pt idx="1126">
                  <c:v>6.5</c:v>
                </c:pt>
                <c:pt idx="1127">
                  <c:v>6.5</c:v>
                </c:pt>
                <c:pt idx="1128">
                  <c:v>6.5</c:v>
                </c:pt>
                <c:pt idx="1129">
                  <c:v>6.5</c:v>
                </c:pt>
                <c:pt idx="1130">
                  <c:v>6.5</c:v>
                </c:pt>
                <c:pt idx="1131">
                  <c:v>6.5</c:v>
                </c:pt>
              </c:numCache>
            </c:numRef>
          </c:xVal>
          <c:yVal>
            <c:numRef>
              <c:f>Plot_Data!$HZ$5:$HZ$1136</c:f>
              <c:numCache>
                <c:formatCode>0.000</c:formatCode>
                <c:ptCount val="1132"/>
                <c:pt idx="0">
                  <c:v>-1.84</c:v>
                </c:pt>
                <c:pt idx="1">
                  <c:v>-1.84</c:v>
                </c:pt>
                <c:pt idx="2">
                  <c:v>-1.84</c:v>
                </c:pt>
                <c:pt idx="3">
                  <c:v>-1.84</c:v>
                </c:pt>
                <c:pt idx="4">
                  <c:v>-1.84</c:v>
                </c:pt>
                <c:pt idx="5">
                  <c:v>-1.84</c:v>
                </c:pt>
                <c:pt idx="6">
                  <c:v>-1.84</c:v>
                </c:pt>
                <c:pt idx="7">
                  <c:v>-1.84</c:v>
                </c:pt>
                <c:pt idx="8">
                  <c:v>-1.84</c:v>
                </c:pt>
                <c:pt idx="9">
                  <c:v>-1.84</c:v>
                </c:pt>
                <c:pt idx="10">
                  <c:v>-1.84</c:v>
                </c:pt>
                <c:pt idx="11">
                  <c:v>-1.84</c:v>
                </c:pt>
                <c:pt idx="12">
                  <c:v>-1.84</c:v>
                </c:pt>
                <c:pt idx="13">
                  <c:v>-1.84</c:v>
                </c:pt>
                <c:pt idx="14">
                  <c:v>-1.84</c:v>
                </c:pt>
                <c:pt idx="15">
                  <c:v>-1.84</c:v>
                </c:pt>
                <c:pt idx="16">
                  <c:v>-1.84</c:v>
                </c:pt>
                <c:pt idx="17">
                  <c:v>-1.84</c:v>
                </c:pt>
                <c:pt idx="18">
                  <c:v>-1.84</c:v>
                </c:pt>
                <c:pt idx="19">
                  <c:v>-1.84</c:v>
                </c:pt>
                <c:pt idx="20">
                  <c:v>-1.84</c:v>
                </c:pt>
                <c:pt idx="21">
                  <c:v>-1.84</c:v>
                </c:pt>
                <c:pt idx="22">
                  <c:v>-1.84</c:v>
                </c:pt>
                <c:pt idx="23">
                  <c:v>-1.84</c:v>
                </c:pt>
                <c:pt idx="24">
                  <c:v>-1.84</c:v>
                </c:pt>
                <c:pt idx="25">
                  <c:v>-1.84</c:v>
                </c:pt>
                <c:pt idx="26">
                  <c:v>-1.84</c:v>
                </c:pt>
                <c:pt idx="27">
                  <c:v>-1.84</c:v>
                </c:pt>
                <c:pt idx="28">
                  <c:v>-1.84</c:v>
                </c:pt>
                <c:pt idx="29">
                  <c:v>-1.84</c:v>
                </c:pt>
                <c:pt idx="30">
                  <c:v>-1.84</c:v>
                </c:pt>
                <c:pt idx="31">
                  <c:v>-1.84</c:v>
                </c:pt>
                <c:pt idx="32">
                  <c:v>-1.84</c:v>
                </c:pt>
                <c:pt idx="33">
                  <c:v>-1.84</c:v>
                </c:pt>
                <c:pt idx="34">
                  <c:v>-1.84</c:v>
                </c:pt>
                <c:pt idx="35">
                  <c:v>-1.84</c:v>
                </c:pt>
                <c:pt idx="36">
                  <c:v>-1.84</c:v>
                </c:pt>
                <c:pt idx="37">
                  <c:v>-1.84</c:v>
                </c:pt>
                <c:pt idx="38">
                  <c:v>-1.84</c:v>
                </c:pt>
                <c:pt idx="39">
                  <c:v>-1.84</c:v>
                </c:pt>
                <c:pt idx="40">
                  <c:v>-1.84</c:v>
                </c:pt>
                <c:pt idx="41">
                  <c:v>-1.84</c:v>
                </c:pt>
                <c:pt idx="42">
                  <c:v>-1.84</c:v>
                </c:pt>
                <c:pt idx="43">
                  <c:v>-1.84</c:v>
                </c:pt>
                <c:pt idx="44">
                  <c:v>-1.84</c:v>
                </c:pt>
                <c:pt idx="45">
                  <c:v>-1.84</c:v>
                </c:pt>
                <c:pt idx="46">
                  <c:v>-1.84</c:v>
                </c:pt>
                <c:pt idx="47">
                  <c:v>-1.84</c:v>
                </c:pt>
                <c:pt idx="48">
                  <c:v>-1.84</c:v>
                </c:pt>
                <c:pt idx="49">
                  <c:v>-1.84</c:v>
                </c:pt>
                <c:pt idx="50">
                  <c:v>-1.84</c:v>
                </c:pt>
                <c:pt idx="51">
                  <c:v>-1.84</c:v>
                </c:pt>
                <c:pt idx="52">
                  <c:v>-1.84</c:v>
                </c:pt>
                <c:pt idx="53">
                  <c:v>-1.84</c:v>
                </c:pt>
                <c:pt idx="54">
                  <c:v>-1.84</c:v>
                </c:pt>
                <c:pt idx="55">
                  <c:v>-1.84</c:v>
                </c:pt>
                <c:pt idx="56">
                  <c:v>-1.84</c:v>
                </c:pt>
                <c:pt idx="57">
                  <c:v>-1.84</c:v>
                </c:pt>
                <c:pt idx="58">
                  <c:v>-1.84</c:v>
                </c:pt>
                <c:pt idx="59">
                  <c:v>-1.84</c:v>
                </c:pt>
                <c:pt idx="60">
                  <c:v>-1.84</c:v>
                </c:pt>
                <c:pt idx="61">
                  <c:v>-1.84</c:v>
                </c:pt>
                <c:pt idx="62">
                  <c:v>-1.84</c:v>
                </c:pt>
                <c:pt idx="63">
                  <c:v>-1.84</c:v>
                </c:pt>
                <c:pt idx="64">
                  <c:v>-1.84</c:v>
                </c:pt>
                <c:pt idx="65">
                  <c:v>-1.84</c:v>
                </c:pt>
                <c:pt idx="66">
                  <c:v>-1.84</c:v>
                </c:pt>
                <c:pt idx="67">
                  <c:v>-1.84</c:v>
                </c:pt>
                <c:pt idx="68">
                  <c:v>-1.84</c:v>
                </c:pt>
                <c:pt idx="69">
                  <c:v>-1.84</c:v>
                </c:pt>
                <c:pt idx="70">
                  <c:v>-1.84</c:v>
                </c:pt>
                <c:pt idx="71">
                  <c:v>-1.84</c:v>
                </c:pt>
                <c:pt idx="72">
                  <c:v>-1.84</c:v>
                </c:pt>
                <c:pt idx="73">
                  <c:v>-1.84</c:v>
                </c:pt>
                <c:pt idx="74">
                  <c:v>-1.84</c:v>
                </c:pt>
                <c:pt idx="75">
                  <c:v>-1.84</c:v>
                </c:pt>
                <c:pt idx="76">
                  <c:v>-1.84</c:v>
                </c:pt>
                <c:pt idx="77">
                  <c:v>-1.84</c:v>
                </c:pt>
                <c:pt idx="78">
                  <c:v>-1.84</c:v>
                </c:pt>
                <c:pt idx="79">
                  <c:v>-1.84</c:v>
                </c:pt>
                <c:pt idx="80">
                  <c:v>-1.84</c:v>
                </c:pt>
                <c:pt idx="81">
                  <c:v>-1.84</c:v>
                </c:pt>
                <c:pt idx="82">
                  <c:v>-1.84</c:v>
                </c:pt>
                <c:pt idx="83">
                  <c:v>-1.84</c:v>
                </c:pt>
                <c:pt idx="84">
                  <c:v>-1.84</c:v>
                </c:pt>
                <c:pt idx="85">
                  <c:v>-1.84</c:v>
                </c:pt>
                <c:pt idx="86">
                  <c:v>-1.84</c:v>
                </c:pt>
                <c:pt idx="87">
                  <c:v>-1.84</c:v>
                </c:pt>
                <c:pt idx="88">
                  <c:v>-1.84</c:v>
                </c:pt>
                <c:pt idx="89">
                  <c:v>-1.84</c:v>
                </c:pt>
                <c:pt idx="90">
                  <c:v>-1.84</c:v>
                </c:pt>
                <c:pt idx="91">
                  <c:v>-1.84</c:v>
                </c:pt>
                <c:pt idx="92">
                  <c:v>-1.84</c:v>
                </c:pt>
                <c:pt idx="93">
                  <c:v>-1.84</c:v>
                </c:pt>
                <c:pt idx="94">
                  <c:v>-1.84</c:v>
                </c:pt>
                <c:pt idx="95">
                  <c:v>-1.84</c:v>
                </c:pt>
                <c:pt idx="96">
                  <c:v>-1.84</c:v>
                </c:pt>
                <c:pt idx="97">
                  <c:v>-1.84</c:v>
                </c:pt>
                <c:pt idx="98">
                  <c:v>-1.84</c:v>
                </c:pt>
                <c:pt idx="99">
                  <c:v>-1.84</c:v>
                </c:pt>
                <c:pt idx="100">
                  <c:v>-1.84</c:v>
                </c:pt>
                <c:pt idx="101">
                  <c:v>-1.84</c:v>
                </c:pt>
                <c:pt idx="102">
                  <c:v>-1.84</c:v>
                </c:pt>
                <c:pt idx="103">
                  <c:v>-1.84</c:v>
                </c:pt>
                <c:pt idx="104">
                  <c:v>-1.84</c:v>
                </c:pt>
                <c:pt idx="105">
                  <c:v>-1.84</c:v>
                </c:pt>
                <c:pt idx="106">
                  <c:v>-1.84</c:v>
                </c:pt>
                <c:pt idx="107">
                  <c:v>-1.84</c:v>
                </c:pt>
                <c:pt idx="108">
                  <c:v>-1.84</c:v>
                </c:pt>
                <c:pt idx="109">
                  <c:v>-1.84</c:v>
                </c:pt>
                <c:pt idx="110">
                  <c:v>-1.84</c:v>
                </c:pt>
                <c:pt idx="111">
                  <c:v>-1.84</c:v>
                </c:pt>
                <c:pt idx="112">
                  <c:v>-1.84</c:v>
                </c:pt>
                <c:pt idx="113">
                  <c:v>-1.84</c:v>
                </c:pt>
                <c:pt idx="114">
                  <c:v>-1.84</c:v>
                </c:pt>
                <c:pt idx="115">
                  <c:v>-1.84</c:v>
                </c:pt>
                <c:pt idx="116">
                  <c:v>-1.84</c:v>
                </c:pt>
                <c:pt idx="117">
                  <c:v>-1.84</c:v>
                </c:pt>
                <c:pt idx="118">
                  <c:v>-1.84</c:v>
                </c:pt>
                <c:pt idx="119">
                  <c:v>-1.84</c:v>
                </c:pt>
                <c:pt idx="120">
                  <c:v>-1.84</c:v>
                </c:pt>
                <c:pt idx="121">
                  <c:v>-1.84</c:v>
                </c:pt>
                <c:pt idx="122">
                  <c:v>-1.84</c:v>
                </c:pt>
                <c:pt idx="123">
                  <c:v>-1.84</c:v>
                </c:pt>
                <c:pt idx="124">
                  <c:v>-1.84</c:v>
                </c:pt>
                <c:pt idx="125">
                  <c:v>-1.84</c:v>
                </c:pt>
                <c:pt idx="126">
                  <c:v>-1.84</c:v>
                </c:pt>
                <c:pt idx="127">
                  <c:v>-1.84</c:v>
                </c:pt>
                <c:pt idx="128">
                  <c:v>-1.84</c:v>
                </c:pt>
                <c:pt idx="129">
                  <c:v>-1.84</c:v>
                </c:pt>
                <c:pt idx="130">
                  <c:v>-1.84</c:v>
                </c:pt>
                <c:pt idx="131">
                  <c:v>-1.84</c:v>
                </c:pt>
                <c:pt idx="132">
                  <c:v>-1.84</c:v>
                </c:pt>
                <c:pt idx="133">
                  <c:v>-1.84</c:v>
                </c:pt>
                <c:pt idx="134">
                  <c:v>-1.84</c:v>
                </c:pt>
                <c:pt idx="135">
                  <c:v>-1.84</c:v>
                </c:pt>
                <c:pt idx="136">
                  <c:v>-1.84</c:v>
                </c:pt>
                <c:pt idx="137">
                  <c:v>-1.84</c:v>
                </c:pt>
                <c:pt idx="138">
                  <c:v>-1.84</c:v>
                </c:pt>
                <c:pt idx="139">
                  <c:v>-1.84</c:v>
                </c:pt>
                <c:pt idx="140">
                  <c:v>-1.84</c:v>
                </c:pt>
                <c:pt idx="141">
                  <c:v>-1.84</c:v>
                </c:pt>
                <c:pt idx="142">
                  <c:v>-1.84</c:v>
                </c:pt>
                <c:pt idx="143">
                  <c:v>-1.84</c:v>
                </c:pt>
                <c:pt idx="144">
                  <c:v>-1.84</c:v>
                </c:pt>
                <c:pt idx="145">
                  <c:v>-1.84</c:v>
                </c:pt>
                <c:pt idx="146">
                  <c:v>-1.84</c:v>
                </c:pt>
                <c:pt idx="147">
                  <c:v>-1.84</c:v>
                </c:pt>
                <c:pt idx="148">
                  <c:v>-1.84</c:v>
                </c:pt>
                <c:pt idx="149">
                  <c:v>-1.84</c:v>
                </c:pt>
                <c:pt idx="150">
                  <c:v>-1.84</c:v>
                </c:pt>
                <c:pt idx="151">
                  <c:v>-1.84</c:v>
                </c:pt>
                <c:pt idx="152">
                  <c:v>-1.84</c:v>
                </c:pt>
                <c:pt idx="153">
                  <c:v>-1.84</c:v>
                </c:pt>
                <c:pt idx="154">
                  <c:v>-1.84</c:v>
                </c:pt>
                <c:pt idx="155">
                  <c:v>-1.84</c:v>
                </c:pt>
                <c:pt idx="156">
                  <c:v>-1.84</c:v>
                </c:pt>
                <c:pt idx="157">
                  <c:v>-1.84</c:v>
                </c:pt>
                <c:pt idx="158">
                  <c:v>-1.84</c:v>
                </c:pt>
                <c:pt idx="159">
                  <c:v>-1.84</c:v>
                </c:pt>
                <c:pt idx="160">
                  <c:v>-1.84</c:v>
                </c:pt>
                <c:pt idx="161">
                  <c:v>-1.84</c:v>
                </c:pt>
                <c:pt idx="162">
                  <c:v>-1.84</c:v>
                </c:pt>
                <c:pt idx="163">
                  <c:v>-1.84</c:v>
                </c:pt>
                <c:pt idx="164">
                  <c:v>-1.84</c:v>
                </c:pt>
                <c:pt idx="165">
                  <c:v>-1.84</c:v>
                </c:pt>
                <c:pt idx="166">
                  <c:v>-1.84</c:v>
                </c:pt>
                <c:pt idx="167">
                  <c:v>-1.84</c:v>
                </c:pt>
                <c:pt idx="168">
                  <c:v>-1.84</c:v>
                </c:pt>
                <c:pt idx="169">
                  <c:v>-1.84</c:v>
                </c:pt>
                <c:pt idx="170">
                  <c:v>-1.84</c:v>
                </c:pt>
                <c:pt idx="171">
                  <c:v>-1.84</c:v>
                </c:pt>
                <c:pt idx="172">
                  <c:v>-1.84</c:v>
                </c:pt>
                <c:pt idx="173">
                  <c:v>-1.84</c:v>
                </c:pt>
                <c:pt idx="174">
                  <c:v>-1.84</c:v>
                </c:pt>
                <c:pt idx="175">
                  <c:v>-1.84</c:v>
                </c:pt>
                <c:pt idx="176">
                  <c:v>-1.84</c:v>
                </c:pt>
                <c:pt idx="177">
                  <c:v>-1.84</c:v>
                </c:pt>
                <c:pt idx="178">
                  <c:v>-1.84</c:v>
                </c:pt>
                <c:pt idx="179">
                  <c:v>-1.84</c:v>
                </c:pt>
                <c:pt idx="180">
                  <c:v>-1.84</c:v>
                </c:pt>
                <c:pt idx="181">
                  <c:v>-1.84</c:v>
                </c:pt>
                <c:pt idx="182">
                  <c:v>-1.84</c:v>
                </c:pt>
                <c:pt idx="183">
                  <c:v>-1.84</c:v>
                </c:pt>
                <c:pt idx="184">
                  <c:v>-1.84</c:v>
                </c:pt>
                <c:pt idx="185">
                  <c:v>-1.84</c:v>
                </c:pt>
                <c:pt idx="186">
                  <c:v>-1.84</c:v>
                </c:pt>
                <c:pt idx="187">
                  <c:v>-1.84</c:v>
                </c:pt>
                <c:pt idx="188">
                  <c:v>-1.84</c:v>
                </c:pt>
                <c:pt idx="189">
                  <c:v>-1.84</c:v>
                </c:pt>
                <c:pt idx="190">
                  <c:v>-1.84</c:v>
                </c:pt>
                <c:pt idx="191">
                  <c:v>-1.84</c:v>
                </c:pt>
                <c:pt idx="192">
                  <c:v>-1.84</c:v>
                </c:pt>
                <c:pt idx="193">
                  <c:v>-1.84</c:v>
                </c:pt>
                <c:pt idx="194">
                  <c:v>-1.84</c:v>
                </c:pt>
                <c:pt idx="195">
                  <c:v>-1.84</c:v>
                </c:pt>
                <c:pt idx="196">
                  <c:v>-1.84</c:v>
                </c:pt>
                <c:pt idx="197">
                  <c:v>-1.84</c:v>
                </c:pt>
                <c:pt idx="198">
                  <c:v>-1.84</c:v>
                </c:pt>
                <c:pt idx="199">
                  <c:v>-1.84</c:v>
                </c:pt>
                <c:pt idx="200">
                  <c:v>-1.84</c:v>
                </c:pt>
                <c:pt idx="201">
                  <c:v>-1.84</c:v>
                </c:pt>
                <c:pt idx="202">
                  <c:v>-1.84</c:v>
                </c:pt>
                <c:pt idx="203">
                  <c:v>-1.84</c:v>
                </c:pt>
                <c:pt idx="204">
                  <c:v>-1.84</c:v>
                </c:pt>
                <c:pt idx="205">
                  <c:v>-1.84</c:v>
                </c:pt>
                <c:pt idx="206">
                  <c:v>-1.84</c:v>
                </c:pt>
                <c:pt idx="207">
                  <c:v>-1.84</c:v>
                </c:pt>
                <c:pt idx="208">
                  <c:v>-1.84</c:v>
                </c:pt>
                <c:pt idx="209">
                  <c:v>-1.84</c:v>
                </c:pt>
                <c:pt idx="210">
                  <c:v>-1.84</c:v>
                </c:pt>
                <c:pt idx="211">
                  <c:v>-1.84</c:v>
                </c:pt>
                <c:pt idx="212">
                  <c:v>-1.84</c:v>
                </c:pt>
                <c:pt idx="213">
                  <c:v>-1.84</c:v>
                </c:pt>
                <c:pt idx="214">
                  <c:v>-1.84</c:v>
                </c:pt>
                <c:pt idx="215">
                  <c:v>-1.84</c:v>
                </c:pt>
                <c:pt idx="216">
                  <c:v>-1.84</c:v>
                </c:pt>
                <c:pt idx="217">
                  <c:v>-1.84</c:v>
                </c:pt>
                <c:pt idx="218">
                  <c:v>-1.84</c:v>
                </c:pt>
                <c:pt idx="219">
                  <c:v>-1.84</c:v>
                </c:pt>
                <c:pt idx="220">
                  <c:v>-1.84</c:v>
                </c:pt>
                <c:pt idx="221">
                  <c:v>-1.84</c:v>
                </c:pt>
                <c:pt idx="222">
                  <c:v>-1.84</c:v>
                </c:pt>
                <c:pt idx="223">
                  <c:v>-1.84</c:v>
                </c:pt>
                <c:pt idx="224">
                  <c:v>-1.84</c:v>
                </c:pt>
                <c:pt idx="225">
                  <c:v>-1.84</c:v>
                </c:pt>
                <c:pt idx="226">
                  <c:v>-1.84</c:v>
                </c:pt>
                <c:pt idx="227">
                  <c:v>-1.84</c:v>
                </c:pt>
                <c:pt idx="228">
                  <c:v>-1.84</c:v>
                </c:pt>
                <c:pt idx="229">
                  <c:v>-1.84</c:v>
                </c:pt>
                <c:pt idx="230">
                  <c:v>-1.84</c:v>
                </c:pt>
                <c:pt idx="231">
                  <c:v>-1.84</c:v>
                </c:pt>
                <c:pt idx="232">
                  <c:v>-1.84</c:v>
                </c:pt>
                <c:pt idx="233">
                  <c:v>-1.84</c:v>
                </c:pt>
                <c:pt idx="234">
                  <c:v>-1.84</c:v>
                </c:pt>
                <c:pt idx="235">
                  <c:v>-1.84</c:v>
                </c:pt>
                <c:pt idx="236">
                  <c:v>-1.84</c:v>
                </c:pt>
                <c:pt idx="237">
                  <c:v>-1.84</c:v>
                </c:pt>
                <c:pt idx="238">
                  <c:v>-1.84</c:v>
                </c:pt>
                <c:pt idx="239">
                  <c:v>-1.84</c:v>
                </c:pt>
                <c:pt idx="240">
                  <c:v>-1.84</c:v>
                </c:pt>
                <c:pt idx="241">
                  <c:v>-1.84</c:v>
                </c:pt>
                <c:pt idx="242">
                  <c:v>-1.84</c:v>
                </c:pt>
                <c:pt idx="243">
                  <c:v>-1.84</c:v>
                </c:pt>
                <c:pt idx="244">
                  <c:v>-1.84</c:v>
                </c:pt>
                <c:pt idx="245">
                  <c:v>-1.84</c:v>
                </c:pt>
                <c:pt idx="246">
                  <c:v>-1.84</c:v>
                </c:pt>
                <c:pt idx="247">
                  <c:v>-1.84</c:v>
                </c:pt>
                <c:pt idx="248">
                  <c:v>-1.84</c:v>
                </c:pt>
                <c:pt idx="249">
                  <c:v>-1.84</c:v>
                </c:pt>
                <c:pt idx="250">
                  <c:v>-1.84</c:v>
                </c:pt>
                <c:pt idx="251">
                  <c:v>-1.84</c:v>
                </c:pt>
                <c:pt idx="252">
                  <c:v>-1.84</c:v>
                </c:pt>
                <c:pt idx="253">
                  <c:v>-1.84</c:v>
                </c:pt>
                <c:pt idx="254">
                  <c:v>-1.84</c:v>
                </c:pt>
                <c:pt idx="255">
                  <c:v>-1.84</c:v>
                </c:pt>
                <c:pt idx="256">
                  <c:v>-1.84</c:v>
                </c:pt>
                <c:pt idx="257">
                  <c:v>-1.84</c:v>
                </c:pt>
                <c:pt idx="258">
                  <c:v>-1.84</c:v>
                </c:pt>
                <c:pt idx="259">
                  <c:v>-1.84</c:v>
                </c:pt>
                <c:pt idx="260">
                  <c:v>-1.84</c:v>
                </c:pt>
                <c:pt idx="261">
                  <c:v>-1.84</c:v>
                </c:pt>
                <c:pt idx="262">
                  <c:v>-1.84</c:v>
                </c:pt>
                <c:pt idx="263">
                  <c:v>-1.84</c:v>
                </c:pt>
                <c:pt idx="264">
                  <c:v>-1.84</c:v>
                </c:pt>
                <c:pt idx="265">
                  <c:v>-1.84</c:v>
                </c:pt>
                <c:pt idx="266">
                  <c:v>-1.84</c:v>
                </c:pt>
                <c:pt idx="267">
                  <c:v>-1.84</c:v>
                </c:pt>
                <c:pt idx="268">
                  <c:v>-1.84</c:v>
                </c:pt>
                <c:pt idx="269">
                  <c:v>-1.84</c:v>
                </c:pt>
                <c:pt idx="270">
                  <c:v>-1.84</c:v>
                </c:pt>
                <c:pt idx="271">
                  <c:v>-1.84</c:v>
                </c:pt>
                <c:pt idx="272">
                  <c:v>-1.84</c:v>
                </c:pt>
                <c:pt idx="273">
                  <c:v>-1.84</c:v>
                </c:pt>
                <c:pt idx="274">
                  <c:v>-1.84</c:v>
                </c:pt>
                <c:pt idx="275">
                  <c:v>-1.84</c:v>
                </c:pt>
                <c:pt idx="276">
                  <c:v>-1.84</c:v>
                </c:pt>
                <c:pt idx="277">
                  <c:v>-1.84</c:v>
                </c:pt>
                <c:pt idx="278">
                  <c:v>-1.84</c:v>
                </c:pt>
                <c:pt idx="279">
                  <c:v>-1.84</c:v>
                </c:pt>
                <c:pt idx="280">
                  <c:v>-1.84</c:v>
                </c:pt>
                <c:pt idx="281">
                  <c:v>-1.84</c:v>
                </c:pt>
                <c:pt idx="282">
                  <c:v>-1.84</c:v>
                </c:pt>
                <c:pt idx="283">
                  <c:v>-1.84</c:v>
                </c:pt>
                <c:pt idx="284">
                  <c:v>-1.84</c:v>
                </c:pt>
                <c:pt idx="285">
                  <c:v>-1.84</c:v>
                </c:pt>
                <c:pt idx="286">
                  <c:v>-1.84</c:v>
                </c:pt>
                <c:pt idx="287">
                  <c:v>-1.84</c:v>
                </c:pt>
                <c:pt idx="288">
                  <c:v>-1.84</c:v>
                </c:pt>
                <c:pt idx="289">
                  <c:v>-1.84</c:v>
                </c:pt>
                <c:pt idx="290">
                  <c:v>-1.84</c:v>
                </c:pt>
                <c:pt idx="291">
                  <c:v>-1.84</c:v>
                </c:pt>
                <c:pt idx="292">
                  <c:v>-1.84</c:v>
                </c:pt>
                <c:pt idx="293">
                  <c:v>-1.84</c:v>
                </c:pt>
                <c:pt idx="294">
                  <c:v>-1.84</c:v>
                </c:pt>
                <c:pt idx="295">
                  <c:v>-1.84</c:v>
                </c:pt>
                <c:pt idx="296">
                  <c:v>-1.84</c:v>
                </c:pt>
                <c:pt idx="297">
                  <c:v>-1.84</c:v>
                </c:pt>
                <c:pt idx="298">
                  <c:v>-1.84</c:v>
                </c:pt>
                <c:pt idx="299">
                  <c:v>-1.84</c:v>
                </c:pt>
                <c:pt idx="300">
                  <c:v>-1.84</c:v>
                </c:pt>
                <c:pt idx="301">
                  <c:v>-1.84</c:v>
                </c:pt>
                <c:pt idx="302">
                  <c:v>-1.84</c:v>
                </c:pt>
                <c:pt idx="303">
                  <c:v>-1.84</c:v>
                </c:pt>
                <c:pt idx="304">
                  <c:v>-1.84</c:v>
                </c:pt>
                <c:pt idx="305">
                  <c:v>-1.84</c:v>
                </c:pt>
                <c:pt idx="306">
                  <c:v>-1.84</c:v>
                </c:pt>
                <c:pt idx="307">
                  <c:v>-1.84</c:v>
                </c:pt>
                <c:pt idx="308">
                  <c:v>-1.84</c:v>
                </c:pt>
                <c:pt idx="309">
                  <c:v>-1.84</c:v>
                </c:pt>
                <c:pt idx="310">
                  <c:v>-1.84</c:v>
                </c:pt>
                <c:pt idx="311">
                  <c:v>-1.84</c:v>
                </c:pt>
                <c:pt idx="312">
                  <c:v>-1.84</c:v>
                </c:pt>
                <c:pt idx="313">
                  <c:v>-1.84</c:v>
                </c:pt>
                <c:pt idx="314">
                  <c:v>-1.84</c:v>
                </c:pt>
                <c:pt idx="315">
                  <c:v>-1.84</c:v>
                </c:pt>
                <c:pt idx="316">
                  <c:v>-1.84</c:v>
                </c:pt>
                <c:pt idx="317">
                  <c:v>-1.84</c:v>
                </c:pt>
                <c:pt idx="318">
                  <c:v>-1.84</c:v>
                </c:pt>
                <c:pt idx="319">
                  <c:v>-1.84</c:v>
                </c:pt>
                <c:pt idx="320">
                  <c:v>-1.84</c:v>
                </c:pt>
                <c:pt idx="321">
                  <c:v>-1.84</c:v>
                </c:pt>
                <c:pt idx="322">
                  <c:v>-1.84</c:v>
                </c:pt>
                <c:pt idx="323">
                  <c:v>-1.84</c:v>
                </c:pt>
                <c:pt idx="324">
                  <c:v>-1.84</c:v>
                </c:pt>
                <c:pt idx="325">
                  <c:v>-1.84</c:v>
                </c:pt>
                <c:pt idx="326">
                  <c:v>-1.84</c:v>
                </c:pt>
                <c:pt idx="327">
                  <c:v>-1.84</c:v>
                </c:pt>
                <c:pt idx="328">
                  <c:v>-1.84</c:v>
                </c:pt>
                <c:pt idx="329">
                  <c:v>-1.84</c:v>
                </c:pt>
                <c:pt idx="330">
                  <c:v>-1.84</c:v>
                </c:pt>
                <c:pt idx="331">
                  <c:v>-1.84</c:v>
                </c:pt>
                <c:pt idx="332">
                  <c:v>-1.84</c:v>
                </c:pt>
                <c:pt idx="333">
                  <c:v>-1.84</c:v>
                </c:pt>
                <c:pt idx="334">
                  <c:v>-1.84</c:v>
                </c:pt>
                <c:pt idx="335">
                  <c:v>-1.84</c:v>
                </c:pt>
                <c:pt idx="336">
                  <c:v>-1.84</c:v>
                </c:pt>
                <c:pt idx="337">
                  <c:v>-1.84</c:v>
                </c:pt>
                <c:pt idx="338">
                  <c:v>-1.84</c:v>
                </c:pt>
                <c:pt idx="339">
                  <c:v>-1.84</c:v>
                </c:pt>
                <c:pt idx="340">
                  <c:v>-1.84</c:v>
                </c:pt>
                <c:pt idx="341">
                  <c:v>-1.84</c:v>
                </c:pt>
                <c:pt idx="342">
                  <c:v>-1.84</c:v>
                </c:pt>
                <c:pt idx="343">
                  <c:v>-1.84</c:v>
                </c:pt>
                <c:pt idx="344">
                  <c:v>-1.84</c:v>
                </c:pt>
                <c:pt idx="345">
                  <c:v>-1.84</c:v>
                </c:pt>
                <c:pt idx="346">
                  <c:v>-1.84</c:v>
                </c:pt>
                <c:pt idx="347">
                  <c:v>-1.84</c:v>
                </c:pt>
                <c:pt idx="348">
                  <c:v>-1.84</c:v>
                </c:pt>
                <c:pt idx="349">
                  <c:v>-1.84</c:v>
                </c:pt>
                <c:pt idx="350">
                  <c:v>-1.84</c:v>
                </c:pt>
                <c:pt idx="351">
                  <c:v>-1.84</c:v>
                </c:pt>
                <c:pt idx="352">
                  <c:v>-1.84</c:v>
                </c:pt>
                <c:pt idx="353">
                  <c:v>-1.84</c:v>
                </c:pt>
                <c:pt idx="354">
                  <c:v>-1.84</c:v>
                </c:pt>
                <c:pt idx="355">
                  <c:v>-1.84</c:v>
                </c:pt>
                <c:pt idx="356">
                  <c:v>-1.84</c:v>
                </c:pt>
                <c:pt idx="357">
                  <c:v>-1.84</c:v>
                </c:pt>
                <c:pt idx="358">
                  <c:v>-1.84</c:v>
                </c:pt>
                <c:pt idx="359">
                  <c:v>-1.84</c:v>
                </c:pt>
                <c:pt idx="360">
                  <c:v>-1.84</c:v>
                </c:pt>
                <c:pt idx="361">
                  <c:v>-1.84</c:v>
                </c:pt>
                <c:pt idx="362">
                  <c:v>-1.84</c:v>
                </c:pt>
                <c:pt idx="363">
                  <c:v>-1.84</c:v>
                </c:pt>
                <c:pt idx="364">
                  <c:v>-1.84</c:v>
                </c:pt>
                <c:pt idx="365">
                  <c:v>-1.84</c:v>
                </c:pt>
                <c:pt idx="366">
                  <c:v>-1.84</c:v>
                </c:pt>
                <c:pt idx="367">
                  <c:v>-1.84</c:v>
                </c:pt>
                <c:pt idx="368">
                  <c:v>-1.84</c:v>
                </c:pt>
                <c:pt idx="369">
                  <c:v>-1.84</c:v>
                </c:pt>
                <c:pt idx="370">
                  <c:v>-1.84</c:v>
                </c:pt>
                <c:pt idx="371">
                  <c:v>-1.84</c:v>
                </c:pt>
                <c:pt idx="372">
                  <c:v>-1.84</c:v>
                </c:pt>
                <c:pt idx="373">
                  <c:v>-1.84</c:v>
                </c:pt>
                <c:pt idx="374">
                  <c:v>-1.84</c:v>
                </c:pt>
                <c:pt idx="375">
                  <c:v>-1.84</c:v>
                </c:pt>
                <c:pt idx="376">
                  <c:v>-1.84</c:v>
                </c:pt>
                <c:pt idx="377">
                  <c:v>-1.84</c:v>
                </c:pt>
                <c:pt idx="378">
                  <c:v>-1.84</c:v>
                </c:pt>
                <c:pt idx="379">
                  <c:v>-1.84</c:v>
                </c:pt>
                <c:pt idx="380">
                  <c:v>-1.84</c:v>
                </c:pt>
                <c:pt idx="381">
                  <c:v>-1.84</c:v>
                </c:pt>
                <c:pt idx="382">
                  <c:v>-1.84</c:v>
                </c:pt>
                <c:pt idx="383">
                  <c:v>-1.84</c:v>
                </c:pt>
                <c:pt idx="384">
                  <c:v>-1.84</c:v>
                </c:pt>
                <c:pt idx="385">
                  <c:v>-1.84</c:v>
                </c:pt>
                <c:pt idx="386">
                  <c:v>-1.84</c:v>
                </c:pt>
                <c:pt idx="387">
                  <c:v>-1.84</c:v>
                </c:pt>
                <c:pt idx="388">
                  <c:v>-1.84</c:v>
                </c:pt>
                <c:pt idx="389">
                  <c:v>-1.84</c:v>
                </c:pt>
                <c:pt idx="390">
                  <c:v>-1.84</c:v>
                </c:pt>
                <c:pt idx="391">
                  <c:v>-1.84</c:v>
                </c:pt>
                <c:pt idx="392">
                  <c:v>-1.84</c:v>
                </c:pt>
                <c:pt idx="393">
                  <c:v>-1.84</c:v>
                </c:pt>
                <c:pt idx="394">
                  <c:v>-1.84</c:v>
                </c:pt>
                <c:pt idx="395">
                  <c:v>-1.84</c:v>
                </c:pt>
                <c:pt idx="396">
                  <c:v>-1.84</c:v>
                </c:pt>
                <c:pt idx="397">
                  <c:v>-1.84</c:v>
                </c:pt>
                <c:pt idx="398">
                  <c:v>-1.84</c:v>
                </c:pt>
                <c:pt idx="399">
                  <c:v>-1.84</c:v>
                </c:pt>
                <c:pt idx="400">
                  <c:v>-1.84</c:v>
                </c:pt>
                <c:pt idx="401">
                  <c:v>-1.84</c:v>
                </c:pt>
                <c:pt idx="402">
                  <c:v>-1.84</c:v>
                </c:pt>
                <c:pt idx="403">
                  <c:v>-1.84</c:v>
                </c:pt>
                <c:pt idx="404">
                  <c:v>-1.84</c:v>
                </c:pt>
                <c:pt idx="405">
                  <c:v>-1.84</c:v>
                </c:pt>
                <c:pt idx="406">
                  <c:v>-1.84</c:v>
                </c:pt>
                <c:pt idx="407">
                  <c:v>-1.84</c:v>
                </c:pt>
                <c:pt idx="408">
                  <c:v>-1.84</c:v>
                </c:pt>
                <c:pt idx="409">
                  <c:v>-1.84</c:v>
                </c:pt>
                <c:pt idx="410">
                  <c:v>-1.84</c:v>
                </c:pt>
                <c:pt idx="411">
                  <c:v>-1.84</c:v>
                </c:pt>
                <c:pt idx="412">
                  <c:v>-1.84</c:v>
                </c:pt>
                <c:pt idx="413">
                  <c:v>-1.84</c:v>
                </c:pt>
                <c:pt idx="414">
                  <c:v>-1.84</c:v>
                </c:pt>
                <c:pt idx="415">
                  <c:v>-1.84</c:v>
                </c:pt>
                <c:pt idx="416">
                  <c:v>-1.84</c:v>
                </c:pt>
                <c:pt idx="417">
                  <c:v>-1.84</c:v>
                </c:pt>
                <c:pt idx="418">
                  <c:v>-1.84</c:v>
                </c:pt>
                <c:pt idx="419">
                  <c:v>-1.84</c:v>
                </c:pt>
                <c:pt idx="420">
                  <c:v>-1.84</c:v>
                </c:pt>
                <c:pt idx="421">
                  <c:v>-1.84</c:v>
                </c:pt>
                <c:pt idx="422">
                  <c:v>-1.84</c:v>
                </c:pt>
                <c:pt idx="423">
                  <c:v>-1.84</c:v>
                </c:pt>
                <c:pt idx="424">
                  <c:v>-1.84</c:v>
                </c:pt>
                <c:pt idx="425">
                  <c:v>-1.84</c:v>
                </c:pt>
                <c:pt idx="426">
                  <c:v>-1.84</c:v>
                </c:pt>
                <c:pt idx="427">
                  <c:v>-1.84</c:v>
                </c:pt>
                <c:pt idx="428">
                  <c:v>-1.84</c:v>
                </c:pt>
                <c:pt idx="429">
                  <c:v>-1.84</c:v>
                </c:pt>
                <c:pt idx="430">
                  <c:v>-1.84</c:v>
                </c:pt>
                <c:pt idx="431">
                  <c:v>-1.84</c:v>
                </c:pt>
                <c:pt idx="432">
                  <c:v>-1.84</c:v>
                </c:pt>
                <c:pt idx="433">
                  <c:v>-1.84</c:v>
                </c:pt>
                <c:pt idx="434">
                  <c:v>-1.84</c:v>
                </c:pt>
                <c:pt idx="435">
                  <c:v>-1.84</c:v>
                </c:pt>
                <c:pt idx="436">
                  <c:v>-1.84</c:v>
                </c:pt>
                <c:pt idx="437">
                  <c:v>-1.84</c:v>
                </c:pt>
                <c:pt idx="438">
                  <c:v>-1.84</c:v>
                </c:pt>
                <c:pt idx="439">
                  <c:v>-1.84</c:v>
                </c:pt>
                <c:pt idx="440">
                  <c:v>-1.84</c:v>
                </c:pt>
                <c:pt idx="441">
                  <c:v>-1.84</c:v>
                </c:pt>
                <c:pt idx="442">
                  <c:v>-1.84</c:v>
                </c:pt>
                <c:pt idx="443">
                  <c:v>-1.84</c:v>
                </c:pt>
                <c:pt idx="444">
                  <c:v>-1.84</c:v>
                </c:pt>
                <c:pt idx="445">
                  <c:v>-1.84</c:v>
                </c:pt>
                <c:pt idx="446">
                  <c:v>-1.84</c:v>
                </c:pt>
                <c:pt idx="447">
                  <c:v>-1.84</c:v>
                </c:pt>
                <c:pt idx="448">
                  <c:v>-1.84</c:v>
                </c:pt>
                <c:pt idx="449">
                  <c:v>-1.84</c:v>
                </c:pt>
                <c:pt idx="450">
                  <c:v>-1.84</c:v>
                </c:pt>
                <c:pt idx="451">
                  <c:v>-1.84</c:v>
                </c:pt>
                <c:pt idx="452">
                  <c:v>-1.84</c:v>
                </c:pt>
                <c:pt idx="453">
                  <c:v>-1.84</c:v>
                </c:pt>
                <c:pt idx="454">
                  <c:v>-1.84</c:v>
                </c:pt>
                <c:pt idx="455">
                  <c:v>-1.84</c:v>
                </c:pt>
                <c:pt idx="456">
                  <c:v>-1.84</c:v>
                </c:pt>
                <c:pt idx="457">
                  <c:v>-1.84</c:v>
                </c:pt>
                <c:pt idx="458">
                  <c:v>-1.84</c:v>
                </c:pt>
                <c:pt idx="459">
                  <c:v>-1.84</c:v>
                </c:pt>
                <c:pt idx="460">
                  <c:v>-1.84</c:v>
                </c:pt>
                <c:pt idx="461">
                  <c:v>-1.84</c:v>
                </c:pt>
                <c:pt idx="462">
                  <c:v>-1.84</c:v>
                </c:pt>
                <c:pt idx="463">
                  <c:v>-1.84</c:v>
                </c:pt>
                <c:pt idx="464">
                  <c:v>-1.84</c:v>
                </c:pt>
                <c:pt idx="465">
                  <c:v>-1.84</c:v>
                </c:pt>
                <c:pt idx="466">
                  <c:v>-1.84</c:v>
                </c:pt>
                <c:pt idx="467">
                  <c:v>-1.84</c:v>
                </c:pt>
                <c:pt idx="468">
                  <c:v>-1.84</c:v>
                </c:pt>
                <c:pt idx="469">
                  <c:v>-1.84</c:v>
                </c:pt>
                <c:pt idx="470">
                  <c:v>-1.84</c:v>
                </c:pt>
                <c:pt idx="471">
                  <c:v>-1.84</c:v>
                </c:pt>
                <c:pt idx="472">
                  <c:v>-1.84</c:v>
                </c:pt>
                <c:pt idx="473">
                  <c:v>-1.84</c:v>
                </c:pt>
                <c:pt idx="474">
                  <c:v>-1.84</c:v>
                </c:pt>
                <c:pt idx="475">
                  <c:v>-1.84</c:v>
                </c:pt>
                <c:pt idx="476">
                  <c:v>-1.84</c:v>
                </c:pt>
                <c:pt idx="477">
                  <c:v>-1.84</c:v>
                </c:pt>
                <c:pt idx="478">
                  <c:v>-1.84</c:v>
                </c:pt>
                <c:pt idx="479">
                  <c:v>-1.84</c:v>
                </c:pt>
                <c:pt idx="480">
                  <c:v>-1.84</c:v>
                </c:pt>
                <c:pt idx="481">
                  <c:v>-1.84</c:v>
                </c:pt>
                <c:pt idx="482">
                  <c:v>-1.84</c:v>
                </c:pt>
                <c:pt idx="483">
                  <c:v>-1.84</c:v>
                </c:pt>
                <c:pt idx="484">
                  <c:v>-1.84</c:v>
                </c:pt>
                <c:pt idx="485">
                  <c:v>-1.84</c:v>
                </c:pt>
                <c:pt idx="486">
                  <c:v>-1.84</c:v>
                </c:pt>
                <c:pt idx="487">
                  <c:v>-1.84</c:v>
                </c:pt>
                <c:pt idx="488">
                  <c:v>-1.84</c:v>
                </c:pt>
                <c:pt idx="489">
                  <c:v>-1.84</c:v>
                </c:pt>
                <c:pt idx="490">
                  <c:v>-1.84</c:v>
                </c:pt>
                <c:pt idx="491">
                  <c:v>-1.84</c:v>
                </c:pt>
                <c:pt idx="492">
                  <c:v>-1.84</c:v>
                </c:pt>
                <c:pt idx="493">
                  <c:v>-1.84</c:v>
                </c:pt>
                <c:pt idx="494">
                  <c:v>-1.84</c:v>
                </c:pt>
                <c:pt idx="495">
                  <c:v>-1.84</c:v>
                </c:pt>
                <c:pt idx="496">
                  <c:v>-1.84</c:v>
                </c:pt>
                <c:pt idx="497">
                  <c:v>-1.84</c:v>
                </c:pt>
                <c:pt idx="498">
                  <c:v>-1.84</c:v>
                </c:pt>
                <c:pt idx="499">
                  <c:v>-1.84</c:v>
                </c:pt>
                <c:pt idx="500">
                  <c:v>-1.84</c:v>
                </c:pt>
                <c:pt idx="501">
                  <c:v>-1.84</c:v>
                </c:pt>
                <c:pt idx="502">
                  <c:v>-1.84</c:v>
                </c:pt>
                <c:pt idx="503">
                  <c:v>-1.84</c:v>
                </c:pt>
                <c:pt idx="504">
                  <c:v>-1.84</c:v>
                </c:pt>
                <c:pt idx="505">
                  <c:v>-1.84</c:v>
                </c:pt>
                <c:pt idx="506">
                  <c:v>-1.84</c:v>
                </c:pt>
                <c:pt idx="507">
                  <c:v>-1.84</c:v>
                </c:pt>
                <c:pt idx="508">
                  <c:v>-1.84</c:v>
                </c:pt>
                <c:pt idx="509">
                  <c:v>-1.84</c:v>
                </c:pt>
                <c:pt idx="510">
                  <c:v>-1.84</c:v>
                </c:pt>
                <c:pt idx="511">
                  <c:v>-1.84</c:v>
                </c:pt>
                <c:pt idx="512">
                  <c:v>-1.84</c:v>
                </c:pt>
                <c:pt idx="513">
                  <c:v>-1.84</c:v>
                </c:pt>
                <c:pt idx="514">
                  <c:v>-1.84</c:v>
                </c:pt>
                <c:pt idx="515">
                  <c:v>-1.84</c:v>
                </c:pt>
                <c:pt idx="516">
                  <c:v>-1.84</c:v>
                </c:pt>
                <c:pt idx="517">
                  <c:v>-1.84</c:v>
                </c:pt>
                <c:pt idx="518">
                  <c:v>-1.84</c:v>
                </c:pt>
                <c:pt idx="519">
                  <c:v>-1.84</c:v>
                </c:pt>
                <c:pt idx="520">
                  <c:v>-1.84</c:v>
                </c:pt>
                <c:pt idx="521">
                  <c:v>-1.84</c:v>
                </c:pt>
                <c:pt idx="522">
                  <c:v>-1.84</c:v>
                </c:pt>
                <c:pt idx="523">
                  <c:v>-1.84</c:v>
                </c:pt>
                <c:pt idx="524">
                  <c:v>-1.84</c:v>
                </c:pt>
                <c:pt idx="525">
                  <c:v>-1.84</c:v>
                </c:pt>
                <c:pt idx="526">
                  <c:v>-1.84</c:v>
                </c:pt>
                <c:pt idx="527">
                  <c:v>-1.84</c:v>
                </c:pt>
                <c:pt idx="528">
                  <c:v>-1.84</c:v>
                </c:pt>
                <c:pt idx="529">
                  <c:v>-1.84</c:v>
                </c:pt>
                <c:pt idx="530">
                  <c:v>-1.84</c:v>
                </c:pt>
                <c:pt idx="531">
                  <c:v>-1.84</c:v>
                </c:pt>
                <c:pt idx="532">
                  <c:v>-1.84</c:v>
                </c:pt>
                <c:pt idx="533">
                  <c:v>-1.84</c:v>
                </c:pt>
                <c:pt idx="534">
                  <c:v>-1.84</c:v>
                </c:pt>
                <c:pt idx="535">
                  <c:v>-1.84</c:v>
                </c:pt>
                <c:pt idx="536">
                  <c:v>-1.84</c:v>
                </c:pt>
                <c:pt idx="537">
                  <c:v>-1.84</c:v>
                </c:pt>
                <c:pt idx="538">
                  <c:v>-1.84</c:v>
                </c:pt>
                <c:pt idx="539">
                  <c:v>-1.84</c:v>
                </c:pt>
                <c:pt idx="540">
                  <c:v>-1.84</c:v>
                </c:pt>
                <c:pt idx="541">
                  <c:v>-1.84</c:v>
                </c:pt>
                <c:pt idx="542">
                  <c:v>-1.84</c:v>
                </c:pt>
                <c:pt idx="543">
                  <c:v>-1.84</c:v>
                </c:pt>
                <c:pt idx="544">
                  <c:v>-1.84</c:v>
                </c:pt>
                <c:pt idx="545">
                  <c:v>-1.84</c:v>
                </c:pt>
                <c:pt idx="546">
                  <c:v>-1.84</c:v>
                </c:pt>
                <c:pt idx="547">
                  <c:v>-1.84</c:v>
                </c:pt>
                <c:pt idx="548">
                  <c:v>-1.84</c:v>
                </c:pt>
                <c:pt idx="549">
                  <c:v>-1.84</c:v>
                </c:pt>
                <c:pt idx="550">
                  <c:v>-1.84</c:v>
                </c:pt>
                <c:pt idx="551">
                  <c:v>-1.84</c:v>
                </c:pt>
                <c:pt idx="552">
                  <c:v>-1.84</c:v>
                </c:pt>
                <c:pt idx="553">
                  <c:v>-1.84</c:v>
                </c:pt>
                <c:pt idx="554">
                  <c:v>-1.84</c:v>
                </c:pt>
                <c:pt idx="555">
                  <c:v>-1.84</c:v>
                </c:pt>
                <c:pt idx="556">
                  <c:v>-1.84</c:v>
                </c:pt>
                <c:pt idx="557">
                  <c:v>-1.84</c:v>
                </c:pt>
                <c:pt idx="558">
                  <c:v>-1.84</c:v>
                </c:pt>
                <c:pt idx="559">
                  <c:v>-1.84</c:v>
                </c:pt>
                <c:pt idx="560">
                  <c:v>-1.84</c:v>
                </c:pt>
                <c:pt idx="561">
                  <c:v>-1.84</c:v>
                </c:pt>
                <c:pt idx="562">
                  <c:v>-1.84</c:v>
                </c:pt>
                <c:pt idx="563">
                  <c:v>-1.84</c:v>
                </c:pt>
                <c:pt idx="564">
                  <c:v>-1.84</c:v>
                </c:pt>
                <c:pt idx="565">
                  <c:v>-1.84</c:v>
                </c:pt>
                <c:pt idx="566">
                  <c:v>-1.84</c:v>
                </c:pt>
                <c:pt idx="567">
                  <c:v>-1.84</c:v>
                </c:pt>
                <c:pt idx="568">
                  <c:v>-1.84</c:v>
                </c:pt>
                <c:pt idx="569">
                  <c:v>-1.84</c:v>
                </c:pt>
                <c:pt idx="570">
                  <c:v>-1.84</c:v>
                </c:pt>
                <c:pt idx="571">
                  <c:v>-1.84</c:v>
                </c:pt>
                <c:pt idx="572">
                  <c:v>-1.84</c:v>
                </c:pt>
                <c:pt idx="573">
                  <c:v>-1.84</c:v>
                </c:pt>
                <c:pt idx="574">
                  <c:v>-1.84</c:v>
                </c:pt>
                <c:pt idx="575">
                  <c:v>-1.84</c:v>
                </c:pt>
                <c:pt idx="576">
                  <c:v>-1.84</c:v>
                </c:pt>
                <c:pt idx="577">
                  <c:v>-1.84</c:v>
                </c:pt>
                <c:pt idx="578">
                  <c:v>-1.84</c:v>
                </c:pt>
                <c:pt idx="579">
                  <c:v>-1.84</c:v>
                </c:pt>
                <c:pt idx="580">
                  <c:v>-1.84</c:v>
                </c:pt>
                <c:pt idx="581">
                  <c:v>-1.84</c:v>
                </c:pt>
                <c:pt idx="582">
                  <c:v>-1.84</c:v>
                </c:pt>
                <c:pt idx="583">
                  <c:v>-1.84</c:v>
                </c:pt>
                <c:pt idx="584">
                  <c:v>-1.84</c:v>
                </c:pt>
                <c:pt idx="585">
                  <c:v>-1.84</c:v>
                </c:pt>
                <c:pt idx="586">
                  <c:v>-1.84</c:v>
                </c:pt>
                <c:pt idx="587">
                  <c:v>-1.84</c:v>
                </c:pt>
                <c:pt idx="588">
                  <c:v>-1.84</c:v>
                </c:pt>
                <c:pt idx="589">
                  <c:v>-1.84</c:v>
                </c:pt>
                <c:pt idx="590">
                  <c:v>-1.84</c:v>
                </c:pt>
                <c:pt idx="591">
                  <c:v>-1.84</c:v>
                </c:pt>
                <c:pt idx="592">
                  <c:v>-1.84</c:v>
                </c:pt>
                <c:pt idx="593">
                  <c:v>-1.84</c:v>
                </c:pt>
                <c:pt idx="594">
                  <c:v>-1.84</c:v>
                </c:pt>
                <c:pt idx="595">
                  <c:v>-1.84</c:v>
                </c:pt>
                <c:pt idx="596">
                  <c:v>-1.84</c:v>
                </c:pt>
                <c:pt idx="597">
                  <c:v>-1.84</c:v>
                </c:pt>
                <c:pt idx="598">
                  <c:v>-1.84</c:v>
                </c:pt>
                <c:pt idx="599">
                  <c:v>-1.84</c:v>
                </c:pt>
                <c:pt idx="600">
                  <c:v>-1.84</c:v>
                </c:pt>
                <c:pt idx="601">
                  <c:v>-1.84</c:v>
                </c:pt>
                <c:pt idx="602">
                  <c:v>-1.84</c:v>
                </c:pt>
                <c:pt idx="603">
                  <c:v>-1.84</c:v>
                </c:pt>
                <c:pt idx="604">
                  <c:v>-1.84</c:v>
                </c:pt>
                <c:pt idx="605">
                  <c:v>-1.84</c:v>
                </c:pt>
                <c:pt idx="606">
                  <c:v>-1.84</c:v>
                </c:pt>
                <c:pt idx="607">
                  <c:v>-1.84</c:v>
                </c:pt>
                <c:pt idx="608">
                  <c:v>-1.84</c:v>
                </c:pt>
                <c:pt idx="609">
                  <c:v>-1.84</c:v>
                </c:pt>
                <c:pt idx="610">
                  <c:v>-1.84</c:v>
                </c:pt>
                <c:pt idx="611">
                  <c:v>-1.84</c:v>
                </c:pt>
                <c:pt idx="612">
                  <c:v>-1.84</c:v>
                </c:pt>
                <c:pt idx="613">
                  <c:v>-1.84</c:v>
                </c:pt>
                <c:pt idx="614">
                  <c:v>-1.84</c:v>
                </c:pt>
                <c:pt idx="615">
                  <c:v>-1.84</c:v>
                </c:pt>
                <c:pt idx="616">
                  <c:v>-1.84</c:v>
                </c:pt>
                <c:pt idx="617">
                  <c:v>-1.84</c:v>
                </c:pt>
                <c:pt idx="618">
                  <c:v>-1.84</c:v>
                </c:pt>
                <c:pt idx="619">
                  <c:v>-1.84</c:v>
                </c:pt>
                <c:pt idx="620">
                  <c:v>-1.84</c:v>
                </c:pt>
                <c:pt idx="621">
                  <c:v>-1.84</c:v>
                </c:pt>
                <c:pt idx="622">
                  <c:v>-1.84</c:v>
                </c:pt>
                <c:pt idx="623">
                  <c:v>-1.84</c:v>
                </c:pt>
                <c:pt idx="624">
                  <c:v>-1.84</c:v>
                </c:pt>
                <c:pt idx="625">
                  <c:v>-1.84</c:v>
                </c:pt>
                <c:pt idx="626">
                  <c:v>-1.84</c:v>
                </c:pt>
                <c:pt idx="627">
                  <c:v>-1.84</c:v>
                </c:pt>
                <c:pt idx="628">
                  <c:v>-1.84</c:v>
                </c:pt>
                <c:pt idx="629">
                  <c:v>-1.84</c:v>
                </c:pt>
                <c:pt idx="630">
                  <c:v>-1.84</c:v>
                </c:pt>
                <c:pt idx="631">
                  <c:v>-1.84</c:v>
                </c:pt>
                <c:pt idx="632">
                  <c:v>-1.84</c:v>
                </c:pt>
                <c:pt idx="633">
                  <c:v>-1.84</c:v>
                </c:pt>
                <c:pt idx="634">
                  <c:v>-1.84</c:v>
                </c:pt>
                <c:pt idx="635">
                  <c:v>-1.84</c:v>
                </c:pt>
                <c:pt idx="636">
                  <c:v>-1.84</c:v>
                </c:pt>
                <c:pt idx="637">
                  <c:v>-1.84</c:v>
                </c:pt>
                <c:pt idx="638">
                  <c:v>-1.84</c:v>
                </c:pt>
                <c:pt idx="639">
                  <c:v>-1.84</c:v>
                </c:pt>
                <c:pt idx="640">
                  <c:v>-1.84</c:v>
                </c:pt>
                <c:pt idx="641">
                  <c:v>-1.84</c:v>
                </c:pt>
                <c:pt idx="642">
                  <c:v>-1.84</c:v>
                </c:pt>
                <c:pt idx="643">
                  <c:v>-1.84</c:v>
                </c:pt>
                <c:pt idx="644">
                  <c:v>-1.84</c:v>
                </c:pt>
                <c:pt idx="645">
                  <c:v>-1.84</c:v>
                </c:pt>
                <c:pt idx="646">
                  <c:v>-1.84</c:v>
                </c:pt>
                <c:pt idx="647">
                  <c:v>-1.84</c:v>
                </c:pt>
                <c:pt idx="648">
                  <c:v>-1.84</c:v>
                </c:pt>
                <c:pt idx="649">
                  <c:v>-1.84</c:v>
                </c:pt>
                <c:pt idx="650">
                  <c:v>-1.84</c:v>
                </c:pt>
                <c:pt idx="651">
                  <c:v>-1.84</c:v>
                </c:pt>
                <c:pt idx="652">
                  <c:v>-1.84</c:v>
                </c:pt>
                <c:pt idx="653">
                  <c:v>-1.84</c:v>
                </c:pt>
                <c:pt idx="654">
                  <c:v>-1.84</c:v>
                </c:pt>
                <c:pt idx="655">
                  <c:v>-1.84</c:v>
                </c:pt>
                <c:pt idx="656">
                  <c:v>-1.84</c:v>
                </c:pt>
                <c:pt idx="657">
                  <c:v>-1.84</c:v>
                </c:pt>
                <c:pt idx="658">
                  <c:v>-1.84</c:v>
                </c:pt>
                <c:pt idx="659">
                  <c:v>-1.84</c:v>
                </c:pt>
                <c:pt idx="660">
                  <c:v>-1.84</c:v>
                </c:pt>
                <c:pt idx="661">
                  <c:v>-1.84</c:v>
                </c:pt>
                <c:pt idx="662">
                  <c:v>-1.84</c:v>
                </c:pt>
                <c:pt idx="663">
                  <c:v>-1.84</c:v>
                </c:pt>
                <c:pt idx="664">
                  <c:v>-1.84</c:v>
                </c:pt>
                <c:pt idx="665">
                  <c:v>-1.84</c:v>
                </c:pt>
                <c:pt idx="666">
                  <c:v>-1.84</c:v>
                </c:pt>
                <c:pt idx="667">
                  <c:v>-1.84</c:v>
                </c:pt>
                <c:pt idx="668">
                  <c:v>-1.84</c:v>
                </c:pt>
                <c:pt idx="669">
                  <c:v>-1.84</c:v>
                </c:pt>
                <c:pt idx="670">
                  <c:v>-1.84</c:v>
                </c:pt>
                <c:pt idx="671">
                  <c:v>-1.84</c:v>
                </c:pt>
                <c:pt idx="672">
                  <c:v>-1.84</c:v>
                </c:pt>
                <c:pt idx="673">
                  <c:v>-1.84</c:v>
                </c:pt>
                <c:pt idx="674">
                  <c:v>-1.84</c:v>
                </c:pt>
                <c:pt idx="675">
                  <c:v>-1.84</c:v>
                </c:pt>
                <c:pt idx="676">
                  <c:v>-1.84</c:v>
                </c:pt>
                <c:pt idx="677">
                  <c:v>-1.84</c:v>
                </c:pt>
                <c:pt idx="678">
                  <c:v>-1.84</c:v>
                </c:pt>
                <c:pt idx="679">
                  <c:v>-1.84</c:v>
                </c:pt>
                <c:pt idx="680">
                  <c:v>-1.84</c:v>
                </c:pt>
                <c:pt idx="681">
                  <c:v>-1.84</c:v>
                </c:pt>
                <c:pt idx="682">
                  <c:v>-1.84</c:v>
                </c:pt>
                <c:pt idx="683">
                  <c:v>-1.84</c:v>
                </c:pt>
                <c:pt idx="684">
                  <c:v>-1.84</c:v>
                </c:pt>
                <c:pt idx="685">
                  <c:v>-1.84</c:v>
                </c:pt>
                <c:pt idx="686">
                  <c:v>-1.84</c:v>
                </c:pt>
                <c:pt idx="687">
                  <c:v>-1.84</c:v>
                </c:pt>
                <c:pt idx="688">
                  <c:v>-1.84</c:v>
                </c:pt>
                <c:pt idx="689">
                  <c:v>-1.84</c:v>
                </c:pt>
                <c:pt idx="690">
                  <c:v>-1.84</c:v>
                </c:pt>
                <c:pt idx="691">
                  <c:v>-1.84</c:v>
                </c:pt>
                <c:pt idx="692">
                  <c:v>-1.84</c:v>
                </c:pt>
                <c:pt idx="693">
                  <c:v>-1.84</c:v>
                </c:pt>
                <c:pt idx="694">
                  <c:v>-1.84</c:v>
                </c:pt>
                <c:pt idx="695">
                  <c:v>-1.84</c:v>
                </c:pt>
                <c:pt idx="696">
                  <c:v>-1.84</c:v>
                </c:pt>
                <c:pt idx="697">
                  <c:v>-1.84</c:v>
                </c:pt>
                <c:pt idx="698">
                  <c:v>-1.84</c:v>
                </c:pt>
                <c:pt idx="699">
                  <c:v>-1.84</c:v>
                </c:pt>
                <c:pt idx="700">
                  <c:v>-1.84</c:v>
                </c:pt>
                <c:pt idx="701">
                  <c:v>-1.84</c:v>
                </c:pt>
                <c:pt idx="702">
                  <c:v>-1.84</c:v>
                </c:pt>
                <c:pt idx="703">
                  <c:v>-1.84</c:v>
                </c:pt>
                <c:pt idx="704">
                  <c:v>-1.84</c:v>
                </c:pt>
                <c:pt idx="705">
                  <c:v>-1.84</c:v>
                </c:pt>
                <c:pt idx="706">
                  <c:v>-1.84</c:v>
                </c:pt>
                <c:pt idx="707">
                  <c:v>-1.84</c:v>
                </c:pt>
                <c:pt idx="708">
                  <c:v>-1.84</c:v>
                </c:pt>
                <c:pt idx="709">
                  <c:v>-1.84</c:v>
                </c:pt>
                <c:pt idx="710">
                  <c:v>-1.84</c:v>
                </c:pt>
                <c:pt idx="711">
                  <c:v>-1.84</c:v>
                </c:pt>
                <c:pt idx="712">
                  <c:v>-1.84</c:v>
                </c:pt>
                <c:pt idx="713">
                  <c:v>-1.84</c:v>
                </c:pt>
                <c:pt idx="714">
                  <c:v>-1.84</c:v>
                </c:pt>
                <c:pt idx="715">
                  <c:v>-1.84</c:v>
                </c:pt>
                <c:pt idx="716">
                  <c:v>-1.84</c:v>
                </c:pt>
                <c:pt idx="717">
                  <c:v>-1.84</c:v>
                </c:pt>
                <c:pt idx="718">
                  <c:v>-1.84</c:v>
                </c:pt>
                <c:pt idx="719">
                  <c:v>-1.84</c:v>
                </c:pt>
                <c:pt idx="720">
                  <c:v>-1.84</c:v>
                </c:pt>
                <c:pt idx="721">
                  <c:v>-1.84</c:v>
                </c:pt>
                <c:pt idx="722">
                  <c:v>-1.84</c:v>
                </c:pt>
                <c:pt idx="723">
                  <c:v>-1.84</c:v>
                </c:pt>
                <c:pt idx="724">
                  <c:v>-1.84</c:v>
                </c:pt>
                <c:pt idx="725">
                  <c:v>-1.84</c:v>
                </c:pt>
                <c:pt idx="726">
                  <c:v>-1.84</c:v>
                </c:pt>
                <c:pt idx="727">
                  <c:v>-1.84</c:v>
                </c:pt>
                <c:pt idx="728">
                  <c:v>-1.84</c:v>
                </c:pt>
                <c:pt idx="729">
                  <c:v>-1.84</c:v>
                </c:pt>
                <c:pt idx="730">
                  <c:v>-1.84</c:v>
                </c:pt>
                <c:pt idx="731">
                  <c:v>-1.84</c:v>
                </c:pt>
                <c:pt idx="732">
                  <c:v>-1.84</c:v>
                </c:pt>
                <c:pt idx="733">
                  <c:v>-1.84</c:v>
                </c:pt>
                <c:pt idx="734">
                  <c:v>-1.84</c:v>
                </c:pt>
                <c:pt idx="735">
                  <c:v>-1.84</c:v>
                </c:pt>
                <c:pt idx="736">
                  <c:v>-1.84</c:v>
                </c:pt>
                <c:pt idx="737">
                  <c:v>-1.84</c:v>
                </c:pt>
                <c:pt idx="738">
                  <c:v>-1.84</c:v>
                </c:pt>
                <c:pt idx="739">
                  <c:v>-1.84</c:v>
                </c:pt>
                <c:pt idx="740">
                  <c:v>-1.84</c:v>
                </c:pt>
                <c:pt idx="741">
                  <c:v>-1.84</c:v>
                </c:pt>
                <c:pt idx="742">
                  <c:v>-1.84</c:v>
                </c:pt>
                <c:pt idx="743">
                  <c:v>-1.84</c:v>
                </c:pt>
                <c:pt idx="744">
                  <c:v>-1.84</c:v>
                </c:pt>
                <c:pt idx="745">
                  <c:v>-1.84</c:v>
                </c:pt>
                <c:pt idx="746">
                  <c:v>-1.84</c:v>
                </c:pt>
                <c:pt idx="747">
                  <c:v>-1.84</c:v>
                </c:pt>
                <c:pt idx="748">
                  <c:v>-1.84</c:v>
                </c:pt>
                <c:pt idx="749">
                  <c:v>-1.84</c:v>
                </c:pt>
                <c:pt idx="750">
                  <c:v>-1.84</c:v>
                </c:pt>
                <c:pt idx="751">
                  <c:v>-1.84</c:v>
                </c:pt>
                <c:pt idx="752">
                  <c:v>-1.84</c:v>
                </c:pt>
                <c:pt idx="753">
                  <c:v>-1.84</c:v>
                </c:pt>
                <c:pt idx="754">
                  <c:v>-1.84</c:v>
                </c:pt>
                <c:pt idx="755">
                  <c:v>-1.84</c:v>
                </c:pt>
                <c:pt idx="756">
                  <c:v>-1.84</c:v>
                </c:pt>
                <c:pt idx="757">
                  <c:v>-1.84</c:v>
                </c:pt>
                <c:pt idx="758">
                  <c:v>-1.84</c:v>
                </c:pt>
                <c:pt idx="759">
                  <c:v>-1.84</c:v>
                </c:pt>
                <c:pt idx="760">
                  <c:v>-1.84</c:v>
                </c:pt>
                <c:pt idx="761">
                  <c:v>-1.84</c:v>
                </c:pt>
                <c:pt idx="762">
                  <c:v>-1.84</c:v>
                </c:pt>
                <c:pt idx="763">
                  <c:v>-1.84</c:v>
                </c:pt>
                <c:pt idx="764">
                  <c:v>-1.84</c:v>
                </c:pt>
                <c:pt idx="765">
                  <c:v>-1.84</c:v>
                </c:pt>
                <c:pt idx="766">
                  <c:v>-1.84</c:v>
                </c:pt>
                <c:pt idx="767">
                  <c:v>-1.84</c:v>
                </c:pt>
                <c:pt idx="768">
                  <c:v>-1.84</c:v>
                </c:pt>
                <c:pt idx="769">
                  <c:v>-1.84</c:v>
                </c:pt>
                <c:pt idx="770">
                  <c:v>-1.84</c:v>
                </c:pt>
                <c:pt idx="771">
                  <c:v>-1.84</c:v>
                </c:pt>
                <c:pt idx="772">
                  <c:v>-1.84</c:v>
                </c:pt>
                <c:pt idx="773">
                  <c:v>-1.84</c:v>
                </c:pt>
                <c:pt idx="774">
                  <c:v>-1.84</c:v>
                </c:pt>
                <c:pt idx="775">
                  <c:v>-1.84</c:v>
                </c:pt>
                <c:pt idx="776">
                  <c:v>-1.84</c:v>
                </c:pt>
                <c:pt idx="777">
                  <c:v>-1.84</c:v>
                </c:pt>
                <c:pt idx="778">
                  <c:v>-1.84</c:v>
                </c:pt>
                <c:pt idx="779">
                  <c:v>-1.84</c:v>
                </c:pt>
                <c:pt idx="780">
                  <c:v>-1.84</c:v>
                </c:pt>
                <c:pt idx="781">
                  <c:v>-1.84</c:v>
                </c:pt>
                <c:pt idx="782">
                  <c:v>-1.84</c:v>
                </c:pt>
                <c:pt idx="783">
                  <c:v>-1.84</c:v>
                </c:pt>
                <c:pt idx="784">
                  <c:v>-1.84</c:v>
                </c:pt>
                <c:pt idx="785">
                  <c:v>-1.84</c:v>
                </c:pt>
                <c:pt idx="786">
                  <c:v>-1.84</c:v>
                </c:pt>
                <c:pt idx="787">
                  <c:v>-1.84</c:v>
                </c:pt>
                <c:pt idx="788">
                  <c:v>-1.84</c:v>
                </c:pt>
                <c:pt idx="789">
                  <c:v>-1.84</c:v>
                </c:pt>
                <c:pt idx="790">
                  <c:v>-1.84</c:v>
                </c:pt>
                <c:pt idx="791">
                  <c:v>-1.84</c:v>
                </c:pt>
                <c:pt idx="792">
                  <c:v>-1.84</c:v>
                </c:pt>
                <c:pt idx="793">
                  <c:v>-1.84</c:v>
                </c:pt>
                <c:pt idx="794">
                  <c:v>-1.84</c:v>
                </c:pt>
                <c:pt idx="795">
                  <c:v>-1.84</c:v>
                </c:pt>
                <c:pt idx="796">
                  <c:v>-1.84</c:v>
                </c:pt>
                <c:pt idx="797">
                  <c:v>-1.84</c:v>
                </c:pt>
                <c:pt idx="798">
                  <c:v>-1.84</c:v>
                </c:pt>
                <c:pt idx="799">
                  <c:v>-1.84</c:v>
                </c:pt>
                <c:pt idx="800">
                  <c:v>-1.84</c:v>
                </c:pt>
                <c:pt idx="801">
                  <c:v>-1.84</c:v>
                </c:pt>
                <c:pt idx="802">
                  <c:v>-1.84</c:v>
                </c:pt>
                <c:pt idx="803">
                  <c:v>-1.84</c:v>
                </c:pt>
                <c:pt idx="804">
                  <c:v>-1.84</c:v>
                </c:pt>
                <c:pt idx="805">
                  <c:v>-1.84</c:v>
                </c:pt>
                <c:pt idx="806">
                  <c:v>-1.84</c:v>
                </c:pt>
                <c:pt idx="807">
                  <c:v>-1.84</c:v>
                </c:pt>
                <c:pt idx="808">
                  <c:v>-1.84</c:v>
                </c:pt>
                <c:pt idx="809">
                  <c:v>-1.84</c:v>
                </c:pt>
                <c:pt idx="810">
                  <c:v>-1.84</c:v>
                </c:pt>
                <c:pt idx="811">
                  <c:v>-1.84</c:v>
                </c:pt>
                <c:pt idx="812">
                  <c:v>-1.84</c:v>
                </c:pt>
                <c:pt idx="813">
                  <c:v>-1.84</c:v>
                </c:pt>
                <c:pt idx="814">
                  <c:v>-1.84</c:v>
                </c:pt>
                <c:pt idx="815">
                  <c:v>-1.84</c:v>
                </c:pt>
                <c:pt idx="816">
                  <c:v>-1.84</c:v>
                </c:pt>
                <c:pt idx="817">
                  <c:v>-1.84</c:v>
                </c:pt>
                <c:pt idx="818">
                  <c:v>-1.84</c:v>
                </c:pt>
                <c:pt idx="819">
                  <c:v>-1.84</c:v>
                </c:pt>
                <c:pt idx="820">
                  <c:v>-1.84</c:v>
                </c:pt>
                <c:pt idx="821">
                  <c:v>-1.84</c:v>
                </c:pt>
                <c:pt idx="822">
                  <c:v>-1.84</c:v>
                </c:pt>
                <c:pt idx="823">
                  <c:v>-1.84</c:v>
                </c:pt>
                <c:pt idx="824">
                  <c:v>-1.84</c:v>
                </c:pt>
                <c:pt idx="825">
                  <c:v>-1.84</c:v>
                </c:pt>
                <c:pt idx="826">
                  <c:v>-1.84</c:v>
                </c:pt>
                <c:pt idx="827">
                  <c:v>-1.84</c:v>
                </c:pt>
                <c:pt idx="828">
                  <c:v>-1.84</c:v>
                </c:pt>
                <c:pt idx="829">
                  <c:v>-1.84</c:v>
                </c:pt>
                <c:pt idx="830">
                  <c:v>-1.84</c:v>
                </c:pt>
                <c:pt idx="831">
                  <c:v>-1.84</c:v>
                </c:pt>
                <c:pt idx="832">
                  <c:v>-1.84</c:v>
                </c:pt>
                <c:pt idx="833">
                  <c:v>-1.84</c:v>
                </c:pt>
                <c:pt idx="834">
                  <c:v>-1.84</c:v>
                </c:pt>
                <c:pt idx="835">
                  <c:v>-1.84</c:v>
                </c:pt>
                <c:pt idx="836">
                  <c:v>-1.84</c:v>
                </c:pt>
                <c:pt idx="837">
                  <c:v>-1.84</c:v>
                </c:pt>
                <c:pt idx="838">
                  <c:v>-1.84</c:v>
                </c:pt>
                <c:pt idx="839">
                  <c:v>-1.84</c:v>
                </c:pt>
                <c:pt idx="840">
                  <c:v>-1.84</c:v>
                </c:pt>
                <c:pt idx="841">
                  <c:v>-1.84</c:v>
                </c:pt>
                <c:pt idx="842">
                  <c:v>-1.84</c:v>
                </c:pt>
                <c:pt idx="843">
                  <c:v>-1.84</c:v>
                </c:pt>
                <c:pt idx="844">
                  <c:v>-1.84</c:v>
                </c:pt>
                <c:pt idx="845">
                  <c:v>-1.84</c:v>
                </c:pt>
                <c:pt idx="846">
                  <c:v>-1.84</c:v>
                </c:pt>
                <c:pt idx="847">
                  <c:v>-1.84</c:v>
                </c:pt>
                <c:pt idx="848">
                  <c:v>-1.84</c:v>
                </c:pt>
                <c:pt idx="849">
                  <c:v>-1.84</c:v>
                </c:pt>
                <c:pt idx="850">
                  <c:v>-1.84</c:v>
                </c:pt>
                <c:pt idx="851">
                  <c:v>-1.84</c:v>
                </c:pt>
                <c:pt idx="852">
                  <c:v>-1.84</c:v>
                </c:pt>
                <c:pt idx="853">
                  <c:v>-1.84</c:v>
                </c:pt>
                <c:pt idx="854">
                  <c:v>-1.84</c:v>
                </c:pt>
                <c:pt idx="855">
                  <c:v>-1.84</c:v>
                </c:pt>
                <c:pt idx="856">
                  <c:v>-1.84</c:v>
                </c:pt>
                <c:pt idx="857">
                  <c:v>-1.84</c:v>
                </c:pt>
                <c:pt idx="858">
                  <c:v>-1.84</c:v>
                </c:pt>
                <c:pt idx="859">
                  <c:v>-1.84</c:v>
                </c:pt>
                <c:pt idx="860">
                  <c:v>-1.84</c:v>
                </c:pt>
                <c:pt idx="861">
                  <c:v>-1.84</c:v>
                </c:pt>
                <c:pt idx="862">
                  <c:v>-1.84</c:v>
                </c:pt>
                <c:pt idx="863">
                  <c:v>-1.84</c:v>
                </c:pt>
                <c:pt idx="864">
                  <c:v>-1.84</c:v>
                </c:pt>
                <c:pt idx="865">
                  <c:v>-1.84</c:v>
                </c:pt>
                <c:pt idx="866">
                  <c:v>-1.84</c:v>
                </c:pt>
                <c:pt idx="867">
                  <c:v>-1.84</c:v>
                </c:pt>
                <c:pt idx="868">
                  <c:v>-1.84</c:v>
                </c:pt>
                <c:pt idx="869">
                  <c:v>-1.84</c:v>
                </c:pt>
                <c:pt idx="870">
                  <c:v>-1.84</c:v>
                </c:pt>
                <c:pt idx="871">
                  <c:v>-1.84</c:v>
                </c:pt>
                <c:pt idx="872">
                  <c:v>-1.84</c:v>
                </c:pt>
                <c:pt idx="873">
                  <c:v>-1.84</c:v>
                </c:pt>
                <c:pt idx="874">
                  <c:v>-1.84</c:v>
                </c:pt>
                <c:pt idx="875">
                  <c:v>-1.84</c:v>
                </c:pt>
                <c:pt idx="876">
                  <c:v>-1.84</c:v>
                </c:pt>
                <c:pt idx="877">
                  <c:v>-1.84</c:v>
                </c:pt>
                <c:pt idx="878">
                  <c:v>-1.84</c:v>
                </c:pt>
                <c:pt idx="879">
                  <c:v>-1.84</c:v>
                </c:pt>
                <c:pt idx="880">
                  <c:v>-1.84</c:v>
                </c:pt>
                <c:pt idx="881">
                  <c:v>-1.84</c:v>
                </c:pt>
                <c:pt idx="882">
                  <c:v>-1.84</c:v>
                </c:pt>
                <c:pt idx="883">
                  <c:v>-1.84</c:v>
                </c:pt>
                <c:pt idx="884">
                  <c:v>-1.84</c:v>
                </c:pt>
                <c:pt idx="885">
                  <c:v>-1.84</c:v>
                </c:pt>
                <c:pt idx="886">
                  <c:v>-1.84</c:v>
                </c:pt>
                <c:pt idx="887">
                  <c:v>-1.84</c:v>
                </c:pt>
                <c:pt idx="888">
                  <c:v>-1.84</c:v>
                </c:pt>
                <c:pt idx="889">
                  <c:v>-1.84</c:v>
                </c:pt>
                <c:pt idx="890">
                  <c:v>-1.84</c:v>
                </c:pt>
                <c:pt idx="891">
                  <c:v>-1.84</c:v>
                </c:pt>
                <c:pt idx="892">
                  <c:v>-1.84</c:v>
                </c:pt>
                <c:pt idx="893">
                  <c:v>-1.84</c:v>
                </c:pt>
                <c:pt idx="894">
                  <c:v>-1.84</c:v>
                </c:pt>
                <c:pt idx="895">
                  <c:v>-1.84</c:v>
                </c:pt>
                <c:pt idx="896">
                  <c:v>-1.84</c:v>
                </c:pt>
                <c:pt idx="897">
                  <c:v>-1.84</c:v>
                </c:pt>
                <c:pt idx="898">
                  <c:v>-1.84</c:v>
                </c:pt>
                <c:pt idx="899">
                  <c:v>-1.84</c:v>
                </c:pt>
                <c:pt idx="900">
                  <c:v>-1.84</c:v>
                </c:pt>
                <c:pt idx="901">
                  <c:v>-1.84</c:v>
                </c:pt>
                <c:pt idx="902">
                  <c:v>-1.84</c:v>
                </c:pt>
                <c:pt idx="903">
                  <c:v>-1.84</c:v>
                </c:pt>
                <c:pt idx="904">
                  <c:v>-1.84</c:v>
                </c:pt>
                <c:pt idx="905">
                  <c:v>-1.84</c:v>
                </c:pt>
                <c:pt idx="906">
                  <c:v>-1.84</c:v>
                </c:pt>
                <c:pt idx="907">
                  <c:v>-1.84</c:v>
                </c:pt>
                <c:pt idx="908">
                  <c:v>-1.84</c:v>
                </c:pt>
                <c:pt idx="909">
                  <c:v>-1.84</c:v>
                </c:pt>
                <c:pt idx="910">
                  <c:v>-1.84</c:v>
                </c:pt>
                <c:pt idx="911">
                  <c:v>-1.84</c:v>
                </c:pt>
                <c:pt idx="912">
                  <c:v>-1.84</c:v>
                </c:pt>
                <c:pt idx="913">
                  <c:v>-1.84</c:v>
                </c:pt>
                <c:pt idx="914">
                  <c:v>-1.84</c:v>
                </c:pt>
                <c:pt idx="915">
                  <c:v>-1.84</c:v>
                </c:pt>
                <c:pt idx="916">
                  <c:v>-1.84</c:v>
                </c:pt>
                <c:pt idx="917">
                  <c:v>-1.84</c:v>
                </c:pt>
                <c:pt idx="918">
                  <c:v>-1.84</c:v>
                </c:pt>
                <c:pt idx="919">
                  <c:v>-1.84</c:v>
                </c:pt>
                <c:pt idx="920">
                  <c:v>-1.84</c:v>
                </c:pt>
                <c:pt idx="921">
                  <c:v>-1.84</c:v>
                </c:pt>
                <c:pt idx="922">
                  <c:v>-1.84</c:v>
                </c:pt>
                <c:pt idx="923">
                  <c:v>-1.84</c:v>
                </c:pt>
                <c:pt idx="924">
                  <c:v>-1.84</c:v>
                </c:pt>
                <c:pt idx="925">
                  <c:v>-1.84</c:v>
                </c:pt>
                <c:pt idx="926">
                  <c:v>-1.84</c:v>
                </c:pt>
                <c:pt idx="927">
                  <c:v>-1.84</c:v>
                </c:pt>
                <c:pt idx="928">
                  <c:v>-1.84</c:v>
                </c:pt>
                <c:pt idx="929">
                  <c:v>-1.84</c:v>
                </c:pt>
                <c:pt idx="930">
                  <c:v>-1.84</c:v>
                </c:pt>
                <c:pt idx="931">
                  <c:v>-1.84</c:v>
                </c:pt>
                <c:pt idx="932">
                  <c:v>-1.84</c:v>
                </c:pt>
                <c:pt idx="933">
                  <c:v>-1.84</c:v>
                </c:pt>
                <c:pt idx="934">
                  <c:v>-1.84</c:v>
                </c:pt>
                <c:pt idx="935">
                  <c:v>-1.84</c:v>
                </c:pt>
                <c:pt idx="936">
                  <c:v>-1.84</c:v>
                </c:pt>
                <c:pt idx="937">
                  <c:v>-1.84</c:v>
                </c:pt>
                <c:pt idx="938">
                  <c:v>-1.84</c:v>
                </c:pt>
                <c:pt idx="939">
                  <c:v>-1.84</c:v>
                </c:pt>
                <c:pt idx="940">
                  <c:v>-1.84</c:v>
                </c:pt>
                <c:pt idx="941">
                  <c:v>-1.84</c:v>
                </c:pt>
                <c:pt idx="942">
                  <c:v>-1.84</c:v>
                </c:pt>
                <c:pt idx="943">
                  <c:v>-1.84</c:v>
                </c:pt>
                <c:pt idx="944">
                  <c:v>-1.84</c:v>
                </c:pt>
                <c:pt idx="945">
                  <c:v>-1.84</c:v>
                </c:pt>
                <c:pt idx="946">
                  <c:v>-1.84</c:v>
                </c:pt>
                <c:pt idx="947">
                  <c:v>-1.84</c:v>
                </c:pt>
                <c:pt idx="948">
                  <c:v>-1.84</c:v>
                </c:pt>
                <c:pt idx="949">
                  <c:v>-1.84</c:v>
                </c:pt>
                <c:pt idx="950">
                  <c:v>-1.84</c:v>
                </c:pt>
                <c:pt idx="951">
                  <c:v>-1.84</c:v>
                </c:pt>
                <c:pt idx="952">
                  <c:v>-1.84</c:v>
                </c:pt>
                <c:pt idx="953">
                  <c:v>-1.84</c:v>
                </c:pt>
                <c:pt idx="954">
                  <c:v>-1.84</c:v>
                </c:pt>
                <c:pt idx="955">
                  <c:v>-1.84</c:v>
                </c:pt>
                <c:pt idx="956">
                  <c:v>-1.84</c:v>
                </c:pt>
                <c:pt idx="957">
                  <c:v>-1.84</c:v>
                </c:pt>
                <c:pt idx="958">
                  <c:v>-1.84</c:v>
                </c:pt>
                <c:pt idx="959">
                  <c:v>-1.84</c:v>
                </c:pt>
                <c:pt idx="960">
                  <c:v>-1.84</c:v>
                </c:pt>
                <c:pt idx="961">
                  <c:v>-1.84</c:v>
                </c:pt>
                <c:pt idx="962">
                  <c:v>-1.84</c:v>
                </c:pt>
                <c:pt idx="963">
                  <c:v>-1.84</c:v>
                </c:pt>
                <c:pt idx="964">
                  <c:v>-1.84</c:v>
                </c:pt>
                <c:pt idx="965">
                  <c:v>-1.84</c:v>
                </c:pt>
                <c:pt idx="966">
                  <c:v>-1.84</c:v>
                </c:pt>
                <c:pt idx="967">
                  <c:v>-1.84</c:v>
                </c:pt>
                <c:pt idx="968">
                  <c:v>-1.84</c:v>
                </c:pt>
                <c:pt idx="969">
                  <c:v>-1.84</c:v>
                </c:pt>
                <c:pt idx="970">
                  <c:v>-1.84</c:v>
                </c:pt>
                <c:pt idx="971">
                  <c:v>-1.84</c:v>
                </c:pt>
                <c:pt idx="972">
                  <c:v>-1.84</c:v>
                </c:pt>
                <c:pt idx="973">
                  <c:v>-1.84</c:v>
                </c:pt>
                <c:pt idx="974">
                  <c:v>-1.84</c:v>
                </c:pt>
                <c:pt idx="975">
                  <c:v>-1.84</c:v>
                </c:pt>
                <c:pt idx="976">
                  <c:v>-1.84</c:v>
                </c:pt>
                <c:pt idx="977">
                  <c:v>-1.84</c:v>
                </c:pt>
                <c:pt idx="978">
                  <c:v>-1.84</c:v>
                </c:pt>
                <c:pt idx="979">
                  <c:v>-1.84</c:v>
                </c:pt>
                <c:pt idx="980">
                  <c:v>-1.84</c:v>
                </c:pt>
                <c:pt idx="981">
                  <c:v>-1.84</c:v>
                </c:pt>
                <c:pt idx="982">
                  <c:v>-1.84</c:v>
                </c:pt>
                <c:pt idx="983">
                  <c:v>-1.84</c:v>
                </c:pt>
                <c:pt idx="984">
                  <c:v>-1.84</c:v>
                </c:pt>
                <c:pt idx="985">
                  <c:v>-1.84</c:v>
                </c:pt>
                <c:pt idx="986">
                  <c:v>-1.84</c:v>
                </c:pt>
                <c:pt idx="987">
                  <c:v>-1.84</c:v>
                </c:pt>
                <c:pt idx="988">
                  <c:v>-1.84</c:v>
                </c:pt>
                <c:pt idx="989">
                  <c:v>-1.84</c:v>
                </c:pt>
                <c:pt idx="990">
                  <c:v>-1.84</c:v>
                </c:pt>
                <c:pt idx="991">
                  <c:v>-1.84</c:v>
                </c:pt>
                <c:pt idx="992">
                  <c:v>-1.84</c:v>
                </c:pt>
                <c:pt idx="993">
                  <c:v>-1.84</c:v>
                </c:pt>
                <c:pt idx="994">
                  <c:v>-1.84</c:v>
                </c:pt>
                <c:pt idx="995">
                  <c:v>-1.84</c:v>
                </c:pt>
                <c:pt idx="996">
                  <c:v>-1.84</c:v>
                </c:pt>
                <c:pt idx="997">
                  <c:v>-1.84</c:v>
                </c:pt>
                <c:pt idx="998">
                  <c:v>-1.84</c:v>
                </c:pt>
                <c:pt idx="999">
                  <c:v>-1.84</c:v>
                </c:pt>
                <c:pt idx="1000">
                  <c:v>-1.84</c:v>
                </c:pt>
                <c:pt idx="1001">
                  <c:v>-1.84</c:v>
                </c:pt>
                <c:pt idx="1002">
                  <c:v>-1.84</c:v>
                </c:pt>
                <c:pt idx="1003">
                  <c:v>-1.84</c:v>
                </c:pt>
                <c:pt idx="1004">
                  <c:v>-1.84</c:v>
                </c:pt>
                <c:pt idx="1005">
                  <c:v>-1.84</c:v>
                </c:pt>
                <c:pt idx="1006">
                  <c:v>-1.84</c:v>
                </c:pt>
                <c:pt idx="1007">
                  <c:v>-1.84</c:v>
                </c:pt>
                <c:pt idx="1008">
                  <c:v>-1.84</c:v>
                </c:pt>
                <c:pt idx="1009">
                  <c:v>-1.84</c:v>
                </c:pt>
                <c:pt idx="1010">
                  <c:v>-1.84</c:v>
                </c:pt>
                <c:pt idx="1011">
                  <c:v>-1.84</c:v>
                </c:pt>
                <c:pt idx="1012">
                  <c:v>-1.84</c:v>
                </c:pt>
                <c:pt idx="1013">
                  <c:v>-1.84</c:v>
                </c:pt>
                <c:pt idx="1014">
                  <c:v>-1.84</c:v>
                </c:pt>
                <c:pt idx="1015">
                  <c:v>-1.84</c:v>
                </c:pt>
                <c:pt idx="1016">
                  <c:v>-1.84</c:v>
                </c:pt>
                <c:pt idx="1017">
                  <c:v>-1.84</c:v>
                </c:pt>
                <c:pt idx="1018">
                  <c:v>-1.84</c:v>
                </c:pt>
                <c:pt idx="1019">
                  <c:v>-1.84</c:v>
                </c:pt>
                <c:pt idx="1020">
                  <c:v>-1.84</c:v>
                </c:pt>
                <c:pt idx="1021">
                  <c:v>-1.84</c:v>
                </c:pt>
                <c:pt idx="1022">
                  <c:v>-1.84</c:v>
                </c:pt>
                <c:pt idx="1023">
                  <c:v>-1.84</c:v>
                </c:pt>
                <c:pt idx="1024">
                  <c:v>-1.84</c:v>
                </c:pt>
                <c:pt idx="1025">
                  <c:v>-1.84</c:v>
                </c:pt>
                <c:pt idx="1026">
                  <c:v>-1.84</c:v>
                </c:pt>
                <c:pt idx="1027">
                  <c:v>-1.84</c:v>
                </c:pt>
                <c:pt idx="1028">
                  <c:v>-1.84</c:v>
                </c:pt>
                <c:pt idx="1029">
                  <c:v>-1.84</c:v>
                </c:pt>
                <c:pt idx="1030">
                  <c:v>-1.84</c:v>
                </c:pt>
                <c:pt idx="1031">
                  <c:v>-1.84</c:v>
                </c:pt>
                <c:pt idx="1032">
                  <c:v>-1.84</c:v>
                </c:pt>
                <c:pt idx="1033">
                  <c:v>-1.84</c:v>
                </c:pt>
                <c:pt idx="1034">
                  <c:v>-1.84</c:v>
                </c:pt>
                <c:pt idx="1035">
                  <c:v>-1.84</c:v>
                </c:pt>
                <c:pt idx="1036">
                  <c:v>-1.84</c:v>
                </c:pt>
                <c:pt idx="1037">
                  <c:v>-1.84</c:v>
                </c:pt>
                <c:pt idx="1038">
                  <c:v>-1.84</c:v>
                </c:pt>
                <c:pt idx="1039">
                  <c:v>-1.84</c:v>
                </c:pt>
                <c:pt idx="1040">
                  <c:v>-1.84</c:v>
                </c:pt>
                <c:pt idx="1041">
                  <c:v>-1.84</c:v>
                </c:pt>
                <c:pt idx="1042">
                  <c:v>-1.84</c:v>
                </c:pt>
                <c:pt idx="1043">
                  <c:v>-1.84</c:v>
                </c:pt>
                <c:pt idx="1044">
                  <c:v>-1.84</c:v>
                </c:pt>
                <c:pt idx="1045">
                  <c:v>-1.84</c:v>
                </c:pt>
                <c:pt idx="1046">
                  <c:v>-1.84</c:v>
                </c:pt>
                <c:pt idx="1047">
                  <c:v>-1.84</c:v>
                </c:pt>
                <c:pt idx="1048">
                  <c:v>-1.84</c:v>
                </c:pt>
                <c:pt idx="1049">
                  <c:v>-1.84</c:v>
                </c:pt>
                <c:pt idx="1050">
                  <c:v>-1.84</c:v>
                </c:pt>
                <c:pt idx="1051">
                  <c:v>-1.84</c:v>
                </c:pt>
                <c:pt idx="1052">
                  <c:v>-1.84</c:v>
                </c:pt>
                <c:pt idx="1053">
                  <c:v>-1.84</c:v>
                </c:pt>
                <c:pt idx="1054">
                  <c:v>-1.84</c:v>
                </c:pt>
                <c:pt idx="1055">
                  <c:v>-1.84</c:v>
                </c:pt>
                <c:pt idx="1056">
                  <c:v>-1.84</c:v>
                </c:pt>
                <c:pt idx="1057">
                  <c:v>-1.84</c:v>
                </c:pt>
                <c:pt idx="1058">
                  <c:v>-1.84</c:v>
                </c:pt>
                <c:pt idx="1059">
                  <c:v>-1.84</c:v>
                </c:pt>
                <c:pt idx="1060">
                  <c:v>-1.84</c:v>
                </c:pt>
                <c:pt idx="1061">
                  <c:v>-1.84</c:v>
                </c:pt>
                <c:pt idx="1062">
                  <c:v>-1.84</c:v>
                </c:pt>
                <c:pt idx="1063">
                  <c:v>-1.84</c:v>
                </c:pt>
                <c:pt idx="1064">
                  <c:v>-1.84</c:v>
                </c:pt>
                <c:pt idx="1065">
                  <c:v>-1.84</c:v>
                </c:pt>
                <c:pt idx="1066">
                  <c:v>-1.84</c:v>
                </c:pt>
                <c:pt idx="1067">
                  <c:v>-1.84</c:v>
                </c:pt>
                <c:pt idx="1068">
                  <c:v>-1.84</c:v>
                </c:pt>
                <c:pt idx="1069">
                  <c:v>-1.84</c:v>
                </c:pt>
                <c:pt idx="1070">
                  <c:v>-1.84</c:v>
                </c:pt>
                <c:pt idx="1071">
                  <c:v>-1.84</c:v>
                </c:pt>
                <c:pt idx="1072">
                  <c:v>-1.84</c:v>
                </c:pt>
                <c:pt idx="1073">
                  <c:v>-1.84</c:v>
                </c:pt>
                <c:pt idx="1074">
                  <c:v>-1.84</c:v>
                </c:pt>
                <c:pt idx="1075">
                  <c:v>-1.84</c:v>
                </c:pt>
                <c:pt idx="1076">
                  <c:v>-1.84</c:v>
                </c:pt>
                <c:pt idx="1077">
                  <c:v>-1.84</c:v>
                </c:pt>
                <c:pt idx="1078">
                  <c:v>-1.84</c:v>
                </c:pt>
                <c:pt idx="1079">
                  <c:v>-1.84</c:v>
                </c:pt>
                <c:pt idx="1080">
                  <c:v>-1.84</c:v>
                </c:pt>
                <c:pt idx="1081">
                  <c:v>-1.84</c:v>
                </c:pt>
                <c:pt idx="1082">
                  <c:v>-1.84</c:v>
                </c:pt>
                <c:pt idx="1083">
                  <c:v>-1.84</c:v>
                </c:pt>
                <c:pt idx="1084">
                  <c:v>-1.84</c:v>
                </c:pt>
                <c:pt idx="1085">
                  <c:v>-1.84</c:v>
                </c:pt>
                <c:pt idx="1086">
                  <c:v>-1.84</c:v>
                </c:pt>
                <c:pt idx="1087">
                  <c:v>-1.84</c:v>
                </c:pt>
                <c:pt idx="1088">
                  <c:v>-1.84</c:v>
                </c:pt>
                <c:pt idx="1089">
                  <c:v>-1.84</c:v>
                </c:pt>
                <c:pt idx="1090">
                  <c:v>-1.84</c:v>
                </c:pt>
                <c:pt idx="1091">
                  <c:v>-1.84</c:v>
                </c:pt>
                <c:pt idx="1092">
                  <c:v>-1.84</c:v>
                </c:pt>
                <c:pt idx="1093">
                  <c:v>-1.84</c:v>
                </c:pt>
                <c:pt idx="1094">
                  <c:v>-1.84</c:v>
                </c:pt>
                <c:pt idx="1095">
                  <c:v>-1.84</c:v>
                </c:pt>
                <c:pt idx="1096">
                  <c:v>-1.84</c:v>
                </c:pt>
                <c:pt idx="1097">
                  <c:v>-1.84</c:v>
                </c:pt>
                <c:pt idx="1098">
                  <c:v>-1.84</c:v>
                </c:pt>
                <c:pt idx="1099">
                  <c:v>-1.84</c:v>
                </c:pt>
                <c:pt idx="1100">
                  <c:v>-1.84</c:v>
                </c:pt>
                <c:pt idx="1101">
                  <c:v>-1.84</c:v>
                </c:pt>
                <c:pt idx="1102">
                  <c:v>-1.84</c:v>
                </c:pt>
                <c:pt idx="1103">
                  <c:v>-1.84</c:v>
                </c:pt>
                <c:pt idx="1104">
                  <c:v>-1.84</c:v>
                </c:pt>
                <c:pt idx="1105">
                  <c:v>-1.84</c:v>
                </c:pt>
                <c:pt idx="1106">
                  <c:v>-1.84</c:v>
                </c:pt>
                <c:pt idx="1107">
                  <c:v>-1.84</c:v>
                </c:pt>
                <c:pt idx="1108">
                  <c:v>-1.84</c:v>
                </c:pt>
                <c:pt idx="1109">
                  <c:v>-1.84</c:v>
                </c:pt>
                <c:pt idx="1110">
                  <c:v>-1.84</c:v>
                </c:pt>
                <c:pt idx="1111">
                  <c:v>-1.84</c:v>
                </c:pt>
                <c:pt idx="1112">
                  <c:v>-1.84</c:v>
                </c:pt>
                <c:pt idx="1113">
                  <c:v>-1.84</c:v>
                </c:pt>
                <c:pt idx="1114">
                  <c:v>-1.84</c:v>
                </c:pt>
                <c:pt idx="1115">
                  <c:v>-1.84</c:v>
                </c:pt>
                <c:pt idx="1116">
                  <c:v>-1.84</c:v>
                </c:pt>
                <c:pt idx="1117">
                  <c:v>-1.84</c:v>
                </c:pt>
                <c:pt idx="1118">
                  <c:v>-1.84</c:v>
                </c:pt>
                <c:pt idx="1119">
                  <c:v>-1.84</c:v>
                </c:pt>
                <c:pt idx="1120">
                  <c:v>-1.84</c:v>
                </c:pt>
                <c:pt idx="1121">
                  <c:v>-1.84</c:v>
                </c:pt>
                <c:pt idx="1122">
                  <c:v>-1.84</c:v>
                </c:pt>
                <c:pt idx="1123">
                  <c:v>-1.84</c:v>
                </c:pt>
                <c:pt idx="1124">
                  <c:v>-1.84</c:v>
                </c:pt>
                <c:pt idx="1125">
                  <c:v>-1.84</c:v>
                </c:pt>
                <c:pt idx="1126">
                  <c:v>-1.84</c:v>
                </c:pt>
                <c:pt idx="1127">
                  <c:v>-1.84</c:v>
                </c:pt>
                <c:pt idx="1128">
                  <c:v>-1.84</c:v>
                </c:pt>
                <c:pt idx="1129">
                  <c:v>-1.84</c:v>
                </c:pt>
                <c:pt idx="1130">
                  <c:v>-1.84</c:v>
                </c:pt>
                <c:pt idx="1131">
                  <c:v>-1.84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73E-49A9-9C9E-8C700FD02F52}"/>
            </c:ext>
          </c:extLst>
        </c:ser>
        <c:ser>
          <c:idx val="3"/>
          <c:order val="3"/>
          <c:tx>
            <c:strRef>
              <c:f>Plot_Data!$BK$15</c:f>
              <c:strCache>
                <c:ptCount val="1"/>
                <c:pt idx="0">
                  <c:v>Cabin: 25.3 x 3.73 m, aisle 0.50 m</c:v>
                </c:pt>
              </c:strCache>
            </c:strRef>
          </c:tx>
          <c:spPr>
            <a:ln w="18000">
              <a:solidFill>
                <a:srgbClr val="7F7F7F"/>
              </a:solidFill>
              <a:prstDash val="solid"/>
            </a:ln>
          </c:spPr>
          <c:marker>
            <c:symbol val="none"/>
          </c:marker>
          <c:xVal>
            <c:numRef>
              <c:f>Plot_Data!$BA$5:$BA$9</c:f>
              <c:numCache>
                <c:formatCode>0.000</c:formatCode>
                <c:ptCount val="5"/>
                <c:pt idx="0">
                  <c:v>4</c:v>
                </c:pt>
                <c:pt idx="1">
                  <c:v>29.25</c:v>
                </c:pt>
                <c:pt idx="2">
                  <c:v>29.25</c:v>
                </c:pt>
                <c:pt idx="3">
                  <c:v>4</c:v>
                </c:pt>
                <c:pt idx="4">
                  <c:v>4</c:v>
                </c:pt>
              </c:numCache>
            </c:numRef>
          </c:xVal>
          <c:yVal>
            <c:numRef>
              <c:f>Plot_Data!$BB$5:$BB$9</c:f>
              <c:numCache>
                <c:formatCode>0.000</c:formatCode>
                <c:ptCount val="5"/>
                <c:pt idx="0">
                  <c:v>-1.865</c:v>
                </c:pt>
                <c:pt idx="1">
                  <c:v>-1.865</c:v>
                </c:pt>
                <c:pt idx="2">
                  <c:v>1.865</c:v>
                </c:pt>
                <c:pt idx="3">
                  <c:v>1.865</c:v>
                </c:pt>
                <c:pt idx="4">
                  <c:v>-1.865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73E-49A9-9C9E-8C700FD02F52}"/>
            </c:ext>
          </c:extLst>
        </c:ser>
        <c:ser>
          <c:idx val="4"/>
          <c:order val="4"/>
          <c:tx>
            <c:strRef>
              <c:f>Plot_Data!$BK$13</c:f>
              <c:strCache>
                <c:ptCount val="1"/>
                <c:pt idx="0">
                  <c:v>Cockpit: 2 pilot seats, rear bulkhead at x = 4.0 m</c:v>
                </c:pt>
              </c:strCache>
            </c:strRef>
          </c:tx>
          <c:spPr>
            <a:ln w="18000">
              <a:solidFill>
                <a:srgbClr val="7030A0"/>
              </a:solidFill>
              <a:prstDash val="solid"/>
            </a:ln>
          </c:spPr>
          <c:marker>
            <c:symbol val="none"/>
          </c:marker>
          <c:xVal>
            <c:numRef>
              <c:f>Plot_Data!$BQ$5:$BQ$9</c:f>
              <c:numCache>
                <c:formatCode>0.000</c:formatCode>
                <c:ptCount val="5"/>
                <c:pt idx="0">
                  <c:v>2</c:v>
                </c:pt>
                <c:pt idx="1">
                  <c:v>2.6</c:v>
                </c:pt>
                <c:pt idx="2">
                  <c:v>2.6</c:v>
                </c:pt>
                <c:pt idx="3">
                  <c:v>2</c:v>
                </c:pt>
                <c:pt idx="4">
                  <c:v>2</c:v>
                </c:pt>
              </c:numCache>
            </c:numRef>
          </c:xVal>
          <c:yVal>
            <c:numRef>
              <c:f>Plot_Data!$BR$5:$BR$9</c:f>
              <c:numCache>
                <c:formatCode>0.000</c:formatCode>
                <c:ptCount val="5"/>
                <c:pt idx="0">
                  <c:v>-0.8</c:v>
                </c:pt>
                <c:pt idx="1">
                  <c:v>-0.8</c:v>
                </c:pt>
                <c:pt idx="2">
                  <c:v>-0.30000000000000004</c:v>
                </c:pt>
                <c:pt idx="3">
                  <c:v>-0.30000000000000004</c:v>
                </c:pt>
                <c:pt idx="4">
                  <c:v>-0.8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73E-49A9-9C9E-8C700FD02F52}"/>
            </c:ext>
          </c:extLst>
        </c:ser>
        <c:ser>
          <c:idx val="5"/>
          <c:order val="5"/>
          <c:spPr>
            <a:ln w="18000">
              <a:solidFill>
                <a:srgbClr val="7030A0"/>
              </a:solidFill>
              <a:prstDash val="solid"/>
            </a:ln>
          </c:spPr>
          <c:marker>
            <c:symbol val="none"/>
          </c:marker>
          <c:xVal>
            <c:numRef>
              <c:f>Plot_Data!$BQ$11:$BQ$15</c:f>
              <c:numCache>
                <c:formatCode>0.000</c:formatCode>
                <c:ptCount val="5"/>
                <c:pt idx="0">
                  <c:v>2</c:v>
                </c:pt>
                <c:pt idx="1">
                  <c:v>2.6</c:v>
                </c:pt>
                <c:pt idx="2">
                  <c:v>2.6</c:v>
                </c:pt>
                <c:pt idx="3">
                  <c:v>2</c:v>
                </c:pt>
                <c:pt idx="4">
                  <c:v>2</c:v>
                </c:pt>
              </c:numCache>
            </c:numRef>
          </c:xVal>
          <c:yVal>
            <c:numRef>
              <c:f>Plot_Data!$BR$11:$BR$15</c:f>
              <c:numCache>
                <c:formatCode>0.000</c:formatCode>
                <c:ptCount val="5"/>
                <c:pt idx="0">
                  <c:v>0.30000000000000004</c:v>
                </c:pt>
                <c:pt idx="1">
                  <c:v>0.30000000000000004</c:v>
                </c:pt>
                <c:pt idx="2">
                  <c:v>0.8</c:v>
                </c:pt>
                <c:pt idx="3">
                  <c:v>0.8</c:v>
                </c:pt>
                <c:pt idx="4">
                  <c:v>0.30000000000000004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73E-49A9-9C9E-8C700FD02F52}"/>
            </c:ext>
          </c:extLst>
        </c:ser>
        <c:ser>
          <c:idx val="6"/>
          <c:order val="6"/>
          <c:tx>
            <c:strRef>
              <c:f>Plot_Data!$BK$14</c:f>
              <c:strCache>
                <c:ptCount val="1"/>
                <c:pt idx="0">
                  <c:v>Lavatories: 3 (1 front, 2 rear), 1.0 x 1.0 m; door/galley zone 1.5 m each end</c:v>
                </c:pt>
              </c:strCache>
            </c:strRef>
          </c:tx>
          <c:spPr>
            <a:ln w="15000">
              <a:solidFill>
                <a:srgbClr val="008080"/>
              </a:solidFill>
              <a:prstDash val="solid"/>
            </a:ln>
          </c:spPr>
          <c:marker>
            <c:symbol val="none"/>
          </c:marker>
          <c:xVal>
            <c:numRef>
              <c:f>Plot_Data!$CA$5:$CA$12</c:f>
              <c:numCache>
                <c:formatCode>0.000</c:formatCode>
                <c:ptCount val="8"/>
                <c:pt idx="0">
                  <c:v>4</c:v>
                </c:pt>
                <c:pt idx="1">
                  <c:v>5</c:v>
                </c:pt>
                <c:pt idx="2">
                  <c:v>5</c:v>
                </c:pt>
                <c:pt idx="3">
                  <c:v>4</c:v>
                </c:pt>
                <c:pt idx="4">
                  <c:v>4</c:v>
                </c:pt>
                <c:pt idx="5">
                  <c:v>5</c:v>
                </c:pt>
                <c:pt idx="6">
                  <c:v>5</c:v>
                </c:pt>
                <c:pt idx="7">
                  <c:v>4</c:v>
                </c:pt>
              </c:numCache>
            </c:numRef>
          </c:xVal>
          <c:yVal>
            <c:numRef>
              <c:f>Plot_Data!$CB$5:$CB$12</c:f>
              <c:numCache>
                <c:formatCode>0.000</c:formatCode>
                <c:ptCount val="8"/>
                <c:pt idx="0">
                  <c:v>-1.865</c:v>
                </c:pt>
                <c:pt idx="1">
                  <c:v>-1.865</c:v>
                </c:pt>
                <c:pt idx="2">
                  <c:v>-0.86499999999999999</c:v>
                </c:pt>
                <c:pt idx="3">
                  <c:v>-0.86499999999999999</c:v>
                </c:pt>
                <c:pt idx="4">
                  <c:v>-1.865</c:v>
                </c:pt>
                <c:pt idx="5">
                  <c:v>-0.86499999999999999</c:v>
                </c:pt>
                <c:pt idx="6">
                  <c:v>-1.865</c:v>
                </c:pt>
                <c:pt idx="7">
                  <c:v>-0.86499999999999999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73E-49A9-9C9E-8C700FD02F52}"/>
            </c:ext>
          </c:extLst>
        </c:ser>
        <c:ser>
          <c:idx val="7"/>
          <c:order val="7"/>
          <c:spPr>
            <a:ln w="15000">
              <a:solidFill>
                <a:srgbClr val="008080"/>
              </a:solidFill>
              <a:prstDash val="solid"/>
            </a:ln>
          </c:spPr>
          <c:marker>
            <c:symbol val="none"/>
          </c:marker>
          <c:xVal>
            <c:numRef>
              <c:f>Plot_Data!$CA$14:$CA$21</c:f>
              <c:numCache>
                <c:formatCode>0.000</c:formatCode>
                <c:ptCount val="8"/>
                <c:pt idx="0">
                  <c:v>28.25</c:v>
                </c:pt>
                <c:pt idx="1">
                  <c:v>29.25</c:v>
                </c:pt>
                <c:pt idx="2">
                  <c:v>29.25</c:v>
                </c:pt>
                <c:pt idx="3">
                  <c:v>28.25</c:v>
                </c:pt>
                <c:pt idx="4">
                  <c:v>28.25</c:v>
                </c:pt>
                <c:pt idx="5">
                  <c:v>29.25</c:v>
                </c:pt>
                <c:pt idx="6">
                  <c:v>29.25</c:v>
                </c:pt>
                <c:pt idx="7">
                  <c:v>28.25</c:v>
                </c:pt>
              </c:numCache>
            </c:numRef>
          </c:xVal>
          <c:yVal>
            <c:numRef>
              <c:f>Plot_Data!$CB$14:$CB$21</c:f>
              <c:numCache>
                <c:formatCode>0.000</c:formatCode>
                <c:ptCount val="8"/>
                <c:pt idx="0">
                  <c:v>-1.865</c:v>
                </c:pt>
                <c:pt idx="1">
                  <c:v>-1.865</c:v>
                </c:pt>
                <c:pt idx="2">
                  <c:v>-0.86499999999999999</c:v>
                </c:pt>
                <c:pt idx="3">
                  <c:v>-0.86499999999999999</c:v>
                </c:pt>
                <c:pt idx="4">
                  <c:v>-1.865</c:v>
                </c:pt>
                <c:pt idx="5">
                  <c:v>-0.86499999999999999</c:v>
                </c:pt>
                <c:pt idx="6">
                  <c:v>-1.865</c:v>
                </c:pt>
                <c:pt idx="7">
                  <c:v>-0.86499999999999999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73E-49A9-9C9E-8C700FD02F52}"/>
            </c:ext>
          </c:extLst>
        </c:ser>
        <c:ser>
          <c:idx val="8"/>
          <c:order val="8"/>
          <c:spPr>
            <a:ln w="15000">
              <a:solidFill>
                <a:srgbClr val="008080"/>
              </a:solidFill>
              <a:prstDash val="solid"/>
            </a:ln>
          </c:spPr>
          <c:marker>
            <c:symbol val="none"/>
          </c:marker>
          <c:xVal>
            <c:numRef>
              <c:f>Plot_Data!$CA$23:$CA$30</c:f>
              <c:numCache>
                <c:formatCode>0.000</c:formatCode>
                <c:ptCount val="8"/>
                <c:pt idx="0">
                  <c:v>28.25</c:v>
                </c:pt>
                <c:pt idx="1">
                  <c:v>29.25</c:v>
                </c:pt>
                <c:pt idx="2">
                  <c:v>29.25</c:v>
                </c:pt>
                <c:pt idx="3">
                  <c:v>28.25</c:v>
                </c:pt>
                <c:pt idx="4">
                  <c:v>28.25</c:v>
                </c:pt>
                <c:pt idx="5">
                  <c:v>29.25</c:v>
                </c:pt>
                <c:pt idx="6">
                  <c:v>29.25</c:v>
                </c:pt>
                <c:pt idx="7">
                  <c:v>28.25</c:v>
                </c:pt>
              </c:numCache>
            </c:numRef>
          </c:xVal>
          <c:yVal>
            <c:numRef>
              <c:f>Plot_Data!$CB$23:$CB$30</c:f>
              <c:numCache>
                <c:formatCode>0.000</c:formatCode>
                <c:ptCount val="8"/>
                <c:pt idx="0">
                  <c:v>0.86499999999999999</c:v>
                </c:pt>
                <c:pt idx="1">
                  <c:v>0.86499999999999999</c:v>
                </c:pt>
                <c:pt idx="2">
                  <c:v>1.865</c:v>
                </c:pt>
                <c:pt idx="3">
                  <c:v>1.865</c:v>
                </c:pt>
                <c:pt idx="4">
                  <c:v>0.86499999999999999</c:v>
                </c:pt>
                <c:pt idx="5">
                  <c:v>1.865</c:v>
                </c:pt>
                <c:pt idx="6">
                  <c:v>0.86499999999999999</c:v>
                </c:pt>
                <c:pt idx="7">
                  <c:v>1.865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D73E-49A9-9C9E-8C700FD02F52}"/>
            </c:ext>
          </c:extLst>
        </c:ser>
        <c:ser>
          <c:idx val="9"/>
          <c:order val="9"/>
          <c:spPr>
            <a:ln w="15000">
              <a:solidFill>
                <a:srgbClr val="008080"/>
              </a:solidFill>
              <a:prstDash val="solid"/>
            </a:ln>
          </c:spPr>
          <c:marker>
            <c:symbol val="none"/>
          </c:marker>
          <c:xVal>
            <c:numRef>
              <c:f>Plot_Data!$CA$32:$CA$39</c:f>
              <c:numCache>
                <c:formatCode>0.000</c:formatCode>
                <c:ptCount val="8"/>
                <c:pt idx="0">
                  <c:v>28.25</c:v>
                </c:pt>
                <c:pt idx="1">
                  <c:v>29.25</c:v>
                </c:pt>
                <c:pt idx="2">
                  <c:v>29.25</c:v>
                </c:pt>
                <c:pt idx="3">
                  <c:v>28.25</c:v>
                </c:pt>
                <c:pt idx="4">
                  <c:v>28.25</c:v>
                </c:pt>
                <c:pt idx="5">
                  <c:v>29.25</c:v>
                </c:pt>
                <c:pt idx="6">
                  <c:v>29.25</c:v>
                </c:pt>
                <c:pt idx="7">
                  <c:v>28.25</c:v>
                </c:pt>
              </c:numCache>
            </c:numRef>
          </c:xVal>
          <c:yVal>
            <c:numRef>
              <c:f>Plot_Data!$CB$32:$CB$39</c:f>
              <c:numCache>
                <c:formatCode>0.000</c:formatCode>
                <c:ptCount val="8"/>
                <c:pt idx="0">
                  <c:v>0.86499999999999999</c:v>
                </c:pt>
                <c:pt idx="1">
                  <c:v>0.86499999999999999</c:v>
                </c:pt>
                <c:pt idx="2">
                  <c:v>1.865</c:v>
                </c:pt>
                <c:pt idx="3">
                  <c:v>1.865</c:v>
                </c:pt>
                <c:pt idx="4">
                  <c:v>0.86499999999999999</c:v>
                </c:pt>
                <c:pt idx="5">
                  <c:v>1.865</c:v>
                </c:pt>
                <c:pt idx="6">
                  <c:v>0.86499999999999999</c:v>
                </c:pt>
                <c:pt idx="7">
                  <c:v>1.865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73E-49A9-9C9E-8C700FD02F52}"/>
            </c:ext>
          </c:extLst>
        </c:ser>
        <c:ser>
          <c:idx val="10"/>
          <c:order val="10"/>
          <c:spPr>
            <a:ln w="15000">
              <a:solidFill>
                <a:srgbClr val="008080"/>
              </a:solidFill>
              <a:prstDash val="solid"/>
            </a:ln>
          </c:spPr>
          <c:marker>
            <c:symbol val="none"/>
          </c:marker>
          <c:xVal>
            <c:numRef>
              <c:f>Plot_Data!$CA$41:$CA$48</c:f>
              <c:numCache>
                <c:formatCode>0.000</c:formatCode>
                <c:ptCount val="8"/>
                <c:pt idx="0">
                  <c:v>28.25</c:v>
                </c:pt>
                <c:pt idx="1">
                  <c:v>29.25</c:v>
                </c:pt>
                <c:pt idx="2">
                  <c:v>29.25</c:v>
                </c:pt>
                <c:pt idx="3">
                  <c:v>28.25</c:v>
                </c:pt>
                <c:pt idx="4">
                  <c:v>28.25</c:v>
                </c:pt>
                <c:pt idx="5">
                  <c:v>29.25</c:v>
                </c:pt>
                <c:pt idx="6">
                  <c:v>29.25</c:v>
                </c:pt>
                <c:pt idx="7">
                  <c:v>28.25</c:v>
                </c:pt>
              </c:numCache>
            </c:numRef>
          </c:xVal>
          <c:yVal>
            <c:numRef>
              <c:f>Plot_Data!$CB$41:$CB$48</c:f>
              <c:numCache>
                <c:formatCode>0.000</c:formatCode>
                <c:ptCount val="8"/>
                <c:pt idx="0">
                  <c:v>0.86499999999999999</c:v>
                </c:pt>
                <c:pt idx="1">
                  <c:v>0.86499999999999999</c:v>
                </c:pt>
                <c:pt idx="2">
                  <c:v>1.865</c:v>
                </c:pt>
                <c:pt idx="3">
                  <c:v>1.865</c:v>
                </c:pt>
                <c:pt idx="4">
                  <c:v>0.86499999999999999</c:v>
                </c:pt>
                <c:pt idx="5">
                  <c:v>1.865</c:v>
                </c:pt>
                <c:pt idx="6">
                  <c:v>0.86499999999999999</c:v>
                </c:pt>
                <c:pt idx="7">
                  <c:v>1.865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D73E-49A9-9C9E-8C700FD02F52}"/>
            </c:ext>
          </c:extLst>
        </c:ser>
        <c:ser>
          <c:idx val="11"/>
          <c:order val="11"/>
          <c:spPr>
            <a:ln w="15000">
              <a:solidFill>
                <a:srgbClr val="008080"/>
              </a:solidFill>
              <a:prstDash val="solid"/>
            </a:ln>
          </c:spPr>
          <c:marker>
            <c:symbol val="none"/>
          </c:marker>
          <c:xVal>
            <c:numRef>
              <c:f>Plot_Data!$CA$50:$CA$57</c:f>
              <c:numCache>
                <c:formatCode>0.000</c:formatCode>
                <c:ptCount val="8"/>
                <c:pt idx="0">
                  <c:v>28.25</c:v>
                </c:pt>
                <c:pt idx="1">
                  <c:v>29.25</c:v>
                </c:pt>
                <c:pt idx="2">
                  <c:v>29.25</c:v>
                </c:pt>
                <c:pt idx="3">
                  <c:v>28.25</c:v>
                </c:pt>
                <c:pt idx="4">
                  <c:v>28.25</c:v>
                </c:pt>
                <c:pt idx="5">
                  <c:v>29.25</c:v>
                </c:pt>
                <c:pt idx="6">
                  <c:v>29.25</c:v>
                </c:pt>
                <c:pt idx="7">
                  <c:v>28.25</c:v>
                </c:pt>
              </c:numCache>
            </c:numRef>
          </c:xVal>
          <c:yVal>
            <c:numRef>
              <c:f>Plot_Data!$CB$50:$CB$57</c:f>
              <c:numCache>
                <c:formatCode>0.000</c:formatCode>
                <c:ptCount val="8"/>
                <c:pt idx="0">
                  <c:v>0.86499999999999999</c:v>
                </c:pt>
                <c:pt idx="1">
                  <c:v>0.86499999999999999</c:v>
                </c:pt>
                <c:pt idx="2">
                  <c:v>1.865</c:v>
                </c:pt>
                <c:pt idx="3">
                  <c:v>1.865</c:v>
                </c:pt>
                <c:pt idx="4">
                  <c:v>0.86499999999999999</c:v>
                </c:pt>
                <c:pt idx="5">
                  <c:v>1.865</c:v>
                </c:pt>
                <c:pt idx="6">
                  <c:v>0.86499999999999999</c:v>
                </c:pt>
                <c:pt idx="7">
                  <c:v>1.865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D73E-49A9-9C9E-8C700FD02F52}"/>
            </c:ext>
          </c:extLst>
        </c:ser>
        <c:ser>
          <c:idx val="12"/>
          <c:order val="12"/>
          <c:spPr>
            <a:ln w="15000">
              <a:solidFill>
                <a:srgbClr val="008080"/>
              </a:solidFill>
              <a:prstDash val="solid"/>
            </a:ln>
          </c:spPr>
          <c:marker>
            <c:symbol val="none"/>
          </c:marker>
          <c:xVal>
            <c:numRef>
              <c:f>Plot_Data!$CA$59:$CA$66</c:f>
              <c:numCache>
                <c:formatCode>0.000</c:formatCode>
                <c:ptCount val="8"/>
                <c:pt idx="0">
                  <c:v>28.25</c:v>
                </c:pt>
                <c:pt idx="1">
                  <c:v>29.25</c:v>
                </c:pt>
                <c:pt idx="2">
                  <c:v>29.25</c:v>
                </c:pt>
                <c:pt idx="3">
                  <c:v>28.25</c:v>
                </c:pt>
                <c:pt idx="4">
                  <c:v>28.25</c:v>
                </c:pt>
                <c:pt idx="5">
                  <c:v>29.25</c:v>
                </c:pt>
                <c:pt idx="6">
                  <c:v>29.25</c:v>
                </c:pt>
                <c:pt idx="7">
                  <c:v>28.25</c:v>
                </c:pt>
              </c:numCache>
            </c:numRef>
          </c:xVal>
          <c:yVal>
            <c:numRef>
              <c:f>Plot_Data!$CB$59:$CB$66</c:f>
              <c:numCache>
                <c:formatCode>0.000</c:formatCode>
                <c:ptCount val="8"/>
                <c:pt idx="0">
                  <c:v>0.86499999999999999</c:v>
                </c:pt>
                <c:pt idx="1">
                  <c:v>0.86499999999999999</c:v>
                </c:pt>
                <c:pt idx="2">
                  <c:v>1.865</c:v>
                </c:pt>
                <c:pt idx="3">
                  <c:v>1.865</c:v>
                </c:pt>
                <c:pt idx="4">
                  <c:v>0.86499999999999999</c:v>
                </c:pt>
                <c:pt idx="5">
                  <c:v>1.865</c:v>
                </c:pt>
                <c:pt idx="6">
                  <c:v>0.86499999999999999</c:v>
                </c:pt>
                <c:pt idx="7">
                  <c:v>1.865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D73E-49A9-9C9E-8C700FD02F52}"/>
            </c:ext>
          </c:extLst>
        </c:ser>
        <c:ser>
          <c:idx val="13"/>
          <c:order val="13"/>
          <c:spPr>
            <a:ln w="15000">
              <a:solidFill>
                <a:srgbClr val="008080"/>
              </a:solidFill>
              <a:prstDash val="solid"/>
            </a:ln>
          </c:spPr>
          <c:marker>
            <c:symbol val="none"/>
          </c:marker>
          <c:xVal>
            <c:numRef>
              <c:f>Plot_Data!$CA$68:$CA$75</c:f>
              <c:numCache>
                <c:formatCode>0.000</c:formatCode>
                <c:ptCount val="8"/>
                <c:pt idx="0">
                  <c:v>28.25</c:v>
                </c:pt>
                <c:pt idx="1">
                  <c:v>29.25</c:v>
                </c:pt>
                <c:pt idx="2">
                  <c:v>29.25</c:v>
                </c:pt>
                <c:pt idx="3">
                  <c:v>28.25</c:v>
                </c:pt>
                <c:pt idx="4">
                  <c:v>28.25</c:v>
                </c:pt>
                <c:pt idx="5">
                  <c:v>29.25</c:v>
                </c:pt>
                <c:pt idx="6">
                  <c:v>29.25</c:v>
                </c:pt>
                <c:pt idx="7">
                  <c:v>28.25</c:v>
                </c:pt>
              </c:numCache>
            </c:numRef>
          </c:xVal>
          <c:yVal>
            <c:numRef>
              <c:f>Plot_Data!$CB$68:$CB$75</c:f>
              <c:numCache>
                <c:formatCode>0.000</c:formatCode>
                <c:ptCount val="8"/>
                <c:pt idx="0">
                  <c:v>0.86499999999999999</c:v>
                </c:pt>
                <c:pt idx="1">
                  <c:v>0.86499999999999999</c:v>
                </c:pt>
                <c:pt idx="2">
                  <c:v>1.865</c:v>
                </c:pt>
                <c:pt idx="3">
                  <c:v>1.865</c:v>
                </c:pt>
                <c:pt idx="4">
                  <c:v>0.86499999999999999</c:v>
                </c:pt>
                <c:pt idx="5">
                  <c:v>1.865</c:v>
                </c:pt>
                <c:pt idx="6">
                  <c:v>0.86499999999999999</c:v>
                </c:pt>
                <c:pt idx="7">
                  <c:v>1.865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D73E-49A9-9C9E-8C700FD02F52}"/>
            </c:ext>
          </c:extLst>
        </c:ser>
        <c:ser>
          <c:idx val="14"/>
          <c:order val="14"/>
          <c:spPr>
            <a:ln w="15000">
              <a:solidFill>
                <a:srgbClr val="008080"/>
              </a:solidFill>
              <a:prstDash val="solid"/>
            </a:ln>
          </c:spPr>
          <c:marker>
            <c:symbol val="none"/>
          </c:marker>
          <c:xVal>
            <c:numRef>
              <c:f>Plot_Data!$CA$77:$CA$84</c:f>
              <c:numCache>
                <c:formatCode>0.000</c:formatCode>
                <c:ptCount val="8"/>
                <c:pt idx="0">
                  <c:v>28.25</c:v>
                </c:pt>
                <c:pt idx="1">
                  <c:v>29.25</c:v>
                </c:pt>
                <c:pt idx="2">
                  <c:v>29.25</c:v>
                </c:pt>
                <c:pt idx="3">
                  <c:v>28.25</c:v>
                </c:pt>
                <c:pt idx="4">
                  <c:v>28.25</c:v>
                </c:pt>
                <c:pt idx="5">
                  <c:v>29.25</c:v>
                </c:pt>
                <c:pt idx="6">
                  <c:v>29.25</c:v>
                </c:pt>
                <c:pt idx="7">
                  <c:v>28.25</c:v>
                </c:pt>
              </c:numCache>
            </c:numRef>
          </c:xVal>
          <c:yVal>
            <c:numRef>
              <c:f>Plot_Data!$CB$77:$CB$84</c:f>
              <c:numCache>
                <c:formatCode>0.000</c:formatCode>
                <c:ptCount val="8"/>
                <c:pt idx="0">
                  <c:v>0.86499999999999999</c:v>
                </c:pt>
                <c:pt idx="1">
                  <c:v>0.86499999999999999</c:v>
                </c:pt>
                <c:pt idx="2">
                  <c:v>1.865</c:v>
                </c:pt>
                <c:pt idx="3">
                  <c:v>1.865</c:v>
                </c:pt>
                <c:pt idx="4">
                  <c:v>0.86499999999999999</c:v>
                </c:pt>
                <c:pt idx="5">
                  <c:v>1.865</c:v>
                </c:pt>
                <c:pt idx="6">
                  <c:v>0.86499999999999999</c:v>
                </c:pt>
                <c:pt idx="7">
                  <c:v>1.865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D73E-49A9-9C9E-8C700FD02F52}"/>
            </c:ext>
          </c:extLst>
        </c:ser>
        <c:ser>
          <c:idx val="15"/>
          <c:order val="15"/>
          <c:spPr>
            <a:ln w="15000">
              <a:solidFill>
                <a:srgbClr val="008080"/>
              </a:solidFill>
              <a:prstDash val="solid"/>
            </a:ln>
          </c:spPr>
          <c:marker>
            <c:symbol val="none"/>
          </c:marker>
          <c:xVal>
            <c:numRef>
              <c:f>Plot_Data!$CA$86:$CA$93</c:f>
              <c:numCache>
                <c:formatCode>0.000</c:formatCode>
                <c:ptCount val="8"/>
                <c:pt idx="0">
                  <c:v>28.25</c:v>
                </c:pt>
                <c:pt idx="1">
                  <c:v>29.25</c:v>
                </c:pt>
                <c:pt idx="2">
                  <c:v>29.25</c:v>
                </c:pt>
                <c:pt idx="3">
                  <c:v>28.25</c:v>
                </c:pt>
                <c:pt idx="4">
                  <c:v>28.25</c:v>
                </c:pt>
                <c:pt idx="5">
                  <c:v>29.25</c:v>
                </c:pt>
                <c:pt idx="6">
                  <c:v>29.25</c:v>
                </c:pt>
                <c:pt idx="7">
                  <c:v>28.25</c:v>
                </c:pt>
              </c:numCache>
            </c:numRef>
          </c:xVal>
          <c:yVal>
            <c:numRef>
              <c:f>Plot_Data!$CB$86:$CB$93</c:f>
              <c:numCache>
                <c:formatCode>0.000</c:formatCode>
                <c:ptCount val="8"/>
                <c:pt idx="0">
                  <c:v>0.86499999999999999</c:v>
                </c:pt>
                <c:pt idx="1">
                  <c:v>0.86499999999999999</c:v>
                </c:pt>
                <c:pt idx="2">
                  <c:v>1.865</c:v>
                </c:pt>
                <c:pt idx="3">
                  <c:v>1.865</c:v>
                </c:pt>
                <c:pt idx="4">
                  <c:v>0.86499999999999999</c:v>
                </c:pt>
                <c:pt idx="5">
                  <c:v>1.865</c:v>
                </c:pt>
                <c:pt idx="6">
                  <c:v>0.86499999999999999</c:v>
                </c:pt>
                <c:pt idx="7">
                  <c:v>1.865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D73E-49A9-9C9E-8C700FD02F52}"/>
            </c:ext>
          </c:extLst>
        </c:ser>
        <c:ser>
          <c:idx val="16"/>
          <c:order val="16"/>
          <c:spPr>
            <a:ln w="15000">
              <a:solidFill>
                <a:srgbClr val="008080"/>
              </a:solidFill>
              <a:prstDash val="solid"/>
            </a:ln>
          </c:spPr>
          <c:marker>
            <c:symbol val="none"/>
          </c:marker>
          <c:xVal>
            <c:numRef>
              <c:f>Plot_Data!$CA$95:$CA$102</c:f>
              <c:numCache>
                <c:formatCode>0.000</c:formatCode>
                <c:ptCount val="8"/>
                <c:pt idx="0">
                  <c:v>28.25</c:v>
                </c:pt>
                <c:pt idx="1">
                  <c:v>29.25</c:v>
                </c:pt>
                <c:pt idx="2">
                  <c:v>29.25</c:v>
                </c:pt>
                <c:pt idx="3">
                  <c:v>28.25</c:v>
                </c:pt>
                <c:pt idx="4">
                  <c:v>28.25</c:v>
                </c:pt>
                <c:pt idx="5">
                  <c:v>29.25</c:v>
                </c:pt>
                <c:pt idx="6">
                  <c:v>29.25</c:v>
                </c:pt>
                <c:pt idx="7">
                  <c:v>28.25</c:v>
                </c:pt>
              </c:numCache>
            </c:numRef>
          </c:xVal>
          <c:yVal>
            <c:numRef>
              <c:f>Plot_Data!$CB$95:$CB$102</c:f>
              <c:numCache>
                <c:formatCode>0.000</c:formatCode>
                <c:ptCount val="8"/>
                <c:pt idx="0">
                  <c:v>0.86499999999999999</c:v>
                </c:pt>
                <c:pt idx="1">
                  <c:v>0.86499999999999999</c:v>
                </c:pt>
                <c:pt idx="2">
                  <c:v>1.865</c:v>
                </c:pt>
                <c:pt idx="3">
                  <c:v>1.865</c:v>
                </c:pt>
                <c:pt idx="4">
                  <c:v>0.86499999999999999</c:v>
                </c:pt>
                <c:pt idx="5">
                  <c:v>1.865</c:v>
                </c:pt>
                <c:pt idx="6">
                  <c:v>0.86499999999999999</c:v>
                </c:pt>
                <c:pt idx="7">
                  <c:v>1.865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D73E-49A9-9C9E-8C700FD02F52}"/>
            </c:ext>
          </c:extLst>
        </c:ser>
        <c:ser>
          <c:idx val="17"/>
          <c:order val="17"/>
          <c:spPr>
            <a:ln w="15000">
              <a:solidFill>
                <a:srgbClr val="008080"/>
              </a:solidFill>
              <a:prstDash val="solid"/>
            </a:ln>
          </c:spPr>
          <c:marker>
            <c:symbol val="none"/>
          </c:marker>
          <c:xVal>
            <c:numRef>
              <c:f>Plot_Data!$CA$104:$CA$111</c:f>
              <c:numCache>
                <c:formatCode>0.000</c:formatCode>
                <c:ptCount val="8"/>
                <c:pt idx="0">
                  <c:v>28.25</c:v>
                </c:pt>
                <c:pt idx="1">
                  <c:v>29.25</c:v>
                </c:pt>
                <c:pt idx="2">
                  <c:v>29.25</c:v>
                </c:pt>
                <c:pt idx="3">
                  <c:v>28.25</c:v>
                </c:pt>
                <c:pt idx="4">
                  <c:v>28.25</c:v>
                </c:pt>
                <c:pt idx="5">
                  <c:v>29.25</c:v>
                </c:pt>
                <c:pt idx="6">
                  <c:v>29.25</c:v>
                </c:pt>
                <c:pt idx="7">
                  <c:v>28.25</c:v>
                </c:pt>
              </c:numCache>
            </c:numRef>
          </c:xVal>
          <c:yVal>
            <c:numRef>
              <c:f>Plot_Data!$CB$104:$CB$111</c:f>
              <c:numCache>
                <c:formatCode>0.000</c:formatCode>
                <c:ptCount val="8"/>
                <c:pt idx="0">
                  <c:v>0.86499999999999999</c:v>
                </c:pt>
                <c:pt idx="1">
                  <c:v>0.86499999999999999</c:v>
                </c:pt>
                <c:pt idx="2">
                  <c:v>1.865</c:v>
                </c:pt>
                <c:pt idx="3">
                  <c:v>1.865</c:v>
                </c:pt>
                <c:pt idx="4">
                  <c:v>0.86499999999999999</c:v>
                </c:pt>
                <c:pt idx="5">
                  <c:v>1.865</c:v>
                </c:pt>
                <c:pt idx="6">
                  <c:v>0.86499999999999999</c:v>
                </c:pt>
                <c:pt idx="7">
                  <c:v>1.865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D73E-49A9-9C9E-8C700FD02F52}"/>
            </c:ext>
          </c:extLst>
        </c:ser>
        <c:ser>
          <c:idx val="18"/>
          <c:order val="18"/>
          <c:tx>
            <c:v>Exits (doors and overwing)</c:v>
          </c:tx>
          <c:spPr>
            <a:ln>
              <a:noFill/>
              <a:prstDash val="solid"/>
            </a:ln>
          </c:spPr>
          <c:marker>
            <c:symbol val="triangle"/>
            <c:size val="9"/>
            <c:spPr>
              <a:solidFill>
                <a:srgbClr val="C00000"/>
              </a:solidFill>
              <a:ln>
                <a:solidFill>
                  <a:srgbClr val="C00000"/>
                </a:solidFill>
                <a:prstDash val="solid"/>
              </a:ln>
            </c:spPr>
          </c:marker>
          <c:xVal>
            <c:numRef>
              <c:f>Plot_Data!$ER$5:$ER$20</c:f>
              <c:numCache>
                <c:formatCode>0.000</c:formatCode>
                <c:ptCount val="16"/>
                <c:pt idx="0">
                  <c:v>5.75</c:v>
                </c:pt>
                <c:pt idx="1">
                  <c:v>5.75</c:v>
                </c:pt>
                <c:pt idx="2">
                  <c:v>27.5</c:v>
                </c:pt>
                <c:pt idx="3">
                  <c:v>27.5</c:v>
                </c:pt>
                <c:pt idx="4">
                  <c:v>15.072319056342494</c:v>
                </c:pt>
                <c:pt idx="5">
                  <c:v>15.072319056342494</c:v>
                </c:pt>
                <c:pt idx="6">
                  <c:v>15.882319056342492</c:v>
                </c:pt>
                <c:pt idx="7">
                  <c:v>15.882319056342492</c:v>
                </c:pt>
                <c:pt idx="8">
                  <c:v>5.75</c:v>
                </c:pt>
                <c:pt idx="9">
                  <c:v>5.75</c:v>
                </c:pt>
                <c:pt idx="10">
                  <c:v>5.75</c:v>
                </c:pt>
                <c:pt idx="11">
                  <c:v>5.75</c:v>
                </c:pt>
                <c:pt idx="12">
                  <c:v>5.75</c:v>
                </c:pt>
                <c:pt idx="13">
                  <c:v>5.75</c:v>
                </c:pt>
                <c:pt idx="14">
                  <c:v>5.75</c:v>
                </c:pt>
                <c:pt idx="15">
                  <c:v>5.75</c:v>
                </c:pt>
              </c:numCache>
            </c:numRef>
          </c:xVal>
          <c:yVal>
            <c:numRef>
              <c:f>Plot_Data!$ES$5:$ES$20</c:f>
              <c:numCache>
                <c:formatCode>0.000</c:formatCode>
                <c:ptCount val="16"/>
                <c:pt idx="0">
                  <c:v>-1.865</c:v>
                </c:pt>
                <c:pt idx="1">
                  <c:v>1.865</c:v>
                </c:pt>
                <c:pt idx="2">
                  <c:v>-1.865</c:v>
                </c:pt>
                <c:pt idx="3">
                  <c:v>1.865</c:v>
                </c:pt>
                <c:pt idx="4">
                  <c:v>-1.865</c:v>
                </c:pt>
                <c:pt idx="5">
                  <c:v>1.865</c:v>
                </c:pt>
                <c:pt idx="6">
                  <c:v>-1.865</c:v>
                </c:pt>
                <c:pt idx="7">
                  <c:v>1.865</c:v>
                </c:pt>
                <c:pt idx="8">
                  <c:v>-1.865</c:v>
                </c:pt>
                <c:pt idx="9">
                  <c:v>1.865</c:v>
                </c:pt>
                <c:pt idx="10">
                  <c:v>-1.865</c:v>
                </c:pt>
                <c:pt idx="11">
                  <c:v>1.865</c:v>
                </c:pt>
                <c:pt idx="12">
                  <c:v>-1.865</c:v>
                </c:pt>
                <c:pt idx="13">
                  <c:v>1.865</c:v>
                </c:pt>
                <c:pt idx="14">
                  <c:v>-1.865</c:v>
                </c:pt>
                <c:pt idx="15">
                  <c:v>1.865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D73E-49A9-9C9E-8C700FD02F52}"/>
            </c:ext>
          </c:extLst>
        </c:ser>
        <c:ser>
          <c:idx val="19"/>
          <c:order val="19"/>
          <c:tx>
            <c:v>Galleys</c:v>
          </c:tx>
          <c:spPr>
            <a:ln w="18000">
              <a:solidFill>
                <a:srgbClr val="7B4B2A"/>
              </a:solidFill>
              <a:prstDash val="solid"/>
            </a:ln>
          </c:spPr>
          <c:marker>
            <c:symbol val="none"/>
          </c:marker>
          <c:xVal>
            <c:numRef>
              <c:f>Plot_Data!$ET$5:$ET$9</c:f>
              <c:numCache>
                <c:formatCode>0.000</c:formatCode>
                <c:ptCount val="5"/>
                <c:pt idx="0">
                  <c:v>5</c:v>
                </c:pt>
                <c:pt idx="1">
                  <c:v>5.6</c:v>
                </c:pt>
                <c:pt idx="2">
                  <c:v>5.6</c:v>
                </c:pt>
                <c:pt idx="3">
                  <c:v>5</c:v>
                </c:pt>
                <c:pt idx="4">
                  <c:v>5</c:v>
                </c:pt>
              </c:numCache>
            </c:numRef>
          </c:xVal>
          <c:yVal>
            <c:numRef>
              <c:f>Plot_Data!$EU$5:$EU$9</c:f>
              <c:numCache>
                <c:formatCode>0.000</c:formatCode>
                <c:ptCount val="5"/>
                <c:pt idx="0">
                  <c:v>0.2649999999999999</c:v>
                </c:pt>
                <c:pt idx="1">
                  <c:v>0.2649999999999999</c:v>
                </c:pt>
                <c:pt idx="2">
                  <c:v>1.865</c:v>
                </c:pt>
                <c:pt idx="3">
                  <c:v>1.865</c:v>
                </c:pt>
                <c:pt idx="4">
                  <c:v>0.2649999999999999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D73E-49A9-9C9E-8C700FD02F52}"/>
            </c:ext>
          </c:extLst>
        </c:ser>
        <c:ser>
          <c:idx val="20"/>
          <c:order val="20"/>
          <c:spPr>
            <a:ln w="18000">
              <a:solidFill>
                <a:srgbClr val="7B4B2A"/>
              </a:solidFill>
              <a:prstDash val="solid"/>
            </a:ln>
          </c:spPr>
          <c:marker>
            <c:symbol val="none"/>
          </c:marker>
          <c:xVal>
            <c:numRef>
              <c:f>Plot_Data!$ET$11:$ET$15</c:f>
              <c:numCache>
                <c:formatCode>0.000</c:formatCode>
                <c:ptCount val="5"/>
                <c:pt idx="0">
                  <c:v>27.65</c:v>
                </c:pt>
                <c:pt idx="1">
                  <c:v>28.25</c:v>
                </c:pt>
                <c:pt idx="2">
                  <c:v>28.25</c:v>
                </c:pt>
                <c:pt idx="3">
                  <c:v>27.65</c:v>
                </c:pt>
                <c:pt idx="4">
                  <c:v>27.65</c:v>
                </c:pt>
              </c:numCache>
            </c:numRef>
          </c:xVal>
          <c:yVal>
            <c:numRef>
              <c:f>Plot_Data!$EU$11:$EU$15</c:f>
              <c:numCache>
                <c:formatCode>0.000</c:formatCode>
                <c:ptCount val="5"/>
                <c:pt idx="0">
                  <c:v>-1.865</c:v>
                </c:pt>
                <c:pt idx="1">
                  <c:v>-1.865</c:v>
                </c:pt>
                <c:pt idx="2">
                  <c:v>-0.2649999999999999</c:v>
                </c:pt>
                <c:pt idx="3">
                  <c:v>-0.2649999999999999</c:v>
                </c:pt>
                <c:pt idx="4">
                  <c:v>-1.865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D73E-49A9-9C9E-8C700FD02F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x from nose (m)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low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y (m)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low"/>
        <c:crossAx val="10"/>
        <c:crosses val="autoZero"/>
        <c:crossBetween val="midCat"/>
      </c:valAx>
    </c:plotArea>
    <c:legend>
      <c:legendPos val="b"/>
      <c:legendEntry>
        <c:idx val="5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egendEntry>
        <c:idx val="14"/>
        <c:delete val="1"/>
      </c:legendEntry>
      <c:legendEntry>
        <c:idx val="15"/>
        <c:delete val="1"/>
      </c:legendEntry>
      <c:legendEntry>
        <c:idx val="16"/>
        <c:delete val="1"/>
      </c:legendEntry>
      <c:legendEntry>
        <c:idx val="17"/>
        <c:delete val="1"/>
      </c:legendEntry>
      <c:legendEntry>
        <c:idx val="20"/>
        <c:delete val="1"/>
      </c:legendEntry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Side view - fuselage outline, tail, engines and landing gear (to scale)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0000000000000007E-2"/>
          <c:y val="0.09"/>
          <c:w val="0.54923076923076919"/>
          <c:h val="0.84"/>
        </c:manualLayout>
      </c:layout>
      <c:scatterChart>
        <c:scatterStyle val="lineMarker"/>
        <c:varyColors val="0"/>
        <c:ser>
          <c:idx val="0"/>
          <c:order val="0"/>
          <c:spPr>
            <a:ln>
              <a:noFill/>
              <a:prstDash val="solid"/>
            </a:ln>
          </c:spPr>
          <c:marker>
            <c:symbol val="none"/>
          </c:marker>
          <c:xVal>
            <c:numRef>
              <c:f>Plot_Data!$AS$5:$AS$6</c:f>
              <c:numCache>
                <c:formatCode>0.000</c:formatCode>
                <c:ptCount val="2"/>
                <c:pt idx="0">
                  <c:v>-19.591528</c:v>
                </c:pt>
                <c:pt idx="1">
                  <c:v>19.591528</c:v>
                </c:pt>
              </c:numCache>
            </c:numRef>
          </c:xVal>
          <c:yVal>
            <c:numRef>
              <c:f>Plot_Data!$AT$5:$AT$6</c:f>
              <c:numCache>
                <c:formatCode>0.000</c:formatCode>
                <c:ptCount val="2"/>
                <c:pt idx="0">
                  <c:v>-19.591528</c:v>
                </c:pt>
                <c:pt idx="1">
                  <c:v>19.591528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DC-4FA1-A5F3-BD4BC81EA0A0}"/>
            </c:ext>
          </c:extLst>
        </c:ser>
        <c:ser>
          <c:idx val="1"/>
          <c:order val="1"/>
          <c:tx>
            <c:strRef>
              <c:f>Plot_Data!$BK$5</c:f>
              <c:strCache>
                <c:ptCount val="1"/>
                <c:pt idx="0">
                  <c:v>Fuselage: L = 35.6 m, d = 3.98 m</c:v>
                </c:pt>
              </c:strCache>
            </c:strRef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xVal>
            <c:numRef>
              <c:f>Plot_Data!$X$5:$X$43</c:f>
              <c:numCache>
                <c:formatCode>0.000</c:formatCode>
                <c:ptCount val="39"/>
                <c:pt idx="0">
                  <c:v>-17.810479999999998</c:v>
                </c:pt>
                <c:pt idx="1">
                  <c:v>-17.73048</c:v>
                </c:pt>
                <c:pt idx="2">
                  <c:v>-17.530479999999997</c:v>
                </c:pt>
                <c:pt idx="3">
                  <c:v>-17.210479999999997</c:v>
                </c:pt>
                <c:pt idx="4">
                  <c:v>-16.610479999999999</c:v>
                </c:pt>
                <c:pt idx="5">
                  <c:v>-16.010479999999998</c:v>
                </c:pt>
                <c:pt idx="6">
                  <c:v>-15.410479999999998</c:v>
                </c:pt>
                <c:pt idx="7">
                  <c:v>-14.610479999999999</c:v>
                </c:pt>
                <c:pt idx="8">
                  <c:v>-13.810479999999998</c:v>
                </c:pt>
                <c:pt idx="9">
                  <c:v>-5.3938133333333411</c:v>
                </c:pt>
                <c:pt idx="10">
                  <c:v>3.0228533333333161</c:v>
                </c:pt>
                <c:pt idx="11">
                  <c:v>11.439519999999998</c:v>
                </c:pt>
                <c:pt idx="12">
                  <c:v>12.395163999999998</c:v>
                </c:pt>
                <c:pt idx="13">
                  <c:v>13.350807999999997</c:v>
                </c:pt>
                <c:pt idx="14">
                  <c:v>14.306452</c:v>
                </c:pt>
                <c:pt idx="15">
                  <c:v>15.262096</c:v>
                </c:pt>
                <c:pt idx="16">
                  <c:v>16.217739999999999</c:v>
                </c:pt>
                <c:pt idx="17">
                  <c:v>17.173383999999999</c:v>
                </c:pt>
                <c:pt idx="18">
                  <c:v>17.810479999999998</c:v>
                </c:pt>
                <c:pt idx="19">
                  <c:v>17.810479999999998</c:v>
                </c:pt>
                <c:pt idx="20">
                  <c:v>17.173383999999999</c:v>
                </c:pt>
                <c:pt idx="21">
                  <c:v>16.217739999999999</c:v>
                </c:pt>
                <c:pt idx="22">
                  <c:v>15.262096</c:v>
                </c:pt>
                <c:pt idx="23">
                  <c:v>14.306452</c:v>
                </c:pt>
                <c:pt idx="24">
                  <c:v>13.350807999999997</c:v>
                </c:pt>
                <c:pt idx="25">
                  <c:v>12.395163999999998</c:v>
                </c:pt>
                <c:pt idx="26">
                  <c:v>11.439519999999998</c:v>
                </c:pt>
                <c:pt idx="27">
                  <c:v>3.0228533333333161</c:v>
                </c:pt>
                <c:pt idx="28">
                  <c:v>-5.3938133333333411</c:v>
                </c:pt>
                <c:pt idx="29">
                  <c:v>-13.810479999999998</c:v>
                </c:pt>
                <c:pt idx="30">
                  <c:v>-14.610479999999999</c:v>
                </c:pt>
                <c:pt idx="31">
                  <c:v>-15.410479999999998</c:v>
                </c:pt>
                <c:pt idx="32">
                  <c:v>-16.010479999999998</c:v>
                </c:pt>
                <c:pt idx="33">
                  <c:v>-16.610479999999999</c:v>
                </c:pt>
                <c:pt idx="34">
                  <c:v>-17.210479999999997</c:v>
                </c:pt>
                <c:pt idx="35">
                  <c:v>-17.530479999999997</c:v>
                </c:pt>
                <c:pt idx="36">
                  <c:v>-17.73048</c:v>
                </c:pt>
                <c:pt idx="37">
                  <c:v>-17.810479999999998</c:v>
                </c:pt>
                <c:pt idx="38">
                  <c:v>-17.810479999999998</c:v>
                </c:pt>
              </c:numCache>
            </c:numRef>
          </c:xVal>
          <c:yVal>
            <c:numRef>
              <c:f>Plot_Data!$Y$5:$Y$43</c:f>
              <c:numCache>
                <c:formatCode>0.000</c:formatCode>
                <c:ptCount val="39"/>
                <c:pt idx="0">
                  <c:v>-0.59727749999999991</c:v>
                </c:pt>
                <c:pt idx="1">
                  <c:v>-8.2231705562410107E-2</c:v>
                </c:pt>
                <c:pt idx="2">
                  <c:v>0.35404096594815199</c:v>
                </c:pt>
                <c:pt idx="3">
                  <c:v>0.76614276911339219</c:v>
                </c:pt>
                <c:pt idx="4">
                  <c:v>1.2510687912325673</c:v>
                </c:pt>
                <c:pt idx="5">
                  <c:v>1.5642977464931354</c:v>
                </c:pt>
                <c:pt idx="6">
                  <c:v>1.7748492740247883</c:v>
                </c:pt>
                <c:pt idx="7">
                  <c:v>1.9386326903983113</c:v>
                </c:pt>
                <c:pt idx="8">
                  <c:v>1.9909249999999998</c:v>
                </c:pt>
                <c:pt idx="9">
                  <c:v>1.9909249999999998</c:v>
                </c:pt>
                <c:pt idx="10">
                  <c:v>1.9909249999999998</c:v>
                </c:pt>
                <c:pt idx="11">
                  <c:v>1.9909249999999998</c:v>
                </c:pt>
                <c:pt idx="12">
                  <c:v>1.9537375655408802</c:v>
                </c:pt>
                <c:pt idx="13">
                  <c:v>1.8993587956380491</c:v>
                </c:pt>
                <c:pt idx="14">
                  <c:v>1.8358099815686222</c:v>
                </c:pt>
                <c:pt idx="15">
                  <c:v>1.7654625580971708</c:v>
                </c:pt>
                <c:pt idx="16">
                  <c:v>1.6895846951487399</c:v>
                </c:pt>
                <c:pt idx="17">
                  <c:v>1.6089870232646308</c:v>
                </c:pt>
                <c:pt idx="18">
                  <c:v>1.5529215000000001</c:v>
                </c:pt>
                <c:pt idx="19">
                  <c:v>1.0750994999999999</c:v>
                </c:pt>
                <c:pt idx="20">
                  <c:v>0.68264083714758272</c:v>
                </c:pt>
                <c:pt idx="21">
                  <c:v>0.1184571339588194</c:v>
                </c:pt>
                <c:pt idx="22">
                  <c:v>-0.4126879066801965</c:v>
                </c:pt>
                <c:pt idx="23">
                  <c:v>-0.90511987098035585</c:v>
                </c:pt>
                <c:pt idx="24">
                  <c:v>-1.3499615694663452</c:v>
                </c:pt>
                <c:pt idx="25">
                  <c:v>-1.7306129587861623</c:v>
                </c:pt>
                <c:pt idx="26">
                  <c:v>-1.9909249999999998</c:v>
                </c:pt>
                <c:pt idx="27">
                  <c:v>-1.9909249999999998</c:v>
                </c:pt>
                <c:pt idx="28">
                  <c:v>-1.9909249999999998</c:v>
                </c:pt>
                <c:pt idx="29">
                  <c:v>-1.9909249999999998</c:v>
                </c:pt>
                <c:pt idx="30">
                  <c:v>-1.9627676025221674</c:v>
                </c:pt>
                <c:pt idx="31">
                  <c:v>-1.8745765321671937</c:v>
                </c:pt>
                <c:pt idx="32">
                  <c:v>-1.7612026327270727</c:v>
                </c:pt>
                <c:pt idx="33">
                  <c:v>-1.592540887586767</c:v>
                </c:pt>
                <c:pt idx="34">
                  <c:v>-1.3314268756764418</c:v>
                </c:pt>
                <c:pt idx="35">
                  <c:v>-1.1095259047413124</c:v>
                </c:pt>
                <c:pt idx="36">
                  <c:v>-0.87460985085100984</c:v>
                </c:pt>
                <c:pt idx="37">
                  <c:v>-0.59727749999999991</c:v>
                </c:pt>
                <c:pt idx="38">
                  <c:v>-0.59727749999999991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1DC-4FA1-A5F3-BD4BC81EA0A0}"/>
            </c:ext>
          </c:extLst>
        </c:ser>
        <c:ser>
          <c:idx val="2"/>
          <c:order val="2"/>
          <c:tx>
            <c:strRef>
              <c:f>Plot_Data!$BK$6</c:f>
              <c:strCache>
                <c:ptCount val="1"/>
                <c:pt idx="0">
                  <c:v>Wing: S = 132.0 m2, b = 35.4 m, c/4 sweep 26 deg</c:v>
                </c:pt>
              </c:strCache>
            </c:strRef>
          </c:tx>
          <c:spPr>
            <a:ln w="22000">
              <a:solidFill>
                <a:srgbClr val="0070C0"/>
              </a:solidFill>
              <a:prstDash val="solid"/>
            </a:ln>
          </c:spPr>
          <c:marker>
            <c:symbol val="none"/>
          </c:marker>
          <c:xVal>
            <c:numRef>
              <c:f>Plot_Data!$AC$5:$AC$11</c:f>
              <c:numCache>
                <c:formatCode>0.000</c:formatCode>
                <c:ptCount val="7"/>
                <c:pt idx="0">
                  <c:v>-7.304846666540648</c:v>
                </c:pt>
                <c:pt idx="1">
                  <c:v>2.5154720114824372</c:v>
                </c:pt>
                <c:pt idx="2">
                  <c:v>4.0062695138737334</c:v>
                </c:pt>
                <c:pt idx="3">
                  <c:v>-1.3416566569754629</c:v>
                </c:pt>
                <c:pt idx="4">
                  <c:v>4.0062695138737334</c:v>
                </c:pt>
                <c:pt idx="5">
                  <c:v>2.5154720114824372</c:v>
                </c:pt>
                <c:pt idx="6">
                  <c:v>-7.304846666540648</c:v>
                </c:pt>
              </c:numCache>
            </c:numRef>
          </c:xVal>
          <c:yVal>
            <c:numRef>
              <c:f>Plot_Data!$AE$5:$AE$11</c:f>
              <c:numCache>
                <c:formatCode>0.000</c:formatCode>
                <c:ptCount val="7"/>
                <c:pt idx="0">
                  <c:v>-1.1945549999999998</c:v>
                </c:pt>
                <c:pt idx="1">
                  <c:v>0.35427608773000063</c:v>
                </c:pt>
                <c:pt idx="2">
                  <c:v>0.35427608773000063</c:v>
                </c:pt>
                <c:pt idx="3">
                  <c:v>-1.1945549999999998</c:v>
                </c:pt>
                <c:pt idx="4">
                  <c:v>0.35427608773000063</c:v>
                </c:pt>
                <c:pt idx="5">
                  <c:v>0.35427608773000063</c:v>
                </c:pt>
                <c:pt idx="6">
                  <c:v>-1.1945549999999998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1DC-4FA1-A5F3-BD4BC81EA0A0}"/>
            </c:ext>
          </c:extLst>
        </c:ser>
        <c:ser>
          <c:idx val="3"/>
          <c:order val="3"/>
          <c:tx>
            <c:strRef>
              <c:f>Plot_Data!$BK$7</c:f>
              <c:strCache>
                <c:ptCount val="1"/>
                <c:pt idx="0">
                  <c:v>Horizontal tail: S = 34.4 m2, b = 12.4 m</c:v>
                </c:pt>
              </c:strCache>
            </c:strRef>
          </c:tx>
          <c:spPr>
            <a:ln w="22000">
              <a:solidFill>
                <a:srgbClr val="008080"/>
              </a:solidFill>
              <a:prstDash val="solid"/>
            </a:ln>
          </c:spPr>
          <c:marker>
            <c:symbol val="none"/>
          </c:marker>
          <c:xVal>
            <c:numRef>
              <c:f>Plot_Data!$AC$13:$AC$19</c:f>
              <c:numCache>
                <c:formatCode>0.000</c:formatCode>
                <c:ptCount val="7"/>
                <c:pt idx="0">
                  <c:v>11.164541131575625</c:v>
                </c:pt>
                <c:pt idx="1">
                  <c:v>15.36123581003578</c:v>
                </c:pt>
                <c:pt idx="2">
                  <c:v>16.940320560185818</c:v>
                </c:pt>
                <c:pt idx="3">
                  <c:v>15.112253006950716</c:v>
                </c:pt>
                <c:pt idx="4">
                  <c:v>16.940320560185818</c:v>
                </c:pt>
                <c:pt idx="5">
                  <c:v>15.36123581003578</c:v>
                </c:pt>
                <c:pt idx="6">
                  <c:v>11.164541131575625</c:v>
                </c:pt>
              </c:numCache>
            </c:numRef>
          </c:xVal>
          <c:yVal>
            <c:numRef>
              <c:f>Plot_Data!$AE$13:$AE$19</c:f>
              <c:numCache>
                <c:formatCode>0.000</c:formatCode>
                <c:ptCount val="7"/>
                <c:pt idx="0">
                  <c:v>1.1945549999999998</c:v>
                </c:pt>
                <c:pt idx="1">
                  <c:v>1.1945549999999998</c:v>
                </c:pt>
                <c:pt idx="2">
                  <c:v>1.1945549999999998</c:v>
                </c:pt>
                <c:pt idx="3">
                  <c:v>1.1945549999999998</c:v>
                </c:pt>
                <c:pt idx="4">
                  <c:v>1.1945549999999998</c:v>
                </c:pt>
                <c:pt idx="5">
                  <c:v>1.1945549999999998</c:v>
                </c:pt>
                <c:pt idx="6">
                  <c:v>1.1945549999999998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1DC-4FA1-A5F3-BD4BC81EA0A0}"/>
            </c:ext>
          </c:extLst>
        </c:ser>
        <c:ser>
          <c:idx val="4"/>
          <c:order val="4"/>
          <c:tx>
            <c:strRef>
              <c:f>Plot_Data!$BK$8</c:f>
              <c:strCache>
                <c:ptCount val="1"/>
                <c:pt idx="0">
                  <c:v>Vertical tail: S = 26.2 m2, h = 6.7 m</c:v>
                </c:pt>
              </c:strCache>
            </c:strRef>
          </c:tx>
          <c:spPr>
            <a:ln w="22000">
              <a:solidFill>
                <a:srgbClr val="7030A0"/>
              </a:solidFill>
              <a:prstDash val="solid"/>
            </a:ln>
          </c:spPr>
          <c:marker>
            <c:symbol val="none"/>
          </c:marker>
          <c:xVal>
            <c:numRef>
              <c:f>Plot_Data!$AC$21:$AC$25</c:f>
              <c:numCache>
                <c:formatCode>0.000</c:formatCode>
                <c:ptCount val="5"/>
                <c:pt idx="0">
                  <c:v>10.524635261689589</c:v>
                </c:pt>
                <c:pt idx="1">
                  <c:v>15.560176773717274</c:v>
                </c:pt>
                <c:pt idx="2">
                  <c:v>17.597048134347531</c:v>
                </c:pt>
                <c:pt idx="3">
                  <c:v>16.344267720633177</c:v>
                </c:pt>
                <c:pt idx="4">
                  <c:v>10.524635261689589</c:v>
                </c:pt>
              </c:numCache>
            </c:numRef>
          </c:xVal>
          <c:yVal>
            <c:numRef>
              <c:f>Plot_Data!$AE$21:$AE$25</c:f>
              <c:numCache>
                <c:formatCode>0.000</c:formatCode>
                <c:ptCount val="5"/>
                <c:pt idx="0">
                  <c:v>1.59274</c:v>
                </c:pt>
                <c:pt idx="1">
                  <c:v>8.2707682466377648</c:v>
                </c:pt>
                <c:pt idx="2">
                  <c:v>8.2707682466377648</c:v>
                </c:pt>
                <c:pt idx="3">
                  <c:v>1.59274</c:v>
                </c:pt>
                <c:pt idx="4">
                  <c:v>1.59274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1DC-4FA1-A5F3-BD4BC81EA0A0}"/>
            </c:ext>
          </c:extLst>
        </c:ser>
        <c:ser>
          <c:idx val="5"/>
          <c:order val="5"/>
          <c:tx>
            <c:strRef>
              <c:f>Plot_Data!$BK$9</c:f>
              <c:strCache>
                <c:ptCount val="1"/>
                <c:pt idx="0">
                  <c:v>2 engines: 95 kN each, nacelle 4.3 x 2.2 m</c:v>
                </c:pt>
              </c:strCache>
            </c:strRef>
          </c:tx>
          <c:spPr>
            <a:ln w="22000">
              <a:solidFill>
                <a:srgbClr val="C00000"/>
              </a:solidFill>
              <a:prstDash val="solid"/>
            </a:ln>
          </c:spPr>
          <c:marker>
            <c:symbol val="none"/>
          </c:marker>
          <c:xVal>
            <c:numRef>
              <c:f>Plot_Data!$AL$5:$AL$9</c:f>
              <c:numCache>
                <c:formatCode>0.000</c:formatCode>
                <c:ptCount val="5"/>
                <c:pt idx="0">
                  <c:v>-7.4249768198019375</c:v>
                </c:pt>
                <c:pt idx="1">
                  <c:v>-3.1011786900655132</c:v>
                </c:pt>
                <c:pt idx="2">
                  <c:v>-3.1011786900655132</c:v>
                </c:pt>
                <c:pt idx="3">
                  <c:v>-7.4249768198019375</c:v>
                </c:pt>
                <c:pt idx="4">
                  <c:v>-7.4249768198019375</c:v>
                </c:pt>
              </c:numCache>
            </c:numRef>
          </c:xVal>
          <c:yVal>
            <c:numRef>
              <c:f>Plot_Data!$AN$5:$AN$9</c:f>
              <c:numCache>
                <c:formatCode>0.000</c:formatCode>
                <c:ptCount val="5"/>
                <c:pt idx="0">
                  <c:v>-3.1238021677071828</c:v>
                </c:pt>
                <c:pt idx="1">
                  <c:v>-3.1238021677071828</c:v>
                </c:pt>
                <c:pt idx="2">
                  <c:v>-0.89121149722047099</c:v>
                </c:pt>
                <c:pt idx="3">
                  <c:v>-0.89121149722047099</c:v>
                </c:pt>
                <c:pt idx="4">
                  <c:v>-3.1238021677071828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1DC-4FA1-A5F3-BD4BC81EA0A0}"/>
            </c:ext>
          </c:extLst>
        </c:ser>
        <c:ser>
          <c:idx val="6"/>
          <c:order val="6"/>
          <c:spPr>
            <a:ln w="22000">
              <a:solidFill>
                <a:srgbClr val="C00000"/>
              </a:solidFill>
              <a:prstDash val="solid"/>
            </a:ln>
          </c:spPr>
          <c:marker>
            <c:symbol val="none"/>
          </c:marker>
          <c:xVal>
            <c:numRef>
              <c:f>Plot_Data!$AL$11:$AL$15</c:f>
              <c:numCache>
                <c:formatCode>0.000</c:formatCode>
                <c:ptCount val="5"/>
                <c:pt idx="0">
                  <c:v>-7.4249768198019375</c:v>
                </c:pt>
                <c:pt idx="1">
                  <c:v>-3.1011786900655132</c:v>
                </c:pt>
                <c:pt idx="2">
                  <c:v>-3.1011786900655132</c:v>
                </c:pt>
                <c:pt idx="3">
                  <c:v>-7.4249768198019375</c:v>
                </c:pt>
                <c:pt idx="4">
                  <c:v>-7.4249768198019375</c:v>
                </c:pt>
              </c:numCache>
            </c:numRef>
          </c:xVal>
          <c:yVal>
            <c:numRef>
              <c:f>Plot_Data!$AN$11:$AN$15</c:f>
              <c:numCache>
                <c:formatCode>0.000</c:formatCode>
                <c:ptCount val="5"/>
                <c:pt idx="0">
                  <c:v>-3.1238021677071828</c:v>
                </c:pt>
                <c:pt idx="1">
                  <c:v>-3.1238021677071828</c:v>
                </c:pt>
                <c:pt idx="2">
                  <c:v>-0.89121149722047099</c:v>
                </c:pt>
                <c:pt idx="3">
                  <c:v>-0.89121149722047099</c:v>
                </c:pt>
                <c:pt idx="4">
                  <c:v>-3.1238021677071828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1DC-4FA1-A5F3-BD4BC81EA0A0}"/>
            </c:ext>
          </c:extLst>
        </c:ser>
        <c:ser>
          <c:idx val="7"/>
          <c:order val="7"/>
          <c:spPr>
            <a:ln w="22000">
              <a:solidFill>
                <a:srgbClr val="C00000"/>
              </a:solidFill>
              <a:prstDash val="solid"/>
            </a:ln>
          </c:spPr>
          <c:marker>
            <c:symbol val="none"/>
          </c:marker>
          <c:xVal>
            <c:numRef>
              <c:f>Plot_Data!$AL$17:$AL$21</c:f>
              <c:numCache>
                <c:formatCode>0.000</c:formatCode>
                <c:ptCount val="5"/>
                <c:pt idx="0">
                  <c:v>-7.4249768198019375</c:v>
                </c:pt>
                <c:pt idx="1">
                  <c:v>-3.1011786900655132</c:v>
                </c:pt>
                <c:pt idx="2">
                  <c:v>-3.1011786900655132</c:v>
                </c:pt>
                <c:pt idx="3">
                  <c:v>-7.4249768198019375</c:v>
                </c:pt>
                <c:pt idx="4">
                  <c:v>-7.4249768198019375</c:v>
                </c:pt>
              </c:numCache>
            </c:numRef>
          </c:xVal>
          <c:yVal>
            <c:numRef>
              <c:f>Plot_Data!$AN$17:$AN$21</c:f>
              <c:numCache>
                <c:formatCode>0.000</c:formatCode>
                <c:ptCount val="5"/>
                <c:pt idx="0">
                  <c:v>-3.1238021677071828</c:v>
                </c:pt>
                <c:pt idx="1">
                  <c:v>-3.1238021677071828</c:v>
                </c:pt>
                <c:pt idx="2">
                  <c:v>-0.89121149722047099</c:v>
                </c:pt>
                <c:pt idx="3">
                  <c:v>-0.89121149722047099</c:v>
                </c:pt>
                <c:pt idx="4">
                  <c:v>-3.1238021677071828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1DC-4FA1-A5F3-BD4BC81EA0A0}"/>
            </c:ext>
          </c:extLst>
        </c:ser>
        <c:ser>
          <c:idx val="8"/>
          <c:order val="8"/>
          <c:spPr>
            <a:ln w="22000">
              <a:solidFill>
                <a:srgbClr val="C00000"/>
              </a:solidFill>
              <a:prstDash val="solid"/>
            </a:ln>
          </c:spPr>
          <c:marker>
            <c:symbol val="none"/>
          </c:marker>
          <c:xVal>
            <c:numRef>
              <c:f>Plot_Data!$AL$23:$AL$27</c:f>
              <c:numCache>
                <c:formatCode>0.000</c:formatCode>
                <c:ptCount val="5"/>
                <c:pt idx="0">
                  <c:v>-7.4249768198019375</c:v>
                </c:pt>
                <c:pt idx="1">
                  <c:v>-3.1011786900655132</c:v>
                </c:pt>
                <c:pt idx="2">
                  <c:v>-3.1011786900655132</c:v>
                </c:pt>
                <c:pt idx="3">
                  <c:v>-7.4249768198019375</c:v>
                </c:pt>
                <c:pt idx="4">
                  <c:v>-7.4249768198019375</c:v>
                </c:pt>
              </c:numCache>
            </c:numRef>
          </c:xVal>
          <c:yVal>
            <c:numRef>
              <c:f>Plot_Data!$AN$23:$AN$27</c:f>
              <c:numCache>
                <c:formatCode>0.000</c:formatCode>
                <c:ptCount val="5"/>
                <c:pt idx="0">
                  <c:v>-3.1238021677071828</c:v>
                </c:pt>
                <c:pt idx="1">
                  <c:v>-3.1238021677071828</c:v>
                </c:pt>
                <c:pt idx="2">
                  <c:v>-0.89121149722047099</c:v>
                </c:pt>
                <c:pt idx="3">
                  <c:v>-0.89121149722047099</c:v>
                </c:pt>
                <c:pt idx="4">
                  <c:v>-3.1238021677071828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1DC-4FA1-A5F3-BD4BC81EA0A0}"/>
            </c:ext>
          </c:extLst>
        </c:ser>
        <c:ser>
          <c:idx val="9"/>
          <c:order val="9"/>
          <c:tx>
            <c:strRef>
              <c:f>Plot_Data!$BK$16</c:f>
              <c:strCache>
                <c:ptCount val="1"/>
                <c:pt idx="0">
                  <c:v>Main gear: 2 x 2 wheels, tyre 1.15 m, wheelbase 13.5 m</c:v>
                </c:pt>
              </c:strCache>
            </c:strRef>
          </c:tx>
          <c:spPr>
            <a:ln w="180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Plot_Data!$AP$5:$AP$18</c:f>
              <c:numCache>
                <c:formatCode>0.000</c:formatCode>
                <c:ptCount val="14"/>
                <c:pt idx="0">
                  <c:v>-0.30456748022266567</c:v>
                </c:pt>
                <c:pt idx="1">
                  <c:v>-0.59269007090413706</c:v>
                </c:pt>
                <c:pt idx="2">
                  <c:v>-0.80361309463841502</c:v>
                </c:pt>
                <c:pt idx="3">
                  <c:v>-0.88081266158560845</c:v>
                </c:pt>
                <c:pt idx="4">
                  <c:v>-0.80361309463841502</c:v>
                </c:pt>
                <c:pt idx="5">
                  <c:v>-0.59269007090413706</c:v>
                </c:pt>
                <c:pt idx="6">
                  <c:v>-0.30456748022266567</c:v>
                </c:pt>
                <c:pt idx="7">
                  <c:v>-1.6444889541194274E-2</c:v>
                </c:pt>
                <c:pt idx="8">
                  <c:v>0.19447813419308363</c:v>
                </c:pt>
                <c:pt idx="9">
                  <c:v>0.27167770114027712</c:v>
                </c:pt>
                <c:pt idx="10">
                  <c:v>0.19447813419308363</c:v>
                </c:pt>
                <c:pt idx="11">
                  <c:v>-1.6444889541194274E-2</c:v>
                </c:pt>
                <c:pt idx="12">
                  <c:v>-0.30456748022266567</c:v>
                </c:pt>
                <c:pt idx="13">
                  <c:v>-0.30456748022266567</c:v>
                </c:pt>
              </c:numCache>
            </c:numRef>
          </c:xVal>
          <c:yVal>
            <c:numRef>
              <c:f>Plot_Data!$AQ$5:$AQ$18</c:f>
              <c:numCache>
                <c:formatCode>0.000</c:formatCode>
                <c:ptCount val="14"/>
                <c:pt idx="0">
                  <c:v>-2.5108116372741147</c:v>
                </c:pt>
                <c:pt idx="1">
                  <c:v>-2.5880112042213081</c:v>
                </c:pt>
                <c:pt idx="2">
                  <c:v>-2.798934227955586</c:v>
                </c:pt>
                <c:pt idx="3">
                  <c:v>-3.0870568186370573</c:v>
                </c:pt>
                <c:pt idx="4">
                  <c:v>-3.3751794093185286</c:v>
                </c:pt>
                <c:pt idx="5">
                  <c:v>-3.5861024330528064</c:v>
                </c:pt>
                <c:pt idx="6">
                  <c:v>-3.6633019999999998</c:v>
                </c:pt>
                <c:pt idx="7">
                  <c:v>-3.5861024330528064</c:v>
                </c:pt>
                <c:pt idx="8">
                  <c:v>-3.3751794093185286</c:v>
                </c:pt>
                <c:pt idx="9">
                  <c:v>-3.0870568186370573</c:v>
                </c:pt>
                <c:pt idx="10">
                  <c:v>-2.798934227955586</c:v>
                </c:pt>
                <c:pt idx="11">
                  <c:v>-2.5880112042213081</c:v>
                </c:pt>
                <c:pt idx="12">
                  <c:v>-2.5108116372741147</c:v>
                </c:pt>
                <c:pt idx="13">
                  <c:v>-1.1945549999999998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1DC-4FA1-A5F3-BD4BC81EA0A0}"/>
            </c:ext>
          </c:extLst>
        </c:ser>
        <c:ser>
          <c:idx val="10"/>
          <c:order val="10"/>
          <c:tx>
            <c:strRef>
              <c:f>Plot_Data!$BK$17</c:f>
              <c:strCache>
                <c:ptCount val="1"/>
                <c:pt idx="0">
                  <c:v>Nose gear: 2 wheels, tyre 0.75 m</c:v>
                </c:pt>
              </c:strCache>
            </c:strRef>
          </c:tx>
          <c:spPr>
            <a:ln w="18000">
              <a:solidFill>
                <a:srgbClr val="7F7F7F"/>
              </a:solidFill>
              <a:prstDash val="solid"/>
            </a:ln>
          </c:spPr>
          <c:marker>
            <c:symbol val="none"/>
          </c:marker>
          <c:xVal>
            <c:numRef>
              <c:f>Plot_Data!$AP$20:$AP$33</c:f>
              <c:numCache>
                <c:formatCode>0.000</c:formatCode>
                <c:ptCount val="14"/>
                <c:pt idx="0">
                  <c:v>-13.840532280222666</c:v>
                </c:pt>
                <c:pt idx="1">
                  <c:v>-14.027811964165622</c:v>
                </c:pt>
                <c:pt idx="2">
                  <c:v>-14.164911929592902</c:v>
                </c:pt>
                <c:pt idx="3">
                  <c:v>-14.215091648108579</c:v>
                </c:pt>
                <c:pt idx="4">
                  <c:v>-14.164911929592902</c:v>
                </c:pt>
                <c:pt idx="5">
                  <c:v>-14.027811964165622</c:v>
                </c:pt>
                <c:pt idx="6">
                  <c:v>-13.840532280222666</c:v>
                </c:pt>
                <c:pt idx="7">
                  <c:v>-13.65325259627971</c:v>
                </c:pt>
                <c:pt idx="8">
                  <c:v>-13.51615263085243</c:v>
                </c:pt>
                <c:pt idx="9">
                  <c:v>-13.465972912336753</c:v>
                </c:pt>
                <c:pt idx="10">
                  <c:v>-13.51615263085243</c:v>
                </c:pt>
                <c:pt idx="11">
                  <c:v>-13.65325259627971</c:v>
                </c:pt>
                <c:pt idx="12">
                  <c:v>-13.840532280222666</c:v>
                </c:pt>
                <c:pt idx="13">
                  <c:v>-13.840532280222666</c:v>
                </c:pt>
              </c:numCache>
            </c:numRef>
          </c:xVal>
          <c:yVal>
            <c:numRef>
              <c:f>Plot_Data!$AQ$20:$AQ$33</c:f>
              <c:numCache>
                <c:formatCode>0.000</c:formatCode>
                <c:ptCount val="14"/>
                <c:pt idx="0">
                  <c:v>-2.914183264228174</c:v>
                </c:pt>
                <c:pt idx="1">
                  <c:v>-2.9643629827438498</c:v>
                </c:pt>
                <c:pt idx="2">
                  <c:v>-3.1014629481711307</c:v>
                </c:pt>
                <c:pt idx="3">
                  <c:v>-3.2887426321140869</c:v>
                </c:pt>
                <c:pt idx="4">
                  <c:v>-3.4760223160570431</c:v>
                </c:pt>
                <c:pt idx="5">
                  <c:v>-3.613122281484324</c:v>
                </c:pt>
                <c:pt idx="6">
                  <c:v>-3.6633019999999998</c:v>
                </c:pt>
                <c:pt idx="7">
                  <c:v>-3.613122281484324</c:v>
                </c:pt>
                <c:pt idx="8">
                  <c:v>-3.4760223160570431</c:v>
                </c:pt>
                <c:pt idx="9">
                  <c:v>-3.2887426321140869</c:v>
                </c:pt>
                <c:pt idx="10">
                  <c:v>-3.1014629481711307</c:v>
                </c:pt>
                <c:pt idx="11">
                  <c:v>-2.9643629827438498</c:v>
                </c:pt>
                <c:pt idx="12">
                  <c:v>-2.914183264228174</c:v>
                </c:pt>
                <c:pt idx="13">
                  <c:v>-1.3936474999999997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1DC-4FA1-A5F3-BD4BC81EA0A0}"/>
            </c:ext>
          </c:extLst>
        </c:ser>
        <c:ser>
          <c:idx val="11"/>
          <c:order val="11"/>
          <c:tx>
            <c:strRef>
              <c:f>Plot_Data!$BK$18</c:f>
              <c:strCache>
                <c:ptCount val="1"/>
                <c:pt idx="0">
                  <c:v>Ground</c:v>
                </c:pt>
              </c:strCache>
            </c:strRef>
          </c:tx>
          <c:spPr>
            <a:ln w="12000">
              <a:solidFill>
                <a:srgbClr val="00B050"/>
              </a:solidFill>
              <a:prstDash val="solid"/>
            </a:ln>
          </c:spPr>
          <c:marker>
            <c:symbol val="none"/>
          </c:marker>
          <c:xVal>
            <c:numRef>
              <c:f>Plot_Data!$AP$35:$AP$36</c:f>
              <c:numCache>
                <c:formatCode>0.000</c:formatCode>
                <c:ptCount val="2"/>
                <c:pt idx="0">
                  <c:v>-18.807866879999999</c:v>
                </c:pt>
                <c:pt idx="1">
                  <c:v>18.807866879999999</c:v>
                </c:pt>
              </c:numCache>
            </c:numRef>
          </c:xVal>
          <c:yVal>
            <c:numRef>
              <c:f>Plot_Data!$AQ$35:$AQ$36</c:f>
              <c:numCache>
                <c:formatCode>0.000</c:formatCode>
                <c:ptCount val="2"/>
                <c:pt idx="0">
                  <c:v>-3.6633019999999998</c:v>
                </c:pt>
                <c:pt idx="1">
                  <c:v>-3.6633019999999998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1DC-4FA1-A5F3-BD4BC81EA0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x from fuselage mid-length (m)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low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z (m)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low"/>
        <c:crossAx val="10"/>
        <c:crosses val="autoZero"/>
        <c:crossBetween val="midCat"/>
      </c:valAx>
    </c:plotArea>
    <c:legend>
      <c:legendPos val="r"/>
      <c:legendEntry>
        <c:idx val="0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Payload-range diagram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Payload-range boundary</c:v>
          </c:tx>
          <c:spPr>
            <a:ln w="25000">
              <a:solidFill>
                <a:srgbClr val="0070C0"/>
              </a:solidFill>
              <a:prstDash val="solid"/>
            </a:ln>
          </c:spPr>
          <c:marker>
            <c:symbol val="circle"/>
            <c:size val="8"/>
            <c:spPr>
              <a:solidFill>
                <a:srgbClr val="0070C0"/>
              </a:solidFill>
              <a:ln>
                <a:solidFill>
                  <a:srgbClr val="0070C0"/>
                </a:solidFill>
                <a:prstDash val="solid"/>
              </a:ln>
            </c:spPr>
          </c:marker>
          <c:xVal>
            <c:numRef>
              <c:f>Design!$C$216:$C$219</c:f>
              <c:numCache>
                <c:formatCode>#,##0</c:formatCode>
                <c:ptCount val="4"/>
                <c:pt idx="0">
                  <c:v>0</c:v>
                </c:pt>
                <c:pt idx="1">
                  <c:v>3590.0086218269566</c:v>
                </c:pt>
                <c:pt idx="2">
                  <c:v>5000</c:v>
                </c:pt>
                <c:pt idx="3">
                  <c:v>7485.7559782027347</c:v>
                </c:pt>
              </c:numCache>
            </c:numRef>
          </c:xVal>
          <c:yVal>
            <c:numRef>
              <c:f>Design!$D$216:$D$219</c:f>
              <c:numCache>
                <c:formatCode>#,##0</c:formatCode>
                <c:ptCount val="4"/>
                <c:pt idx="0">
                  <c:v>17500</c:v>
                </c:pt>
                <c:pt idx="1">
                  <c:v>17500</c:v>
                </c:pt>
                <c:pt idx="2">
                  <c:v>14250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AE-4F98-8AF9-CFC11B0E854B}"/>
            </c:ext>
          </c:extLst>
        </c:ser>
        <c:ser>
          <c:idx val="1"/>
          <c:order val="1"/>
          <c:tx>
            <c:strRef>
              <c:f>Plot_Data!$BK$19</c:f>
              <c:strCache>
                <c:ptCount val="1"/>
                <c:pt idx="0">
                  <c:v>Design mission: 5,000 km with 14,250 kg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diamond"/>
            <c:size val="11"/>
            <c:spPr>
              <a:solidFill>
                <a:srgbClr val="C00000"/>
              </a:solidFill>
              <a:ln>
                <a:solidFill>
                  <a:srgbClr val="C00000"/>
                </a:solidFill>
                <a:prstDash val="solid"/>
              </a:ln>
            </c:spPr>
          </c:marker>
          <c:xVal>
            <c:numRef>
              <c:f>Design!$E$210</c:f>
              <c:numCache>
                <c:formatCode>#,##0</c:formatCode>
                <c:ptCount val="1"/>
                <c:pt idx="0">
                  <c:v>5000</c:v>
                </c:pt>
              </c:numCache>
            </c:numRef>
          </c:xVal>
          <c:yVal>
            <c:numRef>
              <c:f>Design!$D$210</c:f>
              <c:numCache>
                <c:formatCode>#,##0</c:formatCode>
                <c:ptCount val="1"/>
                <c:pt idx="0">
                  <c:v>14250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2AE-4F98-8AF9-CFC11B0E85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Range (km)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low"/>
        <c:crossAx val="20"/>
        <c:crosses val="autoZero"/>
        <c:crossBetween val="midCat"/>
      </c:valAx>
      <c:valAx>
        <c:axId val="20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Payload (kg)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low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Drag polar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Clean</c:v>
          </c:tx>
          <c:spPr>
            <a:ln w="22000">
              <a:solidFill>
                <a:srgbClr val="0070C0"/>
              </a:solidFill>
              <a:prstDash val="solid"/>
            </a:ln>
          </c:spPr>
          <c:marker>
            <c:symbol val="none"/>
          </c:marker>
          <c:xVal>
            <c:numRef>
              <c:f>Plot_Data!$CF$5:$CF$29</c:f>
              <c:numCache>
                <c:formatCode>0.0000</c:formatCode>
                <c:ptCount val="25"/>
                <c:pt idx="0">
                  <c:v>1.7999999999999999E-2</c:v>
                </c:pt>
                <c:pt idx="1">
                  <c:v>1.8163604999066503E-2</c:v>
                </c:pt>
                <c:pt idx="2">
                  <c:v>1.8654419996266016E-2</c:v>
                </c:pt>
                <c:pt idx="3">
                  <c:v>1.9472444991598538E-2</c:v>
                </c:pt>
                <c:pt idx="4">
                  <c:v>2.0617679985064065E-2</c:v>
                </c:pt>
                <c:pt idx="5">
                  <c:v>2.2090124976662604E-2</c:v>
                </c:pt>
                <c:pt idx="6">
                  <c:v>2.3889779966394152E-2</c:v>
                </c:pt>
                <c:pt idx="7">
                  <c:v>2.6016644954258705E-2</c:v>
                </c:pt>
                <c:pt idx="8">
                  <c:v>2.8470719940256271E-2</c:v>
                </c:pt>
                <c:pt idx="9">
                  <c:v>3.1252004924386845E-2</c:v>
                </c:pt>
                <c:pt idx="10">
                  <c:v>3.4360499906650424E-2</c:v>
                </c:pt>
                <c:pt idx="11">
                  <c:v>3.7796204887047012E-2</c:v>
                </c:pt>
                <c:pt idx="12">
                  <c:v>4.1559119865576616E-2</c:v>
                </c:pt>
                <c:pt idx="13">
                  <c:v>4.5649244842239214E-2</c:v>
                </c:pt>
                <c:pt idx="14">
                  <c:v>5.0066579817034829E-2</c:v>
                </c:pt>
                <c:pt idx="15">
                  <c:v>5.4811124789963458E-2</c:v>
                </c:pt>
                <c:pt idx="16">
                  <c:v>5.988287976102509E-2</c:v>
                </c:pt>
                <c:pt idx="17">
                  <c:v>6.5281844730219724E-2</c:v>
                </c:pt>
                <c:pt idx="18">
                  <c:v>7.1008019697547373E-2</c:v>
                </c:pt>
                <c:pt idx="19">
                  <c:v>7.7061404663008037E-2</c:v>
                </c:pt>
                <c:pt idx="20">
                  <c:v>8.3441999626601704E-2</c:v>
                </c:pt>
                <c:pt idx="21">
                  <c:v>9.0149804588328372E-2</c:v>
                </c:pt>
                <c:pt idx="22">
                  <c:v>9.7184819548188056E-2</c:v>
                </c:pt>
                <c:pt idx="23">
                  <c:v>0.10454704450618076</c:v>
                </c:pt>
                <c:pt idx="24">
                  <c:v>0.11223647946230646</c:v>
                </c:pt>
              </c:numCache>
            </c:numRef>
          </c:xVal>
          <c:yVal>
            <c:numRef>
              <c:f>Plot_Data!$CE$5:$CE$29</c:f>
              <c:numCache>
                <c:formatCode>0.000</c:formatCode>
                <c:ptCount val="25"/>
                <c:pt idx="0">
                  <c:v>0</c:v>
                </c:pt>
                <c:pt idx="1">
                  <c:v>6.25E-2</c:v>
                </c:pt>
                <c:pt idx="2">
                  <c:v>0.125</c:v>
                </c:pt>
                <c:pt idx="3">
                  <c:v>0.1875</c:v>
                </c:pt>
                <c:pt idx="4">
                  <c:v>0.25</c:v>
                </c:pt>
                <c:pt idx="5">
                  <c:v>0.3125</c:v>
                </c:pt>
                <c:pt idx="6">
                  <c:v>0.375</c:v>
                </c:pt>
                <c:pt idx="7">
                  <c:v>0.4375</c:v>
                </c:pt>
                <c:pt idx="8">
                  <c:v>0.5</c:v>
                </c:pt>
                <c:pt idx="9">
                  <c:v>0.5625</c:v>
                </c:pt>
                <c:pt idx="10">
                  <c:v>0.625</c:v>
                </c:pt>
                <c:pt idx="11">
                  <c:v>0.6875</c:v>
                </c:pt>
                <c:pt idx="12">
                  <c:v>0.75</c:v>
                </c:pt>
                <c:pt idx="13">
                  <c:v>0.8125</c:v>
                </c:pt>
                <c:pt idx="14">
                  <c:v>0.875</c:v>
                </c:pt>
                <c:pt idx="15">
                  <c:v>0.9375</c:v>
                </c:pt>
                <c:pt idx="16">
                  <c:v>1</c:v>
                </c:pt>
                <c:pt idx="17">
                  <c:v>1.0625</c:v>
                </c:pt>
                <c:pt idx="18">
                  <c:v>1.125</c:v>
                </c:pt>
                <c:pt idx="19">
                  <c:v>1.1875</c:v>
                </c:pt>
                <c:pt idx="20">
                  <c:v>1.25</c:v>
                </c:pt>
                <c:pt idx="21">
                  <c:v>1.3125</c:v>
                </c:pt>
                <c:pt idx="22">
                  <c:v>1.375</c:v>
                </c:pt>
                <c:pt idx="23">
                  <c:v>1.4375</c:v>
                </c:pt>
                <c:pt idx="24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B0-403B-BB9D-218881FC307B}"/>
            </c:ext>
          </c:extLst>
        </c:ser>
        <c:ser>
          <c:idx val="1"/>
          <c:order val="1"/>
          <c:tx>
            <c:v>Take-off flaps</c:v>
          </c:tx>
          <c:spPr>
            <a:ln w="22000">
              <a:solidFill>
                <a:srgbClr val="ED7D31"/>
              </a:solidFill>
              <a:prstDash val="solid"/>
            </a:ln>
          </c:spPr>
          <c:marker>
            <c:symbol val="none"/>
          </c:marker>
          <c:xVal>
            <c:numRef>
              <c:f>Plot_Data!$CI$5:$CI$29</c:f>
              <c:numCache>
                <c:formatCode>0.0000</c:formatCode>
                <c:ptCount val="25"/>
                <c:pt idx="0">
                  <c:v>3.5916666666666666E-2</c:v>
                </c:pt>
                <c:pt idx="1">
                  <c:v>3.6237332464837013E-2</c:v>
                </c:pt>
                <c:pt idx="2">
                  <c:v>3.7199329859348061E-2</c:v>
                </c:pt>
                <c:pt idx="3">
                  <c:v>3.8802658850199803E-2</c:v>
                </c:pt>
                <c:pt idx="4">
                  <c:v>4.1047319437392239E-2</c:v>
                </c:pt>
                <c:pt idx="5">
                  <c:v>4.3933311620925376E-2</c:v>
                </c:pt>
                <c:pt idx="6">
                  <c:v>4.7460635400799207E-2</c:v>
                </c:pt>
                <c:pt idx="7">
                  <c:v>5.1629290777013739E-2</c:v>
                </c:pt>
                <c:pt idx="8">
                  <c:v>5.6439277749568958E-2</c:v>
                </c:pt>
                <c:pt idx="9">
                  <c:v>6.1890596318464886E-2</c:v>
                </c:pt>
                <c:pt idx="10">
                  <c:v>6.7983246483701507E-2</c:v>
                </c:pt>
                <c:pt idx="11">
                  <c:v>7.4717228245278822E-2</c:v>
                </c:pt>
                <c:pt idx="12">
                  <c:v>8.2092541603196817E-2</c:v>
                </c:pt>
                <c:pt idx="13">
                  <c:v>9.0109186557455534E-2</c:v>
                </c:pt>
                <c:pt idx="14">
                  <c:v>9.8767163108054959E-2</c:v>
                </c:pt>
                <c:pt idx="15">
                  <c:v>0.10806647125499504</c:v>
                </c:pt>
                <c:pt idx="16">
                  <c:v>0.11800711099827582</c:v>
                </c:pt>
                <c:pt idx="17">
                  <c:v>0.12858908233789734</c:v>
                </c:pt>
                <c:pt idx="18">
                  <c:v>0.13981238527385956</c:v>
                </c:pt>
                <c:pt idx="19">
                  <c:v>0.15167701980616244</c:v>
                </c:pt>
                <c:pt idx="20">
                  <c:v>0.16418298593480601</c:v>
                </c:pt>
                <c:pt idx="21">
                  <c:v>0.17733028365979031</c:v>
                </c:pt>
                <c:pt idx="22">
                  <c:v>0.19111891298111527</c:v>
                </c:pt>
                <c:pt idx="23">
                  <c:v>0.20554887389878096</c:v>
                </c:pt>
                <c:pt idx="24">
                  <c:v>0.22062016641278731</c:v>
                </c:pt>
              </c:numCache>
            </c:numRef>
          </c:xVal>
          <c:yVal>
            <c:numRef>
              <c:f>Plot_Data!$CH$5:$CH$29</c:f>
              <c:numCache>
                <c:formatCode>0.000</c:formatCode>
                <c:ptCount val="25"/>
                <c:pt idx="0">
                  <c:v>0</c:v>
                </c:pt>
                <c:pt idx="1">
                  <c:v>8.7499999999999994E-2</c:v>
                </c:pt>
                <c:pt idx="2">
                  <c:v>0.17499999999999999</c:v>
                </c:pt>
                <c:pt idx="3">
                  <c:v>0.26250000000000001</c:v>
                </c:pt>
                <c:pt idx="4">
                  <c:v>0.35</c:v>
                </c:pt>
                <c:pt idx="5">
                  <c:v>0.43750000000000006</c:v>
                </c:pt>
                <c:pt idx="6">
                  <c:v>0.52500000000000002</c:v>
                </c:pt>
                <c:pt idx="7">
                  <c:v>0.61250000000000004</c:v>
                </c:pt>
                <c:pt idx="8">
                  <c:v>0.7</c:v>
                </c:pt>
                <c:pt idx="9">
                  <c:v>0.78750000000000009</c:v>
                </c:pt>
                <c:pt idx="10">
                  <c:v>0.87500000000000011</c:v>
                </c:pt>
                <c:pt idx="11">
                  <c:v>0.96250000000000002</c:v>
                </c:pt>
                <c:pt idx="12">
                  <c:v>1.05</c:v>
                </c:pt>
                <c:pt idx="13">
                  <c:v>1.1375</c:v>
                </c:pt>
                <c:pt idx="14">
                  <c:v>1.2250000000000001</c:v>
                </c:pt>
                <c:pt idx="15">
                  <c:v>1.3125</c:v>
                </c:pt>
                <c:pt idx="16">
                  <c:v>1.4</c:v>
                </c:pt>
                <c:pt idx="17">
                  <c:v>1.4875</c:v>
                </c:pt>
                <c:pt idx="18">
                  <c:v>1.5750000000000002</c:v>
                </c:pt>
                <c:pt idx="19">
                  <c:v>1.6625000000000001</c:v>
                </c:pt>
                <c:pt idx="20">
                  <c:v>1.7500000000000002</c:v>
                </c:pt>
                <c:pt idx="21">
                  <c:v>1.8375000000000001</c:v>
                </c:pt>
                <c:pt idx="22">
                  <c:v>1.925</c:v>
                </c:pt>
                <c:pt idx="23">
                  <c:v>2.0125000000000002</c:v>
                </c:pt>
                <c:pt idx="24">
                  <c:v>2.1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B0-403B-BB9D-218881FC307B}"/>
            </c:ext>
          </c:extLst>
        </c:ser>
        <c:ser>
          <c:idx val="2"/>
          <c:order val="2"/>
          <c:tx>
            <c:v>Landing flaps, gear down</c:v>
          </c:tx>
          <c:spPr>
            <a:ln w="22000">
              <a:solidFill>
                <a:srgbClr val="7030A0"/>
              </a:solidFill>
              <a:prstDash val="solid"/>
            </a:ln>
          </c:spPr>
          <c:marker>
            <c:symbol val="none"/>
          </c:marker>
          <c:xVal>
            <c:numRef>
              <c:f>Plot_Data!$CL$5:$CL$29</c:f>
              <c:numCache>
                <c:formatCode>0.0000</c:formatCode>
                <c:ptCount val="25"/>
                <c:pt idx="0">
                  <c:v>5.7881656804733742E-2</c:v>
                </c:pt>
                <c:pt idx="1">
                  <c:v>5.8411737001709214E-2</c:v>
                </c:pt>
                <c:pt idx="2">
                  <c:v>6.000197759263564E-2</c:v>
                </c:pt>
                <c:pt idx="3">
                  <c:v>6.2652378577513004E-2</c:v>
                </c:pt>
                <c:pt idx="4">
                  <c:v>6.6362939956341321E-2</c:v>
                </c:pt>
                <c:pt idx="5">
                  <c:v>7.1133661729120584E-2</c:v>
                </c:pt>
                <c:pt idx="6">
                  <c:v>7.6964543895850807E-2</c:v>
                </c:pt>
                <c:pt idx="7">
                  <c:v>8.3855586456531961E-2</c:v>
                </c:pt>
                <c:pt idx="8">
                  <c:v>9.1806789411164075E-2</c:v>
                </c:pt>
                <c:pt idx="9">
                  <c:v>0.10081815275974713</c:v>
                </c:pt>
                <c:pt idx="10">
                  <c:v>0.11088967650228114</c:v>
                </c:pt>
                <c:pt idx="11">
                  <c:v>0.12202136063876608</c:v>
                </c:pt>
                <c:pt idx="12">
                  <c:v>0.13421320516920199</c:v>
                </c:pt>
                <c:pt idx="13">
                  <c:v>0.14746521009358882</c:v>
                </c:pt>
                <c:pt idx="14">
                  <c:v>0.16177737541192663</c:v>
                </c:pt>
                <c:pt idx="15">
                  <c:v>0.17714970112421535</c:v>
                </c:pt>
                <c:pt idx="16">
                  <c:v>0.19358218723045506</c:v>
                </c:pt>
                <c:pt idx="17">
                  <c:v>0.21107483373064573</c:v>
                </c:pt>
                <c:pt idx="18">
                  <c:v>0.2296276406247873</c:v>
                </c:pt>
                <c:pt idx="19">
                  <c:v>0.24924060791287977</c:v>
                </c:pt>
                <c:pt idx="20">
                  <c:v>0.26991373559492332</c:v>
                </c:pt>
                <c:pt idx="21">
                  <c:v>0.29164702367091772</c:v>
                </c:pt>
                <c:pt idx="22">
                  <c:v>0.31444047214086307</c:v>
                </c:pt>
                <c:pt idx="23">
                  <c:v>0.33829408100475944</c:v>
                </c:pt>
                <c:pt idx="24">
                  <c:v>0.36320785026260666</c:v>
                </c:pt>
              </c:numCache>
            </c:numRef>
          </c:xVal>
          <c:yVal>
            <c:numRef>
              <c:f>Plot_Data!$CK$5:$CK$29</c:f>
              <c:numCache>
                <c:formatCode>0.000</c:formatCode>
                <c:ptCount val="25"/>
                <c:pt idx="0">
                  <c:v>0</c:v>
                </c:pt>
                <c:pt idx="1">
                  <c:v>0.1125</c:v>
                </c:pt>
                <c:pt idx="2">
                  <c:v>0.22500000000000001</c:v>
                </c:pt>
                <c:pt idx="3">
                  <c:v>0.33750000000000002</c:v>
                </c:pt>
                <c:pt idx="4">
                  <c:v>0.45</c:v>
                </c:pt>
                <c:pt idx="5">
                  <c:v>0.56250000000000011</c:v>
                </c:pt>
                <c:pt idx="6">
                  <c:v>0.67500000000000004</c:v>
                </c:pt>
                <c:pt idx="7">
                  <c:v>0.78750000000000009</c:v>
                </c:pt>
                <c:pt idx="8">
                  <c:v>0.9</c:v>
                </c:pt>
                <c:pt idx="9">
                  <c:v>1.0125000000000002</c:v>
                </c:pt>
                <c:pt idx="10">
                  <c:v>1.1250000000000002</c:v>
                </c:pt>
                <c:pt idx="11">
                  <c:v>1.2375</c:v>
                </c:pt>
                <c:pt idx="12">
                  <c:v>1.35</c:v>
                </c:pt>
                <c:pt idx="13">
                  <c:v>1.4624999999999999</c:v>
                </c:pt>
                <c:pt idx="14">
                  <c:v>1.5750000000000002</c:v>
                </c:pt>
                <c:pt idx="15">
                  <c:v>1.6875</c:v>
                </c:pt>
                <c:pt idx="16">
                  <c:v>1.8</c:v>
                </c:pt>
                <c:pt idx="17">
                  <c:v>1.9125000000000003</c:v>
                </c:pt>
                <c:pt idx="18">
                  <c:v>2.0250000000000004</c:v>
                </c:pt>
                <c:pt idx="19">
                  <c:v>2.1375000000000002</c:v>
                </c:pt>
                <c:pt idx="20">
                  <c:v>2.2500000000000004</c:v>
                </c:pt>
                <c:pt idx="21">
                  <c:v>2.3625000000000003</c:v>
                </c:pt>
                <c:pt idx="22">
                  <c:v>2.4750000000000001</c:v>
                </c:pt>
                <c:pt idx="23">
                  <c:v>2.5875000000000004</c:v>
                </c:pt>
                <c:pt idx="24">
                  <c:v>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B0-403B-BB9D-218881FC307B}"/>
            </c:ext>
          </c:extLst>
        </c:ser>
        <c:ser>
          <c:idx val="3"/>
          <c:order val="3"/>
          <c:tx>
            <c:v>Cruise point</c:v>
          </c:tx>
          <c:spPr>
            <a:ln>
              <a:noFill/>
              <a:prstDash val="solid"/>
            </a:ln>
          </c:spPr>
          <c:marker>
            <c:symbol val="diamond"/>
            <c:size val="11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Plot_Data!$CN$5</c:f>
              <c:numCache>
                <c:formatCode>0.0000</c:formatCode>
                <c:ptCount val="1"/>
                <c:pt idx="0">
                  <c:v>2.8034333175992809E-2</c:v>
                </c:pt>
              </c:numCache>
            </c:numRef>
          </c:xVal>
          <c:yVal>
            <c:numRef>
              <c:f>Plot_Data!$CO$5</c:f>
              <c:numCache>
                <c:formatCode>0.000</c:formatCode>
                <c:ptCount val="1"/>
                <c:pt idx="0">
                  <c:v>0.48946990117802164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B0-403B-BB9D-218881FC30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Drag coefficient CD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low"/>
        <c:crossAx val="20"/>
        <c:crosses val="autoZero"/>
        <c:crossBetween val="midCat"/>
      </c:valAx>
      <c:valAx>
        <c:axId val="20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Lift coefficient CL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low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Lift-to-drag ratio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Clean</c:v>
          </c:tx>
          <c:spPr>
            <a:ln w="22000">
              <a:solidFill>
                <a:srgbClr val="0070C0"/>
              </a:solidFill>
              <a:prstDash val="solid"/>
            </a:ln>
          </c:spPr>
          <c:marker>
            <c:symbol val="none"/>
          </c:marker>
          <c:xVal>
            <c:numRef>
              <c:f>Plot_Data!$CE$5:$CE$29</c:f>
              <c:numCache>
                <c:formatCode>0.000</c:formatCode>
                <c:ptCount val="25"/>
                <c:pt idx="0">
                  <c:v>0</c:v>
                </c:pt>
                <c:pt idx="1">
                  <c:v>6.25E-2</c:v>
                </c:pt>
                <c:pt idx="2">
                  <c:v>0.125</c:v>
                </c:pt>
                <c:pt idx="3">
                  <c:v>0.1875</c:v>
                </c:pt>
                <c:pt idx="4">
                  <c:v>0.25</c:v>
                </c:pt>
                <c:pt idx="5">
                  <c:v>0.3125</c:v>
                </c:pt>
                <c:pt idx="6">
                  <c:v>0.375</c:v>
                </c:pt>
                <c:pt idx="7">
                  <c:v>0.4375</c:v>
                </c:pt>
                <c:pt idx="8">
                  <c:v>0.5</c:v>
                </c:pt>
                <c:pt idx="9">
                  <c:v>0.5625</c:v>
                </c:pt>
                <c:pt idx="10">
                  <c:v>0.625</c:v>
                </c:pt>
                <c:pt idx="11">
                  <c:v>0.6875</c:v>
                </c:pt>
                <c:pt idx="12">
                  <c:v>0.75</c:v>
                </c:pt>
                <c:pt idx="13">
                  <c:v>0.8125</c:v>
                </c:pt>
                <c:pt idx="14">
                  <c:v>0.875</c:v>
                </c:pt>
                <c:pt idx="15">
                  <c:v>0.9375</c:v>
                </c:pt>
                <c:pt idx="16">
                  <c:v>1</c:v>
                </c:pt>
                <c:pt idx="17">
                  <c:v>1.0625</c:v>
                </c:pt>
                <c:pt idx="18">
                  <c:v>1.125</c:v>
                </c:pt>
                <c:pt idx="19">
                  <c:v>1.1875</c:v>
                </c:pt>
                <c:pt idx="20">
                  <c:v>1.25</c:v>
                </c:pt>
                <c:pt idx="21">
                  <c:v>1.3125</c:v>
                </c:pt>
                <c:pt idx="22">
                  <c:v>1.375</c:v>
                </c:pt>
                <c:pt idx="23">
                  <c:v>1.4375</c:v>
                </c:pt>
                <c:pt idx="24">
                  <c:v>1.5</c:v>
                </c:pt>
              </c:numCache>
            </c:numRef>
          </c:xVal>
          <c:yVal>
            <c:numRef>
              <c:f>Plot_Data!$CG$5:$CG$29</c:f>
              <c:numCache>
                <c:formatCode>0.00</c:formatCode>
                <c:ptCount val="25"/>
                <c:pt idx="0">
                  <c:v>0</c:v>
                </c:pt>
                <c:pt idx="1">
                  <c:v>3.4409468826927316</c:v>
                </c:pt>
                <c:pt idx="2">
                  <c:v>6.7008247924631679</c:v>
                </c:pt>
                <c:pt idx="3">
                  <c:v>9.6289911246840134</c:v>
                </c:pt>
                <c:pt idx="4">
                  <c:v>12.12551558570634</c:v>
                </c:pt>
                <c:pt idx="5">
                  <c:v>14.146592666639263</c:v>
                </c:pt>
                <c:pt idx="6">
                  <c:v>15.697088902765701</c:v>
                </c:pt>
                <c:pt idx="7">
                  <c:v>16.81615753181061</c:v>
                </c:pt>
                <c:pt idx="8">
                  <c:v>17.561902229701726</c:v>
                </c:pt>
                <c:pt idx="9">
                  <c:v>17.998845237639937</c:v>
                </c:pt>
                <c:pt idx="10">
                  <c:v>18.189490889189077</c:v>
                </c:pt>
                <c:pt idx="11">
                  <c:v>18.189656925994981</c:v>
                </c:pt>
                <c:pt idx="12">
                  <c:v>18.046580447946983</c:v>
                </c:pt>
                <c:pt idx="13">
                  <c:v>17.798761026780323</c:v>
                </c:pt>
                <c:pt idx="14">
                  <c:v>17.476728052877441</c:v>
                </c:pt>
                <c:pt idx="15">
                  <c:v>17.104191960893072</c:v>
                </c:pt>
                <c:pt idx="16">
                  <c:v>16.69926369591284</c:v>
                </c:pt>
                <c:pt idx="17">
                  <c:v>16.275581739315594</c:v>
                </c:pt>
                <c:pt idx="18">
                  <c:v>15.84328086872218</c:v>
                </c:pt>
                <c:pt idx="19">
                  <c:v>15.409789182963575</c:v>
                </c:pt>
                <c:pt idx="20">
                  <c:v>14.980465540059926</c:v>
                </c:pt>
                <c:pt idx="21">
                  <c:v>14.559099778347477</c:v>
                </c:pt>
                <c:pt idx="22">
                  <c:v>14.148300180958003</c:v>
                </c:pt>
                <c:pt idx="23">
                  <c:v>13.749790888780369</c:v>
                </c:pt>
                <c:pt idx="24">
                  <c:v>13.364638726963639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BE-4008-9D38-8CBD73649AD1}"/>
            </c:ext>
          </c:extLst>
        </c:ser>
        <c:ser>
          <c:idx val="1"/>
          <c:order val="1"/>
          <c:tx>
            <c:v>Take-off flaps</c:v>
          </c:tx>
          <c:spPr>
            <a:ln w="22000">
              <a:solidFill>
                <a:srgbClr val="ED7D31"/>
              </a:solidFill>
              <a:prstDash val="solid"/>
            </a:ln>
          </c:spPr>
          <c:marker>
            <c:symbol val="none"/>
          </c:marker>
          <c:xVal>
            <c:numRef>
              <c:f>Plot_Data!$CH$5:$CH$29</c:f>
              <c:numCache>
                <c:formatCode>0.000</c:formatCode>
                <c:ptCount val="25"/>
                <c:pt idx="0">
                  <c:v>0</c:v>
                </c:pt>
                <c:pt idx="1">
                  <c:v>8.7499999999999994E-2</c:v>
                </c:pt>
                <c:pt idx="2">
                  <c:v>0.17499999999999999</c:v>
                </c:pt>
                <c:pt idx="3">
                  <c:v>0.26250000000000001</c:v>
                </c:pt>
                <c:pt idx="4">
                  <c:v>0.35</c:v>
                </c:pt>
                <c:pt idx="5">
                  <c:v>0.43750000000000006</c:v>
                </c:pt>
                <c:pt idx="6">
                  <c:v>0.52500000000000002</c:v>
                </c:pt>
                <c:pt idx="7">
                  <c:v>0.61250000000000004</c:v>
                </c:pt>
                <c:pt idx="8">
                  <c:v>0.7</c:v>
                </c:pt>
                <c:pt idx="9">
                  <c:v>0.78750000000000009</c:v>
                </c:pt>
                <c:pt idx="10">
                  <c:v>0.87500000000000011</c:v>
                </c:pt>
                <c:pt idx="11">
                  <c:v>0.96250000000000002</c:v>
                </c:pt>
                <c:pt idx="12">
                  <c:v>1.05</c:v>
                </c:pt>
                <c:pt idx="13">
                  <c:v>1.1375</c:v>
                </c:pt>
                <c:pt idx="14">
                  <c:v>1.2250000000000001</c:v>
                </c:pt>
                <c:pt idx="15">
                  <c:v>1.3125</c:v>
                </c:pt>
                <c:pt idx="16">
                  <c:v>1.4</c:v>
                </c:pt>
                <c:pt idx="17">
                  <c:v>1.4875</c:v>
                </c:pt>
                <c:pt idx="18">
                  <c:v>1.5750000000000002</c:v>
                </c:pt>
                <c:pt idx="19">
                  <c:v>1.6625000000000001</c:v>
                </c:pt>
                <c:pt idx="20">
                  <c:v>1.7500000000000002</c:v>
                </c:pt>
                <c:pt idx="21">
                  <c:v>1.8375000000000001</c:v>
                </c:pt>
                <c:pt idx="22">
                  <c:v>1.925</c:v>
                </c:pt>
                <c:pt idx="23">
                  <c:v>2.0125000000000002</c:v>
                </c:pt>
                <c:pt idx="24">
                  <c:v>2.1</c:v>
                </c:pt>
              </c:numCache>
            </c:numRef>
          </c:xVal>
          <c:yVal>
            <c:numRef>
              <c:f>Plot_Data!$CJ$5:$CJ$29</c:f>
              <c:numCache>
                <c:formatCode>0.00</c:formatCode>
                <c:ptCount val="25"/>
                <c:pt idx="0">
                  <c:v>0</c:v>
                </c:pt>
                <c:pt idx="1">
                  <c:v>2.4146368964908174</c:v>
                </c:pt>
                <c:pt idx="2">
                  <c:v>4.7043858225855404</c:v>
                </c:pt>
                <c:pt idx="3">
                  <c:v>6.7650003318947389</c:v>
                </c:pt>
                <c:pt idx="4">
                  <c:v>8.5267443720372622</c:v>
                </c:pt>
                <c:pt idx="5">
                  <c:v>9.9582750277267831</c:v>
                </c:pt>
                <c:pt idx="6">
                  <c:v>11.061798805819599</c:v>
                </c:pt>
                <c:pt idx="7">
                  <c:v>11.86342075945571</c:v>
                </c:pt>
                <c:pt idx="8">
                  <c:v>12.402710096787978</c:v>
                </c:pt>
                <c:pt idx="9">
                  <c:v>12.724065477537687</c:v>
                </c:pt>
                <c:pt idx="10">
                  <c:v>12.87081810972024</c:v>
                </c:pt>
                <c:pt idx="11">
                  <c:v>12.881901839831936</c:v>
                </c:pt>
                <c:pt idx="12">
                  <c:v>12.790443315487645</c:v>
                </c:pt>
                <c:pt idx="13">
                  <c:v>12.623574171038662</c:v>
                </c:pt>
                <c:pt idx="14">
                  <c:v>12.402907620823374</c:v>
                </c:pt>
                <c:pt idx="15">
                  <c:v>12.145302652688715</c:v>
                </c:pt>
                <c:pt idx="16">
                  <c:v>11.863691841591267</c:v>
                </c:pt>
                <c:pt idx="17">
                  <c:v>11.5678560959884</c:v>
                </c:pt>
                <c:pt idx="18">
                  <c:v>11.265096414133454</c:v>
                </c:pt>
                <c:pt idx="19">
                  <c:v>10.960790251051959</c:v>
                </c:pt>
                <c:pt idx="20">
                  <c:v>10.658838917053759</c:v>
                </c:pt>
                <c:pt idx="21">
                  <c:v>10.362020305145736</c:v>
                </c:pt>
                <c:pt idx="22">
                  <c:v>10.072263231165469</c:v>
                </c:pt>
                <c:pt idx="23">
                  <c:v>9.790858795903798</c:v>
                </c:pt>
                <c:pt idx="24">
                  <c:v>9.5186221375195306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BE-4008-9D38-8CBD73649AD1}"/>
            </c:ext>
          </c:extLst>
        </c:ser>
        <c:ser>
          <c:idx val="2"/>
          <c:order val="2"/>
          <c:tx>
            <c:v>Landing flaps, gear down</c:v>
          </c:tx>
          <c:spPr>
            <a:ln w="22000">
              <a:solidFill>
                <a:srgbClr val="7030A0"/>
              </a:solidFill>
              <a:prstDash val="solid"/>
            </a:ln>
          </c:spPr>
          <c:marker>
            <c:symbol val="none"/>
          </c:marker>
          <c:xVal>
            <c:numRef>
              <c:f>Plot_Data!$CK$5:$CK$29</c:f>
              <c:numCache>
                <c:formatCode>0.000</c:formatCode>
                <c:ptCount val="25"/>
                <c:pt idx="0">
                  <c:v>0</c:v>
                </c:pt>
                <c:pt idx="1">
                  <c:v>0.1125</c:v>
                </c:pt>
                <c:pt idx="2">
                  <c:v>0.22500000000000001</c:v>
                </c:pt>
                <c:pt idx="3">
                  <c:v>0.33750000000000002</c:v>
                </c:pt>
                <c:pt idx="4">
                  <c:v>0.45</c:v>
                </c:pt>
                <c:pt idx="5">
                  <c:v>0.56250000000000011</c:v>
                </c:pt>
                <c:pt idx="6">
                  <c:v>0.67500000000000004</c:v>
                </c:pt>
                <c:pt idx="7">
                  <c:v>0.78750000000000009</c:v>
                </c:pt>
                <c:pt idx="8">
                  <c:v>0.9</c:v>
                </c:pt>
                <c:pt idx="9">
                  <c:v>1.0125000000000002</c:v>
                </c:pt>
                <c:pt idx="10">
                  <c:v>1.1250000000000002</c:v>
                </c:pt>
                <c:pt idx="11">
                  <c:v>1.2375</c:v>
                </c:pt>
                <c:pt idx="12">
                  <c:v>1.35</c:v>
                </c:pt>
                <c:pt idx="13">
                  <c:v>1.4624999999999999</c:v>
                </c:pt>
                <c:pt idx="14">
                  <c:v>1.5750000000000002</c:v>
                </c:pt>
                <c:pt idx="15">
                  <c:v>1.6875</c:v>
                </c:pt>
                <c:pt idx="16">
                  <c:v>1.8</c:v>
                </c:pt>
                <c:pt idx="17">
                  <c:v>1.9125000000000003</c:v>
                </c:pt>
                <c:pt idx="18">
                  <c:v>2.0250000000000004</c:v>
                </c:pt>
                <c:pt idx="19">
                  <c:v>2.1375000000000002</c:v>
                </c:pt>
                <c:pt idx="20">
                  <c:v>2.2500000000000004</c:v>
                </c:pt>
                <c:pt idx="21">
                  <c:v>2.3625000000000003</c:v>
                </c:pt>
                <c:pt idx="22">
                  <c:v>2.4750000000000001</c:v>
                </c:pt>
                <c:pt idx="23">
                  <c:v>2.5875000000000004</c:v>
                </c:pt>
                <c:pt idx="24">
                  <c:v>2.7</c:v>
                </c:pt>
              </c:numCache>
            </c:numRef>
          </c:xVal>
          <c:yVal>
            <c:numRef>
              <c:f>Plot_Data!$CM$5:$CM$29</c:f>
              <c:numCache>
                <c:formatCode>0.00</c:formatCode>
                <c:ptCount val="25"/>
                <c:pt idx="0">
                  <c:v>0</c:v>
                </c:pt>
                <c:pt idx="1">
                  <c:v>1.9259827865880463</c:v>
                </c:pt>
                <c:pt idx="2">
                  <c:v>3.7498764045339641</c:v>
                </c:pt>
                <c:pt idx="3">
                  <c:v>5.3868665111005773</c:v>
                </c:pt>
                <c:pt idx="4">
                  <c:v>6.7808930752019858</c:v>
                </c:pt>
                <c:pt idx="5">
                  <c:v>7.9076485917738824</c:v>
                </c:pt>
                <c:pt idx="6">
                  <c:v>8.7702722036970275</c:v>
                </c:pt>
                <c:pt idx="7">
                  <c:v>9.3911453401880962</c:v>
                </c:pt>
                <c:pt idx="8">
                  <c:v>9.8031965366883469</c:v>
                </c:pt>
                <c:pt idx="9">
                  <c:v>10.04283427422857</c:v>
                </c:pt>
                <c:pt idx="10">
                  <c:v>10.145218522455131</c:v>
                </c:pt>
                <c:pt idx="11">
                  <c:v>10.141666946851332</c:v>
                </c:pt>
                <c:pt idx="12">
                  <c:v>10.058622758454067</c:v>
                </c:pt>
                <c:pt idx="13">
                  <c:v>9.9175934382884208</c:v>
                </c:pt>
                <c:pt idx="14">
                  <c:v>9.7356011369924058</c:v>
                </c:pt>
                <c:pt idx="15">
                  <c:v>9.5258416429206623</c:v>
                </c:pt>
                <c:pt idx="16">
                  <c:v>9.2983761871496071</c:v>
                </c:pt>
                <c:pt idx="17">
                  <c:v>9.0607675306311357</c:v>
                </c:pt>
                <c:pt idx="18">
                  <c:v>8.8186247722192128</c:v>
                </c:pt>
                <c:pt idx="19">
                  <c:v>8.5760503390649241</c:v>
                </c:pt>
                <c:pt idx="20">
                  <c:v>8.3359966659003906</c:v>
                </c:pt>
                <c:pt idx="21">
                  <c:v>8.1005455507948074</c:v>
                </c:pt>
                <c:pt idx="22">
                  <c:v>7.8711241690645002</c:v>
                </c:pt>
                <c:pt idx="23">
                  <c:v>7.6486706250222483</c:v>
                </c:pt>
                <c:pt idx="24">
                  <c:v>7.4337600303733673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7BE-4008-9D38-8CBD73649AD1}"/>
            </c:ext>
          </c:extLst>
        </c:ser>
        <c:ser>
          <c:idx val="3"/>
          <c:order val="3"/>
          <c:tx>
            <c:v>Cruise point</c:v>
          </c:tx>
          <c:spPr>
            <a:ln>
              <a:noFill/>
              <a:prstDash val="solid"/>
            </a:ln>
          </c:spPr>
          <c:marker>
            <c:symbol val="diamond"/>
            <c:size val="11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Plot_Data!$CO$5</c:f>
              <c:numCache>
                <c:formatCode>0.000</c:formatCode>
                <c:ptCount val="1"/>
                <c:pt idx="0">
                  <c:v>0.48946990117802164</c:v>
                </c:pt>
              </c:numCache>
            </c:numRef>
          </c:xVal>
          <c:yVal>
            <c:numRef>
              <c:f>Plot_Data!$CP$5</c:f>
              <c:numCache>
                <c:formatCode>0.00</c:formatCode>
                <c:ptCount val="1"/>
                <c:pt idx="0">
                  <c:v>17.459659129583972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7BE-4008-9D38-8CBD73649A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Lift coefficient CL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low"/>
        <c:crossAx val="20"/>
        <c:crosses val="autoZero"/>
        <c:crossBetween val="midCat"/>
      </c:valAx>
      <c:valAx>
        <c:axId val="20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L/D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low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Rate of climb against altitude (start-of-cruise weight)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Maximum rate of climb</c:v>
          </c:tx>
          <c:spPr>
            <a:ln w="22000">
              <a:solidFill>
                <a:srgbClr val="0070C0"/>
              </a:solidFill>
              <a:prstDash val="solid"/>
            </a:ln>
          </c:spPr>
          <c:marker>
            <c:symbol val="none"/>
          </c:marker>
          <c:xVal>
            <c:numRef>
              <c:f>Plot_Data!$CX$5:$CX$33</c:f>
              <c:numCache>
                <c:formatCode>0.00</c:formatCode>
                <c:ptCount val="29"/>
                <c:pt idx="0">
                  <c:v>38.702804230993934</c:v>
                </c:pt>
                <c:pt idx="1">
                  <c:v>36.402106881479298</c:v>
                </c:pt>
                <c:pt idx="2">
                  <c:v>34.201278632751063</c:v>
                </c:pt>
                <c:pt idx="3">
                  <c:v>32.096149793049491</c:v>
                </c:pt>
                <c:pt idx="4">
                  <c:v>30.082650927557101</c:v>
                </c:pt>
                <c:pt idx="5">
                  <c:v>28.1568101205198</c:v>
                </c:pt>
                <c:pt idx="6">
                  <c:v>26.314750315759078</c:v>
                </c:pt>
                <c:pt idx="7">
                  <c:v>24.552686751333848</c:v>
                </c:pt>
                <c:pt idx="8">
                  <c:v>22.866924505472163</c:v>
                </c:pt>
                <c:pt idx="9">
                  <c:v>21.253856171840919</c:v>
                </c:pt>
                <c:pt idx="10">
                  <c:v>19.709959682539903</c:v>
                </c:pt>
                <c:pt idx="11">
                  <c:v>18.231796296655673</c:v>
                </c:pt>
                <c:pt idx="12">
                  <c:v>16.816008770525897</c:v>
                </c:pt>
                <c:pt idx="13">
                  <c:v>15.459319722783443</c:v>
                </c:pt>
                <c:pt idx="14">
                  <c:v>14.158530202533724</c:v>
                </c:pt>
                <c:pt idx="15">
                  <c:v>12.910518462501702</c:v>
                </c:pt>
                <c:pt idx="16">
                  <c:v>11.71223893060794</c:v>
                </c:pt>
                <c:pt idx="17">
                  <c:v>10.560721363293657</c:v>
                </c:pt>
                <c:pt idx="18">
                  <c:v>9.4530701523132858</c:v>
                </c:pt>
                <c:pt idx="19">
                  <c:v>8.3864637441660506</c:v>
                </c:pt>
                <c:pt idx="20">
                  <c:v>7.3581541185858459</c:v>
                </c:pt>
                <c:pt idx="21">
                  <c:v>6.3654662604710426</c:v>
                </c:pt>
                <c:pt idx="22">
                  <c:v>5.4057975493348662</c:v>
                </c:pt>
                <c:pt idx="23">
                  <c:v>4.4766169828071085</c:v>
                </c:pt>
                <c:pt idx="24">
                  <c:v>3.5754641467851931</c:v>
                </c:pt>
                <c:pt idx="25">
                  <c:v>2.6999478451011512</c:v>
                </c:pt>
                <c:pt idx="26">
                  <c:v>1.8477443062325716</c:v>
                </c:pt>
                <c:pt idx="27">
                  <c:v>0.99048613340540181</c:v>
                </c:pt>
                <c:pt idx="28">
                  <c:v>0</c:v>
                </c:pt>
              </c:numCache>
            </c:numRef>
          </c:xVal>
          <c:yVal>
            <c:numRef>
              <c:f>Plot_Data!$CR$5:$CR$33</c:f>
              <c:numCache>
                <c:formatCode>0</c:formatCode>
                <c:ptCount val="29"/>
                <c:pt idx="0">
                  <c:v>0</c:v>
                </c:pt>
                <c:pt idx="1">
                  <c:v>409.47916902040822</c:v>
                </c:pt>
                <c:pt idx="2">
                  <c:v>818.95833804081644</c:v>
                </c:pt>
                <c:pt idx="3">
                  <c:v>1228.4375070612248</c:v>
                </c:pt>
                <c:pt idx="4">
                  <c:v>1637.9166760816329</c:v>
                </c:pt>
                <c:pt idx="5">
                  <c:v>2047.3958451020414</c:v>
                </c:pt>
                <c:pt idx="6">
                  <c:v>2456.8750141224496</c:v>
                </c:pt>
                <c:pt idx="7">
                  <c:v>2866.3541831428579</c:v>
                </c:pt>
                <c:pt idx="8">
                  <c:v>3275.8333521632658</c:v>
                </c:pt>
                <c:pt idx="9">
                  <c:v>3685.3125211836746</c:v>
                </c:pt>
                <c:pt idx="10">
                  <c:v>4094.7916902040829</c:v>
                </c:pt>
                <c:pt idx="11">
                  <c:v>4504.2708592244908</c:v>
                </c:pt>
                <c:pt idx="12">
                  <c:v>4913.7500282448991</c:v>
                </c:pt>
                <c:pt idx="13">
                  <c:v>5323.2291972653074</c:v>
                </c:pt>
                <c:pt idx="14">
                  <c:v>5732.7083662857158</c:v>
                </c:pt>
                <c:pt idx="15">
                  <c:v>6142.1875353061241</c:v>
                </c:pt>
                <c:pt idx="16">
                  <c:v>6551.6667043265315</c:v>
                </c:pt>
                <c:pt idx="17">
                  <c:v>6961.1458733469399</c:v>
                </c:pt>
                <c:pt idx="18">
                  <c:v>7370.6250423673491</c:v>
                </c:pt>
                <c:pt idx="19">
                  <c:v>7780.1042113877575</c:v>
                </c:pt>
                <c:pt idx="20">
                  <c:v>8189.5833804081658</c:v>
                </c:pt>
                <c:pt idx="21">
                  <c:v>8599.0625494285741</c:v>
                </c:pt>
                <c:pt idx="22">
                  <c:v>9008.5417184489816</c:v>
                </c:pt>
                <c:pt idx="23">
                  <c:v>9418.020887469389</c:v>
                </c:pt>
                <c:pt idx="24">
                  <c:v>9827.5000564897982</c:v>
                </c:pt>
                <c:pt idx="25">
                  <c:v>10236.979225510207</c:v>
                </c:pt>
                <c:pt idx="26">
                  <c:v>10646.458394530615</c:v>
                </c:pt>
                <c:pt idx="27">
                  <c:v>11055.937563551024</c:v>
                </c:pt>
                <c:pt idx="28">
                  <c:v>11465.416732571432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46-4617-92B4-CB904289C297}"/>
            </c:ext>
          </c:extLst>
        </c:ser>
        <c:ser>
          <c:idx val="1"/>
          <c:order val="1"/>
          <c:tx>
            <c:v>Cruise altitude</c:v>
          </c:tx>
          <c:spPr>
            <a:ln w="15000">
              <a:solidFill>
                <a:srgbClr val="00B050"/>
              </a:solidFill>
              <a:prstDash val="dash"/>
            </a:ln>
          </c:spPr>
          <c:marker>
            <c:symbol val="none"/>
          </c:marker>
          <c:xVal>
            <c:numRef>
              <c:f>Plot_Data!$DE$5:$DE$6</c:f>
              <c:numCache>
                <c:formatCode>0.000</c:formatCode>
                <c:ptCount val="2"/>
                <c:pt idx="0">
                  <c:v>0</c:v>
                </c:pt>
                <c:pt idx="1">
                  <c:v>38.702804230993934</c:v>
                </c:pt>
              </c:numCache>
            </c:numRef>
          </c:xVal>
          <c:yVal>
            <c:numRef>
              <c:f>Plot_Data!$DF$5:$DF$6</c:f>
              <c:numCache>
                <c:formatCode>0</c:formatCode>
                <c:ptCount val="2"/>
                <c:pt idx="0">
                  <c:v>10668</c:v>
                </c:pt>
                <c:pt idx="1">
                  <c:v>10668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346-4617-92B4-CB904289C2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Maximum rate of climb (m/s)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low"/>
        <c:crossAx val="20"/>
        <c:crosses val="autoZero"/>
        <c:crossBetween val="midCat"/>
      </c:valAx>
      <c:valAx>
        <c:axId val="20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Altitude (m)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low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Flight envelope (start-of-cruise weight)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Minimum speed (stall or thrust limit)</c:v>
          </c:tx>
          <c:spPr>
            <a:ln w="22000">
              <a:solidFill>
                <a:srgbClr val="C00000"/>
              </a:solidFill>
              <a:prstDash val="solid"/>
            </a:ln>
          </c:spPr>
          <c:marker>
            <c:symbol val="none"/>
          </c:marker>
          <c:xVal>
            <c:numRef>
              <c:f>Plot_Data!$DC$5:$DC$33</c:f>
              <c:numCache>
                <c:formatCode>0.000</c:formatCode>
                <c:ptCount val="29"/>
                <c:pt idx="0">
                  <c:v>0.21613618364094608</c:v>
                </c:pt>
                <c:pt idx="1">
                  <c:v>0.22147185777797693</c:v>
                </c:pt>
                <c:pt idx="2">
                  <c:v>0.22699109674536957</c:v>
                </c:pt>
                <c:pt idx="3">
                  <c:v>0.2327020335266678</c:v>
                </c:pt>
                <c:pt idx="4">
                  <c:v>0.23861324353515617</c:v>
                </c:pt>
                <c:pt idx="5">
                  <c:v>0.24473377323457729</c:v>
                </c:pt>
                <c:pt idx="6">
                  <c:v>0.25107317091163744</c:v>
                </c:pt>
                <c:pt idx="7">
                  <c:v>0.25764151978510347</c:v>
                </c:pt>
                <c:pt idx="8">
                  <c:v>0.26444947365418769</c:v>
                </c:pt>
                <c:pt idx="9">
                  <c:v>0.27150829530873299</c:v>
                </c:pt>
                <c:pt idx="10">
                  <c:v>0.27882989794569568</c:v>
                </c:pt>
                <c:pt idx="11">
                  <c:v>0.28642688986082593</c:v>
                </c:pt>
                <c:pt idx="12">
                  <c:v>0.29431262271156522</c:v>
                </c:pt>
                <c:pt idx="13">
                  <c:v>0.30250124367735193</c:v>
                </c:pt>
                <c:pt idx="14">
                  <c:v>0.31100775187712959</c:v>
                </c:pt>
                <c:pt idx="15">
                  <c:v>0.31984805944131711</c:v>
                </c:pt>
                <c:pt idx="16">
                  <c:v>0.32903905767731501</c:v>
                </c:pt>
                <c:pt idx="17">
                  <c:v>0.33859868881435945</c:v>
                </c:pt>
                <c:pt idx="18">
                  <c:v>0.34854602386581046</c:v>
                </c:pt>
                <c:pt idx="19">
                  <c:v>0.35890134720553013</c:v>
                </c:pt>
                <c:pt idx="20">
                  <c:v>0.36968624852068455</c:v>
                </c:pt>
                <c:pt idx="21">
                  <c:v>0.38092372287705439</c:v>
                </c:pt>
                <c:pt idx="22">
                  <c:v>0.39263827971586507</c:v>
                </c:pt>
                <c:pt idx="23">
                  <c:v>0.40485606169450733</c:v>
                </c:pt>
                <c:pt idx="24">
                  <c:v>0.42527848163828469</c:v>
                </c:pt>
                <c:pt idx="25">
                  <c:v>0.46237778812745733</c:v>
                </c:pt>
                <c:pt idx="26">
                  <c:v>0.50671862357602016</c:v>
                </c:pt>
                <c:pt idx="27">
                  <c:v>0.56483864541859941</c:v>
                </c:pt>
                <c:pt idx="28">
                  <c:v>0.71762205723990213</c:v>
                </c:pt>
              </c:numCache>
            </c:numRef>
          </c:xVal>
          <c:yVal>
            <c:numRef>
              <c:f>Plot_Data!$CR$5:$CR$33</c:f>
              <c:numCache>
                <c:formatCode>0</c:formatCode>
                <c:ptCount val="29"/>
                <c:pt idx="0">
                  <c:v>0</c:v>
                </c:pt>
                <c:pt idx="1">
                  <c:v>409.47916902040822</c:v>
                </c:pt>
                <c:pt idx="2">
                  <c:v>818.95833804081644</c:v>
                </c:pt>
                <c:pt idx="3">
                  <c:v>1228.4375070612248</c:v>
                </c:pt>
                <c:pt idx="4">
                  <c:v>1637.9166760816329</c:v>
                </c:pt>
                <c:pt idx="5">
                  <c:v>2047.3958451020414</c:v>
                </c:pt>
                <c:pt idx="6">
                  <c:v>2456.8750141224496</c:v>
                </c:pt>
                <c:pt idx="7">
                  <c:v>2866.3541831428579</c:v>
                </c:pt>
                <c:pt idx="8">
                  <c:v>3275.8333521632658</c:v>
                </c:pt>
                <c:pt idx="9">
                  <c:v>3685.3125211836746</c:v>
                </c:pt>
                <c:pt idx="10">
                  <c:v>4094.7916902040829</c:v>
                </c:pt>
                <c:pt idx="11">
                  <c:v>4504.2708592244908</c:v>
                </c:pt>
                <c:pt idx="12">
                  <c:v>4913.7500282448991</c:v>
                </c:pt>
                <c:pt idx="13">
                  <c:v>5323.2291972653074</c:v>
                </c:pt>
                <c:pt idx="14">
                  <c:v>5732.7083662857158</c:v>
                </c:pt>
                <c:pt idx="15">
                  <c:v>6142.1875353061241</c:v>
                </c:pt>
                <c:pt idx="16">
                  <c:v>6551.6667043265315</c:v>
                </c:pt>
                <c:pt idx="17">
                  <c:v>6961.1458733469399</c:v>
                </c:pt>
                <c:pt idx="18">
                  <c:v>7370.6250423673491</c:v>
                </c:pt>
                <c:pt idx="19">
                  <c:v>7780.1042113877575</c:v>
                </c:pt>
                <c:pt idx="20">
                  <c:v>8189.5833804081658</c:v>
                </c:pt>
                <c:pt idx="21">
                  <c:v>8599.0625494285741</c:v>
                </c:pt>
                <c:pt idx="22">
                  <c:v>9008.5417184489816</c:v>
                </c:pt>
                <c:pt idx="23">
                  <c:v>9418.020887469389</c:v>
                </c:pt>
                <c:pt idx="24">
                  <c:v>9827.5000564897982</c:v>
                </c:pt>
                <c:pt idx="25">
                  <c:v>10236.979225510207</c:v>
                </c:pt>
                <c:pt idx="26">
                  <c:v>10646.458394530615</c:v>
                </c:pt>
                <c:pt idx="27">
                  <c:v>11055.937563551024</c:v>
                </c:pt>
                <c:pt idx="28">
                  <c:v>11465.416732571432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EC-4888-A75A-7D12E7A7DE11}"/>
            </c:ext>
          </c:extLst>
        </c:ser>
        <c:ser>
          <c:idx val="1"/>
          <c:order val="1"/>
          <c:tx>
            <c:v>Maximum speed (thrust or M_MO limit)</c:v>
          </c:tx>
          <c:spPr>
            <a:ln w="22000">
              <a:solidFill>
                <a:srgbClr val="0070C0"/>
              </a:solidFill>
              <a:prstDash val="solid"/>
            </a:ln>
          </c:spPr>
          <c:marker>
            <c:symbol val="none"/>
          </c:marker>
          <c:xVal>
            <c:numRef>
              <c:f>Plot_Data!$DD$5:$DD$33</c:f>
              <c:numCache>
                <c:formatCode>0.000</c:formatCode>
                <c:ptCount val="29"/>
                <c:pt idx="0">
                  <c:v>0.82</c:v>
                </c:pt>
                <c:pt idx="1">
                  <c:v>0.82000000000000006</c:v>
                </c:pt>
                <c:pt idx="2">
                  <c:v>0.82000000000000017</c:v>
                </c:pt>
                <c:pt idx="3">
                  <c:v>0.82000000000000006</c:v>
                </c:pt>
                <c:pt idx="4">
                  <c:v>0.82000000000000006</c:v>
                </c:pt>
                <c:pt idx="5">
                  <c:v>0.82000000000000006</c:v>
                </c:pt>
                <c:pt idx="6">
                  <c:v>0.82000000000000017</c:v>
                </c:pt>
                <c:pt idx="7">
                  <c:v>0.82000000000000006</c:v>
                </c:pt>
                <c:pt idx="8">
                  <c:v>0.82000000000000006</c:v>
                </c:pt>
                <c:pt idx="9">
                  <c:v>0.82000000000000017</c:v>
                </c:pt>
                <c:pt idx="10">
                  <c:v>0.82</c:v>
                </c:pt>
                <c:pt idx="11">
                  <c:v>0.82</c:v>
                </c:pt>
                <c:pt idx="12">
                  <c:v>0.82000000000000006</c:v>
                </c:pt>
                <c:pt idx="13">
                  <c:v>0.82000000000000006</c:v>
                </c:pt>
                <c:pt idx="14">
                  <c:v>0.82000000000000017</c:v>
                </c:pt>
                <c:pt idx="15">
                  <c:v>0.82000000000000006</c:v>
                </c:pt>
                <c:pt idx="16">
                  <c:v>0.82</c:v>
                </c:pt>
                <c:pt idx="17">
                  <c:v>0.82</c:v>
                </c:pt>
                <c:pt idx="18">
                  <c:v>0.82000000000000006</c:v>
                </c:pt>
                <c:pt idx="19">
                  <c:v>0.82000000000000006</c:v>
                </c:pt>
                <c:pt idx="20">
                  <c:v>0.82000000000000006</c:v>
                </c:pt>
                <c:pt idx="21">
                  <c:v>0.82000000000000006</c:v>
                </c:pt>
                <c:pt idx="22">
                  <c:v>0.82000000000000006</c:v>
                </c:pt>
                <c:pt idx="23">
                  <c:v>0.82000000000000006</c:v>
                </c:pt>
                <c:pt idx="24">
                  <c:v>0.82000000000000006</c:v>
                </c:pt>
                <c:pt idx="25">
                  <c:v>0.82000000000000006</c:v>
                </c:pt>
                <c:pt idx="26">
                  <c:v>0.82000000000000006</c:v>
                </c:pt>
                <c:pt idx="27">
                  <c:v>0.82000000000000006</c:v>
                </c:pt>
                <c:pt idx="28">
                  <c:v>0.71762205723990213</c:v>
                </c:pt>
              </c:numCache>
            </c:numRef>
          </c:xVal>
          <c:yVal>
            <c:numRef>
              <c:f>Plot_Data!$CR$5:$CR$33</c:f>
              <c:numCache>
                <c:formatCode>0</c:formatCode>
                <c:ptCount val="29"/>
                <c:pt idx="0">
                  <c:v>0</c:v>
                </c:pt>
                <c:pt idx="1">
                  <c:v>409.47916902040822</c:v>
                </c:pt>
                <c:pt idx="2">
                  <c:v>818.95833804081644</c:v>
                </c:pt>
                <c:pt idx="3">
                  <c:v>1228.4375070612248</c:v>
                </c:pt>
                <c:pt idx="4">
                  <c:v>1637.9166760816329</c:v>
                </c:pt>
                <c:pt idx="5">
                  <c:v>2047.3958451020414</c:v>
                </c:pt>
                <c:pt idx="6">
                  <c:v>2456.8750141224496</c:v>
                </c:pt>
                <c:pt idx="7">
                  <c:v>2866.3541831428579</c:v>
                </c:pt>
                <c:pt idx="8">
                  <c:v>3275.8333521632658</c:v>
                </c:pt>
                <c:pt idx="9">
                  <c:v>3685.3125211836746</c:v>
                </c:pt>
                <c:pt idx="10">
                  <c:v>4094.7916902040829</c:v>
                </c:pt>
                <c:pt idx="11">
                  <c:v>4504.2708592244908</c:v>
                </c:pt>
                <c:pt idx="12">
                  <c:v>4913.7500282448991</c:v>
                </c:pt>
                <c:pt idx="13">
                  <c:v>5323.2291972653074</c:v>
                </c:pt>
                <c:pt idx="14">
                  <c:v>5732.7083662857158</c:v>
                </c:pt>
                <c:pt idx="15">
                  <c:v>6142.1875353061241</c:v>
                </c:pt>
                <c:pt idx="16">
                  <c:v>6551.6667043265315</c:v>
                </c:pt>
                <c:pt idx="17">
                  <c:v>6961.1458733469399</c:v>
                </c:pt>
                <c:pt idx="18">
                  <c:v>7370.6250423673491</c:v>
                </c:pt>
                <c:pt idx="19">
                  <c:v>7780.1042113877575</c:v>
                </c:pt>
                <c:pt idx="20">
                  <c:v>8189.5833804081658</c:v>
                </c:pt>
                <c:pt idx="21">
                  <c:v>8599.0625494285741</c:v>
                </c:pt>
                <c:pt idx="22">
                  <c:v>9008.5417184489816</c:v>
                </c:pt>
                <c:pt idx="23">
                  <c:v>9418.020887469389</c:v>
                </c:pt>
                <c:pt idx="24">
                  <c:v>9827.5000564897982</c:v>
                </c:pt>
                <c:pt idx="25">
                  <c:v>10236.979225510207</c:v>
                </c:pt>
                <c:pt idx="26">
                  <c:v>10646.458394530615</c:v>
                </c:pt>
                <c:pt idx="27">
                  <c:v>11055.937563551024</c:v>
                </c:pt>
                <c:pt idx="28">
                  <c:v>11465.416732571432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4EC-4888-A75A-7D12E7A7DE11}"/>
            </c:ext>
          </c:extLst>
        </c:ser>
        <c:ser>
          <c:idx val="2"/>
          <c:order val="2"/>
          <c:tx>
            <c:v>Cruise point</c:v>
          </c:tx>
          <c:spPr>
            <a:ln>
              <a:noFill/>
              <a:prstDash val="solid"/>
            </a:ln>
          </c:spPr>
          <c:marker>
            <c:symbol val="diamond"/>
            <c:size val="11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Plot_Data!$DG$5</c:f>
              <c:numCache>
                <c:formatCode>0.000</c:formatCode>
                <c:ptCount val="1"/>
                <c:pt idx="0">
                  <c:v>0.78</c:v>
                </c:pt>
              </c:numCache>
            </c:numRef>
          </c:xVal>
          <c:yVal>
            <c:numRef>
              <c:f>Plot_Data!$DH$5</c:f>
              <c:numCache>
                <c:formatCode>0</c:formatCode>
                <c:ptCount val="1"/>
                <c:pt idx="0">
                  <c:v>10668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4EC-4888-A75A-7D12E7A7DE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Mach number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low"/>
        <c:crossAx val="20"/>
        <c:crosses val="autoZero"/>
        <c:crossBetween val="midCat"/>
      </c:valAx>
      <c:valAx>
        <c:axId val="20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Altitude (m)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low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V-n diagram (sea level, MTOM)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Manoeuvre envelope</c:v>
          </c:tx>
          <c:spPr>
            <a:ln w="25000">
              <a:solidFill>
                <a:srgbClr val="1F3864"/>
              </a:solidFill>
              <a:prstDash val="solid"/>
            </a:ln>
          </c:spPr>
          <c:marker>
            <c:symbol val="none"/>
          </c:marker>
          <c:xVal>
            <c:numRef>
              <c:f>Plot_Data!$DJ$5:$DJ$29</c:f>
              <c:numCache>
                <c:formatCode>0.0</c:formatCode>
                <c:ptCount val="25"/>
                <c:pt idx="0">
                  <c:v>0</c:v>
                </c:pt>
                <c:pt idx="1">
                  <c:v>11.987531470107223</c:v>
                </c:pt>
                <c:pt idx="2">
                  <c:v>23.975062940214446</c:v>
                </c:pt>
                <c:pt idx="3">
                  <c:v>35.962594410321664</c:v>
                </c:pt>
                <c:pt idx="4">
                  <c:v>47.950125880428892</c:v>
                </c:pt>
                <c:pt idx="5">
                  <c:v>59.937657350536114</c:v>
                </c:pt>
                <c:pt idx="6">
                  <c:v>71.925188820643328</c:v>
                </c:pt>
                <c:pt idx="7">
                  <c:v>83.912720290750556</c:v>
                </c:pt>
                <c:pt idx="8">
                  <c:v>95.900251760857785</c:v>
                </c:pt>
                <c:pt idx="9">
                  <c:v>107.88778323096501</c:v>
                </c:pt>
                <c:pt idx="10">
                  <c:v>119.87531470107223</c:v>
                </c:pt>
                <c:pt idx="11">
                  <c:v>160.94389246323274</c:v>
                </c:pt>
                <c:pt idx="12">
                  <c:v>160.94389246323274</c:v>
                </c:pt>
                <c:pt idx="13">
                  <c:v>128.75511397058619</c:v>
                </c:pt>
                <c:pt idx="14">
                  <c:v>84.764647921999611</c:v>
                </c:pt>
                <c:pt idx="15">
                  <c:v>76.288183129799648</c:v>
                </c:pt>
                <c:pt idx="16">
                  <c:v>67.811718337599686</c:v>
                </c:pt>
                <c:pt idx="17">
                  <c:v>59.335253545399716</c:v>
                </c:pt>
                <c:pt idx="18">
                  <c:v>50.858788753199768</c:v>
                </c:pt>
                <c:pt idx="19">
                  <c:v>42.382323960999805</c:v>
                </c:pt>
                <c:pt idx="20">
                  <c:v>33.905859168799843</c:v>
                </c:pt>
                <c:pt idx="21">
                  <c:v>25.429394376599884</c:v>
                </c:pt>
                <c:pt idx="22">
                  <c:v>16.952929584399921</c:v>
                </c:pt>
                <c:pt idx="23">
                  <c:v>8.4764647921999607</c:v>
                </c:pt>
                <c:pt idx="24">
                  <c:v>0</c:v>
                </c:pt>
              </c:numCache>
            </c:numRef>
          </c:xVal>
          <c:yVal>
            <c:numRef>
              <c:f>Plot_Data!$DK$5:$DK$29</c:f>
              <c:numCache>
                <c:formatCode>0.00</c:formatCode>
                <c:ptCount val="25"/>
                <c:pt idx="0">
                  <c:v>0</c:v>
                </c:pt>
                <c:pt idx="1">
                  <c:v>2.5000000000000001E-2</c:v>
                </c:pt>
                <c:pt idx="2">
                  <c:v>0.1</c:v>
                </c:pt>
                <c:pt idx="3">
                  <c:v>0.22499999999999992</c:v>
                </c:pt>
                <c:pt idx="4">
                  <c:v>0.4</c:v>
                </c:pt>
                <c:pt idx="5">
                  <c:v>0.62500000000000011</c:v>
                </c:pt>
                <c:pt idx="6">
                  <c:v>0.89999999999999969</c:v>
                </c:pt>
                <c:pt idx="7">
                  <c:v>1.2250000000000001</c:v>
                </c:pt>
                <c:pt idx="8">
                  <c:v>1.6</c:v>
                </c:pt>
                <c:pt idx="9">
                  <c:v>2.0250000000000004</c:v>
                </c:pt>
                <c:pt idx="10">
                  <c:v>2.5000000000000004</c:v>
                </c:pt>
                <c:pt idx="11">
                  <c:v>2.5</c:v>
                </c:pt>
                <c:pt idx="12">
                  <c:v>0</c:v>
                </c:pt>
                <c:pt idx="13">
                  <c:v>-1</c:v>
                </c:pt>
                <c:pt idx="14">
                  <c:v>-1.0000000000000002</c:v>
                </c:pt>
                <c:pt idx="15">
                  <c:v>-0.81000000000000039</c:v>
                </c:pt>
                <c:pt idx="16">
                  <c:v>-0.64000000000000012</c:v>
                </c:pt>
                <c:pt idx="17">
                  <c:v>-0.49000000000000005</c:v>
                </c:pt>
                <c:pt idx="18">
                  <c:v>-0.36000000000000004</c:v>
                </c:pt>
                <c:pt idx="19">
                  <c:v>-0.25000000000000006</c:v>
                </c:pt>
                <c:pt idx="20">
                  <c:v>-0.16000000000000003</c:v>
                </c:pt>
                <c:pt idx="21">
                  <c:v>-9.0000000000000011E-2</c:v>
                </c:pt>
                <c:pt idx="22">
                  <c:v>-4.0000000000000008E-2</c:v>
                </c:pt>
                <c:pt idx="23">
                  <c:v>-1.0000000000000002E-2</c:v>
                </c:pt>
                <c:pt idx="2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16-42B1-8010-C77C795F43D4}"/>
            </c:ext>
          </c:extLst>
        </c:ser>
        <c:ser>
          <c:idx val="1"/>
          <c:order val="1"/>
          <c:tx>
            <c:v>Gust lines (50 ft/s at VC, 25 ft/s at VD)</c:v>
          </c:tx>
          <c:spPr>
            <a:ln w="15000">
              <a:solidFill>
                <a:srgbClr val="C00000"/>
              </a:solidFill>
              <a:prstDash val="dash"/>
            </a:ln>
          </c:spPr>
          <c:marker>
            <c:symbol val="none"/>
          </c:marker>
          <c:xVal>
            <c:numRef>
              <c:f>Plot_Data!$DL$5:$DL$7</c:f>
              <c:numCache>
                <c:formatCode>0.0</c:formatCode>
                <c:ptCount val="3"/>
                <c:pt idx="0">
                  <c:v>0</c:v>
                </c:pt>
                <c:pt idx="1">
                  <c:v>128.75511397058619</c:v>
                </c:pt>
                <c:pt idx="2">
                  <c:v>160.94389246323274</c:v>
                </c:pt>
              </c:numCache>
            </c:numRef>
          </c:xVal>
          <c:yVal>
            <c:numRef>
              <c:f>Plot_Data!$DM$5:$DM$7</c:f>
              <c:numCache>
                <c:formatCode>0.00</c:formatCode>
                <c:ptCount val="3"/>
                <c:pt idx="0">
                  <c:v>1</c:v>
                </c:pt>
                <c:pt idx="1">
                  <c:v>1.8374316875838907</c:v>
                </c:pt>
                <c:pt idx="2">
                  <c:v>1.5233948047399317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16-42B1-8010-C77C795F43D4}"/>
            </c:ext>
          </c:extLst>
        </c:ser>
        <c:ser>
          <c:idx val="2"/>
          <c:order val="2"/>
          <c:spPr>
            <a:ln w="15000">
              <a:solidFill>
                <a:srgbClr val="C00000"/>
              </a:solidFill>
              <a:prstDash val="dash"/>
            </a:ln>
          </c:spPr>
          <c:marker>
            <c:symbol val="none"/>
          </c:marker>
          <c:xVal>
            <c:numRef>
              <c:f>Plot_Data!$DN$5:$DN$7</c:f>
              <c:numCache>
                <c:formatCode>0.0</c:formatCode>
                <c:ptCount val="3"/>
                <c:pt idx="0">
                  <c:v>0</c:v>
                </c:pt>
                <c:pt idx="1">
                  <c:v>128.75511397058619</c:v>
                </c:pt>
                <c:pt idx="2">
                  <c:v>160.94389246323274</c:v>
                </c:pt>
              </c:numCache>
            </c:numRef>
          </c:xVal>
          <c:yVal>
            <c:numRef>
              <c:f>Plot_Data!$DO$5:$DO$7</c:f>
              <c:numCache>
                <c:formatCode>0.00</c:formatCode>
                <c:ptCount val="3"/>
                <c:pt idx="0">
                  <c:v>1</c:v>
                </c:pt>
                <c:pt idx="1">
                  <c:v>0.16256831241610925</c:v>
                </c:pt>
                <c:pt idx="2">
                  <c:v>0.47660519526006828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616-42B1-8010-C77C795F4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Equivalent airspeed (m/s)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low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Load factor n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low"/>
        <c:crossAx val="10"/>
        <c:crosses val="autoZero"/>
        <c:crossBetween val="midCat"/>
      </c:valAx>
    </c:plotArea>
    <c:legend>
      <c:legendPos val="r"/>
      <c:legendEntry>
        <c:idx val="2"/>
        <c:delete val="1"/>
      </c:legendEntry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Centre of gravity loading diagram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Loading loop: empty - payload - fuel - ferry</c:v>
          </c:tx>
          <c:spPr>
            <a:ln w="22000">
              <a:solidFill>
                <a:srgbClr val="0070C0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0070C0"/>
              </a:solidFill>
              <a:ln>
                <a:solidFill>
                  <a:srgbClr val="0070C0"/>
                </a:solidFill>
                <a:prstDash val="solid"/>
              </a:ln>
            </c:spPr>
          </c:marker>
          <c:xVal>
            <c:numRef>
              <c:f>Plot_Data!$DQ$5:$DQ$9</c:f>
              <c:numCache>
                <c:formatCode>0.0%</c:formatCode>
                <c:ptCount val="5"/>
                <c:pt idx="0">
                  <c:v>0.43553093088201961</c:v>
                </c:pt>
                <c:pt idx="1">
                  <c:v>0.46102527281650479</c:v>
                </c:pt>
                <c:pt idx="2">
                  <c:v>0.45775398590055116</c:v>
                </c:pt>
                <c:pt idx="3">
                  <c:v>0.4409008445902341</c:v>
                </c:pt>
                <c:pt idx="4">
                  <c:v>0.43553093088201961</c:v>
                </c:pt>
              </c:numCache>
            </c:numRef>
          </c:xVal>
          <c:yVal>
            <c:numRef>
              <c:f>Plot_Data!$DR$5:$DR$9</c:f>
              <c:numCache>
                <c:formatCode>#,##0</c:formatCode>
                <c:ptCount val="5"/>
                <c:pt idx="0">
                  <c:v>35727.299588860682</c:v>
                </c:pt>
                <c:pt idx="1">
                  <c:v>49977.299588860682</c:v>
                </c:pt>
                <c:pt idx="2">
                  <c:v>71061.950546004198</c:v>
                </c:pt>
                <c:pt idx="3">
                  <c:v>56811.950546004198</c:v>
                </c:pt>
                <c:pt idx="4">
                  <c:v>35727.299588860682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60-4E93-95AE-BFE3B26C30EE}"/>
            </c:ext>
          </c:extLst>
        </c:ser>
        <c:ser>
          <c:idx val="1"/>
          <c:order val="1"/>
          <c:tx>
            <c:v>Neutral point</c:v>
          </c:tx>
          <c:spPr>
            <a:ln w="18000">
              <a:solidFill>
                <a:srgbClr val="C00000"/>
              </a:solidFill>
              <a:prstDash val="solid"/>
            </a:ln>
          </c:spPr>
          <c:marker>
            <c:symbol val="none"/>
          </c:marker>
          <c:xVal>
            <c:numRef>
              <c:f>Plot_Data!$DS$5:$DS$6</c:f>
              <c:numCache>
                <c:formatCode>0.0%</c:formatCode>
                <c:ptCount val="2"/>
                <c:pt idx="0">
                  <c:v>0.57069572838201588</c:v>
                </c:pt>
                <c:pt idx="1">
                  <c:v>0.57069572838201588</c:v>
                </c:pt>
              </c:numCache>
            </c:numRef>
          </c:xVal>
          <c:yVal>
            <c:numRef>
              <c:f>Plot_Data!$DT$5:$DT$6</c:f>
              <c:numCache>
                <c:formatCode>#,##0</c:formatCode>
                <c:ptCount val="2"/>
                <c:pt idx="0">
                  <c:v>33940.934609417644</c:v>
                </c:pt>
                <c:pt idx="1">
                  <c:v>73193.809062384331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60-4E93-95AE-BFE3B26C30EE}"/>
            </c:ext>
          </c:extLst>
        </c:ser>
        <c:ser>
          <c:idx val="2"/>
          <c:order val="2"/>
          <c:tx>
            <c:v>Aft limit (5 % static margin)</c:v>
          </c:tx>
          <c:spPr>
            <a:ln w="18000">
              <a:solidFill>
                <a:srgbClr val="ED7D31"/>
              </a:solidFill>
              <a:prstDash val="dash"/>
            </a:ln>
          </c:spPr>
          <c:marker>
            <c:symbol val="none"/>
          </c:marker>
          <c:xVal>
            <c:numRef>
              <c:f>Plot_Data!$DU$5:$DU$6</c:f>
              <c:numCache>
                <c:formatCode>0.0%</c:formatCode>
                <c:ptCount val="2"/>
                <c:pt idx="0">
                  <c:v>0.52069572838201583</c:v>
                </c:pt>
                <c:pt idx="1">
                  <c:v>0.52069572838201583</c:v>
                </c:pt>
              </c:numCache>
            </c:numRef>
          </c:xVal>
          <c:yVal>
            <c:numRef>
              <c:f>Plot_Data!$DV$5:$DV$6</c:f>
              <c:numCache>
                <c:formatCode>#,##0</c:formatCode>
                <c:ptCount val="2"/>
                <c:pt idx="0">
                  <c:v>33940.934609417644</c:v>
                </c:pt>
                <c:pt idx="1">
                  <c:v>73193.809062384331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060-4E93-95AE-BFE3B26C30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CG position (% MAC)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low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Mass (kg)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low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Front view - dihedral, engines and landing gear (to scale)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0000000000000007E-2"/>
          <c:y val="0.09"/>
          <c:w val="0.54923076923076919"/>
          <c:h val="0.84"/>
        </c:manualLayout>
      </c:layout>
      <c:scatterChart>
        <c:scatterStyle val="lineMarker"/>
        <c:varyColors val="0"/>
        <c:ser>
          <c:idx val="0"/>
          <c:order val="0"/>
          <c:spPr>
            <a:ln>
              <a:noFill/>
              <a:prstDash val="solid"/>
            </a:ln>
          </c:spPr>
          <c:marker>
            <c:symbol val="none"/>
          </c:marker>
          <c:xVal>
            <c:numRef>
              <c:f>Plot_Data!$AS$5:$AS$6</c:f>
              <c:numCache>
                <c:formatCode>0.000</c:formatCode>
                <c:ptCount val="2"/>
                <c:pt idx="0">
                  <c:v>-19.591528</c:v>
                </c:pt>
                <c:pt idx="1">
                  <c:v>19.591528</c:v>
                </c:pt>
              </c:numCache>
            </c:numRef>
          </c:xVal>
          <c:yVal>
            <c:numRef>
              <c:f>Plot_Data!$AT$5:$AT$6</c:f>
              <c:numCache>
                <c:formatCode>0.000</c:formatCode>
                <c:ptCount val="2"/>
                <c:pt idx="0">
                  <c:v>-19.591528</c:v>
                </c:pt>
                <c:pt idx="1">
                  <c:v>19.591528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A9-4765-9981-A67745450B41}"/>
            </c:ext>
          </c:extLst>
        </c:ser>
        <c:ser>
          <c:idx val="1"/>
          <c:order val="1"/>
          <c:tx>
            <c:strRef>
              <c:f>Plot_Data!$BK$5</c:f>
              <c:strCache>
                <c:ptCount val="1"/>
                <c:pt idx="0">
                  <c:v>Fuselage: L = 35.6 m, d = 3.98 m</c:v>
                </c:pt>
              </c:strCache>
            </c:strRef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xVal>
            <c:numRef>
              <c:f>Plot_Data!$DX$5:$DX$29</c:f>
              <c:numCache>
                <c:formatCode>0.000</c:formatCode>
                <c:ptCount val="25"/>
                <c:pt idx="0">
                  <c:v>1.9909249999999998</c:v>
                </c:pt>
                <c:pt idx="1">
                  <c:v>1.9230941852499996</c:v>
                </c:pt>
                <c:pt idx="2">
                  <c:v>1.7242007777499997</c:v>
                </c:pt>
                <c:pt idx="3">
                  <c:v>1.40780297675</c:v>
                </c:pt>
                <c:pt idx="4">
                  <c:v>0.99546249999999992</c:v>
                </c:pt>
                <c:pt idx="5">
                  <c:v>0.51529120849999999</c:v>
                </c:pt>
                <c:pt idx="6">
                  <c:v>0</c:v>
                </c:pt>
                <c:pt idx="7">
                  <c:v>-0.51529120849999999</c:v>
                </c:pt>
                <c:pt idx="8">
                  <c:v>-0.99546249999999992</c:v>
                </c:pt>
                <c:pt idx="9">
                  <c:v>-1.40780297675</c:v>
                </c:pt>
                <c:pt idx="10">
                  <c:v>-1.7242007777499997</c:v>
                </c:pt>
                <c:pt idx="11">
                  <c:v>-1.9230941852499996</c:v>
                </c:pt>
                <c:pt idx="12">
                  <c:v>-1.9909249999999998</c:v>
                </c:pt>
                <c:pt idx="13">
                  <c:v>-1.9230941852499996</c:v>
                </c:pt>
                <c:pt idx="14">
                  <c:v>-1.7242007777499997</c:v>
                </c:pt>
                <c:pt idx="15">
                  <c:v>-1.40780297675</c:v>
                </c:pt>
                <c:pt idx="16">
                  <c:v>-0.99546249999999992</c:v>
                </c:pt>
                <c:pt idx="17">
                  <c:v>-0.51529120849999999</c:v>
                </c:pt>
                <c:pt idx="18">
                  <c:v>0</c:v>
                </c:pt>
                <c:pt idx="19">
                  <c:v>0.51529120849999999</c:v>
                </c:pt>
                <c:pt idx="20">
                  <c:v>0.99546249999999992</c:v>
                </c:pt>
                <c:pt idx="21">
                  <c:v>1.40780297675</c:v>
                </c:pt>
                <c:pt idx="22">
                  <c:v>1.7242007777499997</c:v>
                </c:pt>
                <c:pt idx="23">
                  <c:v>1.9230941852499996</c:v>
                </c:pt>
                <c:pt idx="24">
                  <c:v>1.9909249999999998</c:v>
                </c:pt>
              </c:numCache>
            </c:numRef>
          </c:xVal>
          <c:yVal>
            <c:numRef>
              <c:f>Plot_Data!$DY$5:$DY$29</c:f>
              <c:numCache>
                <c:formatCode>0.000</c:formatCode>
                <c:ptCount val="25"/>
                <c:pt idx="0">
                  <c:v>0</c:v>
                </c:pt>
                <c:pt idx="1">
                  <c:v>0.51529120849999999</c:v>
                </c:pt>
                <c:pt idx="2">
                  <c:v>0.99546249999999992</c:v>
                </c:pt>
                <c:pt idx="3">
                  <c:v>1.40780297675</c:v>
                </c:pt>
                <c:pt idx="4">
                  <c:v>1.7242007777499997</c:v>
                </c:pt>
                <c:pt idx="5">
                  <c:v>1.9230941852499996</c:v>
                </c:pt>
                <c:pt idx="6">
                  <c:v>1.9909249999999998</c:v>
                </c:pt>
                <c:pt idx="7">
                  <c:v>1.9230941852499996</c:v>
                </c:pt>
                <c:pt idx="8">
                  <c:v>1.7242007777499997</c:v>
                </c:pt>
                <c:pt idx="9">
                  <c:v>1.40780297675</c:v>
                </c:pt>
                <c:pt idx="10">
                  <c:v>0.99546249999999992</c:v>
                </c:pt>
                <c:pt idx="11">
                  <c:v>0.51529120849999999</c:v>
                </c:pt>
                <c:pt idx="12">
                  <c:v>0</c:v>
                </c:pt>
                <c:pt idx="13">
                  <c:v>-0.51529120849999999</c:v>
                </c:pt>
                <c:pt idx="14">
                  <c:v>-0.99546249999999992</c:v>
                </c:pt>
                <c:pt idx="15">
                  <c:v>-1.40780297675</c:v>
                </c:pt>
                <c:pt idx="16">
                  <c:v>-1.7242007777499997</c:v>
                </c:pt>
                <c:pt idx="17">
                  <c:v>-1.9230941852499996</c:v>
                </c:pt>
                <c:pt idx="18">
                  <c:v>-1.9909249999999998</c:v>
                </c:pt>
                <c:pt idx="19">
                  <c:v>-1.9230941852499996</c:v>
                </c:pt>
                <c:pt idx="20">
                  <c:v>-1.7242007777499997</c:v>
                </c:pt>
                <c:pt idx="21">
                  <c:v>-1.40780297675</c:v>
                </c:pt>
                <c:pt idx="22">
                  <c:v>-0.99546249999999992</c:v>
                </c:pt>
                <c:pt idx="23">
                  <c:v>-0.51529120849999999</c:v>
                </c:pt>
                <c:pt idx="2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CA9-4765-9981-A67745450B41}"/>
            </c:ext>
          </c:extLst>
        </c:ser>
        <c:ser>
          <c:idx val="2"/>
          <c:order val="2"/>
          <c:tx>
            <c:strRef>
              <c:f>Plot_Data!$BK$6</c:f>
              <c:strCache>
                <c:ptCount val="1"/>
                <c:pt idx="0">
                  <c:v>Wing: S = 132.0 m2, b = 35.4 m, c/4 sweep 26 deg</c:v>
                </c:pt>
              </c:strCache>
            </c:strRef>
          </c:tx>
          <c:spPr>
            <a:ln w="22000">
              <a:solidFill>
                <a:srgbClr val="0070C0"/>
              </a:solidFill>
              <a:prstDash val="solid"/>
            </a:ln>
          </c:spPr>
          <c:marker>
            <c:symbol val="none"/>
          </c:marker>
          <c:xVal>
            <c:numRef>
              <c:f>Plot_Data!$DZ$5:$DZ$7</c:f>
              <c:numCache>
                <c:formatCode>0.000</c:formatCode>
                <c:ptCount val="3"/>
                <c:pt idx="0">
                  <c:v>-17.703220340896646</c:v>
                </c:pt>
                <c:pt idx="1">
                  <c:v>0</c:v>
                </c:pt>
                <c:pt idx="2">
                  <c:v>17.703220340896646</c:v>
                </c:pt>
              </c:numCache>
            </c:numRef>
          </c:xVal>
          <c:yVal>
            <c:numRef>
              <c:f>Plot_Data!$EA$5:$EA$7</c:f>
              <c:numCache>
                <c:formatCode>0.000</c:formatCode>
                <c:ptCount val="3"/>
                <c:pt idx="0">
                  <c:v>0.35427608773000063</c:v>
                </c:pt>
                <c:pt idx="1">
                  <c:v>-1.1945549999999998</c:v>
                </c:pt>
                <c:pt idx="2">
                  <c:v>0.35427608773000063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CA9-4765-9981-A67745450B41}"/>
            </c:ext>
          </c:extLst>
        </c:ser>
        <c:ser>
          <c:idx val="3"/>
          <c:order val="3"/>
          <c:tx>
            <c:strRef>
              <c:f>Plot_Data!$BK$7</c:f>
              <c:strCache>
                <c:ptCount val="1"/>
                <c:pt idx="0">
                  <c:v>Horizontal tail: S = 34.4 m2, b = 12.4 m</c:v>
                </c:pt>
              </c:strCache>
            </c:strRef>
          </c:tx>
          <c:spPr>
            <a:ln w="22000">
              <a:solidFill>
                <a:srgbClr val="008080"/>
              </a:solidFill>
              <a:prstDash val="solid"/>
            </a:ln>
          </c:spPr>
          <c:marker>
            <c:symbol val="none"/>
          </c:marker>
          <c:xVal>
            <c:numRef>
              <c:f>Plot_Data!$DZ$9:$DZ$10</c:f>
              <c:numCache>
                <c:formatCode>0.000</c:formatCode>
                <c:ptCount val="2"/>
                <c:pt idx="0">
                  <c:v>-6.2176462037157743</c:v>
                </c:pt>
                <c:pt idx="1">
                  <c:v>6.2176462037157743</c:v>
                </c:pt>
              </c:numCache>
            </c:numRef>
          </c:xVal>
          <c:yVal>
            <c:numRef>
              <c:f>Plot_Data!$EA$9:$EA$10</c:f>
              <c:numCache>
                <c:formatCode>0.000</c:formatCode>
                <c:ptCount val="2"/>
                <c:pt idx="0">
                  <c:v>1.1945549999999998</c:v>
                </c:pt>
                <c:pt idx="1">
                  <c:v>1.1945549999999998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CA9-4765-9981-A67745450B41}"/>
            </c:ext>
          </c:extLst>
        </c:ser>
        <c:ser>
          <c:idx val="4"/>
          <c:order val="4"/>
          <c:tx>
            <c:strRef>
              <c:f>Plot_Data!$BK$8</c:f>
              <c:strCache>
                <c:ptCount val="1"/>
                <c:pt idx="0">
                  <c:v>Vertical tail: S = 26.2 m2, h = 6.7 m</c:v>
                </c:pt>
              </c:strCache>
            </c:strRef>
          </c:tx>
          <c:spPr>
            <a:ln w="22000">
              <a:solidFill>
                <a:srgbClr val="7030A0"/>
              </a:solidFill>
              <a:prstDash val="solid"/>
            </a:ln>
          </c:spPr>
          <c:marker>
            <c:symbol val="none"/>
          </c:marker>
          <c:xVal>
            <c:numRef>
              <c:f>Plot_Data!$DZ$12:$DZ$13</c:f>
              <c:numCache>
                <c:formatCode>0.000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Plot_Data!$EA$12:$EA$13</c:f>
              <c:numCache>
                <c:formatCode>0.000</c:formatCode>
                <c:ptCount val="2"/>
                <c:pt idx="0">
                  <c:v>1.59274</c:v>
                </c:pt>
                <c:pt idx="1">
                  <c:v>8.2707682466377648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CA9-4765-9981-A67745450B41}"/>
            </c:ext>
          </c:extLst>
        </c:ser>
        <c:ser>
          <c:idx val="5"/>
          <c:order val="5"/>
          <c:tx>
            <c:strRef>
              <c:f>Plot_Data!$BK$9</c:f>
              <c:strCache>
                <c:ptCount val="1"/>
                <c:pt idx="0">
                  <c:v>2 engines: 95 kN each, nacelle 4.3 x 2.2 m</c:v>
                </c:pt>
              </c:strCache>
            </c:strRef>
          </c:tx>
          <c:spPr>
            <a:ln w="22000">
              <a:solidFill>
                <a:srgbClr val="C00000"/>
              </a:solidFill>
              <a:prstDash val="solid"/>
            </a:ln>
          </c:spPr>
          <c:marker>
            <c:symbol val="none"/>
          </c:marker>
          <c:xVal>
            <c:numRef>
              <c:f>Plot_Data!$EB$5:$EB$17</c:f>
              <c:numCache>
                <c:formatCode>0.000</c:formatCode>
                <c:ptCount val="13"/>
                <c:pt idx="0">
                  <c:v>7.1353902511482161</c:v>
                </c:pt>
                <c:pt idx="1">
                  <c:v>6.9858401650856639</c:v>
                </c:pt>
                <c:pt idx="2">
                  <c:v>6.5772425835265382</c:v>
                </c:pt>
                <c:pt idx="3">
                  <c:v>6.0190949159048603</c:v>
                </c:pt>
                <c:pt idx="4">
                  <c:v>5.4609472482831825</c:v>
                </c:pt>
                <c:pt idx="5">
                  <c:v>5.0523496667240568</c:v>
                </c:pt>
                <c:pt idx="6">
                  <c:v>4.9027995806615046</c:v>
                </c:pt>
                <c:pt idx="7">
                  <c:v>5.0523496667240568</c:v>
                </c:pt>
                <c:pt idx="8">
                  <c:v>5.4609472482831825</c:v>
                </c:pt>
                <c:pt idx="9">
                  <c:v>6.0190949159048603</c:v>
                </c:pt>
                <c:pt idx="10">
                  <c:v>6.5772425835265382</c:v>
                </c:pt>
                <c:pt idx="11">
                  <c:v>6.9858401650856639</c:v>
                </c:pt>
                <c:pt idx="12">
                  <c:v>7.1353902511482161</c:v>
                </c:pt>
              </c:numCache>
            </c:numRef>
          </c:xVal>
          <c:yVal>
            <c:numRef>
              <c:f>Plot_Data!$EC$5:$EC$17</c:f>
              <c:numCache>
                <c:formatCode>0.000</c:formatCode>
                <c:ptCount val="13"/>
                <c:pt idx="0">
                  <c:v>-2.007506832463827</c:v>
                </c:pt>
                <c:pt idx="1">
                  <c:v>-1.4493591648421491</c:v>
                </c:pt>
                <c:pt idx="2">
                  <c:v>-1.0407615832830235</c:v>
                </c:pt>
                <c:pt idx="3">
                  <c:v>-0.89121149722047099</c:v>
                </c:pt>
                <c:pt idx="4">
                  <c:v>-1.0407615832830235</c:v>
                </c:pt>
                <c:pt idx="5">
                  <c:v>-1.4493591648421491</c:v>
                </c:pt>
                <c:pt idx="6">
                  <c:v>-2.007506832463827</c:v>
                </c:pt>
                <c:pt idx="7">
                  <c:v>-2.5656545000855049</c:v>
                </c:pt>
                <c:pt idx="8">
                  <c:v>-2.9742520816446305</c:v>
                </c:pt>
                <c:pt idx="9">
                  <c:v>-3.1238021677071828</c:v>
                </c:pt>
                <c:pt idx="10">
                  <c:v>-2.9742520816446305</c:v>
                </c:pt>
                <c:pt idx="11">
                  <c:v>-2.5656545000855049</c:v>
                </c:pt>
                <c:pt idx="12">
                  <c:v>-2.007506832463827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CA9-4765-9981-A67745450B41}"/>
            </c:ext>
          </c:extLst>
        </c:ser>
        <c:ser>
          <c:idx val="6"/>
          <c:order val="6"/>
          <c:spPr>
            <a:ln w="22000">
              <a:solidFill>
                <a:srgbClr val="C00000"/>
              </a:solidFill>
              <a:prstDash val="solid"/>
            </a:ln>
          </c:spPr>
          <c:marker>
            <c:symbol val="none"/>
          </c:marker>
          <c:xVal>
            <c:numRef>
              <c:f>Plot_Data!$EB$19:$EB$31</c:f>
              <c:numCache>
                <c:formatCode>0.000</c:formatCode>
                <c:ptCount val="13"/>
                <c:pt idx="0">
                  <c:v>-4.9027995806615046</c:v>
                </c:pt>
                <c:pt idx="1">
                  <c:v>-5.0523496667240568</c:v>
                </c:pt>
                <c:pt idx="2">
                  <c:v>-5.4609472482831825</c:v>
                </c:pt>
                <c:pt idx="3">
                  <c:v>-6.0190949159048603</c:v>
                </c:pt>
                <c:pt idx="4">
                  <c:v>-6.5772425835265382</c:v>
                </c:pt>
                <c:pt idx="5">
                  <c:v>-6.9858401650856639</c:v>
                </c:pt>
                <c:pt idx="6">
                  <c:v>-7.1353902511482161</c:v>
                </c:pt>
                <c:pt idx="7">
                  <c:v>-6.9858401650856639</c:v>
                </c:pt>
                <c:pt idx="8">
                  <c:v>-6.5772425835265382</c:v>
                </c:pt>
                <c:pt idx="9">
                  <c:v>-6.0190949159048603</c:v>
                </c:pt>
                <c:pt idx="10">
                  <c:v>-5.4609472482831825</c:v>
                </c:pt>
                <c:pt idx="11">
                  <c:v>-5.0523496667240568</c:v>
                </c:pt>
                <c:pt idx="12">
                  <c:v>-4.9027995806615046</c:v>
                </c:pt>
              </c:numCache>
            </c:numRef>
          </c:xVal>
          <c:yVal>
            <c:numRef>
              <c:f>Plot_Data!$EC$19:$EC$31</c:f>
              <c:numCache>
                <c:formatCode>0.000</c:formatCode>
                <c:ptCount val="13"/>
                <c:pt idx="0">
                  <c:v>-2.007506832463827</c:v>
                </c:pt>
                <c:pt idx="1">
                  <c:v>-1.4493591648421491</c:v>
                </c:pt>
                <c:pt idx="2">
                  <c:v>-1.0407615832830235</c:v>
                </c:pt>
                <c:pt idx="3">
                  <c:v>-0.89121149722047099</c:v>
                </c:pt>
                <c:pt idx="4">
                  <c:v>-1.0407615832830235</c:v>
                </c:pt>
                <c:pt idx="5">
                  <c:v>-1.4493591648421491</c:v>
                </c:pt>
                <c:pt idx="6">
                  <c:v>-2.007506832463827</c:v>
                </c:pt>
                <c:pt idx="7">
                  <c:v>-2.5656545000855049</c:v>
                </c:pt>
                <c:pt idx="8">
                  <c:v>-2.9742520816446305</c:v>
                </c:pt>
                <c:pt idx="9">
                  <c:v>-3.1238021677071828</c:v>
                </c:pt>
                <c:pt idx="10">
                  <c:v>-2.9742520816446305</c:v>
                </c:pt>
                <c:pt idx="11">
                  <c:v>-2.5656545000855049</c:v>
                </c:pt>
                <c:pt idx="12">
                  <c:v>-2.007506832463827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CA9-4765-9981-A67745450B41}"/>
            </c:ext>
          </c:extLst>
        </c:ser>
        <c:ser>
          <c:idx val="7"/>
          <c:order val="7"/>
          <c:spPr>
            <a:ln w="22000">
              <a:solidFill>
                <a:srgbClr val="C00000"/>
              </a:solidFill>
              <a:prstDash val="solid"/>
            </a:ln>
          </c:spPr>
          <c:marker>
            <c:symbol val="none"/>
          </c:marker>
          <c:xVal>
            <c:numRef>
              <c:f>Plot_Data!$EB$33:$EB$45</c:f>
              <c:numCache>
                <c:formatCode>0.000</c:formatCode>
                <c:ptCount val="13"/>
                <c:pt idx="0">
                  <c:v>7.1353902511482161</c:v>
                </c:pt>
                <c:pt idx="1">
                  <c:v>6.9858401650856639</c:v>
                </c:pt>
                <c:pt idx="2">
                  <c:v>6.5772425835265382</c:v>
                </c:pt>
                <c:pt idx="3">
                  <c:v>6.0190949159048603</c:v>
                </c:pt>
                <c:pt idx="4">
                  <c:v>5.4609472482831825</c:v>
                </c:pt>
                <c:pt idx="5">
                  <c:v>5.0523496667240568</c:v>
                </c:pt>
                <c:pt idx="6">
                  <c:v>4.9027995806615046</c:v>
                </c:pt>
                <c:pt idx="7">
                  <c:v>5.0523496667240568</c:v>
                </c:pt>
                <c:pt idx="8">
                  <c:v>5.4609472482831825</c:v>
                </c:pt>
                <c:pt idx="9">
                  <c:v>6.0190949159048603</c:v>
                </c:pt>
                <c:pt idx="10">
                  <c:v>6.5772425835265382</c:v>
                </c:pt>
                <c:pt idx="11">
                  <c:v>6.9858401650856639</c:v>
                </c:pt>
                <c:pt idx="12">
                  <c:v>7.1353902511482161</c:v>
                </c:pt>
              </c:numCache>
            </c:numRef>
          </c:xVal>
          <c:yVal>
            <c:numRef>
              <c:f>Plot_Data!$EC$33:$EC$45</c:f>
              <c:numCache>
                <c:formatCode>0.000</c:formatCode>
                <c:ptCount val="13"/>
                <c:pt idx="0">
                  <c:v>-2.007506832463827</c:v>
                </c:pt>
                <c:pt idx="1">
                  <c:v>-1.4493591648421491</c:v>
                </c:pt>
                <c:pt idx="2">
                  <c:v>-1.0407615832830235</c:v>
                </c:pt>
                <c:pt idx="3">
                  <c:v>-0.89121149722047099</c:v>
                </c:pt>
                <c:pt idx="4">
                  <c:v>-1.0407615832830235</c:v>
                </c:pt>
                <c:pt idx="5">
                  <c:v>-1.4493591648421491</c:v>
                </c:pt>
                <c:pt idx="6">
                  <c:v>-2.007506832463827</c:v>
                </c:pt>
                <c:pt idx="7">
                  <c:v>-2.5656545000855049</c:v>
                </c:pt>
                <c:pt idx="8">
                  <c:v>-2.9742520816446305</c:v>
                </c:pt>
                <c:pt idx="9">
                  <c:v>-3.1238021677071828</c:v>
                </c:pt>
                <c:pt idx="10">
                  <c:v>-2.9742520816446305</c:v>
                </c:pt>
                <c:pt idx="11">
                  <c:v>-2.5656545000855049</c:v>
                </c:pt>
                <c:pt idx="12">
                  <c:v>-2.007506832463827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CA9-4765-9981-A67745450B41}"/>
            </c:ext>
          </c:extLst>
        </c:ser>
        <c:ser>
          <c:idx val="8"/>
          <c:order val="8"/>
          <c:spPr>
            <a:ln w="22000">
              <a:solidFill>
                <a:srgbClr val="C00000"/>
              </a:solidFill>
              <a:prstDash val="solid"/>
            </a:ln>
          </c:spPr>
          <c:marker>
            <c:symbol val="none"/>
          </c:marker>
          <c:xVal>
            <c:numRef>
              <c:f>Plot_Data!$EB$47:$EB$59</c:f>
              <c:numCache>
                <c:formatCode>0.000</c:formatCode>
                <c:ptCount val="13"/>
                <c:pt idx="0">
                  <c:v>-4.9027995806615046</c:v>
                </c:pt>
                <c:pt idx="1">
                  <c:v>-5.0523496667240568</c:v>
                </c:pt>
                <c:pt idx="2">
                  <c:v>-5.4609472482831825</c:v>
                </c:pt>
                <c:pt idx="3">
                  <c:v>-6.0190949159048603</c:v>
                </c:pt>
                <c:pt idx="4">
                  <c:v>-6.5772425835265382</c:v>
                </c:pt>
                <c:pt idx="5">
                  <c:v>-6.9858401650856639</c:v>
                </c:pt>
                <c:pt idx="6">
                  <c:v>-7.1353902511482161</c:v>
                </c:pt>
                <c:pt idx="7">
                  <c:v>-6.9858401650856639</c:v>
                </c:pt>
                <c:pt idx="8">
                  <c:v>-6.5772425835265382</c:v>
                </c:pt>
                <c:pt idx="9">
                  <c:v>-6.0190949159048603</c:v>
                </c:pt>
                <c:pt idx="10">
                  <c:v>-5.4609472482831825</c:v>
                </c:pt>
                <c:pt idx="11">
                  <c:v>-5.0523496667240568</c:v>
                </c:pt>
                <c:pt idx="12">
                  <c:v>-4.9027995806615046</c:v>
                </c:pt>
              </c:numCache>
            </c:numRef>
          </c:xVal>
          <c:yVal>
            <c:numRef>
              <c:f>Plot_Data!$EC$47:$EC$59</c:f>
              <c:numCache>
                <c:formatCode>0.000</c:formatCode>
                <c:ptCount val="13"/>
                <c:pt idx="0">
                  <c:v>-2.007506832463827</c:v>
                </c:pt>
                <c:pt idx="1">
                  <c:v>-1.4493591648421491</c:v>
                </c:pt>
                <c:pt idx="2">
                  <c:v>-1.0407615832830235</c:v>
                </c:pt>
                <c:pt idx="3">
                  <c:v>-0.89121149722047099</c:v>
                </c:pt>
                <c:pt idx="4">
                  <c:v>-1.0407615832830235</c:v>
                </c:pt>
                <c:pt idx="5">
                  <c:v>-1.4493591648421491</c:v>
                </c:pt>
                <c:pt idx="6">
                  <c:v>-2.007506832463827</c:v>
                </c:pt>
                <c:pt idx="7">
                  <c:v>-2.5656545000855049</c:v>
                </c:pt>
                <c:pt idx="8">
                  <c:v>-2.9742520816446305</c:v>
                </c:pt>
                <c:pt idx="9">
                  <c:v>-3.1238021677071828</c:v>
                </c:pt>
                <c:pt idx="10">
                  <c:v>-2.9742520816446305</c:v>
                </c:pt>
                <c:pt idx="11">
                  <c:v>-2.5656545000855049</c:v>
                </c:pt>
                <c:pt idx="12">
                  <c:v>-2.007506832463827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CA9-4765-9981-A67745450B41}"/>
            </c:ext>
          </c:extLst>
        </c:ser>
        <c:ser>
          <c:idx val="9"/>
          <c:order val="9"/>
          <c:tx>
            <c:strRef>
              <c:f>Plot_Data!$BK$16</c:f>
              <c:strCache>
                <c:ptCount val="1"/>
                <c:pt idx="0">
                  <c:v>Main gear: 2 x 2 wheels, tyre 1.15 m, wheelbase 13.5 m</c:v>
                </c:pt>
              </c:strCache>
            </c:strRef>
          </c:tx>
          <c:spPr>
            <a:ln w="180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Plot_Data!$ED$5:$ED$11</c:f>
              <c:numCache>
                <c:formatCode>0.000</c:formatCode>
                <c:ptCount val="7"/>
                <c:pt idx="0">
                  <c:v>-3.5406440681793292</c:v>
                </c:pt>
                <c:pt idx="1">
                  <c:v>-3.5406440681793292</c:v>
                </c:pt>
                <c:pt idx="2">
                  <c:v>-4.003909933027253</c:v>
                </c:pt>
                <c:pt idx="3">
                  <c:v>-4.003909933027253</c:v>
                </c:pt>
                <c:pt idx="4">
                  <c:v>-3.0773782033314054</c:v>
                </c:pt>
                <c:pt idx="5">
                  <c:v>-3.0773782033314054</c:v>
                </c:pt>
                <c:pt idx="6">
                  <c:v>-3.5406440681793292</c:v>
                </c:pt>
              </c:numCache>
            </c:numRef>
          </c:xVal>
          <c:yVal>
            <c:numRef>
              <c:f>Plot_Data!$EE$5:$EE$11</c:f>
              <c:numCache>
                <c:formatCode>0.000</c:formatCode>
                <c:ptCount val="7"/>
                <c:pt idx="0">
                  <c:v>-0.88478878245399972</c:v>
                </c:pt>
                <c:pt idx="1">
                  <c:v>-2.5108116372741143</c:v>
                </c:pt>
                <c:pt idx="2">
                  <c:v>-2.5108116372741143</c:v>
                </c:pt>
                <c:pt idx="3">
                  <c:v>-3.6633019999999998</c:v>
                </c:pt>
                <c:pt idx="4">
                  <c:v>-3.6633019999999998</c:v>
                </c:pt>
                <c:pt idx="5">
                  <c:v>-2.5108116372741143</c:v>
                </c:pt>
                <c:pt idx="6">
                  <c:v>-2.5108116372741143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CA9-4765-9981-A67745450B41}"/>
            </c:ext>
          </c:extLst>
        </c:ser>
        <c:ser>
          <c:idx val="10"/>
          <c:order val="10"/>
          <c:spPr>
            <a:ln w="180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Plot_Data!$ED$13:$ED$19</c:f>
              <c:numCache>
                <c:formatCode>0.000</c:formatCode>
                <c:ptCount val="7"/>
                <c:pt idx="0">
                  <c:v>3.5406440681793292</c:v>
                </c:pt>
                <c:pt idx="1">
                  <c:v>3.5406440681793292</c:v>
                </c:pt>
                <c:pt idx="2">
                  <c:v>3.0773782033314054</c:v>
                </c:pt>
                <c:pt idx="3">
                  <c:v>3.0773782033314054</c:v>
                </c:pt>
                <c:pt idx="4">
                  <c:v>4.003909933027253</c:v>
                </c:pt>
                <c:pt idx="5">
                  <c:v>4.003909933027253</c:v>
                </c:pt>
                <c:pt idx="6">
                  <c:v>3.5406440681793292</c:v>
                </c:pt>
              </c:numCache>
            </c:numRef>
          </c:xVal>
          <c:yVal>
            <c:numRef>
              <c:f>Plot_Data!$EE$13:$EE$19</c:f>
              <c:numCache>
                <c:formatCode>0.000</c:formatCode>
                <c:ptCount val="7"/>
                <c:pt idx="0">
                  <c:v>-0.88478878245399972</c:v>
                </c:pt>
                <c:pt idx="1">
                  <c:v>-2.5108116372741143</c:v>
                </c:pt>
                <c:pt idx="2">
                  <c:v>-2.5108116372741143</c:v>
                </c:pt>
                <c:pt idx="3">
                  <c:v>-3.6633019999999998</c:v>
                </c:pt>
                <c:pt idx="4">
                  <c:v>-3.6633019999999998</c:v>
                </c:pt>
                <c:pt idx="5">
                  <c:v>-2.5108116372741143</c:v>
                </c:pt>
                <c:pt idx="6">
                  <c:v>-2.5108116372741143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3CA9-4765-9981-A67745450B41}"/>
            </c:ext>
          </c:extLst>
        </c:ser>
        <c:ser>
          <c:idx val="11"/>
          <c:order val="11"/>
          <c:tx>
            <c:strRef>
              <c:f>Plot_Data!$BK$17</c:f>
              <c:strCache>
                <c:ptCount val="1"/>
                <c:pt idx="0">
                  <c:v>Nose gear: 2 wheels, tyre 0.75 m</c:v>
                </c:pt>
              </c:strCache>
            </c:strRef>
          </c:tx>
          <c:spPr>
            <a:ln w="18000">
              <a:solidFill>
                <a:srgbClr val="7F7F7F"/>
              </a:solidFill>
              <a:prstDash val="solid"/>
            </a:ln>
          </c:spPr>
          <c:marker>
            <c:symbol val="none"/>
          </c:marker>
          <c:xVal>
            <c:numRef>
              <c:f>Plot_Data!$ED$21:$ED$27</c:f>
              <c:numCache>
                <c:formatCode>0.000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-0.30112281215115055</c:v>
                </c:pt>
                <c:pt idx="3">
                  <c:v>-0.30112281215115055</c:v>
                </c:pt>
                <c:pt idx="4">
                  <c:v>0.30112281215115055</c:v>
                </c:pt>
                <c:pt idx="5">
                  <c:v>0.30112281215115055</c:v>
                </c:pt>
                <c:pt idx="6">
                  <c:v>0</c:v>
                </c:pt>
              </c:numCache>
            </c:numRef>
          </c:xVal>
          <c:yVal>
            <c:numRef>
              <c:f>Plot_Data!$EE$21:$EE$27</c:f>
              <c:numCache>
                <c:formatCode>0.000</c:formatCode>
                <c:ptCount val="7"/>
                <c:pt idx="0">
                  <c:v>-1.3936474999999997</c:v>
                </c:pt>
                <c:pt idx="1">
                  <c:v>-2.914183264228174</c:v>
                </c:pt>
                <c:pt idx="2">
                  <c:v>-2.914183264228174</c:v>
                </c:pt>
                <c:pt idx="3">
                  <c:v>-3.6633019999999998</c:v>
                </c:pt>
                <c:pt idx="4">
                  <c:v>-3.6633019999999998</c:v>
                </c:pt>
                <c:pt idx="5">
                  <c:v>-2.914183264228174</c:v>
                </c:pt>
                <c:pt idx="6">
                  <c:v>-2.914183264228174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3CA9-4765-9981-A67745450B41}"/>
            </c:ext>
          </c:extLst>
        </c:ser>
        <c:ser>
          <c:idx val="12"/>
          <c:order val="12"/>
          <c:tx>
            <c:strRef>
              <c:f>Plot_Data!$BK$18</c:f>
              <c:strCache>
                <c:ptCount val="1"/>
                <c:pt idx="0">
                  <c:v>Ground</c:v>
                </c:pt>
              </c:strCache>
            </c:strRef>
          </c:tx>
          <c:spPr>
            <a:ln w="12000">
              <a:solidFill>
                <a:srgbClr val="00B050"/>
              </a:solidFill>
              <a:prstDash val="solid"/>
            </a:ln>
          </c:spPr>
          <c:marker>
            <c:symbol val="none"/>
          </c:marker>
          <c:xVal>
            <c:numRef>
              <c:f>Plot_Data!$ED$29:$ED$30</c:f>
              <c:numCache>
                <c:formatCode>0.000</c:formatCode>
                <c:ptCount val="2"/>
                <c:pt idx="0">
                  <c:v>-18.807866879999999</c:v>
                </c:pt>
                <c:pt idx="1">
                  <c:v>18.807866879999999</c:v>
                </c:pt>
              </c:numCache>
            </c:numRef>
          </c:xVal>
          <c:yVal>
            <c:numRef>
              <c:f>Plot_Data!$EE$29:$EE$30</c:f>
              <c:numCache>
                <c:formatCode>0.000</c:formatCode>
                <c:ptCount val="2"/>
                <c:pt idx="0">
                  <c:v>-3.6633019999999998</c:v>
                </c:pt>
                <c:pt idx="1">
                  <c:v>-3.6633019999999998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3CA9-4765-9981-A67745450B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y (m)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low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z (m)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low"/>
        <c:crossAx val="10"/>
        <c:crosses val="autoZero"/>
        <c:crossBetween val="midCat"/>
      </c:valAx>
    </c:plotArea>
    <c:legend>
      <c:legendPos val="r"/>
      <c:legendEntry>
        <c:idx val="0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10"/>
        <c:delete val="1"/>
      </c:legendEntry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Cabin cross-section (to scale)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0000000000000007E-2"/>
          <c:y val="0.09"/>
          <c:w val="0.54923076923076919"/>
          <c:h val="0.84"/>
        </c:manualLayout>
      </c:layout>
      <c:scatterChart>
        <c:scatterStyle val="lineMarker"/>
        <c:varyColors val="0"/>
        <c:ser>
          <c:idx val="0"/>
          <c:order val="0"/>
          <c:spPr>
            <a:ln>
              <a:noFill/>
              <a:prstDash val="solid"/>
            </a:ln>
          </c:spPr>
          <c:marker>
            <c:symbol val="none"/>
          </c:marker>
          <c:xVal>
            <c:numRef>
              <c:f>Plot_Data!$EO$5:$EO$6</c:f>
              <c:numCache>
                <c:formatCode>0.000</c:formatCode>
                <c:ptCount val="2"/>
                <c:pt idx="0">
                  <c:v>-2.3891099999999996</c:v>
                </c:pt>
                <c:pt idx="1">
                  <c:v>2.3891099999999996</c:v>
                </c:pt>
              </c:numCache>
            </c:numRef>
          </c:xVal>
          <c:yVal>
            <c:numRef>
              <c:f>Plot_Data!$EP$5:$EP$6</c:f>
              <c:numCache>
                <c:formatCode>0.000</c:formatCode>
                <c:ptCount val="2"/>
                <c:pt idx="0">
                  <c:v>-2.3891099999999996</c:v>
                </c:pt>
                <c:pt idx="1">
                  <c:v>2.3891099999999996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14-423A-8661-CDD89793C9B5}"/>
            </c:ext>
          </c:extLst>
        </c:ser>
        <c:ser>
          <c:idx val="1"/>
          <c:order val="1"/>
          <c:tx>
            <c:strRef>
              <c:f>Plot_Data!$BK$5</c:f>
              <c:strCache>
                <c:ptCount val="1"/>
                <c:pt idx="0">
                  <c:v>Fuselage: L = 35.6 m, d = 3.98 m</c:v>
                </c:pt>
              </c:strCache>
            </c:strRef>
          </c:tx>
          <c:spPr>
            <a:ln w="25000">
              <a:solidFill>
                <a:srgbClr val="1F3864"/>
              </a:solidFill>
              <a:prstDash val="solid"/>
            </a:ln>
          </c:spPr>
          <c:marker>
            <c:symbol val="none"/>
          </c:marker>
          <c:xVal>
            <c:numRef>
              <c:f>Plot_Data!$EG$5:$EG$41</c:f>
              <c:numCache>
                <c:formatCode>0.000</c:formatCode>
                <c:ptCount val="37"/>
                <c:pt idx="0">
                  <c:v>1.9909249999999998</c:v>
                </c:pt>
                <c:pt idx="1">
                  <c:v>1.9606828492499997</c:v>
                </c:pt>
                <c:pt idx="2">
                  <c:v>1.8708523132499999</c:v>
                </c:pt>
                <c:pt idx="3">
                  <c:v>1.7242007777499997</c:v>
                </c:pt>
                <c:pt idx="4">
                  <c:v>1.525128187</c:v>
                </c:pt>
                <c:pt idx="5">
                  <c:v>1.2797466807499998</c:v>
                </c:pt>
                <c:pt idx="6">
                  <c:v>0.99546249999999992</c:v>
                </c:pt>
                <c:pt idx="7">
                  <c:v>0.68093616849999994</c:v>
                </c:pt>
                <c:pt idx="8">
                  <c:v>0.34572412624999999</c:v>
                </c:pt>
                <c:pt idx="9">
                  <c:v>0</c:v>
                </c:pt>
                <c:pt idx="10">
                  <c:v>-0.34572412624999999</c:v>
                </c:pt>
                <c:pt idx="11">
                  <c:v>-0.68093616849999994</c:v>
                </c:pt>
                <c:pt idx="12">
                  <c:v>-0.99546249999999992</c:v>
                </c:pt>
                <c:pt idx="13">
                  <c:v>-1.2797466807499998</c:v>
                </c:pt>
                <c:pt idx="14">
                  <c:v>-1.525128187</c:v>
                </c:pt>
                <c:pt idx="15">
                  <c:v>-1.7242007777499997</c:v>
                </c:pt>
                <c:pt idx="16">
                  <c:v>-1.8708523132499999</c:v>
                </c:pt>
                <c:pt idx="17">
                  <c:v>-1.9606828492499997</c:v>
                </c:pt>
                <c:pt idx="18">
                  <c:v>-1.9909249999999998</c:v>
                </c:pt>
                <c:pt idx="19">
                  <c:v>-1.9606828492499997</c:v>
                </c:pt>
                <c:pt idx="20">
                  <c:v>-1.8708523132499999</c:v>
                </c:pt>
                <c:pt idx="21">
                  <c:v>-1.7242007777499997</c:v>
                </c:pt>
                <c:pt idx="22">
                  <c:v>-1.525128187</c:v>
                </c:pt>
                <c:pt idx="23">
                  <c:v>-1.2797466807499998</c:v>
                </c:pt>
                <c:pt idx="24">
                  <c:v>-0.99546249999999992</c:v>
                </c:pt>
                <c:pt idx="25">
                  <c:v>-0.68093616849999994</c:v>
                </c:pt>
                <c:pt idx="26">
                  <c:v>-0.34572412624999999</c:v>
                </c:pt>
                <c:pt idx="27">
                  <c:v>0</c:v>
                </c:pt>
                <c:pt idx="28">
                  <c:v>0.34572412624999999</c:v>
                </c:pt>
                <c:pt idx="29">
                  <c:v>0.68093616849999994</c:v>
                </c:pt>
                <c:pt idx="30">
                  <c:v>0.99546249999999992</c:v>
                </c:pt>
                <c:pt idx="31">
                  <c:v>1.2797466807499998</c:v>
                </c:pt>
                <c:pt idx="32">
                  <c:v>1.525128187</c:v>
                </c:pt>
                <c:pt idx="33">
                  <c:v>1.7242007777499997</c:v>
                </c:pt>
                <c:pt idx="34">
                  <c:v>1.8708523132499999</c:v>
                </c:pt>
                <c:pt idx="35">
                  <c:v>1.9606828492499997</c:v>
                </c:pt>
                <c:pt idx="36">
                  <c:v>1.9909249999999998</c:v>
                </c:pt>
              </c:numCache>
            </c:numRef>
          </c:xVal>
          <c:yVal>
            <c:numRef>
              <c:f>Plot_Data!$EH$5:$EH$41</c:f>
              <c:numCache>
                <c:formatCode>0.000</c:formatCode>
                <c:ptCount val="37"/>
                <c:pt idx="0">
                  <c:v>0</c:v>
                </c:pt>
                <c:pt idx="1">
                  <c:v>0.34572412624999999</c:v>
                </c:pt>
                <c:pt idx="2">
                  <c:v>0.68093616849999994</c:v>
                </c:pt>
                <c:pt idx="3">
                  <c:v>0.99546249999999992</c:v>
                </c:pt>
                <c:pt idx="4">
                  <c:v>1.2797466807499998</c:v>
                </c:pt>
                <c:pt idx="5">
                  <c:v>1.525128187</c:v>
                </c:pt>
                <c:pt idx="6">
                  <c:v>1.7242007777499997</c:v>
                </c:pt>
                <c:pt idx="7">
                  <c:v>1.8708523132499999</c:v>
                </c:pt>
                <c:pt idx="8">
                  <c:v>1.9606828492499997</c:v>
                </c:pt>
                <c:pt idx="9">
                  <c:v>1.9909249999999998</c:v>
                </c:pt>
                <c:pt idx="10">
                  <c:v>1.9606828492499997</c:v>
                </c:pt>
                <c:pt idx="11">
                  <c:v>1.8708523132499999</c:v>
                </c:pt>
                <c:pt idx="12">
                  <c:v>1.7242007777499997</c:v>
                </c:pt>
                <c:pt idx="13">
                  <c:v>1.525128187</c:v>
                </c:pt>
                <c:pt idx="14">
                  <c:v>1.2797466807499998</c:v>
                </c:pt>
                <c:pt idx="15">
                  <c:v>0.99546249999999992</c:v>
                </c:pt>
                <c:pt idx="16">
                  <c:v>0.68093616849999994</c:v>
                </c:pt>
                <c:pt idx="17">
                  <c:v>0.34572412624999999</c:v>
                </c:pt>
                <c:pt idx="18">
                  <c:v>0</c:v>
                </c:pt>
                <c:pt idx="19">
                  <c:v>-0.34572412624999999</c:v>
                </c:pt>
                <c:pt idx="20">
                  <c:v>-0.68093616849999994</c:v>
                </c:pt>
                <c:pt idx="21">
                  <c:v>-0.99546249999999992</c:v>
                </c:pt>
                <c:pt idx="22">
                  <c:v>-1.2797466807499998</c:v>
                </c:pt>
                <c:pt idx="23">
                  <c:v>-1.525128187</c:v>
                </c:pt>
                <c:pt idx="24">
                  <c:v>-1.7242007777499997</c:v>
                </c:pt>
                <c:pt idx="25">
                  <c:v>-1.8708523132499999</c:v>
                </c:pt>
                <c:pt idx="26">
                  <c:v>-1.9606828492499997</c:v>
                </c:pt>
                <c:pt idx="27">
                  <c:v>-1.9909249999999998</c:v>
                </c:pt>
                <c:pt idx="28">
                  <c:v>-1.9606828492499997</c:v>
                </c:pt>
                <c:pt idx="29">
                  <c:v>-1.8708523132499999</c:v>
                </c:pt>
                <c:pt idx="30">
                  <c:v>-1.7242007777499997</c:v>
                </c:pt>
                <c:pt idx="31">
                  <c:v>-1.525128187</c:v>
                </c:pt>
                <c:pt idx="32">
                  <c:v>-1.2797466807499998</c:v>
                </c:pt>
                <c:pt idx="33">
                  <c:v>-0.99546249999999992</c:v>
                </c:pt>
                <c:pt idx="34">
                  <c:v>-0.68093616849999994</c:v>
                </c:pt>
                <c:pt idx="35">
                  <c:v>-0.34572412624999999</c:v>
                </c:pt>
                <c:pt idx="3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314-423A-8661-CDD89793C9B5}"/>
            </c:ext>
          </c:extLst>
        </c:ser>
        <c:ser>
          <c:idx val="2"/>
          <c:order val="2"/>
          <c:tx>
            <c:v>Cabin lining</c:v>
          </c:tx>
          <c:spPr>
            <a:ln w="12000">
              <a:solidFill>
                <a:srgbClr val="7F7F7F"/>
              </a:solidFill>
              <a:prstDash val="solid"/>
            </a:ln>
          </c:spPr>
          <c:marker>
            <c:symbol val="none"/>
          </c:marker>
          <c:xVal>
            <c:numRef>
              <c:f>Plot_Data!$EI$5:$EI$41</c:f>
              <c:numCache>
                <c:formatCode>0.000</c:formatCode>
                <c:ptCount val="37"/>
                <c:pt idx="0">
                  <c:v>1.865</c:v>
                </c:pt>
                <c:pt idx="1">
                  <c:v>1.8366706499999998</c:v>
                </c:pt>
                <c:pt idx="2">
                  <c:v>1.7525218499999999</c:v>
                </c:pt>
                <c:pt idx="3">
                  <c:v>1.6151459499999998</c:v>
                </c:pt>
                <c:pt idx="4">
                  <c:v>1.4286646000000001</c:v>
                </c:pt>
                <c:pt idx="5">
                  <c:v>1.1988033499999999</c:v>
                </c:pt>
                <c:pt idx="6">
                  <c:v>0.9325</c:v>
                </c:pt>
                <c:pt idx="7">
                  <c:v>0.63786730000000003</c:v>
                </c:pt>
                <c:pt idx="8">
                  <c:v>0.32385724999999999</c:v>
                </c:pt>
                <c:pt idx="9">
                  <c:v>0</c:v>
                </c:pt>
                <c:pt idx="10">
                  <c:v>-0.32385724999999999</c:v>
                </c:pt>
                <c:pt idx="11">
                  <c:v>-0.63786730000000003</c:v>
                </c:pt>
                <c:pt idx="12">
                  <c:v>-0.9325</c:v>
                </c:pt>
                <c:pt idx="13">
                  <c:v>-1.1988033499999999</c:v>
                </c:pt>
                <c:pt idx="14">
                  <c:v>-1.4286646000000001</c:v>
                </c:pt>
                <c:pt idx="15">
                  <c:v>-1.6151459499999998</c:v>
                </c:pt>
                <c:pt idx="16">
                  <c:v>-1.7525218499999999</c:v>
                </c:pt>
                <c:pt idx="17">
                  <c:v>-1.8366706499999998</c:v>
                </c:pt>
                <c:pt idx="18">
                  <c:v>-1.865</c:v>
                </c:pt>
                <c:pt idx="19">
                  <c:v>-1.8366706499999998</c:v>
                </c:pt>
                <c:pt idx="20">
                  <c:v>-1.7525218499999999</c:v>
                </c:pt>
                <c:pt idx="21">
                  <c:v>-1.6151459499999998</c:v>
                </c:pt>
                <c:pt idx="22">
                  <c:v>-1.4286646000000001</c:v>
                </c:pt>
                <c:pt idx="23">
                  <c:v>-1.1988033499999999</c:v>
                </c:pt>
                <c:pt idx="24">
                  <c:v>-0.9325</c:v>
                </c:pt>
                <c:pt idx="25">
                  <c:v>-0.63786730000000003</c:v>
                </c:pt>
                <c:pt idx="26">
                  <c:v>-0.32385724999999999</c:v>
                </c:pt>
                <c:pt idx="27">
                  <c:v>0</c:v>
                </c:pt>
                <c:pt idx="28">
                  <c:v>0.32385724999999999</c:v>
                </c:pt>
                <c:pt idx="29">
                  <c:v>0.63786730000000003</c:v>
                </c:pt>
                <c:pt idx="30">
                  <c:v>0.9325</c:v>
                </c:pt>
                <c:pt idx="31">
                  <c:v>1.1988033499999999</c:v>
                </c:pt>
                <c:pt idx="32">
                  <c:v>1.4286646000000001</c:v>
                </c:pt>
                <c:pt idx="33">
                  <c:v>1.6151459499999998</c:v>
                </c:pt>
                <c:pt idx="34">
                  <c:v>1.7525218499999999</c:v>
                </c:pt>
                <c:pt idx="35">
                  <c:v>1.8366706499999998</c:v>
                </c:pt>
                <c:pt idx="36">
                  <c:v>1.865</c:v>
                </c:pt>
              </c:numCache>
            </c:numRef>
          </c:xVal>
          <c:yVal>
            <c:numRef>
              <c:f>Plot_Data!$EJ$5:$EJ$41</c:f>
              <c:numCache>
                <c:formatCode>0.000</c:formatCode>
                <c:ptCount val="37"/>
                <c:pt idx="0">
                  <c:v>0</c:v>
                </c:pt>
                <c:pt idx="1">
                  <c:v>0.32385724999999999</c:v>
                </c:pt>
                <c:pt idx="2">
                  <c:v>0.63786730000000003</c:v>
                </c:pt>
                <c:pt idx="3">
                  <c:v>0.9325</c:v>
                </c:pt>
                <c:pt idx="4">
                  <c:v>1.1988033499999999</c:v>
                </c:pt>
                <c:pt idx="5">
                  <c:v>1.4286646000000001</c:v>
                </c:pt>
                <c:pt idx="6">
                  <c:v>1.6151459499999998</c:v>
                </c:pt>
                <c:pt idx="7">
                  <c:v>1.7525218499999999</c:v>
                </c:pt>
                <c:pt idx="8">
                  <c:v>1.8366706499999998</c:v>
                </c:pt>
                <c:pt idx="9">
                  <c:v>1.865</c:v>
                </c:pt>
                <c:pt idx="10">
                  <c:v>1.8366706499999998</c:v>
                </c:pt>
                <c:pt idx="11">
                  <c:v>1.7525218499999999</c:v>
                </c:pt>
                <c:pt idx="12">
                  <c:v>1.6151459499999998</c:v>
                </c:pt>
                <c:pt idx="13">
                  <c:v>1.4286646000000001</c:v>
                </c:pt>
                <c:pt idx="14">
                  <c:v>1.1988033499999999</c:v>
                </c:pt>
                <c:pt idx="15">
                  <c:v>0.9325</c:v>
                </c:pt>
                <c:pt idx="16">
                  <c:v>0.63786730000000003</c:v>
                </c:pt>
                <c:pt idx="17">
                  <c:v>0.32385724999999999</c:v>
                </c:pt>
                <c:pt idx="18">
                  <c:v>0</c:v>
                </c:pt>
                <c:pt idx="19">
                  <c:v>-0.32385724999999999</c:v>
                </c:pt>
                <c:pt idx="20">
                  <c:v>-0.63786730000000003</c:v>
                </c:pt>
                <c:pt idx="21">
                  <c:v>-0.9325</c:v>
                </c:pt>
                <c:pt idx="22">
                  <c:v>-1.1988033499999999</c:v>
                </c:pt>
                <c:pt idx="23">
                  <c:v>-1.4286646000000001</c:v>
                </c:pt>
                <c:pt idx="24">
                  <c:v>-1.6151459499999998</c:v>
                </c:pt>
                <c:pt idx="25">
                  <c:v>-1.7525218499999999</c:v>
                </c:pt>
                <c:pt idx="26">
                  <c:v>-1.8366706499999998</c:v>
                </c:pt>
                <c:pt idx="27">
                  <c:v>-1.865</c:v>
                </c:pt>
                <c:pt idx="28">
                  <c:v>-1.8366706499999998</c:v>
                </c:pt>
                <c:pt idx="29">
                  <c:v>-1.7525218499999999</c:v>
                </c:pt>
                <c:pt idx="30">
                  <c:v>-1.6151459499999998</c:v>
                </c:pt>
                <c:pt idx="31">
                  <c:v>-1.4286646000000001</c:v>
                </c:pt>
                <c:pt idx="32">
                  <c:v>-1.1988033499999999</c:v>
                </c:pt>
                <c:pt idx="33">
                  <c:v>-0.9325</c:v>
                </c:pt>
                <c:pt idx="34">
                  <c:v>-0.63786730000000003</c:v>
                </c:pt>
                <c:pt idx="35">
                  <c:v>-0.32385724999999999</c:v>
                </c:pt>
                <c:pt idx="3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314-423A-8661-CDD89793C9B5}"/>
            </c:ext>
          </c:extLst>
        </c:ser>
        <c:ser>
          <c:idx val="3"/>
          <c:order val="3"/>
          <c:tx>
            <c:v>Cabin floor, cargo hold below</c:v>
          </c:tx>
          <c:spPr>
            <a:ln w="220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Plot_Data!$EK$5:$EK$6</c:f>
              <c:numCache>
                <c:formatCode>0.000</c:formatCode>
                <c:ptCount val="2"/>
                <c:pt idx="0">
                  <c:v>-1.7658496538493871</c:v>
                </c:pt>
                <c:pt idx="1">
                  <c:v>1.7658496538493871</c:v>
                </c:pt>
              </c:numCache>
            </c:numRef>
          </c:xVal>
          <c:yVal>
            <c:numRef>
              <c:f>Plot_Data!$EL$5:$EL$6</c:f>
              <c:numCache>
                <c:formatCode>0.000</c:formatCode>
                <c:ptCount val="2"/>
                <c:pt idx="0">
                  <c:v>-0.6</c:v>
                </c:pt>
                <c:pt idx="1">
                  <c:v>-0.6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314-423A-8661-CDD89793C9B5}"/>
            </c:ext>
          </c:extLst>
        </c:ser>
        <c:ser>
          <c:idx val="4"/>
          <c:order val="4"/>
          <c:spPr>
            <a:ln w="120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Plot_Data!$EK$8:$EK$9</c:f>
              <c:numCache>
                <c:formatCode>0.000</c:formatCode>
                <c:ptCount val="2"/>
                <c:pt idx="0">
                  <c:v>-1.6847032379621047</c:v>
                </c:pt>
                <c:pt idx="1">
                  <c:v>1.6847032379621047</c:v>
                </c:pt>
              </c:numCache>
            </c:numRef>
          </c:xVal>
          <c:yVal>
            <c:numRef>
              <c:f>Plot_Data!$EL$8:$EL$9</c:f>
              <c:numCache>
                <c:formatCode>0.000</c:formatCode>
                <c:ptCount val="2"/>
                <c:pt idx="0">
                  <c:v>-0.8</c:v>
                </c:pt>
                <c:pt idx="1">
                  <c:v>-0.8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314-423A-8661-CDD89793C9B5}"/>
            </c:ext>
          </c:extLst>
        </c:ser>
        <c:ser>
          <c:idx val="5"/>
          <c:order val="5"/>
          <c:tx>
            <c:strRef>
              <c:f>Plot_Data!$BK$12</c:f>
              <c:strCache>
                <c:ptCount val="1"/>
                <c:pt idx="0">
                  <c:v>Economy: 150 seats: 6 abreast x 25 rows, seat 0.53 m wide, pitch 0.81 m</c:v>
                </c:pt>
              </c:strCache>
            </c:strRef>
          </c:tx>
          <c:spPr>
            <a:ln w="18000">
              <a:solidFill>
                <a:srgbClr val="ED7D31"/>
              </a:solidFill>
              <a:prstDash val="solid"/>
            </a:ln>
          </c:spPr>
          <c:marker>
            <c:symbol val="none"/>
          </c:marker>
          <c:xVal>
            <c:numRef>
              <c:f>Plot_Data!$EM$5:$EM$44</c:f>
              <c:numCache>
                <c:formatCode>0.000</c:formatCode>
                <c:ptCount val="40"/>
                <c:pt idx="0">
                  <c:v>-1.8135000000000001</c:v>
                </c:pt>
                <c:pt idx="1">
                  <c:v>-1.8135000000000001</c:v>
                </c:pt>
                <c:pt idx="2">
                  <c:v>-1.3365</c:v>
                </c:pt>
                <c:pt idx="3">
                  <c:v>-1.3365</c:v>
                </c:pt>
                <c:pt idx="4">
                  <c:v>-1.2835000000000001</c:v>
                </c:pt>
                <c:pt idx="5">
                  <c:v>-1.2835000000000001</c:v>
                </c:pt>
                <c:pt idx="6">
                  <c:v>-0.80650000000000011</c:v>
                </c:pt>
                <c:pt idx="7">
                  <c:v>-0.80650000000000011</c:v>
                </c:pt>
                <c:pt idx="8">
                  <c:v>-0.75350000000000006</c:v>
                </c:pt>
                <c:pt idx="9">
                  <c:v>-0.75350000000000006</c:v>
                </c:pt>
                <c:pt idx="10">
                  <c:v>-0.27650000000000008</c:v>
                </c:pt>
                <c:pt idx="11">
                  <c:v>-0.27650000000000008</c:v>
                </c:pt>
                <c:pt idx="12">
                  <c:v>0.2764999999999998</c:v>
                </c:pt>
                <c:pt idx="13">
                  <c:v>0.2764999999999998</c:v>
                </c:pt>
                <c:pt idx="14">
                  <c:v>0.75349999999999973</c:v>
                </c:pt>
                <c:pt idx="15">
                  <c:v>0.75349999999999973</c:v>
                </c:pt>
                <c:pt idx="16">
                  <c:v>0.80649999999999999</c:v>
                </c:pt>
                <c:pt idx="17">
                  <c:v>0.80649999999999999</c:v>
                </c:pt>
                <c:pt idx="18">
                  <c:v>1.2835000000000001</c:v>
                </c:pt>
                <c:pt idx="19">
                  <c:v>1.2835000000000001</c:v>
                </c:pt>
                <c:pt idx="20">
                  <c:v>1.3365000000000002</c:v>
                </c:pt>
                <c:pt idx="21">
                  <c:v>1.3365000000000002</c:v>
                </c:pt>
                <c:pt idx="22">
                  <c:v>1.8135000000000003</c:v>
                </c:pt>
                <c:pt idx="23">
                  <c:v>1.8135000000000003</c:v>
                </c:pt>
                <c:pt idx="24">
                  <c:v>1.3365000000000002</c:v>
                </c:pt>
                <c:pt idx="25">
                  <c:v>1.3365000000000002</c:v>
                </c:pt>
                <c:pt idx="26">
                  <c:v>1.8135000000000003</c:v>
                </c:pt>
                <c:pt idx="27">
                  <c:v>1.8135000000000003</c:v>
                </c:pt>
                <c:pt idx="28">
                  <c:v>1.3365000000000002</c:v>
                </c:pt>
                <c:pt idx="29">
                  <c:v>1.3365000000000002</c:v>
                </c:pt>
                <c:pt idx="30">
                  <c:v>1.8135000000000003</c:v>
                </c:pt>
                <c:pt idx="31">
                  <c:v>1.8135000000000003</c:v>
                </c:pt>
                <c:pt idx="32">
                  <c:v>1.3365000000000002</c:v>
                </c:pt>
                <c:pt idx="33">
                  <c:v>1.3365000000000002</c:v>
                </c:pt>
                <c:pt idx="34">
                  <c:v>1.8135000000000003</c:v>
                </c:pt>
                <c:pt idx="35">
                  <c:v>1.8135000000000003</c:v>
                </c:pt>
                <c:pt idx="36">
                  <c:v>1.3365000000000002</c:v>
                </c:pt>
                <c:pt idx="37">
                  <c:v>1.3365000000000002</c:v>
                </c:pt>
                <c:pt idx="38">
                  <c:v>1.8135000000000003</c:v>
                </c:pt>
                <c:pt idx="39">
                  <c:v>1.8135000000000003</c:v>
                </c:pt>
              </c:numCache>
            </c:numRef>
          </c:xVal>
          <c:yVal>
            <c:numRef>
              <c:f>Plot_Data!$EN$5:$EN$44</c:f>
              <c:numCache>
                <c:formatCode>0.000</c:formatCode>
                <c:ptCount val="40"/>
                <c:pt idx="0">
                  <c:v>-0.6</c:v>
                </c:pt>
                <c:pt idx="1">
                  <c:v>0.50000000000000011</c:v>
                </c:pt>
                <c:pt idx="2">
                  <c:v>0.50000000000000011</c:v>
                </c:pt>
                <c:pt idx="3">
                  <c:v>-0.6</c:v>
                </c:pt>
                <c:pt idx="4">
                  <c:v>-0.6</c:v>
                </c:pt>
                <c:pt idx="5">
                  <c:v>0.50000000000000011</c:v>
                </c:pt>
                <c:pt idx="6">
                  <c:v>0.50000000000000011</c:v>
                </c:pt>
                <c:pt idx="7">
                  <c:v>-0.6</c:v>
                </c:pt>
                <c:pt idx="8">
                  <c:v>-0.6</c:v>
                </c:pt>
                <c:pt idx="9">
                  <c:v>0.50000000000000011</c:v>
                </c:pt>
                <c:pt idx="10">
                  <c:v>0.50000000000000011</c:v>
                </c:pt>
                <c:pt idx="11">
                  <c:v>-0.6</c:v>
                </c:pt>
                <c:pt idx="12">
                  <c:v>-0.6</c:v>
                </c:pt>
                <c:pt idx="13">
                  <c:v>0.50000000000000011</c:v>
                </c:pt>
                <c:pt idx="14">
                  <c:v>0.50000000000000011</c:v>
                </c:pt>
                <c:pt idx="15">
                  <c:v>-0.6</c:v>
                </c:pt>
                <c:pt idx="16">
                  <c:v>-0.6</c:v>
                </c:pt>
                <c:pt idx="17">
                  <c:v>0.50000000000000011</c:v>
                </c:pt>
                <c:pt idx="18">
                  <c:v>0.50000000000000011</c:v>
                </c:pt>
                <c:pt idx="19">
                  <c:v>-0.6</c:v>
                </c:pt>
                <c:pt idx="20">
                  <c:v>-0.6</c:v>
                </c:pt>
                <c:pt idx="21">
                  <c:v>0.50000000000000011</c:v>
                </c:pt>
                <c:pt idx="22">
                  <c:v>0.50000000000000011</c:v>
                </c:pt>
                <c:pt idx="23">
                  <c:v>-0.6</c:v>
                </c:pt>
                <c:pt idx="24">
                  <c:v>-0.6</c:v>
                </c:pt>
                <c:pt idx="25">
                  <c:v>0.50000000000000011</c:v>
                </c:pt>
                <c:pt idx="26">
                  <c:v>0.50000000000000011</c:v>
                </c:pt>
                <c:pt idx="27">
                  <c:v>-0.6</c:v>
                </c:pt>
                <c:pt idx="28">
                  <c:v>-0.6</c:v>
                </c:pt>
                <c:pt idx="29">
                  <c:v>0.50000000000000011</c:v>
                </c:pt>
                <c:pt idx="30">
                  <c:v>0.50000000000000011</c:v>
                </c:pt>
                <c:pt idx="31">
                  <c:v>-0.6</c:v>
                </c:pt>
                <c:pt idx="32">
                  <c:v>-0.6</c:v>
                </c:pt>
                <c:pt idx="33">
                  <c:v>0.50000000000000011</c:v>
                </c:pt>
                <c:pt idx="34">
                  <c:v>0.50000000000000011</c:v>
                </c:pt>
                <c:pt idx="35">
                  <c:v>-0.6</c:v>
                </c:pt>
                <c:pt idx="36">
                  <c:v>-0.6</c:v>
                </c:pt>
                <c:pt idx="37">
                  <c:v>0.50000000000000011</c:v>
                </c:pt>
                <c:pt idx="38">
                  <c:v>0.50000000000000011</c:v>
                </c:pt>
                <c:pt idx="39">
                  <c:v>-0.6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314-423A-8661-CDD89793C9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y (m)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low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z (m)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low"/>
        <c:crossAx val="10"/>
        <c:crosses val="autoZero"/>
        <c:crossBetween val="midCat"/>
      </c:valAx>
    </c:plotArea>
    <c:legend>
      <c:legendPos val="r"/>
      <c:legendEntry>
        <c:idx val="0"/>
        <c:delete val="1"/>
      </c:legendEntry>
      <c:legendEntry>
        <c:idx val="4"/>
        <c:delete val="1"/>
      </c:legendEntry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Sensitivity of take-off mass to a 10 % change in each input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Design!$D$594</c:f>
              <c:strCache>
                <c:ptCount val="1"/>
                <c:pt idx="0">
                  <c:v>Change at -10 %</c:v>
                </c:pt>
              </c:strCache>
            </c:strRef>
          </c:tx>
          <c:spPr>
            <a:solidFill>
              <a:srgbClr val="0070C0"/>
            </a:solidFill>
            <a:ln>
              <a:solidFill>
                <a:srgbClr val="0070C0"/>
              </a:solidFill>
              <a:prstDash val="solid"/>
            </a:ln>
          </c:spPr>
          <c:invertIfNegative val="0"/>
          <c:cat>
            <c:strRef>
              <c:f>Design!$A$595:$A$600</c:f>
              <c:strCache>
                <c:ptCount val="6"/>
                <c:pt idx="0">
                  <c:v>Design range</c:v>
                </c:pt>
                <c:pt idx="1">
                  <c:v>Design payload</c:v>
                </c:pt>
                <c:pt idx="2">
                  <c:v>Cruise TSFC</c:v>
                </c:pt>
                <c:pt idx="3">
                  <c:v>Zero-lift drag CDo</c:v>
                </c:pt>
                <c:pt idx="4">
                  <c:v>Aspect ratio</c:v>
                </c:pt>
                <c:pt idx="5">
                  <c:v>Empty weight coefficient A</c:v>
                </c:pt>
              </c:strCache>
            </c:strRef>
          </c:cat>
          <c:val>
            <c:numRef>
              <c:f>Design!$D$595:$D$600</c:f>
              <c:numCache>
                <c:formatCode>0.0%</c:formatCode>
                <c:ptCount val="6"/>
                <c:pt idx="0">
                  <c:v>-6.3188654791021648E-2</c:v>
                </c:pt>
                <c:pt idx="1">
                  <c:v>-8.5107937271836076E-2</c:v>
                </c:pt>
                <c:pt idx="2">
                  <c:v>-6.3188654791021648E-2</c:v>
                </c:pt>
                <c:pt idx="3">
                  <c:v>-4.1309910524815474E-2</c:v>
                </c:pt>
                <c:pt idx="4">
                  <c:v>2.7008433330638404E-2</c:v>
                </c:pt>
                <c:pt idx="5">
                  <c:v>-0.17651838582703483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4F-4FB8-AA20-E4BDAEAF2125}"/>
            </c:ext>
          </c:extLst>
        </c:ser>
        <c:ser>
          <c:idx val="1"/>
          <c:order val="1"/>
          <c:tx>
            <c:strRef>
              <c:f>Design!$E$594</c:f>
              <c:strCache>
                <c:ptCount val="1"/>
                <c:pt idx="0">
                  <c:v>Change at +10 %</c:v>
                </c:pt>
              </c:strCache>
            </c:strRef>
          </c:tx>
          <c:spPr>
            <a:solidFill>
              <a:srgbClr val="C00000"/>
            </a:solidFill>
            <a:ln>
              <a:solidFill>
                <a:srgbClr val="C00000"/>
              </a:solidFill>
              <a:prstDash val="solid"/>
            </a:ln>
          </c:spPr>
          <c:invertIfNegative val="0"/>
          <c:cat>
            <c:strRef>
              <c:f>Design!$A$595:$A$600</c:f>
              <c:strCache>
                <c:ptCount val="6"/>
                <c:pt idx="0">
                  <c:v>Design range</c:v>
                </c:pt>
                <c:pt idx="1">
                  <c:v>Design payload</c:v>
                </c:pt>
                <c:pt idx="2">
                  <c:v>Cruise TSFC</c:v>
                </c:pt>
                <c:pt idx="3">
                  <c:v>Zero-lift drag CDo</c:v>
                </c:pt>
                <c:pt idx="4">
                  <c:v>Aspect ratio</c:v>
                </c:pt>
                <c:pt idx="5">
                  <c:v>Empty weight coefficient A</c:v>
                </c:pt>
              </c:strCache>
            </c:strRef>
          </c:cat>
          <c:val>
            <c:numRef>
              <c:f>Design!$E$595:$E$600</c:f>
              <c:numCache>
                <c:formatCode>0.0%</c:formatCode>
                <c:ptCount val="6"/>
                <c:pt idx="0">
                  <c:v>7.0154613133030841E-2</c:v>
                </c:pt>
                <c:pt idx="1">
                  <c:v>8.4259032684227408E-2</c:v>
                </c:pt>
                <c:pt idx="2">
                  <c:v>7.0154613133030841E-2</c:v>
                </c:pt>
                <c:pt idx="3">
                  <c:v>4.417783503311723E-2</c:v>
                </c:pt>
                <c:pt idx="4">
                  <c:v>-2.1277033780791821E-2</c:v>
                </c:pt>
                <c:pt idx="5">
                  <c:v>0.25601220491271137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4F-4FB8-AA20-E4BDAEAF21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Climb gradients: required against achieved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Design!$B$389</c:f>
              <c:strCache>
                <c:ptCount val="1"/>
                <c:pt idx="0">
                  <c:v>Required gradient</c:v>
                </c:pt>
              </c:strCache>
            </c:strRef>
          </c:tx>
          <c:spPr>
            <a:solidFill>
              <a:srgbClr val="7F7F7F"/>
            </a:solidFill>
            <a:ln>
              <a:prstDash val="solid"/>
            </a:ln>
          </c:spPr>
          <c:invertIfNegative val="0"/>
          <c:cat>
            <c:strRef>
              <c:f>Design!$A$390:$A$394</c:f>
              <c:strCache>
                <c:ptCount val="5"/>
                <c:pt idx="0">
                  <c:v>First segment, one engine out</c:v>
                </c:pt>
                <c:pt idx="1">
                  <c:v>Second segment, one engine out</c:v>
                </c:pt>
                <c:pt idx="2">
                  <c:v>Final take-off, one engine out</c:v>
                </c:pt>
                <c:pt idx="3">
                  <c:v>Approach climb, one engine out</c:v>
                </c:pt>
                <c:pt idx="4">
                  <c:v>Landing climb, all engines</c:v>
                </c:pt>
              </c:strCache>
            </c:strRef>
          </c:cat>
          <c:val>
            <c:numRef>
              <c:f>Design!$B$390:$B$394</c:f>
              <c:numCache>
                <c:formatCode>0.0%</c:formatCode>
                <c:ptCount val="5"/>
                <c:pt idx="0">
                  <c:v>0</c:v>
                </c:pt>
                <c:pt idx="1">
                  <c:v>2.4E-2</c:v>
                </c:pt>
                <c:pt idx="2">
                  <c:v>1.2E-2</c:v>
                </c:pt>
                <c:pt idx="3">
                  <c:v>2.1000000000000001E-2</c:v>
                </c:pt>
                <c:pt idx="4">
                  <c:v>3.2000000000000001E-2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55-4436-8EBE-F8805C3E0AAB}"/>
            </c:ext>
          </c:extLst>
        </c:ser>
        <c:ser>
          <c:idx val="1"/>
          <c:order val="1"/>
          <c:tx>
            <c:strRef>
              <c:f>Design!$C$389</c:f>
              <c:strCache>
                <c:ptCount val="1"/>
                <c:pt idx="0">
                  <c:v>Achieved gradient</c:v>
                </c:pt>
              </c:strCache>
            </c:strRef>
          </c:tx>
          <c:spPr>
            <a:solidFill>
              <a:srgbClr val="00B050"/>
            </a:solidFill>
            <a:ln>
              <a:prstDash val="solid"/>
            </a:ln>
          </c:spPr>
          <c:invertIfNegative val="0"/>
          <c:cat>
            <c:strRef>
              <c:f>Design!$A$390:$A$394</c:f>
              <c:strCache>
                <c:ptCount val="5"/>
                <c:pt idx="0">
                  <c:v>First segment, one engine out</c:v>
                </c:pt>
                <c:pt idx="1">
                  <c:v>Second segment, one engine out</c:v>
                </c:pt>
                <c:pt idx="2">
                  <c:v>Final take-off, one engine out</c:v>
                </c:pt>
                <c:pt idx="3">
                  <c:v>Approach climb, one engine out</c:v>
                </c:pt>
                <c:pt idx="4">
                  <c:v>Landing climb, all engines</c:v>
                </c:pt>
              </c:strCache>
            </c:strRef>
          </c:cat>
          <c:val>
            <c:numRef>
              <c:f>Design!$C$390:$C$394</c:f>
              <c:numCache>
                <c:formatCode>0.0%</c:formatCode>
                <c:ptCount val="5"/>
                <c:pt idx="0">
                  <c:v>3.4349673893635163E-2</c:v>
                </c:pt>
                <c:pt idx="1">
                  <c:v>5.0668896679285994E-2</c:v>
                </c:pt>
                <c:pt idx="2">
                  <c:v>7.7419103188768254E-2</c:v>
                </c:pt>
                <c:pt idx="3">
                  <c:v>5.7300032369502193E-2</c:v>
                </c:pt>
                <c:pt idx="4">
                  <c:v>0.21774317090991674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55-4436-8EBE-F8805C3E0A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Mission profile - altitude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Flight path</c:v>
          </c:tx>
          <c:spPr>
            <a:ln w="25000">
              <a:solidFill>
                <a:srgbClr val="0070C0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0070C0"/>
              </a:solidFill>
              <a:ln>
                <a:solidFill>
                  <a:srgbClr val="0070C0"/>
                </a:solidFill>
                <a:prstDash val="solid"/>
              </a:ln>
            </c:spPr>
          </c:marker>
          <c:xVal>
            <c:numRef>
              <c:f>Design!$B$412:$B$416</c:f>
              <c:numCache>
                <c:formatCode>#,##0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195.28586770324523</c:v>
                </c:pt>
                <c:pt idx="3">
                  <c:v>4796.4424338153158</c:v>
                </c:pt>
                <c:pt idx="4">
                  <c:v>5000</c:v>
                </c:pt>
              </c:numCache>
            </c:numRef>
          </c:xVal>
          <c:yVal>
            <c:numRef>
              <c:f>Design!$C$412:$C$416</c:f>
              <c:numCache>
                <c:formatCode>#,##0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10668</c:v>
                </c:pt>
                <c:pt idx="3">
                  <c:v>10668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24-4716-B99D-3EB2FA20C4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Distance (km)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low"/>
        <c:crossAx val="20"/>
        <c:crosses val="autoZero"/>
        <c:crossBetween val="midCat"/>
      </c:valAx>
      <c:valAx>
        <c:axId val="20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Altitude (m)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low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Mission profile - aircraft mass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Aircraft mass</c:v>
          </c:tx>
          <c:spPr>
            <a:ln w="25000">
              <a:solidFill>
                <a:srgbClr val="C00000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C00000"/>
              </a:solidFill>
              <a:ln>
                <a:solidFill>
                  <a:srgbClr val="C00000"/>
                </a:solidFill>
                <a:prstDash val="solid"/>
              </a:ln>
            </c:spPr>
          </c:marker>
          <c:xVal>
            <c:numRef>
              <c:f>Design!$B$412:$B$416</c:f>
              <c:numCache>
                <c:formatCode>#,##0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195.28586770324523</c:v>
                </c:pt>
                <c:pt idx="3">
                  <c:v>4796.4424338153158</c:v>
                </c:pt>
                <c:pt idx="4">
                  <c:v>5000</c:v>
                </c:pt>
              </c:numCache>
            </c:numRef>
          </c:xVal>
          <c:yVal>
            <c:numRef>
              <c:f>Design!$D$412:$D$416</c:f>
              <c:numCache>
                <c:formatCode>#,##0</c:formatCode>
                <c:ptCount val="5"/>
                <c:pt idx="0">
                  <c:v>71061.950546004198</c:v>
                </c:pt>
                <c:pt idx="1">
                  <c:v>67896.14064917971</c:v>
                </c:pt>
                <c:pt idx="2">
                  <c:v>66877.698539442019</c:v>
                </c:pt>
                <c:pt idx="3">
                  <c:v>54408.049333073475</c:v>
                </c:pt>
                <c:pt idx="4">
                  <c:v>53863.968839742738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19-437D-A596-6445363DCE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Distance (km)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low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Mass (kg)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low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Trade study - take-off mass against cruise Mach for each aspect ratio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Aspect ratio 7</c:v>
          </c:tx>
          <c:spPr>
            <a:ln w="22000">
              <a:solidFill>
                <a:srgbClr val="C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C00000"/>
              </a:solidFill>
              <a:ln>
                <a:prstDash val="solid"/>
              </a:ln>
            </c:spPr>
          </c:marker>
          <c:xVal>
            <c:numRef>
              <c:f>Design!$A$605:$A$609</c:f>
              <c:numCache>
                <c:formatCode>0.00</c:formatCode>
                <c:ptCount val="5"/>
                <c:pt idx="0">
                  <c:v>0.7</c:v>
                </c:pt>
                <c:pt idx="1">
                  <c:v>0.74</c:v>
                </c:pt>
                <c:pt idx="2">
                  <c:v>0.78</c:v>
                </c:pt>
                <c:pt idx="3">
                  <c:v>0.82</c:v>
                </c:pt>
                <c:pt idx="4">
                  <c:v>0.86</c:v>
                </c:pt>
              </c:numCache>
            </c:numRef>
          </c:xVal>
          <c:yVal>
            <c:numRef>
              <c:f>Design!$B$605:$B$609</c:f>
              <c:numCache>
                <c:formatCode>#,##0</c:formatCode>
                <c:ptCount val="5"/>
                <c:pt idx="0">
                  <c:v>84296.85185290224</c:v>
                </c:pt>
                <c:pt idx="1">
                  <c:v>80291.34805324176</c:v>
                </c:pt>
                <c:pt idx="2">
                  <c:v>77173.181802579347</c:v>
                </c:pt>
                <c:pt idx="3">
                  <c:v>75062.271389369766</c:v>
                </c:pt>
                <c:pt idx="4">
                  <c:v>73669.770221915605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7D-49E7-9FDE-548E39D4FD35}"/>
            </c:ext>
          </c:extLst>
        </c:ser>
        <c:ser>
          <c:idx val="1"/>
          <c:order val="1"/>
          <c:tx>
            <c:v>Aspect ratio 9</c:v>
          </c:tx>
          <c:spPr>
            <a:ln w="22000">
              <a:solidFill>
                <a:srgbClr val="ED7D31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prstDash val="solid"/>
              </a:ln>
            </c:spPr>
          </c:marker>
          <c:xVal>
            <c:numRef>
              <c:f>Design!$A$605:$A$609</c:f>
              <c:numCache>
                <c:formatCode>0.00</c:formatCode>
                <c:ptCount val="5"/>
                <c:pt idx="0">
                  <c:v>0.7</c:v>
                </c:pt>
                <c:pt idx="1">
                  <c:v>0.74</c:v>
                </c:pt>
                <c:pt idx="2">
                  <c:v>0.78</c:v>
                </c:pt>
                <c:pt idx="3">
                  <c:v>0.82</c:v>
                </c:pt>
                <c:pt idx="4">
                  <c:v>0.86</c:v>
                </c:pt>
              </c:numCache>
            </c:numRef>
          </c:xVal>
          <c:yVal>
            <c:numRef>
              <c:f>Design!$C$605:$C$609</c:f>
              <c:numCache>
                <c:formatCode>#,##0</c:formatCode>
                <c:ptCount val="5"/>
                <c:pt idx="0">
                  <c:v>75993.419802995151</c:v>
                </c:pt>
                <c:pt idx="1">
                  <c:v>73543.197947511042</c:v>
                </c:pt>
                <c:pt idx="2">
                  <c:v>71833.016950441597</c:v>
                </c:pt>
                <c:pt idx="3">
                  <c:v>70582.967269343048</c:v>
                </c:pt>
                <c:pt idx="4">
                  <c:v>69636.648156868629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27D-49E7-9FDE-548E39D4FD35}"/>
            </c:ext>
          </c:extLst>
        </c:ser>
        <c:ser>
          <c:idx val="2"/>
          <c:order val="2"/>
          <c:tx>
            <c:v>Aspect ratio 11</c:v>
          </c:tx>
          <c:spPr>
            <a:ln w="22000">
              <a:solidFill>
                <a:srgbClr val="00B05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B050"/>
              </a:solidFill>
              <a:ln>
                <a:prstDash val="solid"/>
              </a:ln>
            </c:spPr>
          </c:marker>
          <c:xVal>
            <c:numRef>
              <c:f>Design!$A$605:$A$609</c:f>
              <c:numCache>
                <c:formatCode>0.00</c:formatCode>
                <c:ptCount val="5"/>
                <c:pt idx="0">
                  <c:v>0.7</c:v>
                </c:pt>
                <c:pt idx="1">
                  <c:v>0.74</c:v>
                </c:pt>
                <c:pt idx="2">
                  <c:v>0.78</c:v>
                </c:pt>
                <c:pt idx="3">
                  <c:v>0.82</c:v>
                </c:pt>
                <c:pt idx="4">
                  <c:v>0.86</c:v>
                </c:pt>
              </c:numCache>
            </c:numRef>
          </c:xVal>
          <c:yVal>
            <c:numRef>
              <c:f>Design!$D$605:$D$609</c:f>
              <c:numCache>
                <c:formatCode>#,##0</c:formatCode>
                <c:ptCount val="5"/>
                <c:pt idx="0">
                  <c:v>71855.324035896861</c:v>
                </c:pt>
                <c:pt idx="1">
                  <c:v>70401.381153227354</c:v>
                </c:pt>
                <c:pt idx="2">
                  <c:v>69346.318699443</c:v>
                </c:pt>
                <c:pt idx="3">
                  <c:v>68553.467329495892</c:v>
                </c:pt>
                <c:pt idx="4">
                  <c:v>67940.890326727764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27D-49E7-9FDE-548E39D4FD35}"/>
            </c:ext>
          </c:extLst>
        </c:ser>
        <c:ser>
          <c:idx val="3"/>
          <c:order val="3"/>
          <c:tx>
            <c:v>Aspect ratio 13</c:v>
          </c:tx>
          <c:spPr>
            <a:ln w="22000">
              <a:solidFill>
                <a:srgbClr val="0070C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70C0"/>
              </a:solidFill>
              <a:ln>
                <a:prstDash val="solid"/>
              </a:ln>
            </c:spPr>
          </c:marker>
          <c:xVal>
            <c:numRef>
              <c:f>Design!$A$605:$A$609</c:f>
              <c:numCache>
                <c:formatCode>0.00</c:formatCode>
                <c:ptCount val="5"/>
                <c:pt idx="0">
                  <c:v>0.7</c:v>
                </c:pt>
                <c:pt idx="1">
                  <c:v>0.74</c:v>
                </c:pt>
                <c:pt idx="2">
                  <c:v>0.78</c:v>
                </c:pt>
                <c:pt idx="3">
                  <c:v>0.82</c:v>
                </c:pt>
                <c:pt idx="4">
                  <c:v>0.86</c:v>
                </c:pt>
              </c:numCache>
            </c:numRef>
          </c:xVal>
          <c:yVal>
            <c:numRef>
              <c:f>Design!$E$605:$E$609</c:f>
              <c:numCache>
                <c:formatCode>#,##0</c:formatCode>
                <c:ptCount val="5"/>
                <c:pt idx="0">
                  <c:v>69580.64388481823</c:v>
                </c:pt>
                <c:pt idx="1">
                  <c:v>68602.492736795597</c:v>
                </c:pt>
                <c:pt idx="2">
                  <c:v>67879.254205355901</c:v>
                </c:pt>
                <c:pt idx="3">
                  <c:v>67328.497181189043</c:v>
                </c:pt>
                <c:pt idx="4">
                  <c:v>66898.877005915114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27D-49E7-9FDE-548E39D4F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Cruise Mach number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low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Take-off mass (kg)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low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Constraint diagram with optimised design point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Take-off field length</c:v>
          </c:tx>
          <c:spPr>
            <a:ln w="22000">
              <a:solidFill>
                <a:srgbClr val="C00000"/>
              </a:solidFill>
              <a:prstDash val="solid"/>
            </a:ln>
          </c:spPr>
          <c:marker>
            <c:symbol val="none"/>
          </c:marker>
          <c:xVal>
            <c:numRef>
              <c:f>Plot_Data!$B$5:$B$55</c:f>
              <c:numCache>
                <c:formatCode>#,##0</c:formatCode>
                <c:ptCount val="51"/>
                <c:pt idx="0">
                  <c:v>1113.2578303411763</c:v>
                </c:pt>
                <c:pt idx="1">
                  <c:v>1224.5836133752939</c:v>
                </c:pt>
                <c:pt idx="2">
                  <c:v>1335.9093964094116</c:v>
                </c:pt>
                <c:pt idx="3">
                  <c:v>1447.2351794435292</c:v>
                </c:pt>
                <c:pt idx="4">
                  <c:v>1558.5609624776471</c:v>
                </c:pt>
                <c:pt idx="5">
                  <c:v>1669.8867455117645</c:v>
                </c:pt>
                <c:pt idx="6">
                  <c:v>1781.2125285458822</c:v>
                </c:pt>
                <c:pt idx="7">
                  <c:v>1892.5383115799998</c:v>
                </c:pt>
                <c:pt idx="8">
                  <c:v>2003.8640946141172</c:v>
                </c:pt>
                <c:pt idx="9">
                  <c:v>2115.1898776482349</c:v>
                </c:pt>
                <c:pt idx="10">
                  <c:v>2226.5156606823525</c:v>
                </c:pt>
                <c:pt idx="11">
                  <c:v>2337.8414437164702</c:v>
                </c:pt>
                <c:pt idx="12">
                  <c:v>2449.1672267505878</c:v>
                </c:pt>
                <c:pt idx="13">
                  <c:v>2560.4930097847055</c:v>
                </c:pt>
                <c:pt idx="14">
                  <c:v>2671.8187928188231</c:v>
                </c:pt>
                <c:pt idx="15">
                  <c:v>2783.1445758529408</c:v>
                </c:pt>
                <c:pt idx="16">
                  <c:v>2894.4703588870584</c:v>
                </c:pt>
                <c:pt idx="17">
                  <c:v>3005.7961419211761</c:v>
                </c:pt>
                <c:pt idx="18">
                  <c:v>3117.1219249552942</c:v>
                </c:pt>
                <c:pt idx="19">
                  <c:v>3228.4477079894109</c:v>
                </c:pt>
                <c:pt idx="20">
                  <c:v>3339.773491023529</c:v>
                </c:pt>
                <c:pt idx="21">
                  <c:v>3451.0992740576467</c:v>
                </c:pt>
                <c:pt idx="22">
                  <c:v>3562.4250570917643</c:v>
                </c:pt>
                <c:pt idx="23">
                  <c:v>3673.750840125882</c:v>
                </c:pt>
                <c:pt idx="24">
                  <c:v>3785.0766231599996</c:v>
                </c:pt>
                <c:pt idx="25">
                  <c:v>3896.4024061941168</c:v>
                </c:pt>
                <c:pt idx="26">
                  <c:v>4007.7281892282344</c:v>
                </c:pt>
                <c:pt idx="27">
                  <c:v>4119.0539722623525</c:v>
                </c:pt>
                <c:pt idx="28">
                  <c:v>4230.3797552964697</c:v>
                </c:pt>
                <c:pt idx="29">
                  <c:v>4341.7055383305878</c:v>
                </c:pt>
                <c:pt idx="30">
                  <c:v>4453.031321364705</c:v>
                </c:pt>
                <c:pt idx="31">
                  <c:v>4564.3571043988222</c:v>
                </c:pt>
                <c:pt idx="32">
                  <c:v>4675.6828874329403</c:v>
                </c:pt>
                <c:pt idx="33">
                  <c:v>4787.0086704670584</c:v>
                </c:pt>
                <c:pt idx="34">
                  <c:v>4898.3344535011756</c:v>
                </c:pt>
                <c:pt idx="35">
                  <c:v>5009.6602365352937</c:v>
                </c:pt>
                <c:pt idx="36">
                  <c:v>5120.9860195694109</c:v>
                </c:pt>
                <c:pt idx="37">
                  <c:v>5232.3118026035281</c:v>
                </c:pt>
                <c:pt idx="38">
                  <c:v>5343.6375856376462</c:v>
                </c:pt>
                <c:pt idx="39">
                  <c:v>5454.9633686717634</c:v>
                </c:pt>
                <c:pt idx="40">
                  <c:v>5566.2891517058815</c:v>
                </c:pt>
                <c:pt idx="41">
                  <c:v>5677.6149347399996</c:v>
                </c:pt>
                <c:pt idx="42">
                  <c:v>5788.9407177741168</c:v>
                </c:pt>
                <c:pt idx="43">
                  <c:v>5900.2665008082349</c:v>
                </c:pt>
                <c:pt idx="44">
                  <c:v>6011.5922838423521</c:v>
                </c:pt>
                <c:pt idx="45">
                  <c:v>6122.9180668764702</c:v>
                </c:pt>
                <c:pt idx="46">
                  <c:v>6234.2438499105883</c:v>
                </c:pt>
                <c:pt idx="47">
                  <c:v>6345.5696329447046</c:v>
                </c:pt>
                <c:pt idx="48">
                  <c:v>6456.8954159788218</c:v>
                </c:pt>
                <c:pt idx="49">
                  <c:v>6568.2211990129399</c:v>
                </c:pt>
                <c:pt idx="50">
                  <c:v>6679.546982047058</c:v>
                </c:pt>
              </c:numCache>
            </c:numRef>
          </c:xVal>
          <c:yVal>
            <c:numRef>
              <c:f>Plot_Data!$D$5:$D$55</c:f>
              <c:numCache>
                <c:formatCode>0.000</c:formatCode>
                <c:ptCount val="51"/>
                <c:pt idx="0">
                  <c:v>5.7497500381970955E-2</c:v>
                </c:pt>
                <c:pt idx="1">
                  <c:v>6.3247250420168058E-2</c:v>
                </c:pt>
                <c:pt idx="2">
                  <c:v>6.8997000458365154E-2</c:v>
                </c:pt>
                <c:pt idx="3">
                  <c:v>7.474675049656225E-2</c:v>
                </c:pt>
                <c:pt idx="4">
                  <c:v>8.049650053475936E-2</c:v>
                </c:pt>
                <c:pt idx="5">
                  <c:v>8.6246250572956443E-2</c:v>
                </c:pt>
                <c:pt idx="6">
                  <c:v>9.1996000611153539E-2</c:v>
                </c:pt>
                <c:pt idx="7">
                  <c:v>9.7745750649350635E-2</c:v>
                </c:pt>
                <c:pt idx="8">
                  <c:v>0.10349550068754772</c:v>
                </c:pt>
                <c:pt idx="9">
                  <c:v>0.10924525072574481</c:v>
                </c:pt>
                <c:pt idx="10">
                  <c:v>0.11499500076394191</c:v>
                </c:pt>
                <c:pt idx="11">
                  <c:v>0.12074475080213901</c:v>
                </c:pt>
                <c:pt idx="12">
                  <c:v>0.12649450084033612</c:v>
                </c:pt>
                <c:pt idx="13">
                  <c:v>0.1322442508785332</c:v>
                </c:pt>
                <c:pt idx="14">
                  <c:v>0.13799400091673031</c:v>
                </c:pt>
                <c:pt idx="15">
                  <c:v>0.14374375095492739</c:v>
                </c:pt>
                <c:pt idx="16">
                  <c:v>0.1494935009931245</c:v>
                </c:pt>
                <c:pt idx="17">
                  <c:v>0.15524325103132158</c:v>
                </c:pt>
                <c:pt idx="18">
                  <c:v>0.16099300106951872</c:v>
                </c:pt>
                <c:pt idx="19">
                  <c:v>0.16674275110771578</c:v>
                </c:pt>
                <c:pt idx="20">
                  <c:v>0.17249250114591289</c:v>
                </c:pt>
                <c:pt idx="21">
                  <c:v>0.17824225118410997</c:v>
                </c:pt>
                <c:pt idx="22">
                  <c:v>0.18399200122230708</c:v>
                </c:pt>
                <c:pt idx="23">
                  <c:v>0.18974175126050416</c:v>
                </c:pt>
                <c:pt idx="24">
                  <c:v>0.19549150129870127</c:v>
                </c:pt>
                <c:pt idx="25">
                  <c:v>0.20124125133689835</c:v>
                </c:pt>
                <c:pt idx="26">
                  <c:v>0.20699100137509543</c:v>
                </c:pt>
                <c:pt idx="27">
                  <c:v>0.21274075141329257</c:v>
                </c:pt>
                <c:pt idx="28">
                  <c:v>0.21849050145148963</c:v>
                </c:pt>
                <c:pt idx="29">
                  <c:v>0.22424025148968676</c:v>
                </c:pt>
                <c:pt idx="30">
                  <c:v>0.22999000152788382</c:v>
                </c:pt>
                <c:pt idx="31">
                  <c:v>0.2357397515660809</c:v>
                </c:pt>
                <c:pt idx="32">
                  <c:v>0.24148950160427801</c:v>
                </c:pt>
                <c:pt idx="33">
                  <c:v>0.24723925164247515</c:v>
                </c:pt>
                <c:pt idx="34">
                  <c:v>0.25298900168067223</c:v>
                </c:pt>
                <c:pt idx="35">
                  <c:v>0.25873875171886934</c:v>
                </c:pt>
                <c:pt idx="36">
                  <c:v>0.2644885017570664</c:v>
                </c:pt>
                <c:pt idx="37">
                  <c:v>0.27023825179526351</c:v>
                </c:pt>
                <c:pt idx="38">
                  <c:v>0.27598800183346062</c:v>
                </c:pt>
                <c:pt idx="39">
                  <c:v>0.28173775187165767</c:v>
                </c:pt>
                <c:pt idx="40">
                  <c:v>0.28748750190985478</c:v>
                </c:pt>
                <c:pt idx="41">
                  <c:v>0.29323725194805189</c:v>
                </c:pt>
                <c:pt idx="42">
                  <c:v>0.298987001986249</c:v>
                </c:pt>
                <c:pt idx="43">
                  <c:v>0.30473675202444611</c:v>
                </c:pt>
                <c:pt idx="44">
                  <c:v>0.31048650206264317</c:v>
                </c:pt>
                <c:pt idx="45">
                  <c:v>0.31623625210084033</c:v>
                </c:pt>
                <c:pt idx="46">
                  <c:v>0.32198600213903744</c:v>
                </c:pt>
                <c:pt idx="47">
                  <c:v>0.32773575217723444</c:v>
                </c:pt>
                <c:pt idx="48">
                  <c:v>0.33348550221543155</c:v>
                </c:pt>
                <c:pt idx="49">
                  <c:v>0.33923525225362866</c:v>
                </c:pt>
                <c:pt idx="50">
                  <c:v>0.34498500229182577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A3-4F86-80BF-DA9D75EE65B0}"/>
            </c:ext>
          </c:extLst>
        </c:ser>
        <c:ser>
          <c:idx val="1"/>
          <c:order val="1"/>
          <c:tx>
            <c:v>2nd-segment climb (OEI)</c:v>
          </c:tx>
          <c:spPr>
            <a:ln w="22000">
              <a:solidFill>
                <a:srgbClr val="ED7D31"/>
              </a:solidFill>
              <a:prstDash val="solid"/>
            </a:ln>
          </c:spPr>
          <c:marker>
            <c:symbol val="none"/>
          </c:marker>
          <c:xVal>
            <c:numRef>
              <c:f>Plot_Data!$B$5:$B$55</c:f>
              <c:numCache>
                <c:formatCode>#,##0</c:formatCode>
                <c:ptCount val="51"/>
                <c:pt idx="0">
                  <c:v>1113.2578303411763</c:v>
                </c:pt>
                <c:pt idx="1">
                  <c:v>1224.5836133752939</c:v>
                </c:pt>
                <c:pt idx="2">
                  <c:v>1335.9093964094116</c:v>
                </c:pt>
                <c:pt idx="3">
                  <c:v>1447.2351794435292</c:v>
                </c:pt>
                <c:pt idx="4">
                  <c:v>1558.5609624776471</c:v>
                </c:pt>
                <c:pt idx="5">
                  <c:v>1669.8867455117645</c:v>
                </c:pt>
                <c:pt idx="6">
                  <c:v>1781.2125285458822</c:v>
                </c:pt>
                <c:pt idx="7">
                  <c:v>1892.5383115799998</c:v>
                </c:pt>
                <c:pt idx="8">
                  <c:v>2003.8640946141172</c:v>
                </c:pt>
                <c:pt idx="9">
                  <c:v>2115.1898776482349</c:v>
                </c:pt>
                <c:pt idx="10">
                  <c:v>2226.5156606823525</c:v>
                </c:pt>
                <c:pt idx="11">
                  <c:v>2337.8414437164702</c:v>
                </c:pt>
                <c:pt idx="12">
                  <c:v>2449.1672267505878</c:v>
                </c:pt>
                <c:pt idx="13">
                  <c:v>2560.4930097847055</c:v>
                </c:pt>
                <c:pt idx="14">
                  <c:v>2671.8187928188231</c:v>
                </c:pt>
                <c:pt idx="15">
                  <c:v>2783.1445758529408</c:v>
                </c:pt>
                <c:pt idx="16">
                  <c:v>2894.4703588870584</c:v>
                </c:pt>
                <c:pt idx="17">
                  <c:v>3005.7961419211761</c:v>
                </c:pt>
                <c:pt idx="18">
                  <c:v>3117.1219249552942</c:v>
                </c:pt>
                <c:pt idx="19">
                  <c:v>3228.4477079894109</c:v>
                </c:pt>
                <c:pt idx="20">
                  <c:v>3339.773491023529</c:v>
                </c:pt>
                <c:pt idx="21">
                  <c:v>3451.0992740576467</c:v>
                </c:pt>
                <c:pt idx="22">
                  <c:v>3562.4250570917643</c:v>
                </c:pt>
                <c:pt idx="23">
                  <c:v>3673.750840125882</c:v>
                </c:pt>
                <c:pt idx="24">
                  <c:v>3785.0766231599996</c:v>
                </c:pt>
                <c:pt idx="25">
                  <c:v>3896.4024061941168</c:v>
                </c:pt>
                <c:pt idx="26">
                  <c:v>4007.7281892282344</c:v>
                </c:pt>
                <c:pt idx="27">
                  <c:v>4119.0539722623525</c:v>
                </c:pt>
                <c:pt idx="28">
                  <c:v>4230.3797552964697</c:v>
                </c:pt>
                <c:pt idx="29">
                  <c:v>4341.7055383305878</c:v>
                </c:pt>
                <c:pt idx="30">
                  <c:v>4453.031321364705</c:v>
                </c:pt>
                <c:pt idx="31">
                  <c:v>4564.3571043988222</c:v>
                </c:pt>
                <c:pt idx="32">
                  <c:v>4675.6828874329403</c:v>
                </c:pt>
                <c:pt idx="33">
                  <c:v>4787.0086704670584</c:v>
                </c:pt>
                <c:pt idx="34">
                  <c:v>4898.3344535011756</c:v>
                </c:pt>
                <c:pt idx="35">
                  <c:v>5009.6602365352937</c:v>
                </c:pt>
                <c:pt idx="36">
                  <c:v>5120.9860195694109</c:v>
                </c:pt>
                <c:pt idx="37">
                  <c:v>5232.3118026035281</c:v>
                </c:pt>
                <c:pt idx="38">
                  <c:v>5343.6375856376462</c:v>
                </c:pt>
                <c:pt idx="39">
                  <c:v>5454.9633686717634</c:v>
                </c:pt>
                <c:pt idx="40">
                  <c:v>5566.2891517058815</c:v>
                </c:pt>
                <c:pt idx="41">
                  <c:v>5677.6149347399996</c:v>
                </c:pt>
                <c:pt idx="42">
                  <c:v>5788.9407177741168</c:v>
                </c:pt>
                <c:pt idx="43">
                  <c:v>5900.2665008082349</c:v>
                </c:pt>
                <c:pt idx="44">
                  <c:v>6011.5922838423521</c:v>
                </c:pt>
                <c:pt idx="45">
                  <c:v>6122.9180668764702</c:v>
                </c:pt>
                <c:pt idx="46">
                  <c:v>6234.2438499105883</c:v>
                </c:pt>
                <c:pt idx="47">
                  <c:v>6345.5696329447046</c:v>
                </c:pt>
                <c:pt idx="48">
                  <c:v>6456.8954159788218</c:v>
                </c:pt>
                <c:pt idx="49">
                  <c:v>6568.2211990129399</c:v>
                </c:pt>
                <c:pt idx="50">
                  <c:v>6679.546982047058</c:v>
                </c:pt>
              </c:numCache>
            </c:numRef>
          </c:xVal>
          <c:yVal>
            <c:numRef>
              <c:f>Plot_Data!$E$5:$E$55</c:f>
              <c:numCache>
                <c:formatCode>0.000</c:formatCode>
                <c:ptCount val="51"/>
                <c:pt idx="0">
                  <c:v>0.2194155421601327</c:v>
                </c:pt>
                <c:pt idx="1">
                  <c:v>0.2194155421601327</c:v>
                </c:pt>
                <c:pt idx="2">
                  <c:v>0.2194155421601327</c:v>
                </c:pt>
                <c:pt idx="3">
                  <c:v>0.2194155421601327</c:v>
                </c:pt>
                <c:pt idx="4">
                  <c:v>0.2194155421601327</c:v>
                </c:pt>
                <c:pt idx="5">
                  <c:v>0.2194155421601327</c:v>
                </c:pt>
                <c:pt idx="6">
                  <c:v>0.2194155421601327</c:v>
                </c:pt>
                <c:pt idx="7">
                  <c:v>0.2194155421601327</c:v>
                </c:pt>
                <c:pt idx="8">
                  <c:v>0.2194155421601327</c:v>
                </c:pt>
                <c:pt idx="9">
                  <c:v>0.2194155421601327</c:v>
                </c:pt>
                <c:pt idx="10">
                  <c:v>0.2194155421601327</c:v>
                </c:pt>
                <c:pt idx="11">
                  <c:v>0.2194155421601327</c:v>
                </c:pt>
                <c:pt idx="12">
                  <c:v>0.2194155421601327</c:v>
                </c:pt>
                <c:pt idx="13">
                  <c:v>0.2194155421601327</c:v>
                </c:pt>
                <c:pt idx="14">
                  <c:v>0.2194155421601327</c:v>
                </c:pt>
                <c:pt idx="15">
                  <c:v>0.2194155421601327</c:v>
                </c:pt>
                <c:pt idx="16">
                  <c:v>0.2194155421601327</c:v>
                </c:pt>
                <c:pt idx="17">
                  <c:v>0.2194155421601327</c:v>
                </c:pt>
                <c:pt idx="18">
                  <c:v>0.2194155421601327</c:v>
                </c:pt>
                <c:pt idx="19">
                  <c:v>0.2194155421601327</c:v>
                </c:pt>
                <c:pt idx="20">
                  <c:v>0.2194155421601327</c:v>
                </c:pt>
                <c:pt idx="21">
                  <c:v>0.2194155421601327</c:v>
                </c:pt>
                <c:pt idx="22">
                  <c:v>0.2194155421601327</c:v>
                </c:pt>
                <c:pt idx="23">
                  <c:v>0.2194155421601327</c:v>
                </c:pt>
                <c:pt idx="24">
                  <c:v>0.2194155421601327</c:v>
                </c:pt>
                <c:pt idx="25">
                  <c:v>0.2194155421601327</c:v>
                </c:pt>
                <c:pt idx="26">
                  <c:v>0.2194155421601327</c:v>
                </c:pt>
                <c:pt idx="27">
                  <c:v>0.2194155421601327</c:v>
                </c:pt>
                <c:pt idx="28">
                  <c:v>0.2194155421601327</c:v>
                </c:pt>
                <c:pt idx="29">
                  <c:v>0.2194155421601327</c:v>
                </c:pt>
                <c:pt idx="30">
                  <c:v>0.2194155421601327</c:v>
                </c:pt>
                <c:pt idx="31">
                  <c:v>0.2194155421601327</c:v>
                </c:pt>
                <c:pt idx="32">
                  <c:v>0.2194155421601327</c:v>
                </c:pt>
                <c:pt idx="33">
                  <c:v>0.2194155421601327</c:v>
                </c:pt>
                <c:pt idx="34">
                  <c:v>0.2194155421601327</c:v>
                </c:pt>
                <c:pt idx="35">
                  <c:v>0.2194155421601327</c:v>
                </c:pt>
                <c:pt idx="36">
                  <c:v>0.2194155421601327</c:v>
                </c:pt>
                <c:pt idx="37">
                  <c:v>0.2194155421601327</c:v>
                </c:pt>
                <c:pt idx="38">
                  <c:v>0.2194155421601327</c:v>
                </c:pt>
                <c:pt idx="39">
                  <c:v>0.2194155421601327</c:v>
                </c:pt>
                <c:pt idx="40">
                  <c:v>0.2194155421601327</c:v>
                </c:pt>
                <c:pt idx="41">
                  <c:v>0.2194155421601327</c:v>
                </c:pt>
                <c:pt idx="42">
                  <c:v>0.2194155421601327</c:v>
                </c:pt>
                <c:pt idx="43">
                  <c:v>0.2194155421601327</c:v>
                </c:pt>
                <c:pt idx="44">
                  <c:v>0.2194155421601327</c:v>
                </c:pt>
                <c:pt idx="45">
                  <c:v>0.2194155421601327</c:v>
                </c:pt>
                <c:pt idx="46">
                  <c:v>0.2194155421601327</c:v>
                </c:pt>
                <c:pt idx="47">
                  <c:v>0.2194155421601327</c:v>
                </c:pt>
                <c:pt idx="48">
                  <c:v>0.2194155421601327</c:v>
                </c:pt>
                <c:pt idx="49">
                  <c:v>0.2194155421601327</c:v>
                </c:pt>
                <c:pt idx="50">
                  <c:v>0.2194155421601327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A3-4F86-80BF-DA9D75EE65B0}"/>
            </c:ext>
          </c:extLst>
        </c:ser>
        <c:ser>
          <c:idx val="2"/>
          <c:order val="2"/>
          <c:tx>
            <c:v>Missed approach (OEI)</c:v>
          </c:tx>
          <c:spPr>
            <a:ln w="22000">
              <a:solidFill>
                <a:srgbClr val="7030A0"/>
              </a:solidFill>
              <a:prstDash val="solid"/>
            </a:ln>
          </c:spPr>
          <c:marker>
            <c:symbol val="none"/>
          </c:marker>
          <c:xVal>
            <c:numRef>
              <c:f>Plot_Data!$B$5:$B$55</c:f>
              <c:numCache>
                <c:formatCode>#,##0</c:formatCode>
                <c:ptCount val="51"/>
                <c:pt idx="0">
                  <c:v>1113.2578303411763</c:v>
                </c:pt>
                <c:pt idx="1">
                  <c:v>1224.5836133752939</c:v>
                </c:pt>
                <c:pt idx="2">
                  <c:v>1335.9093964094116</c:v>
                </c:pt>
                <c:pt idx="3">
                  <c:v>1447.2351794435292</c:v>
                </c:pt>
                <c:pt idx="4">
                  <c:v>1558.5609624776471</c:v>
                </c:pt>
                <c:pt idx="5">
                  <c:v>1669.8867455117645</c:v>
                </c:pt>
                <c:pt idx="6">
                  <c:v>1781.2125285458822</c:v>
                </c:pt>
                <c:pt idx="7">
                  <c:v>1892.5383115799998</c:v>
                </c:pt>
                <c:pt idx="8">
                  <c:v>2003.8640946141172</c:v>
                </c:pt>
                <c:pt idx="9">
                  <c:v>2115.1898776482349</c:v>
                </c:pt>
                <c:pt idx="10">
                  <c:v>2226.5156606823525</c:v>
                </c:pt>
                <c:pt idx="11">
                  <c:v>2337.8414437164702</c:v>
                </c:pt>
                <c:pt idx="12">
                  <c:v>2449.1672267505878</c:v>
                </c:pt>
                <c:pt idx="13">
                  <c:v>2560.4930097847055</c:v>
                </c:pt>
                <c:pt idx="14">
                  <c:v>2671.8187928188231</c:v>
                </c:pt>
                <c:pt idx="15">
                  <c:v>2783.1445758529408</c:v>
                </c:pt>
                <c:pt idx="16">
                  <c:v>2894.4703588870584</c:v>
                </c:pt>
                <c:pt idx="17">
                  <c:v>3005.7961419211761</c:v>
                </c:pt>
                <c:pt idx="18">
                  <c:v>3117.1219249552942</c:v>
                </c:pt>
                <c:pt idx="19">
                  <c:v>3228.4477079894109</c:v>
                </c:pt>
                <c:pt idx="20">
                  <c:v>3339.773491023529</c:v>
                </c:pt>
                <c:pt idx="21">
                  <c:v>3451.0992740576467</c:v>
                </c:pt>
                <c:pt idx="22">
                  <c:v>3562.4250570917643</c:v>
                </c:pt>
                <c:pt idx="23">
                  <c:v>3673.750840125882</c:v>
                </c:pt>
                <c:pt idx="24">
                  <c:v>3785.0766231599996</c:v>
                </c:pt>
                <c:pt idx="25">
                  <c:v>3896.4024061941168</c:v>
                </c:pt>
                <c:pt idx="26">
                  <c:v>4007.7281892282344</c:v>
                </c:pt>
                <c:pt idx="27">
                  <c:v>4119.0539722623525</c:v>
                </c:pt>
                <c:pt idx="28">
                  <c:v>4230.3797552964697</c:v>
                </c:pt>
                <c:pt idx="29">
                  <c:v>4341.7055383305878</c:v>
                </c:pt>
                <c:pt idx="30">
                  <c:v>4453.031321364705</c:v>
                </c:pt>
                <c:pt idx="31">
                  <c:v>4564.3571043988222</c:v>
                </c:pt>
                <c:pt idx="32">
                  <c:v>4675.6828874329403</c:v>
                </c:pt>
                <c:pt idx="33">
                  <c:v>4787.0086704670584</c:v>
                </c:pt>
                <c:pt idx="34">
                  <c:v>4898.3344535011756</c:v>
                </c:pt>
                <c:pt idx="35">
                  <c:v>5009.6602365352937</c:v>
                </c:pt>
                <c:pt idx="36">
                  <c:v>5120.9860195694109</c:v>
                </c:pt>
                <c:pt idx="37">
                  <c:v>5232.3118026035281</c:v>
                </c:pt>
                <c:pt idx="38">
                  <c:v>5343.6375856376462</c:v>
                </c:pt>
                <c:pt idx="39">
                  <c:v>5454.9633686717634</c:v>
                </c:pt>
                <c:pt idx="40">
                  <c:v>5566.2891517058815</c:v>
                </c:pt>
                <c:pt idx="41">
                  <c:v>5677.6149347399996</c:v>
                </c:pt>
                <c:pt idx="42">
                  <c:v>5788.9407177741168</c:v>
                </c:pt>
                <c:pt idx="43">
                  <c:v>5900.2665008082349</c:v>
                </c:pt>
                <c:pt idx="44">
                  <c:v>6011.5922838423521</c:v>
                </c:pt>
                <c:pt idx="45">
                  <c:v>6122.9180668764702</c:v>
                </c:pt>
                <c:pt idx="46">
                  <c:v>6234.2438499105883</c:v>
                </c:pt>
                <c:pt idx="47">
                  <c:v>6345.5696329447046</c:v>
                </c:pt>
                <c:pt idx="48">
                  <c:v>6456.8954159788218</c:v>
                </c:pt>
                <c:pt idx="49">
                  <c:v>6568.2211990129399</c:v>
                </c:pt>
                <c:pt idx="50">
                  <c:v>6679.546982047058</c:v>
                </c:pt>
              </c:numCache>
            </c:numRef>
          </c:xVal>
          <c:yVal>
            <c:numRef>
              <c:f>Plot_Data!$F$5:$F$55</c:f>
              <c:numCache>
                <c:formatCode>0.000</c:formatCode>
                <c:ptCount val="51"/>
                <c:pt idx="0">
                  <c:v>0.21104328049055099</c:v>
                </c:pt>
                <c:pt idx="1">
                  <c:v>0.21104328049055099</c:v>
                </c:pt>
                <c:pt idx="2">
                  <c:v>0.21104328049055099</c:v>
                </c:pt>
                <c:pt idx="3">
                  <c:v>0.21104328049055099</c:v>
                </c:pt>
                <c:pt idx="4">
                  <c:v>0.21104328049055099</c:v>
                </c:pt>
                <c:pt idx="5">
                  <c:v>0.21104328049055099</c:v>
                </c:pt>
                <c:pt idx="6">
                  <c:v>0.21104328049055099</c:v>
                </c:pt>
                <c:pt idx="7">
                  <c:v>0.21104328049055099</c:v>
                </c:pt>
                <c:pt idx="8">
                  <c:v>0.21104328049055099</c:v>
                </c:pt>
                <c:pt idx="9">
                  <c:v>0.21104328049055099</c:v>
                </c:pt>
                <c:pt idx="10">
                  <c:v>0.21104328049055099</c:v>
                </c:pt>
                <c:pt idx="11">
                  <c:v>0.21104328049055099</c:v>
                </c:pt>
                <c:pt idx="12">
                  <c:v>0.21104328049055099</c:v>
                </c:pt>
                <c:pt idx="13">
                  <c:v>0.21104328049055099</c:v>
                </c:pt>
                <c:pt idx="14">
                  <c:v>0.21104328049055099</c:v>
                </c:pt>
                <c:pt idx="15">
                  <c:v>0.21104328049055099</c:v>
                </c:pt>
                <c:pt idx="16">
                  <c:v>0.21104328049055099</c:v>
                </c:pt>
                <c:pt idx="17">
                  <c:v>0.21104328049055099</c:v>
                </c:pt>
                <c:pt idx="18">
                  <c:v>0.21104328049055099</c:v>
                </c:pt>
                <c:pt idx="19">
                  <c:v>0.21104328049055099</c:v>
                </c:pt>
                <c:pt idx="20">
                  <c:v>0.21104328049055099</c:v>
                </c:pt>
                <c:pt idx="21">
                  <c:v>0.21104328049055099</c:v>
                </c:pt>
                <c:pt idx="22">
                  <c:v>0.21104328049055099</c:v>
                </c:pt>
                <c:pt idx="23">
                  <c:v>0.21104328049055099</c:v>
                </c:pt>
                <c:pt idx="24">
                  <c:v>0.21104328049055099</c:v>
                </c:pt>
                <c:pt idx="25">
                  <c:v>0.21104328049055099</c:v>
                </c:pt>
                <c:pt idx="26">
                  <c:v>0.21104328049055099</c:v>
                </c:pt>
                <c:pt idx="27">
                  <c:v>0.21104328049055099</c:v>
                </c:pt>
                <c:pt idx="28">
                  <c:v>0.21104328049055099</c:v>
                </c:pt>
                <c:pt idx="29">
                  <c:v>0.21104328049055099</c:v>
                </c:pt>
                <c:pt idx="30">
                  <c:v>0.21104328049055099</c:v>
                </c:pt>
                <c:pt idx="31">
                  <c:v>0.21104328049055099</c:v>
                </c:pt>
                <c:pt idx="32">
                  <c:v>0.21104328049055099</c:v>
                </c:pt>
                <c:pt idx="33">
                  <c:v>0.21104328049055099</c:v>
                </c:pt>
                <c:pt idx="34">
                  <c:v>0.21104328049055099</c:v>
                </c:pt>
                <c:pt idx="35">
                  <c:v>0.21104328049055099</c:v>
                </c:pt>
                <c:pt idx="36">
                  <c:v>0.21104328049055099</c:v>
                </c:pt>
                <c:pt idx="37">
                  <c:v>0.21104328049055099</c:v>
                </c:pt>
                <c:pt idx="38">
                  <c:v>0.21104328049055099</c:v>
                </c:pt>
                <c:pt idx="39">
                  <c:v>0.21104328049055099</c:v>
                </c:pt>
                <c:pt idx="40">
                  <c:v>0.21104328049055099</c:v>
                </c:pt>
                <c:pt idx="41">
                  <c:v>0.21104328049055099</c:v>
                </c:pt>
                <c:pt idx="42">
                  <c:v>0.21104328049055099</c:v>
                </c:pt>
                <c:pt idx="43">
                  <c:v>0.21104328049055099</c:v>
                </c:pt>
                <c:pt idx="44">
                  <c:v>0.21104328049055099</c:v>
                </c:pt>
                <c:pt idx="45">
                  <c:v>0.21104328049055099</c:v>
                </c:pt>
                <c:pt idx="46">
                  <c:v>0.21104328049055099</c:v>
                </c:pt>
                <c:pt idx="47">
                  <c:v>0.21104328049055099</c:v>
                </c:pt>
                <c:pt idx="48">
                  <c:v>0.21104328049055099</c:v>
                </c:pt>
                <c:pt idx="49">
                  <c:v>0.21104328049055099</c:v>
                </c:pt>
                <c:pt idx="50">
                  <c:v>0.21104328049055099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4A3-4F86-80BF-DA9D75EE65B0}"/>
            </c:ext>
          </c:extLst>
        </c:ser>
        <c:ser>
          <c:idx val="3"/>
          <c:order val="3"/>
          <c:tx>
            <c:v>Cruise</c:v>
          </c:tx>
          <c:spPr>
            <a:ln w="22000">
              <a:solidFill>
                <a:srgbClr val="0070C0"/>
              </a:solidFill>
              <a:prstDash val="solid"/>
            </a:ln>
          </c:spPr>
          <c:marker>
            <c:symbol val="none"/>
          </c:marker>
          <c:xVal>
            <c:numRef>
              <c:f>Plot_Data!$B$5:$B$55</c:f>
              <c:numCache>
                <c:formatCode>#,##0</c:formatCode>
                <c:ptCount val="51"/>
                <c:pt idx="0">
                  <c:v>1113.2578303411763</c:v>
                </c:pt>
                <c:pt idx="1">
                  <c:v>1224.5836133752939</c:v>
                </c:pt>
                <c:pt idx="2">
                  <c:v>1335.9093964094116</c:v>
                </c:pt>
                <c:pt idx="3">
                  <c:v>1447.2351794435292</c:v>
                </c:pt>
                <c:pt idx="4">
                  <c:v>1558.5609624776471</c:v>
                </c:pt>
                <c:pt idx="5">
                  <c:v>1669.8867455117645</c:v>
                </c:pt>
                <c:pt idx="6">
                  <c:v>1781.2125285458822</c:v>
                </c:pt>
                <c:pt idx="7">
                  <c:v>1892.5383115799998</c:v>
                </c:pt>
                <c:pt idx="8">
                  <c:v>2003.8640946141172</c:v>
                </c:pt>
                <c:pt idx="9">
                  <c:v>2115.1898776482349</c:v>
                </c:pt>
                <c:pt idx="10">
                  <c:v>2226.5156606823525</c:v>
                </c:pt>
                <c:pt idx="11">
                  <c:v>2337.8414437164702</c:v>
                </c:pt>
                <c:pt idx="12">
                  <c:v>2449.1672267505878</c:v>
                </c:pt>
                <c:pt idx="13">
                  <c:v>2560.4930097847055</c:v>
                </c:pt>
                <c:pt idx="14">
                  <c:v>2671.8187928188231</c:v>
                </c:pt>
                <c:pt idx="15">
                  <c:v>2783.1445758529408</c:v>
                </c:pt>
                <c:pt idx="16">
                  <c:v>2894.4703588870584</c:v>
                </c:pt>
                <c:pt idx="17">
                  <c:v>3005.7961419211761</c:v>
                </c:pt>
                <c:pt idx="18">
                  <c:v>3117.1219249552942</c:v>
                </c:pt>
                <c:pt idx="19">
                  <c:v>3228.4477079894109</c:v>
                </c:pt>
                <c:pt idx="20">
                  <c:v>3339.773491023529</c:v>
                </c:pt>
                <c:pt idx="21">
                  <c:v>3451.0992740576467</c:v>
                </c:pt>
                <c:pt idx="22">
                  <c:v>3562.4250570917643</c:v>
                </c:pt>
                <c:pt idx="23">
                  <c:v>3673.750840125882</c:v>
                </c:pt>
                <c:pt idx="24">
                  <c:v>3785.0766231599996</c:v>
                </c:pt>
                <c:pt idx="25">
                  <c:v>3896.4024061941168</c:v>
                </c:pt>
                <c:pt idx="26">
                  <c:v>4007.7281892282344</c:v>
                </c:pt>
                <c:pt idx="27">
                  <c:v>4119.0539722623525</c:v>
                </c:pt>
                <c:pt idx="28">
                  <c:v>4230.3797552964697</c:v>
                </c:pt>
                <c:pt idx="29">
                  <c:v>4341.7055383305878</c:v>
                </c:pt>
                <c:pt idx="30">
                  <c:v>4453.031321364705</c:v>
                </c:pt>
                <c:pt idx="31">
                  <c:v>4564.3571043988222</c:v>
                </c:pt>
                <c:pt idx="32">
                  <c:v>4675.6828874329403</c:v>
                </c:pt>
                <c:pt idx="33">
                  <c:v>4787.0086704670584</c:v>
                </c:pt>
                <c:pt idx="34">
                  <c:v>4898.3344535011756</c:v>
                </c:pt>
                <c:pt idx="35">
                  <c:v>5009.6602365352937</c:v>
                </c:pt>
                <c:pt idx="36">
                  <c:v>5120.9860195694109</c:v>
                </c:pt>
                <c:pt idx="37">
                  <c:v>5232.3118026035281</c:v>
                </c:pt>
                <c:pt idx="38">
                  <c:v>5343.6375856376462</c:v>
                </c:pt>
                <c:pt idx="39">
                  <c:v>5454.9633686717634</c:v>
                </c:pt>
                <c:pt idx="40">
                  <c:v>5566.2891517058815</c:v>
                </c:pt>
                <c:pt idx="41">
                  <c:v>5677.6149347399996</c:v>
                </c:pt>
                <c:pt idx="42">
                  <c:v>5788.9407177741168</c:v>
                </c:pt>
                <c:pt idx="43">
                  <c:v>5900.2665008082349</c:v>
                </c:pt>
                <c:pt idx="44">
                  <c:v>6011.5922838423521</c:v>
                </c:pt>
                <c:pt idx="45">
                  <c:v>6122.9180668764702</c:v>
                </c:pt>
                <c:pt idx="46">
                  <c:v>6234.2438499105883</c:v>
                </c:pt>
                <c:pt idx="47">
                  <c:v>6345.5696329447046</c:v>
                </c:pt>
                <c:pt idx="48">
                  <c:v>6456.8954159788218</c:v>
                </c:pt>
                <c:pt idx="49">
                  <c:v>6568.2211990129399</c:v>
                </c:pt>
                <c:pt idx="50">
                  <c:v>6679.546982047058</c:v>
                </c:pt>
              </c:numCache>
            </c:numRef>
          </c:xVal>
          <c:yVal>
            <c:numRef>
              <c:f>Plot_Data!$G$5:$G$55</c:f>
              <c:numCache>
                <c:formatCode>0.000</c:formatCode>
                <c:ptCount val="51"/>
                <c:pt idx="0">
                  <c:v>0.79248732034143488</c:v>
                </c:pt>
                <c:pt idx="1">
                  <c:v>0.72649434809411528</c:v>
                </c:pt>
                <c:pt idx="2">
                  <c:v>0.67180831873379998</c:v>
                </c:pt>
                <c:pt idx="3">
                  <c:v>0.62581993774810363</c:v>
                </c:pt>
                <c:pt idx="4">
                  <c:v>0.58666542334246452</c:v>
                </c:pt>
                <c:pt idx="5">
                  <c:v>0.55297800220087157</c:v>
                </c:pt>
                <c:pt idx="6">
                  <c:v>0.52373259433631614</c:v>
                </c:pt>
                <c:pt idx="7">
                  <c:v>0.49814531505285026</c:v>
                </c:pt>
                <c:pt idx="8">
                  <c:v>0.47560647625362568</c:v>
                </c:pt>
                <c:pt idx="9">
                  <c:v>0.45563474523060438</c:v>
                </c:pt>
                <c:pt idx="10">
                  <c:v>0.43784505581735589</c:v>
                </c:pt>
                <c:pt idx="11">
                  <c:v>0.42192568778391248</c:v>
                </c:pt>
                <c:pt idx="12">
                  <c:v>0.40762159730575548</c:v>
                </c:pt>
                <c:pt idx="13">
                  <c:v>0.39472209600610836</c:v>
                </c:pt>
                <c:pt idx="14">
                  <c:v>0.38305161023765727</c:v>
                </c:pt>
                <c:pt idx="15">
                  <c:v>0.37246265813665885</c:v>
                </c:pt>
                <c:pt idx="16">
                  <c:v>0.36283044735686848</c:v>
                </c:pt>
                <c:pt idx="17">
                  <c:v>0.35404867330704082</c:v>
                </c:pt>
                <c:pt idx="18">
                  <c:v>0.34602621776610837</c:v>
                </c:pt>
                <c:pt idx="19">
                  <c:v>0.33868453054349595</c:v>
                </c:pt>
                <c:pt idx="20">
                  <c:v>0.33195553480737133</c:v>
                </c:pt>
                <c:pt idx="21">
                  <c:v>0.32577993783323583</c:v>
                </c:pt>
                <c:pt idx="22">
                  <c:v>0.32010585848715295</c:v>
                </c:pt>
                <c:pt idx="23">
                  <c:v>0.31488770425748153</c:v>
                </c:pt>
                <c:pt idx="24">
                  <c:v>0.31008524645747942</c:v>
                </c:pt>
                <c:pt idx="25">
                  <c:v>0.30566285396460346</c:v>
                </c:pt>
                <c:pt idx="26">
                  <c:v>0.30158885466992652</c:v>
                </c:pt>
                <c:pt idx="27">
                  <c:v>0.29783500047629735</c:v>
                </c:pt>
                <c:pt idx="28">
                  <c:v>0.29437601677047526</c:v>
                </c:pt>
                <c:pt idx="29">
                  <c:v>0.29118922120724439</c:v>
                </c:pt>
                <c:pt idx="30">
                  <c:v>0.28825419967591043</c:v>
                </c:pt>
                <c:pt idx="31">
                  <c:v>0.28555252968633443</c:v>
                </c:pt>
                <c:pt idx="32">
                  <c:v>0.28306754327124817</c:v>
                </c:pt>
                <c:pt idx="33">
                  <c:v>0.28078412297196614</c:v>
                </c:pt>
                <c:pt idx="34">
                  <c:v>0.27868852564422902</c:v>
                </c:pt>
                <c:pt idx="35">
                  <c:v>0.27676822975660054</c:v>
                </c:pt>
                <c:pt idx="36">
                  <c:v>0.27501180260646485</c:v>
                </c:pt>
                <c:pt idx="37">
                  <c:v>0.27340878448717354</c:v>
                </c:pt>
                <c:pt idx="38">
                  <c:v>0.27194958733429869</c:v>
                </c:pt>
                <c:pt idx="39">
                  <c:v>0.27062540578254968</c:v>
                </c:pt>
                <c:pt idx="40">
                  <c:v>0.26942813889585887</c:v>
                </c:pt>
                <c:pt idx="41">
                  <c:v>0.26835032110569351</c:v>
                </c:pt>
                <c:pt idx="42">
                  <c:v>0.26738506111802313</c:v>
                </c:pt>
                <c:pt idx="43">
                  <c:v>0.26652598773648017</c:v>
                </c:pt>
                <c:pt idx="44">
                  <c:v>0.26576720170516865</c:v>
                </c:pt>
                <c:pt idx="45">
                  <c:v>0.2651032328049851</c:v>
                </c:pt>
                <c:pt idx="46">
                  <c:v>0.2645290015467619</c:v>
                </c:pt>
                <c:pt idx="47">
                  <c:v>0.26403978489671159</c:v>
                </c:pt>
                <c:pt idx="48">
                  <c:v>0.26363118554751502</c:v>
                </c:pt>
                <c:pt idx="49">
                  <c:v>0.26329910431438291</c:v>
                </c:pt>
                <c:pt idx="50">
                  <c:v>0.2630397152915121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4A3-4F86-80BF-DA9D75EE65B0}"/>
            </c:ext>
          </c:extLst>
        </c:ser>
        <c:ser>
          <c:idx val="4"/>
          <c:order val="4"/>
          <c:tx>
            <c:v>Landing field length (max W/S)</c:v>
          </c:tx>
          <c:spPr>
            <a:ln w="22000">
              <a:solidFill>
                <a:srgbClr val="00B050"/>
              </a:solidFill>
              <a:prstDash val="solid"/>
            </a:ln>
          </c:spPr>
          <c:marker>
            <c:symbol val="none"/>
          </c:marker>
          <c:xVal>
            <c:numRef>
              <c:f>Plot_Data!$K$5:$K$6</c:f>
              <c:numCache>
                <c:formatCode>0.000</c:formatCode>
                <c:ptCount val="2"/>
                <c:pt idx="0">
                  <c:v>5566.2891517058815</c:v>
                </c:pt>
                <c:pt idx="1">
                  <c:v>5566.2891517058815</c:v>
                </c:pt>
              </c:numCache>
            </c:numRef>
          </c:xVal>
          <c:yVal>
            <c:numRef>
              <c:f>Plot_Data!$L$5:$L$6</c:f>
              <c:numCache>
                <c:formatCode>0.000</c:formatCode>
                <c:ptCount val="2"/>
                <c:pt idx="0">
                  <c:v>0</c:v>
                </c:pt>
                <c:pt idx="1">
                  <c:v>0.8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4A3-4F86-80BF-DA9D75EE65B0}"/>
            </c:ext>
          </c:extLst>
        </c:ser>
        <c:ser>
          <c:idx val="5"/>
          <c:order val="5"/>
          <c:spPr>
            <a:ln w="120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Plot_Data!$K$12:$K$14</c:f>
              <c:numCache>
                <c:formatCode>0.000</c:formatCode>
                <c:ptCount val="3"/>
                <c:pt idx="0">
                  <c:v>5281.0084699453055</c:v>
                </c:pt>
                <c:pt idx="1">
                  <c:v>5281.0084699453055</c:v>
                </c:pt>
                <c:pt idx="2">
                  <c:v>0</c:v>
                </c:pt>
              </c:numCache>
            </c:numRef>
          </c:xVal>
          <c:yVal>
            <c:numRef>
              <c:f>Plot_Data!$L$12:$L$14</c:f>
              <c:numCache>
                <c:formatCode>0.000</c:formatCode>
                <c:ptCount val="3"/>
                <c:pt idx="0">
                  <c:v>0</c:v>
                </c:pt>
                <c:pt idx="1">
                  <c:v>0.27275333551870468</c:v>
                </c:pt>
                <c:pt idx="2">
                  <c:v>0.27275333551870468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4A3-4F86-80BF-DA9D75EE65B0}"/>
            </c:ext>
          </c:extLst>
        </c:ser>
        <c:ser>
          <c:idx val="6"/>
          <c:order val="6"/>
          <c:tx>
            <c:strRef>
              <c:f>Plot_Data!$BK$20</c:f>
              <c:strCache>
                <c:ptCount val="1"/>
                <c:pt idx="0">
                  <c:v>Optimised design point: W/S = 5281 N/m2, T/W = 0.273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diamond"/>
            <c:size val="12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Plot_Data!$K$9</c:f>
              <c:numCache>
                <c:formatCode>0.000</c:formatCode>
                <c:ptCount val="1"/>
                <c:pt idx="0">
                  <c:v>5281.0084699453055</c:v>
                </c:pt>
              </c:numCache>
            </c:numRef>
          </c:xVal>
          <c:yVal>
            <c:numRef>
              <c:f>Plot_Data!$L$9</c:f>
              <c:numCache>
                <c:formatCode>0.000</c:formatCode>
                <c:ptCount val="1"/>
                <c:pt idx="0">
                  <c:v>0.27275333551870468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4A3-4F86-80BF-DA9D75EE65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Wing loading W/S (N/m2)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low"/>
        <c:crossAx val="20"/>
        <c:crosses val="autoZero"/>
        <c:crossBetween val="midCat"/>
      </c:valAx>
      <c:valAx>
        <c:axId val="20"/>
        <c:scaling>
          <c:orientation val="minMax"/>
          <c:max val="0.8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Thrust-to-weight T/W (sea-level static)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low"/>
        <c:crossAx val="10"/>
        <c:crosses val="autoZero"/>
        <c:crossBetween val="midCat"/>
      </c:valAx>
    </c:plotArea>
    <c:legend>
      <c:legendPos val="r"/>
      <c:legendEntry>
        <c:idx val="5"/>
        <c:delete val="1"/>
      </c:legendEntry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Top view - wing, tail, engine and seat placement (to scale)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0000000000000007E-2"/>
          <c:y val="0.09"/>
          <c:w val="0.54923076923076919"/>
          <c:h val="0.84"/>
        </c:manualLayout>
      </c:layout>
      <c:scatterChart>
        <c:scatterStyle val="lineMarker"/>
        <c:varyColors val="0"/>
        <c:ser>
          <c:idx val="0"/>
          <c:order val="0"/>
          <c:spPr>
            <a:ln>
              <a:noFill/>
              <a:prstDash val="solid"/>
            </a:ln>
          </c:spPr>
          <c:marker>
            <c:symbol val="none"/>
          </c:marker>
          <c:xVal>
            <c:numRef>
              <c:f>Plot_Data!$AS$5:$AS$6</c:f>
              <c:numCache>
                <c:formatCode>0.000</c:formatCode>
                <c:ptCount val="2"/>
                <c:pt idx="0">
                  <c:v>-19.591528</c:v>
                </c:pt>
                <c:pt idx="1">
                  <c:v>19.591528</c:v>
                </c:pt>
              </c:numCache>
            </c:numRef>
          </c:xVal>
          <c:yVal>
            <c:numRef>
              <c:f>Plot_Data!$AT$5:$AT$6</c:f>
              <c:numCache>
                <c:formatCode>0.000</c:formatCode>
                <c:ptCount val="2"/>
                <c:pt idx="0">
                  <c:v>-19.591528</c:v>
                </c:pt>
                <c:pt idx="1">
                  <c:v>19.591528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E4-44A4-8C34-7A5854153BC9}"/>
            </c:ext>
          </c:extLst>
        </c:ser>
        <c:ser>
          <c:idx val="1"/>
          <c:order val="1"/>
          <c:tx>
            <c:strRef>
              <c:f>Plot_Data!$BK$5</c:f>
              <c:strCache>
                <c:ptCount val="1"/>
                <c:pt idx="0">
                  <c:v>Fuselage: L = 35.6 m, d = 3.98 m</c:v>
                </c:pt>
              </c:strCache>
            </c:strRef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xVal>
            <c:numRef>
              <c:f>Plot_Data!$X$5:$X$43</c:f>
              <c:numCache>
                <c:formatCode>0.000</c:formatCode>
                <c:ptCount val="39"/>
                <c:pt idx="0">
                  <c:v>-17.810479999999998</c:v>
                </c:pt>
                <c:pt idx="1">
                  <c:v>-17.73048</c:v>
                </c:pt>
                <c:pt idx="2">
                  <c:v>-17.530479999999997</c:v>
                </c:pt>
                <c:pt idx="3">
                  <c:v>-17.210479999999997</c:v>
                </c:pt>
                <c:pt idx="4">
                  <c:v>-16.610479999999999</c:v>
                </c:pt>
                <c:pt idx="5">
                  <c:v>-16.010479999999998</c:v>
                </c:pt>
                <c:pt idx="6">
                  <c:v>-15.410479999999998</c:v>
                </c:pt>
                <c:pt idx="7">
                  <c:v>-14.610479999999999</c:v>
                </c:pt>
                <c:pt idx="8">
                  <c:v>-13.810479999999998</c:v>
                </c:pt>
                <c:pt idx="9">
                  <c:v>-5.3938133333333411</c:v>
                </c:pt>
                <c:pt idx="10">
                  <c:v>3.0228533333333161</c:v>
                </c:pt>
                <c:pt idx="11">
                  <c:v>11.439519999999998</c:v>
                </c:pt>
                <c:pt idx="12">
                  <c:v>12.395163999999998</c:v>
                </c:pt>
                <c:pt idx="13">
                  <c:v>13.350807999999997</c:v>
                </c:pt>
                <c:pt idx="14">
                  <c:v>14.306452</c:v>
                </c:pt>
                <c:pt idx="15">
                  <c:v>15.262096</c:v>
                </c:pt>
                <c:pt idx="16">
                  <c:v>16.217739999999999</c:v>
                </c:pt>
                <c:pt idx="17">
                  <c:v>17.173383999999999</c:v>
                </c:pt>
                <c:pt idx="18">
                  <c:v>17.810479999999998</c:v>
                </c:pt>
                <c:pt idx="19">
                  <c:v>17.810479999999998</c:v>
                </c:pt>
                <c:pt idx="20">
                  <c:v>17.173383999999999</c:v>
                </c:pt>
                <c:pt idx="21">
                  <c:v>16.217739999999999</c:v>
                </c:pt>
                <c:pt idx="22">
                  <c:v>15.262096</c:v>
                </c:pt>
                <c:pt idx="23">
                  <c:v>14.306452</c:v>
                </c:pt>
                <c:pt idx="24">
                  <c:v>13.350807999999997</c:v>
                </c:pt>
                <c:pt idx="25">
                  <c:v>12.395163999999998</c:v>
                </c:pt>
                <c:pt idx="26">
                  <c:v>11.439519999999998</c:v>
                </c:pt>
                <c:pt idx="27">
                  <c:v>3.0228533333333161</c:v>
                </c:pt>
                <c:pt idx="28">
                  <c:v>-5.3938133333333411</c:v>
                </c:pt>
                <c:pt idx="29">
                  <c:v>-13.810479999999998</c:v>
                </c:pt>
                <c:pt idx="30">
                  <c:v>-14.610479999999999</c:v>
                </c:pt>
                <c:pt idx="31">
                  <c:v>-15.410479999999998</c:v>
                </c:pt>
                <c:pt idx="32">
                  <c:v>-16.010479999999998</c:v>
                </c:pt>
                <c:pt idx="33">
                  <c:v>-16.610479999999999</c:v>
                </c:pt>
                <c:pt idx="34">
                  <c:v>-17.210479999999997</c:v>
                </c:pt>
                <c:pt idx="35">
                  <c:v>-17.530479999999997</c:v>
                </c:pt>
                <c:pt idx="36">
                  <c:v>-17.73048</c:v>
                </c:pt>
                <c:pt idx="37">
                  <c:v>-17.810479999999998</c:v>
                </c:pt>
                <c:pt idx="38">
                  <c:v>-17.810479999999998</c:v>
                </c:pt>
              </c:numCache>
            </c:numRef>
          </c:xVal>
          <c:yVal>
            <c:numRef>
              <c:f>Plot_Data!$Z$5:$Z$43</c:f>
              <c:numCache>
                <c:formatCode>0.000</c:formatCode>
                <c:ptCount val="39"/>
                <c:pt idx="0">
                  <c:v>0</c:v>
                </c:pt>
                <c:pt idx="1">
                  <c:v>0.39618907264429987</c:v>
                </c:pt>
                <c:pt idx="2">
                  <c:v>0.73178343534473222</c:v>
                </c:pt>
                <c:pt idx="3">
                  <c:v>1.048784822394917</c:v>
                </c:pt>
                <c:pt idx="4">
                  <c:v>1.4218048394096672</c:v>
                </c:pt>
                <c:pt idx="5">
                  <c:v>1.662750189610104</c:v>
                </c:pt>
                <c:pt idx="6">
                  <c:v>1.824712903095991</c:v>
                </c:pt>
                <c:pt idx="7">
                  <c:v>1.9507001464602394</c:v>
                </c:pt>
                <c:pt idx="8">
                  <c:v>1.9909249999999998</c:v>
                </c:pt>
                <c:pt idx="9">
                  <c:v>1.9909249999999998</c:v>
                </c:pt>
                <c:pt idx="10">
                  <c:v>1.9909249999999998</c:v>
                </c:pt>
                <c:pt idx="11">
                  <c:v>1.9909249999999998</c:v>
                </c:pt>
                <c:pt idx="12">
                  <c:v>1.8421752621635212</c:v>
                </c:pt>
                <c:pt idx="13">
                  <c:v>1.6246601825521971</c:v>
                </c:pt>
                <c:pt idx="14">
                  <c:v>1.370464926274489</c:v>
                </c:pt>
                <c:pt idx="15">
                  <c:v>1.0890752323886836</c:v>
                </c:pt>
                <c:pt idx="16">
                  <c:v>0.78556378059496024</c:v>
                </c:pt>
                <c:pt idx="17">
                  <c:v>0.46317309305852405</c:v>
                </c:pt>
                <c:pt idx="18">
                  <c:v>0.23891099999999998</c:v>
                </c:pt>
                <c:pt idx="19">
                  <c:v>-0.23891099999999998</c:v>
                </c:pt>
                <c:pt idx="20">
                  <c:v>-0.46317309305852405</c:v>
                </c:pt>
                <c:pt idx="21">
                  <c:v>-0.78556378059496024</c:v>
                </c:pt>
                <c:pt idx="22">
                  <c:v>-1.0890752323886836</c:v>
                </c:pt>
                <c:pt idx="23">
                  <c:v>-1.370464926274489</c:v>
                </c:pt>
                <c:pt idx="24">
                  <c:v>-1.6246601825521971</c:v>
                </c:pt>
                <c:pt idx="25">
                  <c:v>-1.8421752621635212</c:v>
                </c:pt>
                <c:pt idx="26">
                  <c:v>-1.9909249999999998</c:v>
                </c:pt>
                <c:pt idx="27">
                  <c:v>-1.9909249999999998</c:v>
                </c:pt>
                <c:pt idx="28">
                  <c:v>-1.9909249999999998</c:v>
                </c:pt>
                <c:pt idx="29">
                  <c:v>-1.9909249999999998</c:v>
                </c:pt>
                <c:pt idx="30">
                  <c:v>-1.9507001464602394</c:v>
                </c:pt>
                <c:pt idx="31">
                  <c:v>-1.824712903095991</c:v>
                </c:pt>
                <c:pt idx="32">
                  <c:v>-1.662750189610104</c:v>
                </c:pt>
                <c:pt idx="33">
                  <c:v>-1.4218048394096672</c:v>
                </c:pt>
                <c:pt idx="34">
                  <c:v>-1.048784822394917</c:v>
                </c:pt>
                <c:pt idx="35">
                  <c:v>-0.73178343534473222</c:v>
                </c:pt>
                <c:pt idx="36">
                  <c:v>-0.39618907264429987</c:v>
                </c:pt>
                <c:pt idx="37">
                  <c:v>0</c:v>
                </c:pt>
                <c:pt idx="3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E4-44A4-8C34-7A5854153BC9}"/>
            </c:ext>
          </c:extLst>
        </c:ser>
        <c:ser>
          <c:idx val="2"/>
          <c:order val="2"/>
          <c:tx>
            <c:strRef>
              <c:f>Plot_Data!$BK$6</c:f>
              <c:strCache>
                <c:ptCount val="1"/>
                <c:pt idx="0">
                  <c:v>Wing: S = 132.0 m2, b = 35.4 m, c/4 sweep 26 deg</c:v>
                </c:pt>
              </c:strCache>
            </c:strRef>
          </c:tx>
          <c:spPr>
            <a:ln w="22000">
              <a:solidFill>
                <a:srgbClr val="0070C0"/>
              </a:solidFill>
              <a:prstDash val="solid"/>
            </a:ln>
          </c:spPr>
          <c:marker>
            <c:symbol val="none"/>
          </c:marker>
          <c:xVal>
            <c:numRef>
              <c:f>Plot_Data!$AC$5:$AC$11</c:f>
              <c:numCache>
                <c:formatCode>0.000</c:formatCode>
                <c:ptCount val="7"/>
                <c:pt idx="0">
                  <c:v>-7.304846666540648</c:v>
                </c:pt>
                <c:pt idx="1">
                  <c:v>2.5154720114824372</c:v>
                </c:pt>
                <c:pt idx="2">
                  <c:v>4.0062695138737334</c:v>
                </c:pt>
                <c:pt idx="3">
                  <c:v>-1.3416566569754629</c:v>
                </c:pt>
                <c:pt idx="4">
                  <c:v>4.0062695138737334</c:v>
                </c:pt>
                <c:pt idx="5">
                  <c:v>2.5154720114824372</c:v>
                </c:pt>
                <c:pt idx="6">
                  <c:v>-7.304846666540648</c:v>
                </c:pt>
              </c:numCache>
            </c:numRef>
          </c:xVal>
          <c:yVal>
            <c:numRef>
              <c:f>Plot_Data!$AD$5:$AD$11</c:f>
              <c:numCache>
                <c:formatCode>0.000</c:formatCode>
                <c:ptCount val="7"/>
                <c:pt idx="0">
                  <c:v>0</c:v>
                </c:pt>
                <c:pt idx="1">
                  <c:v>17.703220340896646</c:v>
                </c:pt>
                <c:pt idx="2">
                  <c:v>17.703220340896646</c:v>
                </c:pt>
                <c:pt idx="3">
                  <c:v>0</c:v>
                </c:pt>
                <c:pt idx="4">
                  <c:v>-17.703220340896646</c:v>
                </c:pt>
                <c:pt idx="5">
                  <c:v>-17.703220340896646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1E4-44A4-8C34-7A5854153BC9}"/>
            </c:ext>
          </c:extLst>
        </c:ser>
        <c:ser>
          <c:idx val="3"/>
          <c:order val="3"/>
          <c:tx>
            <c:strRef>
              <c:f>Plot_Data!$BK$7</c:f>
              <c:strCache>
                <c:ptCount val="1"/>
                <c:pt idx="0">
                  <c:v>Horizontal tail: S = 34.4 m2, b = 12.4 m</c:v>
                </c:pt>
              </c:strCache>
            </c:strRef>
          </c:tx>
          <c:spPr>
            <a:ln w="22000">
              <a:solidFill>
                <a:srgbClr val="008080"/>
              </a:solidFill>
              <a:prstDash val="solid"/>
            </a:ln>
          </c:spPr>
          <c:marker>
            <c:symbol val="none"/>
          </c:marker>
          <c:xVal>
            <c:numRef>
              <c:f>Plot_Data!$AC$13:$AC$19</c:f>
              <c:numCache>
                <c:formatCode>0.000</c:formatCode>
                <c:ptCount val="7"/>
                <c:pt idx="0">
                  <c:v>11.164541131575625</c:v>
                </c:pt>
                <c:pt idx="1">
                  <c:v>15.36123581003578</c:v>
                </c:pt>
                <c:pt idx="2">
                  <c:v>16.940320560185818</c:v>
                </c:pt>
                <c:pt idx="3">
                  <c:v>15.112253006950716</c:v>
                </c:pt>
                <c:pt idx="4">
                  <c:v>16.940320560185818</c:v>
                </c:pt>
                <c:pt idx="5">
                  <c:v>15.36123581003578</c:v>
                </c:pt>
                <c:pt idx="6">
                  <c:v>11.164541131575625</c:v>
                </c:pt>
              </c:numCache>
            </c:numRef>
          </c:xVal>
          <c:yVal>
            <c:numRef>
              <c:f>Plot_Data!$AD$13:$AD$19</c:f>
              <c:numCache>
                <c:formatCode>0.000</c:formatCode>
                <c:ptCount val="7"/>
                <c:pt idx="0">
                  <c:v>0</c:v>
                </c:pt>
                <c:pt idx="1">
                  <c:v>6.2176462037157743</c:v>
                </c:pt>
                <c:pt idx="2">
                  <c:v>6.2176462037157743</c:v>
                </c:pt>
                <c:pt idx="3">
                  <c:v>0</c:v>
                </c:pt>
                <c:pt idx="4">
                  <c:v>-6.2176462037157743</c:v>
                </c:pt>
                <c:pt idx="5">
                  <c:v>-6.2176462037157743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1E4-44A4-8C34-7A5854153BC9}"/>
            </c:ext>
          </c:extLst>
        </c:ser>
        <c:ser>
          <c:idx val="4"/>
          <c:order val="4"/>
          <c:tx>
            <c:strRef>
              <c:f>Plot_Data!$BK$9</c:f>
              <c:strCache>
                <c:ptCount val="1"/>
                <c:pt idx="0">
                  <c:v>2 engines: 95 kN each, nacelle 4.3 x 2.2 m</c:v>
                </c:pt>
              </c:strCache>
            </c:strRef>
          </c:tx>
          <c:spPr>
            <a:ln w="22000">
              <a:solidFill>
                <a:srgbClr val="C00000"/>
              </a:solidFill>
              <a:prstDash val="solid"/>
            </a:ln>
          </c:spPr>
          <c:marker>
            <c:symbol val="none"/>
          </c:marker>
          <c:xVal>
            <c:numRef>
              <c:f>Plot_Data!$AL$5:$AL$9</c:f>
              <c:numCache>
                <c:formatCode>0.000</c:formatCode>
                <c:ptCount val="5"/>
                <c:pt idx="0">
                  <c:v>-7.4249768198019375</c:v>
                </c:pt>
                <c:pt idx="1">
                  <c:v>-3.1011786900655132</c:v>
                </c:pt>
                <c:pt idx="2">
                  <c:v>-3.1011786900655132</c:v>
                </c:pt>
                <c:pt idx="3">
                  <c:v>-7.4249768198019375</c:v>
                </c:pt>
                <c:pt idx="4">
                  <c:v>-7.4249768198019375</c:v>
                </c:pt>
              </c:numCache>
            </c:numRef>
          </c:xVal>
          <c:yVal>
            <c:numRef>
              <c:f>Plot_Data!$AM$5:$AM$9</c:f>
              <c:numCache>
                <c:formatCode>0.000</c:formatCode>
                <c:ptCount val="5"/>
                <c:pt idx="0">
                  <c:v>4.9027995806615046</c:v>
                </c:pt>
                <c:pt idx="1">
                  <c:v>4.9027995806615046</c:v>
                </c:pt>
                <c:pt idx="2">
                  <c:v>7.1353902511482161</c:v>
                </c:pt>
                <c:pt idx="3">
                  <c:v>7.1353902511482161</c:v>
                </c:pt>
                <c:pt idx="4">
                  <c:v>4.9027995806615046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1E4-44A4-8C34-7A5854153BC9}"/>
            </c:ext>
          </c:extLst>
        </c:ser>
        <c:ser>
          <c:idx val="5"/>
          <c:order val="5"/>
          <c:spPr>
            <a:ln w="22000">
              <a:solidFill>
                <a:srgbClr val="C00000"/>
              </a:solidFill>
              <a:prstDash val="solid"/>
            </a:ln>
          </c:spPr>
          <c:marker>
            <c:symbol val="none"/>
          </c:marker>
          <c:xVal>
            <c:numRef>
              <c:f>Plot_Data!$AL$11:$AL$15</c:f>
              <c:numCache>
                <c:formatCode>0.000</c:formatCode>
                <c:ptCount val="5"/>
                <c:pt idx="0">
                  <c:v>-7.4249768198019375</c:v>
                </c:pt>
                <c:pt idx="1">
                  <c:v>-3.1011786900655132</c:v>
                </c:pt>
                <c:pt idx="2">
                  <c:v>-3.1011786900655132</c:v>
                </c:pt>
                <c:pt idx="3">
                  <c:v>-7.4249768198019375</c:v>
                </c:pt>
                <c:pt idx="4">
                  <c:v>-7.4249768198019375</c:v>
                </c:pt>
              </c:numCache>
            </c:numRef>
          </c:xVal>
          <c:yVal>
            <c:numRef>
              <c:f>Plot_Data!$AM$11:$AM$15</c:f>
              <c:numCache>
                <c:formatCode>0.000</c:formatCode>
                <c:ptCount val="5"/>
                <c:pt idx="0">
                  <c:v>-7.1353902511482161</c:v>
                </c:pt>
                <c:pt idx="1">
                  <c:v>-7.1353902511482161</c:v>
                </c:pt>
                <c:pt idx="2">
                  <c:v>-4.9027995806615046</c:v>
                </c:pt>
                <c:pt idx="3">
                  <c:v>-4.9027995806615046</c:v>
                </c:pt>
                <c:pt idx="4">
                  <c:v>-7.1353902511482161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1E4-44A4-8C34-7A5854153BC9}"/>
            </c:ext>
          </c:extLst>
        </c:ser>
        <c:ser>
          <c:idx val="6"/>
          <c:order val="6"/>
          <c:spPr>
            <a:ln w="22000">
              <a:solidFill>
                <a:srgbClr val="C00000"/>
              </a:solidFill>
              <a:prstDash val="solid"/>
            </a:ln>
          </c:spPr>
          <c:marker>
            <c:symbol val="none"/>
          </c:marker>
          <c:xVal>
            <c:numRef>
              <c:f>Plot_Data!$AL$17:$AL$21</c:f>
              <c:numCache>
                <c:formatCode>0.000</c:formatCode>
                <c:ptCount val="5"/>
                <c:pt idx="0">
                  <c:v>-7.4249768198019375</c:v>
                </c:pt>
                <c:pt idx="1">
                  <c:v>-3.1011786900655132</c:v>
                </c:pt>
                <c:pt idx="2">
                  <c:v>-3.1011786900655132</c:v>
                </c:pt>
                <c:pt idx="3">
                  <c:v>-7.4249768198019375</c:v>
                </c:pt>
                <c:pt idx="4">
                  <c:v>-7.4249768198019375</c:v>
                </c:pt>
              </c:numCache>
            </c:numRef>
          </c:xVal>
          <c:yVal>
            <c:numRef>
              <c:f>Plot_Data!$AM$17:$AM$21</c:f>
              <c:numCache>
                <c:formatCode>0.000</c:formatCode>
                <c:ptCount val="5"/>
                <c:pt idx="0">
                  <c:v>4.9027995806615046</c:v>
                </c:pt>
                <c:pt idx="1">
                  <c:v>4.9027995806615046</c:v>
                </c:pt>
                <c:pt idx="2">
                  <c:v>7.1353902511482161</c:v>
                </c:pt>
                <c:pt idx="3">
                  <c:v>7.1353902511482161</c:v>
                </c:pt>
                <c:pt idx="4">
                  <c:v>4.9027995806615046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1E4-44A4-8C34-7A5854153BC9}"/>
            </c:ext>
          </c:extLst>
        </c:ser>
        <c:ser>
          <c:idx val="7"/>
          <c:order val="7"/>
          <c:spPr>
            <a:ln w="22000">
              <a:solidFill>
                <a:srgbClr val="C00000"/>
              </a:solidFill>
              <a:prstDash val="solid"/>
            </a:ln>
          </c:spPr>
          <c:marker>
            <c:symbol val="none"/>
          </c:marker>
          <c:xVal>
            <c:numRef>
              <c:f>Plot_Data!$AL$23:$AL$27</c:f>
              <c:numCache>
                <c:formatCode>0.000</c:formatCode>
                <c:ptCount val="5"/>
                <c:pt idx="0">
                  <c:v>-7.4249768198019375</c:v>
                </c:pt>
                <c:pt idx="1">
                  <c:v>-3.1011786900655132</c:v>
                </c:pt>
                <c:pt idx="2">
                  <c:v>-3.1011786900655132</c:v>
                </c:pt>
                <c:pt idx="3">
                  <c:v>-7.4249768198019375</c:v>
                </c:pt>
                <c:pt idx="4">
                  <c:v>-7.4249768198019375</c:v>
                </c:pt>
              </c:numCache>
            </c:numRef>
          </c:xVal>
          <c:yVal>
            <c:numRef>
              <c:f>Plot_Data!$AM$23:$AM$27</c:f>
              <c:numCache>
                <c:formatCode>0.000</c:formatCode>
                <c:ptCount val="5"/>
                <c:pt idx="0">
                  <c:v>-7.1353902511482161</c:v>
                </c:pt>
                <c:pt idx="1">
                  <c:v>-7.1353902511482161</c:v>
                </c:pt>
                <c:pt idx="2">
                  <c:v>-4.9027995806615046</c:v>
                </c:pt>
                <c:pt idx="3">
                  <c:v>-4.9027995806615046</c:v>
                </c:pt>
                <c:pt idx="4">
                  <c:v>-7.1353902511482161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1E4-44A4-8C34-7A5854153BC9}"/>
            </c:ext>
          </c:extLst>
        </c:ser>
        <c:ser>
          <c:idx val="8"/>
          <c:order val="8"/>
          <c:tx>
            <c:strRef>
              <c:f>Plot_Data!$BK$12</c:f>
              <c:strCache>
                <c:ptCount val="1"/>
                <c:pt idx="0">
                  <c:v>Economy: 150 seats: 6 abreast x 25 rows, seat 0.53 m wide, pitch 0.81 m</c:v>
                </c:pt>
              </c:strCache>
            </c:strRef>
          </c:tx>
          <c:spPr>
            <a:ln w="5000">
              <a:solidFill>
                <a:srgbClr val="ED7D31"/>
              </a:solidFill>
              <a:prstDash val="solid"/>
            </a:ln>
          </c:spPr>
          <c:marker>
            <c:symbol val="none"/>
          </c:marker>
          <c:xVal>
            <c:numRef>
              <c:f>Plot_Data!$BO$5:$BO$4822</c:f>
              <c:numCache>
                <c:formatCode>0.000</c:formatCode>
                <c:ptCount val="4818"/>
                <c:pt idx="0">
                  <c:v>-11.148479999999999</c:v>
                </c:pt>
                <c:pt idx="1">
                  <c:v>-11.148479999999999</c:v>
                </c:pt>
                <c:pt idx="2">
                  <c:v>-11.310479999999998</c:v>
                </c:pt>
                <c:pt idx="3">
                  <c:v>-10.500479999999998</c:v>
                </c:pt>
                <c:pt idx="4">
                  <c:v>-10.662479999999999</c:v>
                </c:pt>
                <c:pt idx="5">
                  <c:v>-10.662479999999999</c:v>
                </c:pt>
                <c:pt idx="6">
                  <c:v>-11.148479999999999</c:v>
                </c:pt>
                <c:pt idx="7">
                  <c:v>-10.500479999999998</c:v>
                </c:pt>
                <c:pt idx="8">
                  <c:v>-10.338479999999997</c:v>
                </c:pt>
                <c:pt idx="9">
                  <c:v>-10.338479999999997</c:v>
                </c:pt>
                <c:pt idx="10">
                  <c:v>-10.500479999999998</c:v>
                </c:pt>
                <c:pt idx="11">
                  <c:v>-9.6904799999999973</c:v>
                </c:pt>
                <c:pt idx="12">
                  <c:v>-9.8524799999999981</c:v>
                </c:pt>
                <c:pt idx="13">
                  <c:v>-9.8524799999999981</c:v>
                </c:pt>
                <c:pt idx="14">
                  <c:v>-10.338479999999997</c:v>
                </c:pt>
                <c:pt idx="15">
                  <c:v>-9.6904799999999973</c:v>
                </c:pt>
                <c:pt idx="16">
                  <c:v>-9.5284799999999965</c:v>
                </c:pt>
                <c:pt idx="17">
                  <c:v>-9.5284799999999965</c:v>
                </c:pt>
                <c:pt idx="18">
                  <c:v>-9.6904799999999973</c:v>
                </c:pt>
                <c:pt idx="19">
                  <c:v>-8.8804799999999968</c:v>
                </c:pt>
                <c:pt idx="20">
                  <c:v>-9.0424799999999976</c:v>
                </c:pt>
                <c:pt idx="21">
                  <c:v>-9.0424799999999976</c:v>
                </c:pt>
                <c:pt idx="22">
                  <c:v>-9.5284799999999965</c:v>
                </c:pt>
                <c:pt idx="23">
                  <c:v>-8.8804799999999968</c:v>
                </c:pt>
                <c:pt idx="24">
                  <c:v>-8.7184799999999978</c:v>
                </c:pt>
                <c:pt idx="25">
                  <c:v>-8.7184799999999978</c:v>
                </c:pt>
                <c:pt idx="26">
                  <c:v>-8.8804799999999986</c:v>
                </c:pt>
                <c:pt idx="27">
                  <c:v>-8.0704799999999981</c:v>
                </c:pt>
                <c:pt idx="28">
                  <c:v>-8.2324799999999989</c:v>
                </c:pt>
                <c:pt idx="29">
                  <c:v>-8.2324799999999989</c:v>
                </c:pt>
                <c:pt idx="30">
                  <c:v>-8.7184799999999978</c:v>
                </c:pt>
                <c:pt idx="31">
                  <c:v>-8.0704799999999981</c:v>
                </c:pt>
                <c:pt idx="32">
                  <c:v>-7.9084799999999973</c:v>
                </c:pt>
                <c:pt idx="33">
                  <c:v>-7.9084799999999973</c:v>
                </c:pt>
                <c:pt idx="34">
                  <c:v>-8.0704799999999981</c:v>
                </c:pt>
                <c:pt idx="35">
                  <c:v>-7.2604799999999976</c:v>
                </c:pt>
                <c:pt idx="36">
                  <c:v>-7.4224799999999984</c:v>
                </c:pt>
                <c:pt idx="37">
                  <c:v>-7.4224799999999984</c:v>
                </c:pt>
                <c:pt idx="38">
                  <c:v>-7.9084799999999973</c:v>
                </c:pt>
                <c:pt idx="39">
                  <c:v>-7.2604799999999976</c:v>
                </c:pt>
                <c:pt idx="40">
                  <c:v>-7.0984799999999968</c:v>
                </c:pt>
                <c:pt idx="41">
                  <c:v>-7.0984799999999968</c:v>
                </c:pt>
                <c:pt idx="42">
                  <c:v>-7.2604799999999976</c:v>
                </c:pt>
                <c:pt idx="43">
                  <c:v>-6.4504799999999971</c:v>
                </c:pt>
                <c:pt idx="44">
                  <c:v>-6.6124799999999979</c:v>
                </c:pt>
                <c:pt idx="45">
                  <c:v>-6.6124799999999979</c:v>
                </c:pt>
                <c:pt idx="46">
                  <c:v>-7.0984799999999968</c:v>
                </c:pt>
                <c:pt idx="47">
                  <c:v>-6.4504799999999971</c:v>
                </c:pt>
                <c:pt idx="48">
                  <c:v>-6.2884799999999981</c:v>
                </c:pt>
                <c:pt idx="49">
                  <c:v>-6.2884799999999981</c:v>
                </c:pt>
                <c:pt idx="50">
                  <c:v>-6.4504799999999989</c:v>
                </c:pt>
                <c:pt idx="51">
                  <c:v>-5.6404799999999984</c:v>
                </c:pt>
                <c:pt idx="52">
                  <c:v>-5.8024799999999992</c:v>
                </c:pt>
                <c:pt idx="53">
                  <c:v>-5.8024799999999992</c:v>
                </c:pt>
                <c:pt idx="54">
                  <c:v>-6.2884799999999981</c:v>
                </c:pt>
                <c:pt idx="55">
                  <c:v>-5.6404799999999984</c:v>
                </c:pt>
                <c:pt idx="56">
                  <c:v>-5.4784799999999976</c:v>
                </c:pt>
                <c:pt idx="57">
                  <c:v>-5.4784799999999976</c:v>
                </c:pt>
                <c:pt idx="58">
                  <c:v>-5.6404799999999984</c:v>
                </c:pt>
                <c:pt idx="59">
                  <c:v>-4.8304799999999979</c:v>
                </c:pt>
                <c:pt idx="60">
                  <c:v>-4.9924799999999987</c:v>
                </c:pt>
                <c:pt idx="61">
                  <c:v>-4.9924799999999987</c:v>
                </c:pt>
                <c:pt idx="62">
                  <c:v>-5.4784799999999976</c:v>
                </c:pt>
                <c:pt idx="63">
                  <c:v>-4.8304799999999979</c:v>
                </c:pt>
                <c:pt idx="64">
                  <c:v>-4.6684799999999971</c:v>
                </c:pt>
                <c:pt idx="65">
                  <c:v>-4.6684799999999971</c:v>
                </c:pt>
                <c:pt idx="66">
                  <c:v>-4.8304799999999979</c:v>
                </c:pt>
                <c:pt idx="67">
                  <c:v>-4.0204799999999974</c:v>
                </c:pt>
                <c:pt idx="68">
                  <c:v>-4.1824799999999982</c:v>
                </c:pt>
                <c:pt idx="69">
                  <c:v>-4.1824799999999982</c:v>
                </c:pt>
                <c:pt idx="70">
                  <c:v>-4.6684799999999971</c:v>
                </c:pt>
                <c:pt idx="71">
                  <c:v>-4.0204799999999974</c:v>
                </c:pt>
                <c:pt idx="72">
                  <c:v>-3.8584799999999966</c:v>
                </c:pt>
                <c:pt idx="73">
                  <c:v>-3.8584799999999966</c:v>
                </c:pt>
                <c:pt idx="74">
                  <c:v>-4.0204799999999974</c:v>
                </c:pt>
                <c:pt idx="75">
                  <c:v>-3.2104799999999969</c:v>
                </c:pt>
                <c:pt idx="76">
                  <c:v>-3.3724799999999977</c:v>
                </c:pt>
                <c:pt idx="77">
                  <c:v>-3.3724799999999977</c:v>
                </c:pt>
                <c:pt idx="78">
                  <c:v>-3.8584799999999966</c:v>
                </c:pt>
                <c:pt idx="79">
                  <c:v>-3.2104799999999969</c:v>
                </c:pt>
                <c:pt idx="80">
                  <c:v>-3.0484799999999961</c:v>
                </c:pt>
                <c:pt idx="81">
                  <c:v>-3.0484799999999961</c:v>
                </c:pt>
                <c:pt idx="82">
                  <c:v>-3.2104799999999969</c:v>
                </c:pt>
                <c:pt idx="83">
                  <c:v>-2.4004799999999964</c:v>
                </c:pt>
                <c:pt idx="84">
                  <c:v>-2.5624799999999972</c:v>
                </c:pt>
                <c:pt idx="85">
                  <c:v>-2.5624799999999972</c:v>
                </c:pt>
                <c:pt idx="86">
                  <c:v>-3.0484799999999961</c:v>
                </c:pt>
                <c:pt idx="87">
                  <c:v>-2.4004799999999964</c:v>
                </c:pt>
                <c:pt idx="88">
                  <c:v>-2.2384799999999974</c:v>
                </c:pt>
                <c:pt idx="89">
                  <c:v>-2.2384799999999974</c:v>
                </c:pt>
                <c:pt idx="90">
                  <c:v>-2.4004799999999982</c:v>
                </c:pt>
                <c:pt idx="91">
                  <c:v>-1.5904799999999994</c:v>
                </c:pt>
                <c:pt idx="92">
                  <c:v>-1.7524799999999985</c:v>
                </c:pt>
                <c:pt idx="93">
                  <c:v>-1.7524799999999985</c:v>
                </c:pt>
                <c:pt idx="94">
                  <c:v>-2.2384799999999974</c:v>
                </c:pt>
                <c:pt idx="95">
                  <c:v>-1.5904799999999994</c:v>
                </c:pt>
                <c:pt idx="96">
                  <c:v>-1.4284800000000004</c:v>
                </c:pt>
                <c:pt idx="97">
                  <c:v>-1.4284800000000004</c:v>
                </c:pt>
                <c:pt idx="98">
                  <c:v>-1.5904799999999994</c:v>
                </c:pt>
                <c:pt idx="99">
                  <c:v>-0.78048000000000073</c:v>
                </c:pt>
                <c:pt idx="100">
                  <c:v>-0.94247999999999976</c:v>
                </c:pt>
                <c:pt idx="101">
                  <c:v>-0.94247999999999976</c:v>
                </c:pt>
                <c:pt idx="102">
                  <c:v>-1.4284800000000004</c:v>
                </c:pt>
                <c:pt idx="103">
                  <c:v>-0.78048000000000073</c:v>
                </c:pt>
                <c:pt idx="104">
                  <c:v>-0.61847999999999814</c:v>
                </c:pt>
                <c:pt idx="105">
                  <c:v>-0.61847999999999814</c:v>
                </c:pt>
                <c:pt idx="106">
                  <c:v>-0.78047999999999718</c:v>
                </c:pt>
                <c:pt idx="107">
                  <c:v>2.9520000000001545E-2</c:v>
                </c:pt>
                <c:pt idx="108">
                  <c:v>-0.13247999999999749</c:v>
                </c:pt>
                <c:pt idx="109">
                  <c:v>-0.13247999999999749</c:v>
                </c:pt>
                <c:pt idx="110">
                  <c:v>-0.61847999999999814</c:v>
                </c:pt>
                <c:pt idx="111">
                  <c:v>2.9520000000001545E-2</c:v>
                </c:pt>
                <c:pt idx="112">
                  <c:v>0.19152000000000058</c:v>
                </c:pt>
                <c:pt idx="113">
                  <c:v>0.19152000000000058</c:v>
                </c:pt>
                <c:pt idx="114">
                  <c:v>2.9520000000001545E-2</c:v>
                </c:pt>
                <c:pt idx="115">
                  <c:v>0.83952000000000027</c:v>
                </c:pt>
                <c:pt idx="116">
                  <c:v>0.67752000000000123</c:v>
                </c:pt>
                <c:pt idx="117">
                  <c:v>0.67752000000000123</c:v>
                </c:pt>
                <c:pt idx="118">
                  <c:v>0.19152000000000058</c:v>
                </c:pt>
                <c:pt idx="119">
                  <c:v>0.83952000000000027</c:v>
                </c:pt>
                <c:pt idx="120">
                  <c:v>1.0015199999999993</c:v>
                </c:pt>
                <c:pt idx="121">
                  <c:v>1.0015199999999993</c:v>
                </c:pt>
                <c:pt idx="122">
                  <c:v>0.83952000000000027</c:v>
                </c:pt>
                <c:pt idx="123">
                  <c:v>1.649519999999999</c:v>
                </c:pt>
                <c:pt idx="124">
                  <c:v>1.48752</c:v>
                </c:pt>
                <c:pt idx="125">
                  <c:v>1.48752</c:v>
                </c:pt>
                <c:pt idx="126">
                  <c:v>1.0015199999999993</c:v>
                </c:pt>
                <c:pt idx="127">
                  <c:v>1.649519999999999</c:v>
                </c:pt>
                <c:pt idx="128">
                  <c:v>1.8115200000000016</c:v>
                </c:pt>
                <c:pt idx="129">
                  <c:v>1.8115200000000016</c:v>
                </c:pt>
                <c:pt idx="130">
                  <c:v>1.6495200000000025</c:v>
                </c:pt>
                <c:pt idx="131">
                  <c:v>2.4595200000000013</c:v>
                </c:pt>
                <c:pt idx="132">
                  <c:v>2.2975200000000022</c:v>
                </c:pt>
                <c:pt idx="133">
                  <c:v>2.2975200000000022</c:v>
                </c:pt>
                <c:pt idx="134">
                  <c:v>1.8115200000000016</c:v>
                </c:pt>
                <c:pt idx="135">
                  <c:v>2.4595200000000013</c:v>
                </c:pt>
                <c:pt idx="136">
                  <c:v>2.6215200000000038</c:v>
                </c:pt>
                <c:pt idx="137">
                  <c:v>2.6215200000000038</c:v>
                </c:pt>
                <c:pt idx="138">
                  <c:v>2.4595200000000048</c:v>
                </c:pt>
                <c:pt idx="139">
                  <c:v>3.2695200000000035</c:v>
                </c:pt>
                <c:pt idx="140">
                  <c:v>3.1075200000000045</c:v>
                </c:pt>
                <c:pt idx="141">
                  <c:v>3.1075200000000045</c:v>
                </c:pt>
                <c:pt idx="142">
                  <c:v>2.6215200000000038</c:v>
                </c:pt>
                <c:pt idx="143">
                  <c:v>3.2695200000000035</c:v>
                </c:pt>
                <c:pt idx="144">
                  <c:v>3.4315200000000026</c:v>
                </c:pt>
                <c:pt idx="145">
                  <c:v>3.4315200000000026</c:v>
                </c:pt>
                <c:pt idx="146">
                  <c:v>3.2695200000000035</c:v>
                </c:pt>
                <c:pt idx="147">
                  <c:v>4.0795200000000023</c:v>
                </c:pt>
                <c:pt idx="148">
                  <c:v>3.9175200000000032</c:v>
                </c:pt>
                <c:pt idx="149">
                  <c:v>3.9175200000000032</c:v>
                </c:pt>
                <c:pt idx="150">
                  <c:v>3.4315200000000026</c:v>
                </c:pt>
                <c:pt idx="151">
                  <c:v>4.0795200000000023</c:v>
                </c:pt>
                <c:pt idx="152">
                  <c:v>4.2415200000000013</c:v>
                </c:pt>
                <c:pt idx="153">
                  <c:v>4.2415200000000013</c:v>
                </c:pt>
                <c:pt idx="154">
                  <c:v>4.0795200000000023</c:v>
                </c:pt>
                <c:pt idx="155">
                  <c:v>4.889520000000001</c:v>
                </c:pt>
                <c:pt idx="156">
                  <c:v>4.7275200000000019</c:v>
                </c:pt>
                <c:pt idx="157">
                  <c:v>4.7275200000000019</c:v>
                </c:pt>
                <c:pt idx="158">
                  <c:v>4.2415200000000013</c:v>
                </c:pt>
                <c:pt idx="159">
                  <c:v>4.889520000000001</c:v>
                </c:pt>
                <c:pt idx="160">
                  <c:v>5.0515200000000036</c:v>
                </c:pt>
                <c:pt idx="161">
                  <c:v>5.0515200000000036</c:v>
                </c:pt>
                <c:pt idx="162">
                  <c:v>4.8895200000000045</c:v>
                </c:pt>
                <c:pt idx="163">
                  <c:v>5.6995200000000033</c:v>
                </c:pt>
                <c:pt idx="164">
                  <c:v>5.5375200000000042</c:v>
                </c:pt>
                <c:pt idx="165">
                  <c:v>5.5375200000000042</c:v>
                </c:pt>
                <c:pt idx="166">
                  <c:v>5.0515200000000036</c:v>
                </c:pt>
                <c:pt idx="167">
                  <c:v>5.6995200000000033</c:v>
                </c:pt>
                <c:pt idx="168">
                  <c:v>5.8615200000000023</c:v>
                </c:pt>
                <c:pt idx="169">
                  <c:v>5.8615200000000023</c:v>
                </c:pt>
                <c:pt idx="170">
                  <c:v>5.6995200000000033</c:v>
                </c:pt>
                <c:pt idx="171">
                  <c:v>6.509520000000002</c:v>
                </c:pt>
                <c:pt idx="172">
                  <c:v>6.3475200000000029</c:v>
                </c:pt>
                <c:pt idx="173">
                  <c:v>6.3475200000000029</c:v>
                </c:pt>
                <c:pt idx="174">
                  <c:v>5.8615200000000023</c:v>
                </c:pt>
                <c:pt idx="175">
                  <c:v>6.509520000000002</c:v>
                </c:pt>
                <c:pt idx="176">
                  <c:v>6.671520000000001</c:v>
                </c:pt>
                <c:pt idx="177">
                  <c:v>6.671520000000001</c:v>
                </c:pt>
                <c:pt idx="178">
                  <c:v>6.509520000000002</c:v>
                </c:pt>
                <c:pt idx="179">
                  <c:v>7.3195200000000007</c:v>
                </c:pt>
                <c:pt idx="180">
                  <c:v>7.1575200000000017</c:v>
                </c:pt>
                <c:pt idx="181">
                  <c:v>7.1575200000000017</c:v>
                </c:pt>
                <c:pt idx="182">
                  <c:v>6.671520000000001</c:v>
                </c:pt>
                <c:pt idx="183">
                  <c:v>7.3195200000000007</c:v>
                </c:pt>
                <c:pt idx="184">
                  <c:v>7.4815200000000033</c:v>
                </c:pt>
                <c:pt idx="185">
                  <c:v>7.4815200000000033</c:v>
                </c:pt>
                <c:pt idx="186">
                  <c:v>7.3195200000000042</c:v>
                </c:pt>
                <c:pt idx="187">
                  <c:v>8.129520000000003</c:v>
                </c:pt>
                <c:pt idx="188">
                  <c:v>7.9675200000000039</c:v>
                </c:pt>
                <c:pt idx="189">
                  <c:v>7.9675200000000039</c:v>
                </c:pt>
                <c:pt idx="190">
                  <c:v>7.4815200000000033</c:v>
                </c:pt>
                <c:pt idx="191">
                  <c:v>8.129520000000003</c:v>
                </c:pt>
                <c:pt idx="192">
                  <c:v>8.291520000000002</c:v>
                </c:pt>
                <c:pt idx="193">
                  <c:v>8.291520000000002</c:v>
                </c:pt>
                <c:pt idx="194">
                  <c:v>8.129520000000003</c:v>
                </c:pt>
                <c:pt idx="195">
                  <c:v>8.9395200000000017</c:v>
                </c:pt>
                <c:pt idx="196">
                  <c:v>8.7775200000000027</c:v>
                </c:pt>
                <c:pt idx="197">
                  <c:v>8.7775200000000027</c:v>
                </c:pt>
                <c:pt idx="198">
                  <c:v>8.291520000000002</c:v>
                </c:pt>
                <c:pt idx="199">
                  <c:v>8.9395200000000017</c:v>
                </c:pt>
                <c:pt idx="200">
                  <c:v>8.291520000000002</c:v>
                </c:pt>
                <c:pt idx="201">
                  <c:v>8.291520000000002</c:v>
                </c:pt>
                <c:pt idx="202">
                  <c:v>8.129520000000003</c:v>
                </c:pt>
                <c:pt idx="203">
                  <c:v>8.9395200000000017</c:v>
                </c:pt>
                <c:pt idx="204">
                  <c:v>8.7775200000000027</c:v>
                </c:pt>
                <c:pt idx="205">
                  <c:v>8.7775200000000027</c:v>
                </c:pt>
                <c:pt idx="206">
                  <c:v>8.291520000000002</c:v>
                </c:pt>
                <c:pt idx="207">
                  <c:v>8.9395200000000017</c:v>
                </c:pt>
                <c:pt idx="208">
                  <c:v>8.291520000000002</c:v>
                </c:pt>
                <c:pt idx="209">
                  <c:v>8.291520000000002</c:v>
                </c:pt>
                <c:pt idx="210">
                  <c:v>8.129520000000003</c:v>
                </c:pt>
                <c:pt idx="211">
                  <c:v>8.9395200000000017</c:v>
                </c:pt>
                <c:pt idx="212">
                  <c:v>8.7775200000000027</c:v>
                </c:pt>
                <c:pt idx="213">
                  <c:v>8.7775200000000027</c:v>
                </c:pt>
                <c:pt idx="214">
                  <c:v>8.291520000000002</c:v>
                </c:pt>
                <c:pt idx="215">
                  <c:v>8.9395200000000017</c:v>
                </c:pt>
                <c:pt idx="216">
                  <c:v>8.291520000000002</c:v>
                </c:pt>
                <c:pt idx="217">
                  <c:v>8.291520000000002</c:v>
                </c:pt>
                <c:pt idx="218">
                  <c:v>8.129520000000003</c:v>
                </c:pt>
                <c:pt idx="219">
                  <c:v>8.9395200000000017</c:v>
                </c:pt>
                <c:pt idx="220">
                  <c:v>8.7775200000000027</c:v>
                </c:pt>
                <c:pt idx="221">
                  <c:v>8.7775200000000027</c:v>
                </c:pt>
                <c:pt idx="222">
                  <c:v>8.291520000000002</c:v>
                </c:pt>
                <c:pt idx="223">
                  <c:v>8.9395200000000017</c:v>
                </c:pt>
                <c:pt idx="224">
                  <c:v>8.291520000000002</c:v>
                </c:pt>
                <c:pt idx="225">
                  <c:v>8.291520000000002</c:v>
                </c:pt>
                <c:pt idx="226">
                  <c:v>8.129520000000003</c:v>
                </c:pt>
                <c:pt idx="227">
                  <c:v>8.9395200000000017</c:v>
                </c:pt>
                <c:pt idx="228">
                  <c:v>8.7775200000000027</c:v>
                </c:pt>
                <c:pt idx="229">
                  <c:v>8.7775200000000027</c:v>
                </c:pt>
                <c:pt idx="230">
                  <c:v>8.291520000000002</c:v>
                </c:pt>
                <c:pt idx="231">
                  <c:v>8.9395200000000017</c:v>
                </c:pt>
                <c:pt idx="232">
                  <c:v>8.291520000000002</c:v>
                </c:pt>
                <c:pt idx="233">
                  <c:v>8.291520000000002</c:v>
                </c:pt>
                <c:pt idx="234">
                  <c:v>8.129520000000003</c:v>
                </c:pt>
                <c:pt idx="235">
                  <c:v>8.9395200000000017</c:v>
                </c:pt>
                <c:pt idx="236">
                  <c:v>8.7775200000000027</c:v>
                </c:pt>
                <c:pt idx="237">
                  <c:v>8.7775200000000027</c:v>
                </c:pt>
                <c:pt idx="238">
                  <c:v>8.291520000000002</c:v>
                </c:pt>
                <c:pt idx="239">
                  <c:v>8.9395200000000017</c:v>
                </c:pt>
                <c:pt idx="240">
                  <c:v>8.291520000000002</c:v>
                </c:pt>
                <c:pt idx="241">
                  <c:v>8.291520000000002</c:v>
                </c:pt>
                <c:pt idx="242">
                  <c:v>8.129520000000003</c:v>
                </c:pt>
                <c:pt idx="243">
                  <c:v>8.9395200000000017</c:v>
                </c:pt>
                <c:pt idx="244">
                  <c:v>8.7775200000000027</c:v>
                </c:pt>
                <c:pt idx="245">
                  <c:v>8.7775200000000027</c:v>
                </c:pt>
                <c:pt idx="246">
                  <c:v>8.291520000000002</c:v>
                </c:pt>
                <c:pt idx="247">
                  <c:v>8.9395200000000017</c:v>
                </c:pt>
                <c:pt idx="248">
                  <c:v>8.291520000000002</c:v>
                </c:pt>
                <c:pt idx="249">
                  <c:v>8.291520000000002</c:v>
                </c:pt>
                <c:pt idx="250">
                  <c:v>8.129520000000003</c:v>
                </c:pt>
                <c:pt idx="251">
                  <c:v>8.9395200000000017</c:v>
                </c:pt>
                <c:pt idx="252">
                  <c:v>8.7775200000000027</c:v>
                </c:pt>
                <c:pt idx="253">
                  <c:v>8.7775200000000027</c:v>
                </c:pt>
                <c:pt idx="254">
                  <c:v>8.291520000000002</c:v>
                </c:pt>
                <c:pt idx="255">
                  <c:v>8.9395200000000017</c:v>
                </c:pt>
                <c:pt idx="256">
                  <c:v>8.291520000000002</c:v>
                </c:pt>
                <c:pt idx="257">
                  <c:v>8.291520000000002</c:v>
                </c:pt>
                <c:pt idx="258">
                  <c:v>8.129520000000003</c:v>
                </c:pt>
                <c:pt idx="259">
                  <c:v>8.9395200000000017</c:v>
                </c:pt>
                <c:pt idx="260">
                  <c:v>8.7775200000000027</c:v>
                </c:pt>
                <c:pt idx="261">
                  <c:v>8.7775200000000027</c:v>
                </c:pt>
                <c:pt idx="262">
                  <c:v>8.291520000000002</c:v>
                </c:pt>
                <c:pt idx="263">
                  <c:v>8.9395200000000017</c:v>
                </c:pt>
                <c:pt idx="264">
                  <c:v>8.291520000000002</c:v>
                </c:pt>
                <c:pt idx="265">
                  <c:v>8.291520000000002</c:v>
                </c:pt>
                <c:pt idx="266">
                  <c:v>8.129520000000003</c:v>
                </c:pt>
                <c:pt idx="267">
                  <c:v>8.9395200000000017</c:v>
                </c:pt>
                <c:pt idx="268">
                  <c:v>8.7775200000000027</c:v>
                </c:pt>
                <c:pt idx="269">
                  <c:v>8.7775200000000027</c:v>
                </c:pt>
                <c:pt idx="270">
                  <c:v>8.291520000000002</c:v>
                </c:pt>
                <c:pt idx="271">
                  <c:v>8.9395200000000017</c:v>
                </c:pt>
                <c:pt idx="272">
                  <c:v>8.291520000000002</c:v>
                </c:pt>
                <c:pt idx="273">
                  <c:v>8.291520000000002</c:v>
                </c:pt>
                <c:pt idx="274">
                  <c:v>8.129520000000003</c:v>
                </c:pt>
                <c:pt idx="275">
                  <c:v>8.9395200000000017</c:v>
                </c:pt>
                <c:pt idx="276">
                  <c:v>8.7775200000000027</c:v>
                </c:pt>
                <c:pt idx="277">
                  <c:v>8.7775200000000027</c:v>
                </c:pt>
                <c:pt idx="278">
                  <c:v>8.291520000000002</c:v>
                </c:pt>
                <c:pt idx="279">
                  <c:v>8.9395200000000017</c:v>
                </c:pt>
                <c:pt idx="280">
                  <c:v>8.291520000000002</c:v>
                </c:pt>
                <c:pt idx="281">
                  <c:v>8.291520000000002</c:v>
                </c:pt>
                <c:pt idx="282">
                  <c:v>8.129520000000003</c:v>
                </c:pt>
                <c:pt idx="283">
                  <c:v>8.9395200000000017</c:v>
                </c:pt>
                <c:pt idx="284">
                  <c:v>8.7775200000000027</c:v>
                </c:pt>
                <c:pt idx="285">
                  <c:v>8.7775200000000027</c:v>
                </c:pt>
                <c:pt idx="286">
                  <c:v>8.291520000000002</c:v>
                </c:pt>
                <c:pt idx="287">
                  <c:v>8.9395200000000017</c:v>
                </c:pt>
                <c:pt idx="288">
                  <c:v>8.291520000000002</c:v>
                </c:pt>
                <c:pt idx="289">
                  <c:v>8.291520000000002</c:v>
                </c:pt>
                <c:pt idx="290">
                  <c:v>8.129520000000003</c:v>
                </c:pt>
                <c:pt idx="291">
                  <c:v>8.9395200000000017</c:v>
                </c:pt>
                <c:pt idx="292">
                  <c:v>8.7775200000000027</c:v>
                </c:pt>
                <c:pt idx="293">
                  <c:v>8.7775200000000027</c:v>
                </c:pt>
                <c:pt idx="294">
                  <c:v>8.291520000000002</c:v>
                </c:pt>
                <c:pt idx="295">
                  <c:v>8.9395200000000017</c:v>
                </c:pt>
                <c:pt idx="296">
                  <c:v>8.291520000000002</c:v>
                </c:pt>
                <c:pt idx="297">
                  <c:v>8.291520000000002</c:v>
                </c:pt>
                <c:pt idx="298">
                  <c:v>8.129520000000003</c:v>
                </c:pt>
                <c:pt idx="299">
                  <c:v>8.9395200000000017</c:v>
                </c:pt>
                <c:pt idx="300">
                  <c:v>8.7775200000000027</c:v>
                </c:pt>
                <c:pt idx="301">
                  <c:v>8.7775200000000027</c:v>
                </c:pt>
                <c:pt idx="302">
                  <c:v>8.291520000000002</c:v>
                </c:pt>
                <c:pt idx="303">
                  <c:v>8.9395200000000017</c:v>
                </c:pt>
                <c:pt idx="304">
                  <c:v>8.291520000000002</c:v>
                </c:pt>
                <c:pt idx="305">
                  <c:v>8.291520000000002</c:v>
                </c:pt>
                <c:pt idx="306">
                  <c:v>8.129520000000003</c:v>
                </c:pt>
                <c:pt idx="307">
                  <c:v>8.9395200000000017</c:v>
                </c:pt>
                <c:pt idx="308">
                  <c:v>8.7775200000000027</c:v>
                </c:pt>
                <c:pt idx="309">
                  <c:v>8.7775200000000027</c:v>
                </c:pt>
                <c:pt idx="310">
                  <c:v>8.291520000000002</c:v>
                </c:pt>
                <c:pt idx="311">
                  <c:v>8.9395200000000017</c:v>
                </c:pt>
                <c:pt idx="312">
                  <c:v>8.291520000000002</c:v>
                </c:pt>
                <c:pt idx="313">
                  <c:v>8.291520000000002</c:v>
                </c:pt>
                <c:pt idx="314">
                  <c:v>8.129520000000003</c:v>
                </c:pt>
                <c:pt idx="315">
                  <c:v>8.9395200000000017</c:v>
                </c:pt>
                <c:pt idx="316">
                  <c:v>8.7775200000000027</c:v>
                </c:pt>
                <c:pt idx="317">
                  <c:v>8.7775200000000027</c:v>
                </c:pt>
                <c:pt idx="318">
                  <c:v>8.291520000000002</c:v>
                </c:pt>
                <c:pt idx="319">
                  <c:v>8.9395200000000017</c:v>
                </c:pt>
                <c:pt idx="320">
                  <c:v>8.291520000000002</c:v>
                </c:pt>
                <c:pt idx="321">
                  <c:v>8.291520000000002</c:v>
                </c:pt>
                <c:pt idx="322">
                  <c:v>8.129520000000003</c:v>
                </c:pt>
                <c:pt idx="323">
                  <c:v>8.9395200000000017</c:v>
                </c:pt>
                <c:pt idx="324">
                  <c:v>8.7775200000000027</c:v>
                </c:pt>
                <c:pt idx="325">
                  <c:v>8.7775200000000027</c:v>
                </c:pt>
                <c:pt idx="326">
                  <c:v>8.291520000000002</c:v>
                </c:pt>
                <c:pt idx="327">
                  <c:v>8.9395200000000017</c:v>
                </c:pt>
                <c:pt idx="328">
                  <c:v>8.291520000000002</c:v>
                </c:pt>
                <c:pt idx="329">
                  <c:v>8.291520000000002</c:v>
                </c:pt>
                <c:pt idx="330">
                  <c:v>8.129520000000003</c:v>
                </c:pt>
                <c:pt idx="331">
                  <c:v>8.9395200000000017</c:v>
                </c:pt>
                <c:pt idx="332">
                  <c:v>8.7775200000000027</c:v>
                </c:pt>
                <c:pt idx="333">
                  <c:v>8.7775200000000027</c:v>
                </c:pt>
                <c:pt idx="334">
                  <c:v>8.291520000000002</c:v>
                </c:pt>
                <c:pt idx="335">
                  <c:v>8.9395200000000017</c:v>
                </c:pt>
                <c:pt idx="336">
                  <c:v>8.291520000000002</c:v>
                </c:pt>
                <c:pt idx="337">
                  <c:v>8.291520000000002</c:v>
                </c:pt>
                <c:pt idx="338">
                  <c:v>8.129520000000003</c:v>
                </c:pt>
                <c:pt idx="339">
                  <c:v>8.9395200000000017</c:v>
                </c:pt>
                <c:pt idx="340">
                  <c:v>8.7775200000000027</c:v>
                </c:pt>
                <c:pt idx="341">
                  <c:v>8.7775200000000027</c:v>
                </c:pt>
                <c:pt idx="342">
                  <c:v>8.291520000000002</c:v>
                </c:pt>
                <c:pt idx="343">
                  <c:v>8.9395200000000017</c:v>
                </c:pt>
                <c:pt idx="344">
                  <c:v>8.291520000000002</c:v>
                </c:pt>
                <c:pt idx="345">
                  <c:v>8.291520000000002</c:v>
                </c:pt>
                <c:pt idx="346">
                  <c:v>8.129520000000003</c:v>
                </c:pt>
                <c:pt idx="347">
                  <c:v>8.9395200000000017</c:v>
                </c:pt>
                <c:pt idx="348">
                  <c:v>8.7775200000000027</c:v>
                </c:pt>
                <c:pt idx="349">
                  <c:v>8.7775200000000027</c:v>
                </c:pt>
                <c:pt idx="350">
                  <c:v>8.291520000000002</c:v>
                </c:pt>
                <c:pt idx="351">
                  <c:v>8.9395200000000017</c:v>
                </c:pt>
                <c:pt idx="352">
                  <c:v>8.291520000000002</c:v>
                </c:pt>
                <c:pt idx="353">
                  <c:v>8.291520000000002</c:v>
                </c:pt>
                <c:pt idx="354">
                  <c:v>8.129520000000003</c:v>
                </c:pt>
                <c:pt idx="355">
                  <c:v>8.9395200000000017</c:v>
                </c:pt>
                <c:pt idx="356">
                  <c:v>8.7775200000000027</c:v>
                </c:pt>
                <c:pt idx="357">
                  <c:v>8.7775200000000027</c:v>
                </c:pt>
                <c:pt idx="358">
                  <c:v>8.291520000000002</c:v>
                </c:pt>
                <c:pt idx="359">
                  <c:v>8.9395200000000017</c:v>
                </c:pt>
                <c:pt idx="360">
                  <c:v>8.291520000000002</c:v>
                </c:pt>
                <c:pt idx="361">
                  <c:v>8.291520000000002</c:v>
                </c:pt>
                <c:pt idx="362">
                  <c:v>8.129520000000003</c:v>
                </c:pt>
                <c:pt idx="363">
                  <c:v>8.9395200000000017</c:v>
                </c:pt>
                <c:pt idx="364">
                  <c:v>8.7775200000000027</c:v>
                </c:pt>
                <c:pt idx="365">
                  <c:v>8.7775200000000027</c:v>
                </c:pt>
                <c:pt idx="366">
                  <c:v>8.291520000000002</c:v>
                </c:pt>
                <c:pt idx="367">
                  <c:v>8.9395200000000017</c:v>
                </c:pt>
                <c:pt idx="368">
                  <c:v>8.291520000000002</c:v>
                </c:pt>
                <c:pt idx="369">
                  <c:v>8.291520000000002</c:v>
                </c:pt>
                <c:pt idx="370">
                  <c:v>8.129520000000003</c:v>
                </c:pt>
                <c:pt idx="371">
                  <c:v>8.9395200000000017</c:v>
                </c:pt>
                <c:pt idx="372">
                  <c:v>8.7775200000000027</c:v>
                </c:pt>
                <c:pt idx="373">
                  <c:v>8.7775200000000027</c:v>
                </c:pt>
                <c:pt idx="374">
                  <c:v>8.291520000000002</c:v>
                </c:pt>
                <c:pt idx="375">
                  <c:v>8.9395200000000017</c:v>
                </c:pt>
                <c:pt idx="376">
                  <c:v>8.291520000000002</c:v>
                </c:pt>
                <c:pt idx="377">
                  <c:v>8.291520000000002</c:v>
                </c:pt>
                <c:pt idx="378">
                  <c:v>8.129520000000003</c:v>
                </c:pt>
                <c:pt idx="379">
                  <c:v>8.9395200000000017</c:v>
                </c:pt>
                <c:pt idx="380">
                  <c:v>8.7775200000000027</c:v>
                </c:pt>
                <c:pt idx="381">
                  <c:v>8.7775200000000027</c:v>
                </c:pt>
                <c:pt idx="382">
                  <c:v>8.291520000000002</c:v>
                </c:pt>
                <c:pt idx="383">
                  <c:v>8.9395200000000017</c:v>
                </c:pt>
                <c:pt idx="384">
                  <c:v>8.291520000000002</c:v>
                </c:pt>
                <c:pt idx="385">
                  <c:v>8.291520000000002</c:v>
                </c:pt>
                <c:pt idx="386">
                  <c:v>8.129520000000003</c:v>
                </c:pt>
                <c:pt idx="387">
                  <c:v>8.9395200000000017</c:v>
                </c:pt>
                <c:pt idx="388">
                  <c:v>8.7775200000000027</c:v>
                </c:pt>
                <c:pt idx="389">
                  <c:v>8.7775200000000027</c:v>
                </c:pt>
                <c:pt idx="390">
                  <c:v>8.291520000000002</c:v>
                </c:pt>
                <c:pt idx="391">
                  <c:v>8.9395200000000017</c:v>
                </c:pt>
                <c:pt idx="392">
                  <c:v>8.291520000000002</c:v>
                </c:pt>
                <c:pt idx="393">
                  <c:v>8.291520000000002</c:v>
                </c:pt>
                <c:pt idx="394">
                  <c:v>8.129520000000003</c:v>
                </c:pt>
                <c:pt idx="395">
                  <c:v>8.9395200000000017</c:v>
                </c:pt>
                <c:pt idx="396">
                  <c:v>8.7775200000000027</c:v>
                </c:pt>
                <c:pt idx="397">
                  <c:v>8.7775200000000027</c:v>
                </c:pt>
                <c:pt idx="398">
                  <c:v>8.291520000000002</c:v>
                </c:pt>
                <c:pt idx="399">
                  <c:v>8.9395200000000017</c:v>
                </c:pt>
                <c:pt idx="400">
                  <c:v>8.291520000000002</c:v>
                </c:pt>
                <c:pt idx="401">
                  <c:v>8.291520000000002</c:v>
                </c:pt>
                <c:pt idx="402">
                  <c:v>8.129520000000003</c:v>
                </c:pt>
                <c:pt idx="403">
                  <c:v>8.9395200000000017</c:v>
                </c:pt>
                <c:pt idx="404">
                  <c:v>8.7775200000000027</c:v>
                </c:pt>
                <c:pt idx="405">
                  <c:v>8.7775200000000027</c:v>
                </c:pt>
                <c:pt idx="406">
                  <c:v>8.291520000000002</c:v>
                </c:pt>
                <c:pt idx="407">
                  <c:v>8.9395200000000017</c:v>
                </c:pt>
                <c:pt idx="408">
                  <c:v>8.291520000000002</c:v>
                </c:pt>
                <c:pt idx="409">
                  <c:v>8.291520000000002</c:v>
                </c:pt>
                <c:pt idx="410">
                  <c:v>8.129520000000003</c:v>
                </c:pt>
                <c:pt idx="411">
                  <c:v>8.9395200000000017</c:v>
                </c:pt>
                <c:pt idx="412">
                  <c:v>8.7775200000000027</c:v>
                </c:pt>
                <c:pt idx="413">
                  <c:v>8.7775200000000027</c:v>
                </c:pt>
                <c:pt idx="414">
                  <c:v>8.291520000000002</c:v>
                </c:pt>
                <c:pt idx="415">
                  <c:v>8.9395200000000017</c:v>
                </c:pt>
                <c:pt idx="416">
                  <c:v>8.291520000000002</c:v>
                </c:pt>
                <c:pt idx="417">
                  <c:v>8.291520000000002</c:v>
                </c:pt>
                <c:pt idx="418">
                  <c:v>8.129520000000003</c:v>
                </c:pt>
                <c:pt idx="419">
                  <c:v>8.9395200000000017</c:v>
                </c:pt>
                <c:pt idx="420">
                  <c:v>8.7775200000000027</c:v>
                </c:pt>
                <c:pt idx="421">
                  <c:v>8.7775200000000027</c:v>
                </c:pt>
                <c:pt idx="422">
                  <c:v>8.291520000000002</c:v>
                </c:pt>
                <c:pt idx="423">
                  <c:v>8.9395200000000017</c:v>
                </c:pt>
                <c:pt idx="424">
                  <c:v>8.291520000000002</c:v>
                </c:pt>
                <c:pt idx="425">
                  <c:v>8.291520000000002</c:v>
                </c:pt>
                <c:pt idx="426">
                  <c:v>8.129520000000003</c:v>
                </c:pt>
                <c:pt idx="427">
                  <c:v>8.9395200000000017</c:v>
                </c:pt>
                <c:pt idx="428">
                  <c:v>8.7775200000000027</c:v>
                </c:pt>
                <c:pt idx="429">
                  <c:v>8.7775200000000027</c:v>
                </c:pt>
                <c:pt idx="430">
                  <c:v>8.291520000000002</c:v>
                </c:pt>
                <c:pt idx="431">
                  <c:v>8.9395200000000017</c:v>
                </c:pt>
                <c:pt idx="432">
                  <c:v>8.291520000000002</c:v>
                </c:pt>
                <c:pt idx="433">
                  <c:v>8.291520000000002</c:v>
                </c:pt>
                <c:pt idx="434">
                  <c:v>8.129520000000003</c:v>
                </c:pt>
                <c:pt idx="435">
                  <c:v>8.9395200000000017</c:v>
                </c:pt>
                <c:pt idx="436">
                  <c:v>8.7775200000000027</c:v>
                </c:pt>
                <c:pt idx="437">
                  <c:v>8.7775200000000027</c:v>
                </c:pt>
                <c:pt idx="438">
                  <c:v>8.291520000000002</c:v>
                </c:pt>
                <c:pt idx="439">
                  <c:v>8.9395200000000017</c:v>
                </c:pt>
                <c:pt idx="440">
                  <c:v>8.291520000000002</c:v>
                </c:pt>
                <c:pt idx="441">
                  <c:v>8.291520000000002</c:v>
                </c:pt>
                <c:pt idx="442">
                  <c:v>8.129520000000003</c:v>
                </c:pt>
                <c:pt idx="443">
                  <c:v>8.9395200000000017</c:v>
                </c:pt>
                <c:pt idx="444">
                  <c:v>8.7775200000000027</c:v>
                </c:pt>
                <c:pt idx="445">
                  <c:v>8.7775200000000027</c:v>
                </c:pt>
                <c:pt idx="446">
                  <c:v>8.291520000000002</c:v>
                </c:pt>
                <c:pt idx="447">
                  <c:v>8.9395200000000017</c:v>
                </c:pt>
                <c:pt idx="448">
                  <c:v>8.291520000000002</c:v>
                </c:pt>
                <c:pt idx="449">
                  <c:v>8.291520000000002</c:v>
                </c:pt>
                <c:pt idx="450">
                  <c:v>8.129520000000003</c:v>
                </c:pt>
                <c:pt idx="451">
                  <c:v>8.9395200000000017</c:v>
                </c:pt>
                <c:pt idx="452">
                  <c:v>8.7775200000000027</c:v>
                </c:pt>
                <c:pt idx="453">
                  <c:v>8.7775200000000027</c:v>
                </c:pt>
                <c:pt idx="454">
                  <c:v>8.291520000000002</c:v>
                </c:pt>
                <c:pt idx="455">
                  <c:v>8.9395200000000017</c:v>
                </c:pt>
                <c:pt idx="456">
                  <c:v>8.291520000000002</c:v>
                </c:pt>
                <c:pt idx="457">
                  <c:v>8.291520000000002</c:v>
                </c:pt>
                <c:pt idx="458">
                  <c:v>8.129520000000003</c:v>
                </c:pt>
                <c:pt idx="459">
                  <c:v>8.9395200000000017</c:v>
                </c:pt>
                <c:pt idx="460">
                  <c:v>8.7775200000000027</c:v>
                </c:pt>
                <c:pt idx="461">
                  <c:v>8.7775200000000027</c:v>
                </c:pt>
                <c:pt idx="462">
                  <c:v>8.291520000000002</c:v>
                </c:pt>
                <c:pt idx="463">
                  <c:v>8.9395200000000017</c:v>
                </c:pt>
                <c:pt idx="464">
                  <c:v>8.291520000000002</c:v>
                </c:pt>
                <c:pt idx="465">
                  <c:v>8.291520000000002</c:v>
                </c:pt>
                <c:pt idx="466">
                  <c:v>8.129520000000003</c:v>
                </c:pt>
                <c:pt idx="467">
                  <c:v>8.9395200000000017</c:v>
                </c:pt>
                <c:pt idx="468">
                  <c:v>8.7775200000000027</c:v>
                </c:pt>
                <c:pt idx="469">
                  <c:v>8.7775200000000027</c:v>
                </c:pt>
                <c:pt idx="470">
                  <c:v>8.291520000000002</c:v>
                </c:pt>
                <c:pt idx="471">
                  <c:v>8.9395200000000017</c:v>
                </c:pt>
                <c:pt idx="472">
                  <c:v>8.291520000000002</c:v>
                </c:pt>
                <c:pt idx="473">
                  <c:v>8.291520000000002</c:v>
                </c:pt>
                <c:pt idx="474">
                  <c:v>8.129520000000003</c:v>
                </c:pt>
                <c:pt idx="475">
                  <c:v>8.9395200000000017</c:v>
                </c:pt>
                <c:pt idx="476">
                  <c:v>8.7775200000000027</c:v>
                </c:pt>
                <c:pt idx="477">
                  <c:v>8.7775200000000027</c:v>
                </c:pt>
                <c:pt idx="478">
                  <c:v>8.291520000000002</c:v>
                </c:pt>
                <c:pt idx="479">
                  <c:v>8.9395200000000017</c:v>
                </c:pt>
                <c:pt idx="480">
                  <c:v>8.9395200000000017</c:v>
                </c:pt>
                <c:pt idx="481">
                  <c:v>-11.310479999999998</c:v>
                </c:pt>
                <c:pt idx="482">
                  <c:v>-11.148479999999999</c:v>
                </c:pt>
                <c:pt idx="483">
                  <c:v>-11.148479999999999</c:v>
                </c:pt>
                <c:pt idx="484">
                  <c:v>-11.310479999999998</c:v>
                </c:pt>
                <c:pt idx="485">
                  <c:v>-10.500479999999998</c:v>
                </c:pt>
                <c:pt idx="486">
                  <c:v>-10.662479999999999</c:v>
                </c:pt>
                <c:pt idx="487">
                  <c:v>-10.662479999999999</c:v>
                </c:pt>
                <c:pt idx="488">
                  <c:v>-11.148479999999999</c:v>
                </c:pt>
                <c:pt idx="489">
                  <c:v>-10.500479999999998</c:v>
                </c:pt>
                <c:pt idx="490">
                  <c:v>-10.338479999999997</c:v>
                </c:pt>
                <c:pt idx="491">
                  <c:v>-10.338479999999997</c:v>
                </c:pt>
                <c:pt idx="492">
                  <c:v>-10.500479999999998</c:v>
                </c:pt>
                <c:pt idx="493">
                  <c:v>-9.6904799999999973</c:v>
                </c:pt>
                <c:pt idx="494">
                  <c:v>-9.8524799999999981</c:v>
                </c:pt>
                <c:pt idx="495">
                  <c:v>-9.8524799999999981</c:v>
                </c:pt>
                <c:pt idx="496">
                  <c:v>-10.338479999999997</c:v>
                </c:pt>
                <c:pt idx="497">
                  <c:v>-9.6904799999999973</c:v>
                </c:pt>
                <c:pt idx="498">
                  <c:v>-9.5284799999999965</c:v>
                </c:pt>
                <c:pt idx="499">
                  <c:v>-9.5284799999999965</c:v>
                </c:pt>
                <c:pt idx="500">
                  <c:v>-9.6904799999999973</c:v>
                </c:pt>
                <c:pt idx="501">
                  <c:v>-8.8804799999999968</c:v>
                </c:pt>
                <c:pt idx="502">
                  <c:v>-9.0424799999999976</c:v>
                </c:pt>
                <c:pt idx="503">
                  <c:v>-9.0424799999999976</c:v>
                </c:pt>
                <c:pt idx="504">
                  <c:v>-9.5284799999999965</c:v>
                </c:pt>
                <c:pt idx="505">
                  <c:v>-8.8804799999999968</c:v>
                </c:pt>
                <c:pt idx="506">
                  <c:v>-8.7184799999999978</c:v>
                </c:pt>
                <c:pt idx="507">
                  <c:v>-8.7184799999999978</c:v>
                </c:pt>
                <c:pt idx="508">
                  <c:v>-8.8804799999999986</c:v>
                </c:pt>
                <c:pt idx="509">
                  <c:v>-8.0704799999999981</c:v>
                </c:pt>
                <c:pt idx="510">
                  <c:v>-8.2324799999999989</c:v>
                </c:pt>
                <c:pt idx="511">
                  <c:v>-8.2324799999999989</c:v>
                </c:pt>
                <c:pt idx="512">
                  <c:v>-8.7184799999999978</c:v>
                </c:pt>
                <c:pt idx="513">
                  <c:v>-8.0704799999999981</c:v>
                </c:pt>
                <c:pt idx="514">
                  <c:v>-7.9084799999999973</c:v>
                </c:pt>
                <c:pt idx="515">
                  <c:v>-7.9084799999999973</c:v>
                </c:pt>
                <c:pt idx="516">
                  <c:v>-8.0704799999999981</c:v>
                </c:pt>
                <c:pt idx="517">
                  <c:v>-7.2604799999999976</c:v>
                </c:pt>
                <c:pt idx="518">
                  <c:v>-7.4224799999999984</c:v>
                </c:pt>
                <c:pt idx="519">
                  <c:v>-7.4224799999999984</c:v>
                </c:pt>
                <c:pt idx="520">
                  <c:v>-7.9084799999999973</c:v>
                </c:pt>
                <c:pt idx="521">
                  <c:v>-7.2604799999999976</c:v>
                </c:pt>
                <c:pt idx="522">
                  <c:v>-7.0984799999999968</c:v>
                </c:pt>
                <c:pt idx="523">
                  <c:v>-7.0984799999999968</c:v>
                </c:pt>
                <c:pt idx="524">
                  <c:v>-7.2604799999999976</c:v>
                </c:pt>
                <c:pt idx="525">
                  <c:v>-6.4504799999999971</c:v>
                </c:pt>
                <c:pt idx="526">
                  <c:v>-6.6124799999999979</c:v>
                </c:pt>
                <c:pt idx="527">
                  <c:v>-6.6124799999999979</c:v>
                </c:pt>
                <c:pt idx="528">
                  <c:v>-7.0984799999999968</c:v>
                </c:pt>
                <c:pt idx="529">
                  <c:v>-6.4504799999999971</c:v>
                </c:pt>
                <c:pt idx="530">
                  <c:v>-6.2884799999999981</c:v>
                </c:pt>
                <c:pt idx="531">
                  <c:v>-6.2884799999999981</c:v>
                </c:pt>
                <c:pt idx="532">
                  <c:v>-6.4504799999999989</c:v>
                </c:pt>
                <c:pt idx="533">
                  <c:v>-5.6404799999999984</c:v>
                </c:pt>
                <c:pt idx="534">
                  <c:v>-5.8024799999999992</c:v>
                </c:pt>
                <c:pt idx="535">
                  <c:v>-5.8024799999999992</c:v>
                </c:pt>
                <c:pt idx="536">
                  <c:v>-6.2884799999999981</c:v>
                </c:pt>
                <c:pt idx="537">
                  <c:v>-5.6404799999999984</c:v>
                </c:pt>
                <c:pt idx="538">
                  <c:v>-5.4784799999999976</c:v>
                </c:pt>
                <c:pt idx="539">
                  <c:v>-5.4784799999999976</c:v>
                </c:pt>
                <c:pt idx="540">
                  <c:v>-5.6404799999999984</c:v>
                </c:pt>
                <c:pt idx="541">
                  <c:v>-4.8304799999999979</c:v>
                </c:pt>
                <c:pt idx="542">
                  <c:v>-4.9924799999999987</c:v>
                </c:pt>
                <c:pt idx="543">
                  <c:v>-4.9924799999999987</c:v>
                </c:pt>
                <c:pt idx="544">
                  <c:v>-5.4784799999999976</c:v>
                </c:pt>
                <c:pt idx="545">
                  <c:v>-4.8304799999999979</c:v>
                </c:pt>
                <c:pt idx="546">
                  <c:v>-4.6684799999999971</c:v>
                </c:pt>
                <c:pt idx="547">
                  <c:v>-4.6684799999999971</c:v>
                </c:pt>
                <c:pt idx="548">
                  <c:v>-4.8304799999999979</c:v>
                </c:pt>
                <c:pt idx="549">
                  <c:v>-4.0204799999999974</c:v>
                </c:pt>
                <c:pt idx="550">
                  <c:v>-4.1824799999999982</c:v>
                </c:pt>
                <c:pt idx="551">
                  <c:v>-4.1824799999999982</c:v>
                </c:pt>
                <c:pt idx="552">
                  <c:v>-4.6684799999999971</c:v>
                </c:pt>
                <c:pt idx="553">
                  <c:v>-4.0204799999999974</c:v>
                </c:pt>
                <c:pt idx="554">
                  <c:v>-3.8584799999999966</c:v>
                </c:pt>
                <c:pt idx="555">
                  <c:v>-3.8584799999999966</c:v>
                </c:pt>
                <c:pt idx="556">
                  <c:v>-4.0204799999999974</c:v>
                </c:pt>
                <c:pt idx="557">
                  <c:v>-3.2104799999999969</c:v>
                </c:pt>
                <c:pt idx="558">
                  <c:v>-3.3724799999999977</c:v>
                </c:pt>
                <c:pt idx="559">
                  <c:v>-3.3724799999999977</c:v>
                </c:pt>
                <c:pt idx="560">
                  <c:v>-3.8584799999999966</c:v>
                </c:pt>
                <c:pt idx="561">
                  <c:v>-3.2104799999999969</c:v>
                </c:pt>
                <c:pt idx="562">
                  <c:v>-3.0484799999999961</c:v>
                </c:pt>
                <c:pt idx="563">
                  <c:v>-3.0484799999999961</c:v>
                </c:pt>
                <c:pt idx="564">
                  <c:v>-3.2104799999999969</c:v>
                </c:pt>
                <c:pt idx="565">
                  <c:v>-2.4004799999999964</c:v>
                </c:pt>
                <c:pt idx="566">
                  <c:v>-2.5624799999999972</c:v>
                </c:pt>
                <c:pt idx="567">
                  <c:v>-2.5624799999999972</c:v>
                </c:pt>
                <c:pt idx="568">
                  <c:v>-3.0484799999999961</c:v>
                </c:pt>
                <c:pt idx="569">
                  <c:v>-2.4004799999999964</c:v>
                </c:pt>
                <c:pt idx="570">
                  <c:v>-2.2384799999999974</c:v>
                </c:pt>
                <c:pt idx="571">
                  <c:v>-2.2384799999999974</c:v>
                </c:pt>
                <c:pt idx="572">
                  <c:v>-2.4004799999999982</c:v>
                </c:pt>
                <c:pt idx="573">
                  <c:v>-1.5904799999999994</c:v>
                </c:pt>
                <c:pt idx="574">
                  <c:v>-1.7524799999999985</c:v>
                </c:pt>
                <c:pt idx="575">
                  <c:v>-1.7524799999999985</c:v>
                </c:pt>
                <c:pt idx="576">
                  <c:v>-2.2384799999999974</c:v>
                </c:pt>
                <c:pt idx="577">
                  <c:v>-1.5904799999999994</c:v>
                </c:pt>
                <c:pt idx="578">
                  <c:v>-1.4284800000000004</c:v>
                </c:pt>
                <c:pt idx="579">
                  <c:v>-1.4284800000000004</c:v>
                </c:pt>
                <c:pt idx="580">
                  <c:v>-1.5904799999999994</c:v>
                </c:pt>
                <c:pt idx="581">
                  <c:v>-0.78048000000000073</c:v>
                </c:pt>
                <c:pt idx="582">
                  <c:v>-0.94247999999999976</c:v>
                </c:pt>
                <c:pt idx="583">
                  <c:v>-0.94247999999999976</c:v>
                </c:pt>
                <c:pt idx="584">
                  <c:v>-1.4284800000000004</c:v>
                </c:pt>
                <c:pt idx="585">
                  <c:v>-0.78048000000000073</c:v>
                </c:pt>
                <c:pt idx="586">
                  <c:v>-0.61847999999999814</c:v>
                </c:pt>
                <c:pt idx="587">
                  <c:v>-0.61847999999999814</c:v>
                </c:pt>
                <c:pt idx="588">
                  <c:v>-0.78047999999999718</c:v>
                </c:pt>
                <c:pt idx="589">
                  <c:v>2.9520000000001545E-2</c:v>
                </c:pt>
                <c:pt idx="590">
                  <c:v>-0.13247999999999749</c:v>
                </c:pt>
                <c:pt idx="591">
                  <c:v>-0.13247999999999749</c:v>
                </c:pt>
                <c:pt idx="592">
                  <c:v>-0.61847999999999814</c:v>
                </c:pt>
                <c:pt idx="593">
                  <c:v>2.9520000000001545E-2</c:v>
                </c:pt>
                <c:pt idx="594">
                  <c:v>0.19152000000000058</c:v>
                </c:pt>
                <c:pt idx="595">
                  <c:v>0.19152000000000058</c:v>
                </c:pt>
                <c:pt idx="596">
                  <c:v>2.9520000000001545E-2</c:v>
                </c:pt>
                <c:pt idx="597">
                  <c:v>0.83952000000000027</c:v>
                </c:pt>
                <c:pt idx="598">
                  <c:v>0.67752000000000123</c:v>
                </c:pt>
                <c:pt idx="599">
                  <c:v>0.67752000000000123</c:v>
                </c:pt>
                <c:pt idx="600">
                  <c:v>0.19152000000000058</c:v>
                </c:pt>
                <c:pt idx="601">
                  <c:v>0.83952000000000027</c:v>
                </c:pt>
                <c:pt idx="602">
                  <c:v>1.0015199999999993</c:v>
                </c:pt>
                <c:pt idx="603">
                  <c:v>1.0015199999999993</c:v>
                </c:pt>
                <c:pt idx="604">
                  <c:v>0.83952000000000027</c:v>
                </c:pt>
                <c:pt idx="605">
                  <c:v>1.649519999999999</c:v>
                </c:pt>
                <c:pt idx="606">
                  <c:v>1.48752</c:v>
                </c:pt>
                <c:pt idx="607">
                  <c:v>1.48752</c:v>
                </c:pt>
                <c:pt idx="608">
                  <c:v>1.0015199999999993</c:v>
                </c:pt>
                <c:pt idx="609">
                  <c:v>1.649519999999999</c:v>
                </c:pt>
                <c:pt idx="610">
                  <c:v>1.8115200000000016</c:v>
                </c:pt>
                <c:pt idx="611">
                  <c:v>1.8115200000000016</c:v>
                </c:pt>
                <c:pt idx="612">
                  <c:v>1.6495200000000025</c:v>
                </c:pt>
                <c:pt idx="613">
                  <c:v>2.4595200000000013</c:v>
                </c:pt>
                <c:pt idx="614">
                  <c:v>2.2975200000000022</c:v>
                </c:pt>
                <c:pt idx="615">
                  <c:v>2.2975200000000022</c:v>
                </c:pt>
                <c:pt idx="616">
                  <c:v>1.8115200000000016</c:v>
                </c:pt>
                <c:pt idx="617">
                  <c:v>2.4595200000000013</c:v>
                </c:pt>
                <c:pt idx="618">
                  <c:v>2.6215200000000038</c:v>
                </c:pt>
                <c:pt idx="619">
                  <c:v>2.6215200000000038</c:v>
                </c:pt>
                <c:pt idx="620">
                  <c:v>2.4595200000000048</c:v>
                </c:pt>
                <c:pt idx="621">
                  <c:v>3.2695200000000035</c:v>
                </c:pt>
                <c:pt idx="622">
                  <c:v>3.1075200000000045</c:v>
                </c:pt>
                <c:pt idx="623">
                  <c:v>3.1075200000000045</c:v>
                </c:pt>
                <c:pt idx="624">
                  <c:v>2.6215200000000038</c:v>
                </c:pt>
                <c:pt idx="625">
                  <c:v>3.2695200000000035</c:v>
                </c:pt>
                <c:pt idx="626">
                  <c:v>3.4315200000000026</c:v>
                </c:pt>
                <c:pt idx="627">
                  <c:v>3.4315200000000026</c:v>
                </c:pt>
                <c:pt idx="628">
                  <c:v>3.2695200000000035</c:v>
                </c:pt>
                <c:pt idx="629">
                  <c:v>4.0795200000000023</c:v>
                </c:pt>
                <c:pt idx="630">
                  <c:v>3.9175200000000032</c:v>
                </c:pt>
                <c:pt idx="631">
                  <c:v>3.9175200000000032</c:v>
                </c:pt>
                <c:pt idx="632">
                  <c:v>3.4315200000000026</c:v>
                </c:pt>
                <c:pt idx="633">
                  <c:v>4.0795200000000023</c:v>
                </c:pt>
                <c:pt idx="634">
                  <c:v>4.2415200000000013</c:v>
                </c:pt>
                <c:pt idx="635">
                  <c:v>4.2415200000000013</c:v>
                </c:pt>
                <c:pt idx="636">
                  <c:v>4.0795200000000023</c:v>
                </c:pt>
                <c:pt idx="637">
                  <c:v>4.889520000000001</c:v>
                </c:pt>
                <c:pt idx="638">
                  <c:v>4.7275200000000019</c:v>
                </c:pt>
                <c:pt idx="639">
                  <c:v>4.7275200000000019</c:v>
                </c:pt>
                <c:pt idx="640">
                  <c:v>4.2415200000000013</c:v>
                </c:pt>
                <c:pt idx="641">
                  <c:v>4.889520000000001</c:v>
                </c:pt>
                <c:pt idx="642">
                  <c:v>5.0515200000000036</c:v>
                </c:pt>
                <c:pt idx="643">
                  <c:v>5.0515200000000036</c:v>
                </c:pt>
                <c:pt idx="644">
                  <c:v>4.8895200000000045</c:v>
                </c:pt>
                <c:pt idx="645">
                  <c:v>5.6995200000000033</c:v>
                </c:pt>
                <c:pt idx="646">
                  <c:v>5.5375200000000042</c:v>
                </c:pt>
                <c:pt idx="647">
                  <c:v>5.5375200000000042</c:v>
                </c:pt>
                <c:pt idx="648">
                  <c:v>5.0515200000000036</c:v>
                </c:pt>
                <c:pt idx="649">
                  <c:v>5.6995200000000033</c:v>
                </c:pt>
                <c:pt idx="650">
                  <c:v>5.8615200000000023</c:v>
                </c:pt>
                <c:pt idx="651">
                  <c:v>5.8615200000000023</c:v>
                </c:pt>
                <c:pt idx="652">
                  <c:v>5.6995200000000033</c:v>
                </c:pt>
                <c:pt idx="653">
                  <c:v>6.509520000000002</c:v>
                </c:pt>
                <c:pt idx="654">
                  <c:v>6.3475200000000029</c:v>
                </c:pt>
                <c:pt idx="655">
                  <c:v>6.3475200000000029</c:v>
                </c:pt>
                <c:pt idx="656">
                  <c:v>5.8615200000000023</c:v>
                </c:pt>
                <c:pt idx="657">
                  <c:v>6.509520000000002</c:v>
                </c:pt>
                <c:pt idx="658">
                  <c:v>6.671520000000001</c:v>
                </c:pt>
                <c:pt idx="659">
                  <c:v>6.671520000000001</c:v>
                </c:pt>
                <c:pt idx="660">
                  <c:v>6.509520000000002</c:v>
                </c:pt>
                <c:pt idx="661">
                  <c:v>7.3195200000000007</c:v>
                </c:pt>
                <c:pt idx="662">
                  <c:v>7.1575200000000017</c:v>
                </c:pt>
                <c:pt idx="663">
                  <c:v>7.1575200000000017</c:v>
                </c:pt>
                <c:pt idx="664">
                  <c:v>6.671520000000001</c:v>
                </c:pt>
                <c:pt idx="665">
                  <c:v>7.3195200000000007</c:v>
                </c:pt>
                <c:pt idx="666">
                  <c:v>7.4815200000000033</c:v>
                </c:pt>
                <c:pt idx="667">
                  <c:v>7.4815200000000033</c:v>
                </c:pt>
                <c:pt idx="668">
                  <c:v>7.3195200000000042</c:v>
                </c:pt>
                <c:pt idx="669">
                  <c:v>8.129520000000003</c:v>
                </c:pt>
                <c:pt idx="670">
                  <c:v>7.9675200000000039</c:v>
                </c:pt>
                <c:pt idx="671">
                  <c:v>7.9675200000000039</c:v>
                </c:pt>
                <c:pt idx="672">
                  <c:v>7.4815200000000033</c:v>
                </c:pt>
                <c:pt idx="673">
                  <c:v>8.129520000000003</c:v>
                </c:pt>
                <c:pt idx="674">
                  <c:v>8.291520000000002</c:v>
                </c:pt>
                <c:pt idx="675">
                  <c:v>8.291520000000002</c:v>
                </c:pt>
                <c:pt idx="676">
                  <c:v>8.129520000000003</c:v>
                </c:pt>
                <c:pt idx="677">
                  <c:v>8.9395200000000017</c:v>
                </c:pt>
                <c:pt idx="678">
                  <c:v>8.7775200000000027</c:v>
                </c:pt>
                <c:pt idx="679">
                  <c:v>8.7775200000000027</c:v>
                </c:pt>
                <c:pt idx="680">
                  <c:v>8.291520000000002</c:v>
                </c:pt>
                <c:pt idx="681">
                  <c:v>8.9395200000000017</c:v>
                </c:pt>
                <c:pt idx="682">
                  <c:v>8.291520000000002</c:v>
                </c:pt>
                <c:pt idx="683">
                  <c:v>8.291520000000002</c:v>
                </c:pt>
                <c:pt idx="684">
                  <c:v>8.129520000000003</c:v>
                </c:pt>
                <c:pt idx="685">
                  <c:v>8.9395200000000017</c:v>
                </c:pt>
                <c:pt idx="686">
                  <c:v>8.7775200000000027</c:v>
                </c:pt>
                <c:pt idx="687">
                  <c:v>8.7775200000000027</c:v>
                </c:pt>
                <c:pt idx="688">
                  <c:v>8.291520000000002</c:v>
                </c:pt>
                <c:pt idx="689">
                  <c:v>8.9395200000000017</c:v>
                </c:pt>
                <c:pt idx="690">
                  <c:v>8.291520000000002</c:v>
                </c:pt>
                <c:pt idx="691">
                  <c:v>8.291520000000002</c:v>
                </c:pt>
                <c:pt idx="692">
                  <c:v>8.129520000000003</c:v>
                </c:pt>
                <c:pt idx="693">
                  <c:v>8.9395200000000017</c:v>
                </c:pt>
                <c:pt idx="694">
                  <c:v>8.7775200000000027</c:v>
                </c:pt>
                <c:pt idx="695">
                  <c:v>8.7775200000000027</c:v>
                </c:pt>
                <c:pt idx="696">
                  <c:v>8.291520000000002</c:v>
                </c:pt>
                <c:pt idx="697">
                  <c:v>8.9395200000000017</c:v>
                </c:pt>
                <c:pt idx="698">
                  <c:v>8.291520000000002</c:v>
                </c:pt>
                <c:pt idx="699">
                  <c:v>8.291520000000002</c:v>
                </c:pt>
                <c:pt idx="700">
                  <c:v>8.129520000000003</c:v>
                </c:pt>
                <c:pt idx="701">
                  <c:v>8.9395200000000017</c:v>
                </c:pt>
                <c:pt idx="702">
                  <c:v>8.7775200000000027</c:v>
                </c:pt>
                <c:pt idx="703">
                  <c:v>8.7775200000000027</c:v>
                </c:pt>
                <c:pt idx="704">
                  <c:v>8.291520000000002</c:v>
                </c:pt>
                <c:pt idx="705">
                  <c:v>8.9395200000000017</c:v>
                </c:pt>
                <c:pt idx="706">
                  <c:v>8.291520000000002</c:v>
                </c:pt>
                <c:pt idx="707">
                  <c:v>8.291520000000002</c:v>
                </c:pt>
                <c:pt idx="708">
                  <c:v>8.129520000000003</c:v>
                </c:pt>
                <c:pt idx="709">
                  <c:v>8.9395200000000017</c:v>
                </c:pt>
                <c:pt idx="710">
                  <c:v>8.7775200000000027</c:v>
                </c:pt>
                <c:pt idx="711">
                  <c:v>8.7775200000000027</c:v>
                </c:pt>
                <c:pt idx="712">
                  <c:v>8.291520000000002</c:v>
                </c:pt>
                <c:pt idx="713">
                  <c:v>8.9395200000000017</c:v>
                </c:pt>
                <c:pt idx="714">
                  <c:v>8.291520000000002</c:v>
                </c:pt>
                <c:pt idx="715">
                  <c:v>8.291520000000002</c:v>
                </c:pt>
                <c:pt idx="716">
                  <c:v>8.129520000000003</c:v>
                </c:pt>
                <c:pt idx="717">
                  <c:v>8.9395200000000017</c:v>
                </c:pt>
                <c:pt idx="718">
                  <c:v>8.7775200000000027</c:v>
                </c:pt>
                <c:pt idx="719">
                  <c:v>8.7775200000000027</c:v>
                </c:pt>
                <c:pt idx="720">
                  <c:v>8.291520000000002</c:v>
                </c:pt>
                <c:pt idx="721">
                  <c:v>8.9395200000000017</c:v>
                </c:pt>
                <c:pt idx="722">
                  <c:v>8.291520000000002</c:v>
                </c:pt>
                <c:pt idx="723">
                  <c:v>8.291520000000002</c:v>
                </c:pt>
                <c:pt idx="724">
                  <c:v>8.129520000000003</c:v>
                </c:pt>
                <c:pt idx="725">
                  <c:v>8.9395200000000017</c:v>
                </c:pt>
                <c:pt idx="726">
                  <c:v>8.7775200000000027</c:v>
                </c:pt>
                <c:pt idx="727">
                  <c:v>8.7775200000000027</c:v>
                </c:pt>
                <c:pt idx="728">
                  <c:v>8.291520000000002</c:v>
                </c:pt>
                <c:pt idx="729">
                  <c:v>8.9395200000000017</c:v>
                </c:pt>
                <c:pt idx="730">
                  <c:v>8.291520000000002</c:v>
                </c:pt>
                <c:pt idx="731">
                  <c:v>8.291520000000002</c:v>
                </c:pt>
                <c:pt idx="732">
                  <c:v>8.129520000000003</c:v>
                </c:pt>
                <c:pt idx="733">
                  <c:v>8.9395200000000017</c:v>
                </c:pt>
                <c:pt idx="734">
                  <c:v>8.7775200000000027</c:v>
                </c:pt>
                <c:pt idx="735">
                  <c:v>8.7775200000000027</c:v>
                </c:pt>
                <c:pt idx="736">
                  <c:v>8.291520000000002</c:v>
                </c:pt>
                <c:pt idx="737">
                  <c:v>8.9395200000000017</c:v>
                </c:pt>
                <c:pt idx="738">
                  <c:v>8.291520000000002</c:v>
                </c:pt>
                <c:pt idx="739">
                  <c:v>8.291520000000002</c:v>
                </c:pt>
                <c:pt idx="740">
                  <c:v>8.129520000000003</c:v>
                </c:pt>
                <c:pt idx="741">
                  <c:v>8.9395200000000017</c:v>
                </c:pt>
                <c:pt idx="742">
                  <c:v>8.7775200000000027</c:v>
                </c:pt>
                <c:pt idx="743">
                  <c:v>8.7775200000000027</c:v>
                </c:pt>
                <c:pt idx="744">
                  <c:v>8.291520000000002</c:v>
                </c:pt>
                <c:pt idx="745">
                  <c:v>8.9395200000000017</c:v>
                </c:pt>
                <c:pt idx="746">
                  <c:v>8.291520000000002</c:v>
                </c:pt>
                <c:pt idx="747">
                  <c:v>8.291520000000002</c:v>
                </c:pt>
                <c:pt idx="748">
                  <c:v>8.129520000000003</c:v>
                </c:pt>
                <c:pt idx="749">
                  <c:v>8.9395200000000017</c:v>
                </c:pt>
                <c:pt idx="750">
                  <c:v>8.7775200000000027</c:v>
                </c:pt>
                <c:pt idx="751">
                  <c:v>8.7775200000000027</c:v>
                </c:pt>
                <c:pt idx="752">
                  <c:v>8.291520000000002</c:v>
                </c:pt>
                <c:pt idx="753">
                  <c:v>8.9395200000000017</c:v>
                </c:pt>
                <c:pt idx="754">
                  <c:v>8.291520000000002</c:v>
                </c:pt>
                <c:pt idx="755">
                  <c:v>8.291520000000002</c:v>
                </c:pt>
                <c:pt idx="756">
                  <c:v>8.129520000000003</c:v>
                </c:pt>
                <c:pt idx="757">
                  <c:v>8.9395200000000017</c:v>
                </c:pt>
                <c:pt idx="758">
                  <c:v>8.7775200000000027</c:v>
                </c:pt>
                <c:pt idx="759">
                  <c:v>8.7775200000000027</c:v>
                </c:pt>
                <c:pt idx="760">
                  <c:v>8.291520000000002</c:v>
                </c:pt>
                <c:pt idx="761">
                  <c:v>8.9395200000000017</c:v>
                </c:pt>
                <c:pt idx="762">
                  <c:v>8.291520000000002</c:v>
                </c:pt>
                <c:pt idx="763">
                  <c:v>8.291520000000002</c:v>
                </c:pt>
                <c:pt idx="764">
                  <c:v>8.129520000000003</c:v>
                </c:pt>
                <c:pt idx="765">
                  <c:v>8.9395200000000017</c:v>
                </c:pt>
                <c:pt idx="766">
                  <c:v>8.7775200000000027</c:v>
                </c:pt>
                <c:pt idx="767">
                  <c:v>8.7775200000000027</c:v>
                </c:pt>
                <c:pt idx="768">
                  <c:v>8.291520000000002</c:v>
                </c:pt>
                <c:pt idx="769">
                  <c:v>8.9395200000000017</c:v>
                </c:pt>
                <c:pt idx="770">
                  <c:v>8.291520000000002</c:v>
                </c:pt>
                <c:pt idx="771">
                  <c:v>8.291520000000002</c:v>
                </c:pt>
                <c:pt idx="772">
                  <c:v>8.129520000000003</c:v>
                </c:pt>
                <c:pt idx="773">
                  <c:v>8.9395200000000017</c:v>
                </c:pt>
                <c:pt idx="774">
                  <c:v>8.7775200000000027</c:v>
                </c:pt>
                <c:pt idx="775">
                  <c:v>8.7775200000000027</c:v>
                </c:pt>
                <c:pt idx="776">
                  <c:v>8.291520000000002</c:v>
                </c:pt>
                <c:pt idx="777">
                  <c:v>8.9395200000000017</c:v>
                </c:pt>
                <c:pt idx="778">
                  <c:v>8.291520000000002</c:v>
                </c:pt>
                <c:pt idx="779">
                  <c:v>8.291520000000002</c:v>
                </c:pt>
                <c:pt idx="780">
                  <c:v>8.129520000000003</c:v>
                </c:pt>
                <c:pt idx="781">
                  <c:v>8.9395200000000017</c:v>
                </c:pt>
                <c:pt idx="782">
                  <c:v>8.7775200000000027</c:v>
                </c:pt>
                <c:pt idx="783">
                  <c:v>8.7775200000000027</c:v>
                </c:pt>
                <c:pt idx="784">
                  <c:v>8.291520000000002</c:v>
                </c:pt>
                <c:pt idx="785">
                  <c:v>8.9395200000000017</c:v>
                </c:pt>
                <c:pt idx="786">
                  <c:v>8.291520000000002</c:v>
                </c:pt>
                <c:pt idx="787">
                  <c:v>8.291520000000002</c:v>
                </c:pt>
                <c:pt idx="788">
                  <c:v>8.129520000000003</c:v>
                </c:pt>
                <c:pt idx="789">
                  <c:v>8.9395200000000017</c:v>
                </c:pt>
                <c:pt idx="790">
                  <c:v>8.7775200000000027</c:v>
                </c:pt>
                <c:pt idx="791">
                  <c:v>8.7775200000000027</c:v>
                </c:pt>
                <c:pt idx="792">
                  <c:v>8.291520000000002</c:v>
                </c:pt>
                <c:pt idx="793">
                  <c:v>8.9395200000000017</c:v>
                </c:pt>
                <c:pt idx="794">
                  <c:v>8.291520000000002</c:v>
                </c:pt>
                <c:pt idx="795">
                  <c:v>8.291520000000002</c:v>
                </c:pt>
                <c:pt idx="796">
                  <c:v>8.129520000000003</c:v>
                </c:pt>
                <c:pt idx="797">
                  <c:v>8.9395200000000017</c:v>
                </c:pt>
                <c:pt idx="798">
                  <c:v>8.7775200000000027</c:v>
                </c:pt>
                <c:pt idx="799">
                  <c:v>8.7775200000000027</c:v>
                </c:pt>
                <c:pt idx="800">
                  <c:v>8.291520000000002</c:v>
                </c:pt>
                <c:pt idx="801">
                  <c:v>8.9395200000000017</c:v>
                </c:pt>
                <c:pt idx="802">
                  <c:v>8.291520000000002</c:v>
                </c:pt>
                <c:pt idx="803">
                  <c:v>8.291520000000002</c:v>
                </c:pt>
                <c:pt idx="804">
                  <c:v>8.129520000000003</c:v>
                </c:pt>
                <c:pt idx="805">
                  <c:v>8.9395200000000017</c:v>
                </c:pt>
                <c:pt idx="806">
                  <c:v>8.7775200000000027</c:v>
                </c:pt>
                <c:pt idx="807">
                  <c:v>8.7775200000000027</c:v>
                </c:pt>
                <c:pt idx="808">
                  <c:v>8.291520000000002</c:v>
                </c:pt>
                <c:pt idx="809">
                  <c:v>8.9395200000000017</c:v>
                </c:pt>
                <c:pt idx="810">
                  <c:v>8.291520000000002</c:v>
                </c:pt>
                <c:pt idx="811">
                  <c:v>8.291520000000002</c:v>
                </c:pt>
                <c:pt idx="812">
                  <c:v>8.129520000000003</c:v>
                </c:pt>
                <c:pt idx="813">
                  <c:v>8.9395200000000017</c:v>
                </c:pt>
                <c:pt idx="814">
                  <c:v>8.7775200000000027</c:v>
                </c:pt>
                <c:pt idx="815">
                  <c:v>8.7775200000000027</c:v>
                </c:pt>
                <c:pt idx="816">
                  <c:v>8.291520000000002</c:v>
                </c:pt>
                <c:pt idx="817">
                  <c:v>8.9395200000000017</c:v>
                </c:pt>
                <c:pt idx="818">
                  <c:v>8.291520000000002</c:v>
                </c:pt>
                <c:pt idx="819">
                  <c:v>8.291520000000002</c:v>
                </c:pt>
                <c:pt idx="820">
                  <c:v>8.129520000000003</c:v>
                </c:pt>
                <c:pt idx="821">
                  <c:v>8.9395200000000017</c:v>
                </c:pt>
                <c:pt idx="822">
                  <c:v>8.7775200000000027</c:v>
                </c:pt>
                <c:pt idx="823">
                  <c:v>8.7775200000000027</c:v>
                </c:pt>
                <c:pt idx="824">
                  <c:v>8.291520000000002</c:v>
                </c:pt>
                <c:pt idx="825">
                  <c:v>8.9395200000000017</c:v>
                </c:pt>
                <c:pt idx="826">
                  <c:v>8.291520000000002</c:v>
                </c:pt>
                <c:pt idx="827">
                  <c:v>8.291520000000002</c:v>
                </c:pt>
                <c:pt idx="828">
                  <c:v>8.129520000000003</c:v>
                </c:pt>
                <c:pt idx="829">
                  <c:v>8.9395200000000017</c:v>
                </c:pt>
                <c:pt idx="830">
                  <c:v>8.7775200000000027</c:v>
                </c:pt>
                <c:pt idx="831">
                  <c:v>8.7775200000000027</c:v>
                </c:pt>
                <c:pt idx="832">
                  <c:v>8.291520000000002</c:v>
                </c:pt>
                <c:pt idx="833">
                  <c:v>8.9395200000000017</c:v>
                </c:pt>
                <c:pt idx="834">
                  <c:v>8.291520000000002</c:v>
                </c:pt>
                <c:pt idx="835">
                  <c:v>8.291520000000002</c:v>
                </c:pt>
                <c:pt idx="836">
                  <c:v>8.129520000000003</c:v>
                </c:pt>
                <c:pt idx="837">
                  <c:v>8.9395200000000017</c:v>
                </c:pt>
                <c:pt idx="838">
                  <c:v>8.7775200000000027</c:v>
                </c:pt>
                <c:pt idx="839">
                  <c:v>8.7775200000000027</c:v>
                </c:pt>
                <c:pt idx="840">
                  <c:v>8.291520000000002</c:v>
                </c:pt>
                <c:pt idx="841">
                  <c:v>8.9395200000000017</c:v>
                </c:pt>
                <c:pt idx="842">
                  <c:v>8.291520000000002</c:v>
                </c:pt>
                <c:pt idx="843">
                  <c:v>8.291520000000002</c:v>
                </c:pt>
                <c:pt idx="844">
                  <c:v>8.129520000000003</c:v>
                </c:pt>
                <c:pt idx="845">
                  <c:v>8.9395200000000017</c:v>
                </c:pt>
                <c:pt idx="846">
                  <c:v>8.7775200000000027</c:v>
                </c:pt>
                <c:pt idx="847">
                  <c:v>8.7775200000000027</c:v>
                </c:pt>
                <c:pt idx="848">
                  <c:v>8.291520000000002</c:v>
                </c:pt>
                <c:pt idx="849">
                  <c:v>8.9395200000000017</c:v>
                </c:pt>
                <c:pt idx="850">
                  <c:v>8.291520000000002</c:v>
                </c:pt>
                <c:pt idx="851">
                  <c:v>8.291520000000002</c:v>
                </c:pt>
                <c:pt idx="852">
                  <c:v>8.129520000000003</c:v>
                </c:pt>
                <c:pt idx="853">
                  <c:v>8.9395200000000017</c:v>
                </c:pt>
                <c:pt idx="854">
                  <c:v>8.7775200000000027</c:v>
                </c:pt>
                <c:pt idx="855">
                  <c:v>8.7775200000000027</c:v>
                </c:pt>
                <c:pt idx="856">
                  <c:v>8.291520000000002</c:v>
                </c:pt>
                <c:pt idx="857">
                  <c:v>8.9395200000000017</c:v>
                </c:pt>
                <c:pt idx="858">
                  <c:v>8.291520000000002</c:v>
                </c:pt>
                <c:pt idx="859">
                  <c:v>8.291520000000002</c:v>
                </c:pt>
                <c:pt idx="860">
                  <c:v>8.129520000000003</c:v>
                </c:pt>
                <c:pt idx="861">
                  <c:v>8.9395200000000017</c:v>
                </c:pt>
                <c:pt idx="862">
                  <c:v>8.7775200000000027</c:v>
                </c:pt>
                <c:pt idx="863">
                  <c:v>8.7775200000000027</c:v>
                </c:pt>
                <c:pt idx="864">
                  <c:v>8.291520000000002</c:v>
                </c:pt>
                <c:pt idx="865">
                  <c:v>8.9395200000000017</c:v>
                </c:pt>
                <c:pt idx="866">
                  <c:v>8.291520000000002</c:v>
                </c:pt>
                <c:pt idx="867">
                  <c:v>8.291520000000002</c:v>
                </c:pt>
                <c:pt idx="868">
                  <c:v>8.129520000000003</c:v>
                </c:pt>
                <c:pt idx="869">
                  <c:v>8.9395200000000017</c:v>
                </c:pt>
                <c:pt idx="870">
                  <c:v>8.7775200000000027</c:v>
                </c:pt>
                <c:pt idx="871">
                  <c:v>8.7775200000000027</c:v>
                </c:pt>
                <c:pt idx="872">
                  <c:v>8.291520000000002</c:v>
                </c:pt>
                <c:pt idx="873">
                  <c:v>8.9395200000000017</c:v>
                </c:pt>
                <c:pt idx="874">
                  <c:v>8.291520000000002</c:v>
                </c:pt>
                <c:pt idx="875">
                  <c:v>8.291520000000002</c:v>
                </c:pt>
                <c:pt idx="876">
                  <c:v>8.129520000000003</c:v>
                </c:pt>
                <c:pt idx="877">
                  <c:v>8.9395200000000017</c:v>
                </c:pt>
                <c:pt idx="878">
                  <c:v>8.7775200000000027</c:v>
                </c:pt>
                <c:pt idx="879">
                  <c:v>8.7775200000000027</c:v>
                </c:pt>
                <c:pt idx="880">
                  <c:v>8.291520000000002</c:v>
                </c:pt>
                <c:pt idx="881">
                  <c:v>8.9395200000000017</c:v>
                </c:pt>
                <c:pt idx="882">
                  <c:v>8.291520000000002</c:v>
                </c:pt>
                <c:pt idx="883">
                  <c:v>8.291520000000002</c:v>
                </c:pt>
                <c:pt idx="884">
                  <c:v>8.129520000000003</c:v>
                </c:pt>
                <c:pt idx="885">
                  <c:v>8.9395200000000017</c:v>
                </c:pt>
                <c:pt idx="886">
                  <c:v>8.7775200000000027</c:v>
                </c:pt>
                <c:pt idx="887">
                  <c:v>8.7775200000000027</c:v>
                </c:pt>
                <c:pt idx="888">
                  <c:v>8.291520000000002</c:v>
                </c:pt>
                <c:pt idx="889">
                  <c:v>8.9395200000000017</c:v>
                </c:pt>
                <c:pt idx="890">
                  <c:v>8.291520000000002</c:v>
                </c:pt>
                <c:pt idx="891">
                  <c:v>8.291520000000002</c:v>
                </c:pt>
                <c:pt idx="892">
                  <c:v>8.129520000000003</c:v>
                </c:pt>
                <c:pt idx="893">
                  <c:v>8.9395200000000017</c:v>
                </c:pt>
                <c:pt idx="894">
                  <c:v>8.7775200000000027</c:v>
                </c:pt>
                <c:pt idx="895">
                  <c:v>8.7775200000000027</c:v>
                </c:pt>
                <c:pt idx="896">
                  <c:v>8.291520000000002</c:v>
                </c:pt>
                <c:pt idx="897">
                  <c:v>8.9395200000000017</c:v>
                </c:pt>
                <c:pt idx="898">
                  <c:v>8.291520000000002</c:v>
                </c:pt>
                <c:pt idx="899">
                  <c:v>8.291520000000002</c:v>
                </c:pt>
                <c:pt idx="900">
                  <c:v>8.129520000000003</c:v>
                </c:pt>
                <c:pt idx="901">
                  <c:v>8.9395200000000017</c:v>
                </c:pt>
                <c:pt idx="902">
                  <c:v>8.7775200000000027</c:v>
                </c:pt>
                <c:pt idx="903">
                  <c:v>8.7775200000000027</c:v>
                </c:pt>
                <c:pt idx="904">
                  <c:v>8.291520000000002</c:v>
                </c:pt>
                <c:pt idx="905">
                  <c:v>8.9395200000000017</c:v>
                </c:pt>
                <c:pt idx="906">
                  <c:v>8.291520000000002</c:v>
                </c:pt>
                <c:pt idx="907">
                  <c:v>8.291520000000002</c:v>
                </c:pt>
                <c:pt idx="908">
                  <c:v>8.129520000000003</c:v>
                </c:pt>
                <c:pt idx="909">
                  <c:v>8.9395200000000017</c:v>
                </c:pt>
                <c:pt idx="910">
                  <c:v>8.7775200000000027</c:v>
                </c:pt>
                <c:pt idx="911">
                  <c:v>8.7775200000000027</c:v>
                </c:pt>
                <c:pt idx="912">
                  <c:v>8.291520000000002</c:v>
                </c:pt>
                <c:pt idx="913">
                  <c:v>8.9395200000000017</c:v>
                </c:pt>
                <c:pt idx="914">
                  <c:v>8.291520000000002</c:v>
                </c:pt>
                <c:pt idx="915">
                  <c:v>8.291520000000002</c:v>
                </c:pt>
                <c:pt idx="916">
                  <c:v>8.129520000000003</c:v>
                </c:pt>
                <c:pt idx="917">
                  <c:v>8.9395200000000017</c:v>
                </c:pt>
                <c:pt idx="918">
                  <c:v>8.7775200000000027</c:v>
                </c:pt>
                <c:pt idx="919">
                  <c:v>8.7775200000000027</c:v>
                </c:pt>
                <c:pt idx="920">
                  <c:v>8.291520000000002</c:v>
                </c:pt>
                <c:pt idx="921">
                  <c:v>8.9395200000000017</c:v>
                </c:pt>
                <c:pt idx="922">
                  <c:v>8.291520000000002</c:v>
                </c:pt>
                <c:pt idx="923">
                  <c:v>8.291520000000002</c:v>
                </c:pt>
                <c:pt idx="924">
                  <c:v>8.129520000000003</c:v>
                </c:pt>
                <c:pt idx="925">
                  <c:v>8.9395200000000017</c:v>
                </c:pt>
                <c:pt idx="926">
                  <c:v>8.7775200000000027</c:v>
                </c:pt>
                <c:pt idx="927">
                  <c:v>8.7775200000000027</c:v>
                </c:pt>
                <c:pt idx="928">
                  <c:v>8.291520000000002</c:v>
                </c:pt>
                <c:pt idx="929">
                  <c:v>8.9395200000000017</c:v>
                </c:pt>
                <c:pt idx="930">
                  <c:v>8.291520000000002</c:v>
                </c:pt>
                <c:pt idx="931">
                  <c:v>8.291520000000002</c:v>
                </c:pt>
                <c:pt idx="932">
                  <c:v>8.129520000000003</c:v>
                </c:pt>
                <c:pt idx="933">
                  <c:v>8.9395200000000017</c:v>
                </c:pt>
                <c:pt idx="934">
                  <c:v>8.7775200000000027</c:v>
                </c:pt>
                <c:pt idx="935">
                  <c:v>8.7775200000000027</c:v>
                </c:pt>
                <c:pt idx="936">
                  <c:v>8.291520000000002</c:v>
                </c:pt>
                <c:pt idx="937">
                  <c:v>8.9395200000000017</c:v>
                </c:pt>
                <c:pt idx="938">
                  <c:v>8.291520000000002</c:v>
                </c:pt>
                <c:pt idx="939">
                  <c:v>8.291520000000002</c:v>
                </c:pt>
                <c:pt idx="940">
                  <c:v>8.129520000000003</c:v>
                </c:pt>
                <c:pt idx="941">
                  <c:v>8.9395200000000017</c:v>
                </c:pt>
                <c:pt idx="942">
                  <c:v>8.7775200000000027</c:v>
                </c:pt>
                <c:pt idx="943">
                  <c:v>8.7775200000000027</c:v>
                </c:pt>
                <c:pt idx="944">
                  <c:v>8.291520000000002</c:v>
                </c:pt>
                <c:pt idx="945">
                  <c:v>8.9395200000000017</c:v>
                </c:pt>
                <c:pt idx="946">
                  <c:v>8.291520000000002</c:v>
                </c:pt>
                <c:pt idx="947">
                  <c:v>8.291520000000002</c:v>
                </c:pt>
                <c:pt idx="948">
                  <c:v>8.129520000000003</c:v>
                </c:pt>
                <c:pt idx="949">
                  <c:v>8.9395200000000017</c:v>
                </c:pt>
                <c:pt idx="950">
                  <c:v>8.7775200000000027</c:v>
                </c:pt>
                <c:pt idx="951">
                  <c:v>8.7775200000000027</c:v>
                </c:pt>
                <c:pt idx="952">
                  <c:v>8.291520000000002</c:v>
                </c:pt>
                <c:pt idx="953">
                  <c:v>8.9395200000000017</c:v>
                </c:pt>
                <c:pt idx="954">
                  <c:v>8.291520000000002</c:v>
                </c:pt>
                <c:pt idx="955">
                  <c:v>8.291520000000002</c:v>
                </c:pt>
                <c:pt idx="956">
                  <c:v>8.129520000000003</c:v>
                </c:pt>
                <c:pt idx="957">
                  <c:v>8.9395200000000017</c:v>
                </c:pt>
                <c:pt idx="958">
                  <c:v>8.7775200000000027</c:v>
                </c:pt>
                <c:pt idx="959">
                  <c:v>8.7775200000000027</c:v>
                </c:pt>
                <c:pt idx="960">
                  <c:v>8.291520000000002</c:v>
                </c:pt>
                <c:pt idx="961">
                  <c:v>8.9395200000000017</c:v>
                </c:pt>
                <c:pt idx="962">
                  <c:v>8.9395200000000017</c:v>
                </c:pt>
                <c:pt idx="963">
                  <c:v>-11.310479999999998</c:v>
                </c:pt>
                <c:pt idx="964">
                  <c:v>-11.148479999999999</c:v>
                </c:pt>
                <c:pt idx="965">
                  <c:v>-11.148479999999999</c:v>
                </c:pt>
                <c:pt idx="966">
                  <c:v>-11.310479999999998</c:v>
                </c:pt>
                <c:pt idx="967">
                  <c:v>-10.500479999999998</c:v>
                </c:pt>
                <c:pt idx="968">
                  <c:v>-10.662479999999999</c:v>
                </c:pt>
                <c:pt idx="969">
                  <c:v>-10.662479999999999</c:v>
                </c:pt>
                <c:pt idx="970">
                  <c:v>-11.148479999999999</c:v>
                </c:pt>
                <c:pt idx="971">
                  <c:v>-10.500479999999998</c:v>
                </c:pt>
                <c:pt idx="972">
                  <c:v>-10.338479999999997</c:v>
                </c:pt>
                <c:pt idx="973">
                  <c:v>-10.338479999999997</c:v>
                </c:pt>
                <c:pt idx="974">
                  <c:v>-10.500479999999998</c:v>
                </c:pt>
                <c:pt idx="975">
                  <c:v>-9.6904799999999973</c:v>
                </c:pt>
                <c:pt idx="976">
                  <c:v>-9.8524799999999981</c:v>
                </c:pt>
                <c:pt idx="977">
                  <c:v>-9.8524799999999981</c:v>
                </c:pt>
                <c:pt idx="978">
                  <c:v>-10.338479999999997</c:v>
                </c:pt>
                <c:pt idx="979">
                  <c:v>-9.6904799999999973</c:v>
                </c:pt>
                <c:pt idx="980">
                  <c:v>-9.5284799999999965</c:v>
                </c:pt>
                <c:pt idx="981">
                  <c:v>-9.5284799999999965</c:v>
                </c:pt>
                <c:pt idx="982">
                  <c:v>-9.6904799999999973</c:v>
                </c:pt>
                <c:pt idx="983">
                  <c:v>-8.8804799999999968</c:v>
                </c:pt>
                <c:pt idx="984">
                  <c:v>-9.0424799999999976</c:v>
                </c:pt>
                <c:pt idx="985">
                  <c:v>-9.0424799999999976</c:v>
                </c:pt>
                <c:pt idx="986">
                  <c:v>-9.5284799999999965</c:v>
                </c:pt>
                <c:pt idx="987">
                  <c:v>-8.8804799999999968</c:v>
                </c:pt>
                <c:pt idx="988">
                  <c:v>-8.7184799999999978</c:v>
                </c:pt>
                <c:pt idx="989">
                  <c:v>-8.7184799999999978</c:v>
                </c:pt>
                <c:pt idx="990">
                  <c:v>-8.8804799999999986</c:v>
                </c:pt>
                <c:pt idx="991">
                  <c:v>-8.0704799999999981</c:v>
                </c:pt>
                <c:pt idx="992">
                  <c:v>-8.2324799999999989</c:v>
                </c:pt>
                <c:pt idx="993">
                  <c:v>-8.2324799999999989</c:v>
                </c:pt>
                <c:pt idx="994">
                  <c:v>-8.7184799999999978</c:v>
                </c:pt>
                <c:pt idx="995">
                  <c:v>-8.0704799999999981</c:v>
                </c:pt>
                <c:pt idx="996">
                  <c:v>-7.9084799999999973</c:v>
                </c:pt>
                <c:pt idx="997">
                  <c:v>-7.9084799999999973</c:v>
                </c:pt>
                <c:pt idx="998">
                  <c:v>-8.0704799999999981</c:v>
                </c:pt>
                <c:pt idx="999">
                  <c:v>-7.2604799999999976</c:v>
                </c:pt>
                <c:pt idx="1000">
                  <c:v>-7.4224799999999984</c:v>
                </c:pt>
                <c:pt idx="1001">
                  <c:v>-7.4224799999999984</c:v>
                </c:pt>
                <c:pt idx="1002">
                  <c:v>-7.9084799999999973</c:v>
                </c:pt>
                <c:pt idx="1003">
                  <c:v>-7.2604799999999976</c:v>
                </c:pt>
                <c:pt idx="1004">
                  <c:v>-7.0984799999999968</c:v>
                </c:pt>
                <c:pt idx="1005">
                  <c:v>-7.0984799999999968</c:v>
                </c:pt>
                <c:pt idx="1006">
                  <c:v>-7.2604799999999976</c:v>
                </c:pt>
                <c:pt idx="1007">
                  <c:v>-6.4504799999999971</c:v>
                </c:pt>
                <c:pt idx="1008">
                  <c:v>-6.6124799999999979</c:v>
                </c:pt>
                <c:pt idx="1009">
                  <c:v>-6.6124799999999979</c:v>
                </c:pt>
                <c:pt idx="1010">
                  <c:v>-7.0984799999999968</c:v>
                </c:pt>
                <c:pt idx="1011">
                  <c:v>-6.4504799999999971</c:v>
                </c:pt>
                <c:pt idx="1012">
                  <c:v>-6.2884799999999981</c:v>
                </c:pt>
                <c:pt idx="1013">
                  <c:v>-6.2884799999999981</c:v>
                </c:pt>
                <c:pt idx="1014">
                  <c:v>-6.4504799999999989</c:v>
                </c:pt>
                <c:pt idx="1015">
                  <c:v>-5.6404799999999984</c:v>
                </c:pt>
                <c:pt idx="1016">
                  <c:v>-5.8024799999999992</c:v>
                </c:pt>
                <c:pt idx="1017">
                  <c:v>-5.8024799999999992</c:v>
                </c:pt>
                <c:pt idx="1018">
                  <c:v>-6.2884799999999981</c:v>
                </c:pt>
                <c:pt idx="1019">
                  <c:v>-5.6404799999999984</c:v>
                </c:pt>
                <c:pt idx="1020">
                  <c:v>-5.4784799999999976</c:v>
                </c:pt>
                <c:pt idx="1021">
                  <c:v>-5.4784799999999976</c:v>
                </c:pt>
                <c:pt idx="1022">
                  <c:v>-5.6404799999999984</c:v>
                </c:pt>
                <c:pt idx="1023">
                  <c:v>-4.8304799999999979</c:v>
                </c:pt>
                <c:pt idx="1024">
                  <c:v>-4.9924799999999987</c:v>
                </c:pt>
                <c:pt idx="1025">
                  <c:v>-4.9924799999999987</c:v>
                </c:pt>
                <c:pt idx="1026">
                  <c:v>-5.4784799999999976</c:v>
                </c:pt>
                <c:pt idx="1027">
                  <c:v>-4.8304799999999979</c:v>
                </c:pt>
                <c:pt idx="1028">
                  <c:v>-4.6684799999999971</c:v>
                </c:pt>
                <c:pt idx="1029">
                  <c:v>-4.6684799999999971</c:v>
                </c:pt>
                <c:pt idx="1030">
                  <c:v>-4.8304799999999979</c:v>
                </c:pt>
                <c:pt idx="1031">
                  <c:v>-4.0204799999999974</c:v>
                </c:pt>
                <c:pt idx="1032">
                  <c:v>-4.1824799999999982</c:v>
                </c:pt>
                <c:pt idx="1033">
                  <c:v>-4.1824799999999982</c:v>
                </c:pt>
                <c:pt idx="1034">
                  <c:v>-4.6684799999999971</c:v>
                </c:pt>
                <c:pt idx="1035">
                  <c:v>-4.0204799999999974</c:v>
                </c:pt>
                <c:pt idx="1036">
                  <c:v>-3.8584799999999966</c:v>
                </c:pt>
                <c:pt idx="1037">
                  <c:v>-3.8584799999999966</c:v>
                </c:pt>
                <c:pt idx="1038">
                  <c:v>-4.0204799999999974</c:v>
                </c:pt>
                <c:pt idx="1039">
                  <c:v>-3.2104799999999969</c:v>
                </c:pt>
                <c:pt idx="1040">
                  <c:v>-3.3724799999999977</c:v>
                </c:pt>
                <c:pt idx="1041">
                  <c:v>-3.3724799999999977</c:v>
                </c:pt>
                <c:pt idx="1042">
                  <c:v>-3.8584799999999966</c:v>
                </c:pt>
                <c:pt idx="1043">
                  <c:v>-3.2104799999999969</c:v>
                </c:pt>
                <c:pt idx="1044">
                  <c:v>-3.0484799999999961</c:v>
                </c:pt>
                <c:pt idx="1045">
                  <c:v>-3.0484799999999961</c:v>
                </c:pt>
                <c:pt idx="1046">
                  <c:v>-3.2104799999999969</c:v>
                </c:pt>
                <c:pt idx="1047">
                  <c:v>-2.4004799999999964</c:v>
                </c:pt>
                <c:pt idx="1048">
                  <c:v>-2.5624799999999972</c:v>
                </c:pt>
                <c:pt idx="1049">
                  <c:v>-2.5624799999999972</c:v>
                </c:pt>
                <c:pt idx="1050">
                  <c:v>-3.0484799999999961</c:v>
                </c:pt>
                <c:pt idx="1051">
                  <c:v>-2.4004799999999964</c:v>
                </c:pt>
                <c:pt idx="1052">
                  <c:v>-2.2384799999999974</c:v>
                </c:pt>
                <c:pt idx="1053">
                  <c:v>-2.2384799999999974</c:v>
                </c:pt>
                <c:pt idx="1054">
                  <c:v>-2.4004799999999982</c:v>
                </c:pt>
                <c:pt idx="1055">
                  <c:v>-1.5904799999999994</c:v>
                </c:pt>
                <c:pt idx="1056">
                  <c:v>-1.7524799999999985</c:v>
                </c:pt>
                <c:pt idx="1057">
                  <c:v>-1.7524799999999985</c:v>
                </c:pt>
                <c:pt idx="1058">
                  <c:v>-2.2384799999999974</c:v>
                </c:pt>
                <c:pt idx="1059">
                  <c:v>-1.5904799999999994</c:v>
                </c:pt>
                <c:pt idx="1060">
                  <c:v>-1.4284800000000004</c:v>
                </c:pt>
                <c:pt idx="1061">
                  <c:v>-1.4284800000000004</c:v>
                </c:pt>
                <c:pt idx="1062">
                  <c:v>-1.5904799999999994</c:v>
                </c:pt>
                <c:pt idx="1063">
                  <c:v>-0.78048000000000073</c:v>
                </c:pt>
                <c:pt idx="1064">
                  <c:v>-0.94247999999999976</c:v>
                </c:pt>
                <c:pt idx="1065">
                  <c:v>-0.94247999999999976</c:v>
                </c:pt>
                <c:pt idx="1066">
                  <c:v>-1.4284800000000004</c:v>
                </c:pt>
                <c:pt idx="1067">
                  <c:v>-0.78048000000000073</c:v>
                </c:pt>
                <c:pt idx="1068">
                  <c:v>-0.61847999999999814</c:v>
                </c:pt>
                <c:pt idx="1069">
                  <c:v>-0.61847999999999814</c:v>
                </c:pt>
                <c:pt idx="1070">
                  <c:v>-0.78047999999999718</c:v>
                </c:pt>
                <c:pt idx="1071">
                  <c:v>2.9520000000001545E-2</c:v>
                </c:pt>
                <c:pt idx="1072">
                  <c:v>-0.13247999999999749</c:v>
                </c:pt>
                <c:pt idx="1073">
                  <c:v>-0.13247999999999749</c:v>
                </c:pt>
                <c:pt idx="1074">
                  <c:v>-0.61847999999999814</c:v>
                </c:pt>
                <c:pt idx="1075">
                  <c:v>2.9520000000001545E-2</c:v>
                </c:pt>
                <c:pt idx="1076">
                  <c:v>0.19152000000000058</c:v>
                </c:pt>
                <c:pt idx="1077">
                  <c:v>0.19152000000000058</c:v>
                </c:pt>
                <c:pt idx="1078">
                  <c:v>2.9520000000001545E-2</c:v>
                </c:pt>
                <c:pt idx="1079">
                  <c:v>0.83952000000000027</c:v>
                </c:pt>
                <c:pt idx="1080">
                  <c:v>0.67752000000000123</c:v>
                </c:pt>
                <c:pt idx="1081">
                  <c:v>0.67752000000000123</c:v>
                </c:pt>
                <c:pt idx="1082">
                  <c:v>0.19152000000000058</c:v>
                </c:pt>
                <c:pt idx="1083">
                  <c:v>0.83952000000000027</c:v>
                </c:pt>
                <c:pt idx="1084">
                  <c:v>1.0015199999999993</c:v>
                </c:pt>
                <c:pt idx="1085">
                  <c:v>1.0015199999999993</c:v>
                </c:pt>
                <c:pt idx="1086">
                  <c:v>0.83952000000000027</c:v>
                </c:pt>
                <c:pt idx="1087">
                  <c:v>1.649519999999999</c:v>
                </c:pt>
                <c:pt idx="1088">
                  <c:v>1.48752</c:v>
                </c:pt>
                <c:pt idx="1089">
                  <c:v>1.48752</c:v>
                </c:pt>
                <c:pt idx="1090">
                  <c:v>1.0015199999999993</c:v>
                </c:pt>
                <c:pt idx="1091">
                  <c:v>1.649519999999999</c:v>
                </c:pt>
                <c:pt idx="1092">
                  <c:v>1.8115200000000016</c:v>
                </c:pt>
                <c:pt idx="1093">
                  <c:v>1.8115200000000016</c:v>
                </c:pt>
                <c:pt idx="1094">
                  <c:v>1.6495200000000025</c:v>
                </c:pt>
                <c:pt idx="1095">
                  <c:v>2.4595200000000013</c:v>
                </c:pt>
                <c:pt idx="1096">
                  <c:v>2.2975200000000022</c:v>
                </c:pt>
                <c:pt idx="1097">
                  <c:v>2.2975200000000022</c:v>
                </c:pt>
                <c:pt idx="1098">
                  <c:v>1.8115200000000016</c:v>
                </c:pt>
                <c:pt idx="1099">
                  <c:v>2.4595200000000013</c:v>
                </c:pt>
                <c:pt idx="1100">
                  <c:v>2.6215200000000038</c:v>
                </c:pt>
                <c:pt idx="1101">
                  <c:v>2.6215200000000038</c:v>
                </c:pt>
                <c:pt idx="1102">
                  <c:v>2.4595200000000048</c:v>
                </c:pt>
                <c:pt idx="1103">
                  <c:v>3.2695200000000035</c:v>
                </c:pt>
                <c:pt idx="1104">
                  <c:v>3.1075200000000045</c:v>
                </c:pt>
                <c:pt idx="1105">
                  <c:v>3.1075200000000045</c:v>
                </c:pt>
                <c:pt idx="1106">
                  <c:v>2.6215200000000038</c:v>
                </c:pt>
                <c:pt idx="1107">
                  <c:v>3.2695200000000035</c:v>
                </c:pt>
                <c:pt idx="1108">
                  <c:v>3.4315200000000026</c:v>
                </c:pt>
                <c:pt idx="1109">
                  <c:v>3.4315200000000026</c:v>
                </c:pt>
                <c:pt idx="1110">
                  <c:v>3.2695200000000035</c:v>
                </c:pt>
                <c:pt idx="1111">
                  <c:v>4.0795200000000023</c:v>
                </c:pt>
                <c:pt idx="1112">
                  <c:v>3.9175200000000032</c:v>
                </c:pt>
                <c:pt idx="1113">
                  <c:v>3.9175200000000032</c:v>
                </c:pt>
                <c:pt idx="1114">
                  <c:v>3.4315200000000026</c:v>
                </c:pt>
                <c:pt idx="1115">
                  <c:v>4.0795200000000023</c:v>
                </c:pt>
                <c:pt idx="1116">
                  <c:v>4.2415200000000013</c:v>
                </c:pt>
                <c:pt idx="1117">
                  <c:v>4.2415200000000013</c:v>
                </c:pt>
                <c:pt idx="1118">
                  <c:v>4.0795200000000023</c:v>
                </c:pt>
                <c:pt idx="1119">
                  <c:v>4.889520000000001</c:v>
                </c:pt>
                <c:pt idx="1120">
                  <c:v>4.7275200000000019</c:v>
                </c:pt>
                <c:pt idx="1121">
                  <c:v>4.7275200000000019</c:v>
                </c:pt>
                <c:pt idx="1122">
                  <c:v>4.2415200000000013</c:v>
                </c:pt>
                <c:pt idx="1123">
                  <c:v>4.889520000000001</c:v>
                </c:pt>
                <c:pt idx="1124">
                  <c:v>5.0515200000000036</c:v>
                </c:pt>
                <c:pt idx="1125">
                  <c:v>5.0515200000000036</c:v>
                </c:pt>
                <c:pt idx="1126">
                  <c:v>4.8895200000000045</c:v>
                </c:pt>
                <c:pt idx="1127">
                  <c:v>5.6995200000000033</c:v>
                </c:pt>
                <c:pt idx="1128">
                  <c:v>5.5375200000000042</c:v>
                </c:pt>
                <c:pt idx="1129">
                  <c:v>5.5375200000000042</c:v>
                </c:pt>
                <c:pt idx="1130">
                  <c:v>5.0515200000000036</c:v>
                </c:pt>
                <c:pt idx="1131">
                  <c:v>5.6995200000000033</c:v>
                </c:pt>
                <c:pt idx="1132">
                  <c:v>5.8615200000000023</c:v>
                </c:pt>
                <c:pt idx="1133">
                  <c:v>5.8615200000000023</c:v>
                </c:pt>
                <c:pt idx="1134">
                  <c:v>5.6995200000000033</c:v>
                </c:pt>
                <c:pt idx="1135">
                  <c:v>6.509520000000002</c:v>
                </c:pt>
                <c:pt idx="1136">
                  <c:v>6.3475200000000029</c:v>
                </c:pt>
                <c:pt idx="1137">
                  <c:v>6.3475200000000029</c:v>
                </c:pt>
                <c:pt idx="1138">
                  <c:v>5.8615200000000023</c:v>
                </c:pt>
                <c:pt idx="1139">
                  <c:v>6.509520000000002</c:v>
                </c:pt>
                <c:pt idx="1140">
                  <c:v>6.671520000000001</c:v>
                </c:pt>
                <c:pt idx="1141">
                  <c:v>6.671520000000001</c:v>
                </c:pt>
                <c:pt idx="1142">
                  <c:v>6.509520000000002</c:v>
                </c:pt>
                <c:pt idx="1143">
                  <c:v>7.3195200000000007</c:v>
                </c:pt>
                <c:pt idx="1144">
                  <c:v>7.1575200000000017</c:v>
                </c:pt>
                <c:pt idx="1145">
                  <c:v>7.1575200000000017</c:v>
                </c:pt>
                <c:pt idx="1146">
                  <c:v>6.671520000000001</c:v>
                </c:pt>
                <c:pt idx="1147">
                  <c:v>7.3195200000000007</c:v>
                </c:pt>
                <c:pt idx="1148">
                  <c:v>7.4815200000000033</c:v>
                </c:pt>
                <c:pt idx="1149">
                  <c:v>7.4815200000000033</c:v>
                </c:pt>
                <c:pt idx="1150">
                  <c:v>7.3195200000000042</c:v>
                </c:pt>
                <c:pt idx="1151">
                  <c:v>8.129520000000003</c:v>
                </c:pt>
                <c:pt idx="1152">
                  <c:v>7.9675200000000039</c:v>
                </c:pt>
                <c:pt idx="1153">
                  <c:v>7.9675200000000039</c:v>
                </c:pt>
                <c:pt idx="1154">
                  <c:v>7.4815200000000033</c:v>
                </c:pt>
                <c:pt idx="1155">
                  <c:v>8.129520000000003</c:v>
                </c:pt>
                <c:pt idx="1156">
                  <c:v>8.291520000000002</c:v>
                </c:pt>
                <c:pt idx="1157">
                  <c:v>8.291520000000002</c:v>
                </c:pt>
                <c:pt idx="1158">
                  <c:v>8.129520000000003</c:v>
                </c:pt>
                <c:pt idx="1159">
                  <c:v>8.9395200000000017</c:v>
                </c:pt>
                <c:pt idx="1160">
                  <c:v>8.7775200000000027</c:v>
                </c:pt>
                <c:pt idx="1161">
                  <c:v>8.7775200000000027</c:v>
                </c:pt>
                <c:pt idx="1162">
                  <c:v>8.291520000000002</c:v>
                </c:pt>
                <c:pt idx="1163">
                  <c:v>8.9395200000000017</c:v>
                </c:pt>
                <c:pt idx="1164">
                  <c:v>8.291520000000002</c:v>
                </c:pt>
                <c:pt idx="1165">
                  <c:v>8.291520000000002</c:v>
                </c:pt>
                <c:pt idx="1166">
                  <c:v>8.129520000000003</c:v>
                </c:pt>
                <c:pt idx="1167">
                  <c:v>8.9395200000000017</c:v>
                </c:pt>
                <c:pt idx="1168">
                  <c:v>8.7775200000000027</c:v>
                </c:pt>
                <c:pt idx="1169">
                  <c:v>8.7775200000000027</c:v>
                </c:pt>
                <c:pt idx="1170">
                  <c:v>8.291520000000002</c:v>
                </c:pt>
                <c:pt idx="1171">
                  <c:v>8.9395200000000017</c:v>
                </c:pt>
                <c:pt idx="1172">
                  <c:v>8.291520000000002</c:v>
                </c:pt>
                <c:pt idx="1173">
                  <c:v>8.291520000000002</c:v>
                </c:pt>
                <c:pt idx="1174">
                  <c:v>8.129520000000003</c:v>
                </c:pt>
                <c:pt idx="1175">
                  <c:v>8.9395200000000017</c:v>
                </c:pt>
                <c:pt idx="1176">
                  <c:v>8.7775200000000027</c:v>
                </c:pt>
                <c:pt idx="1177">
                  <c:v>8.7775200000000027</c:v>
                </c:pt>
                <c:pt idx="1178">
                  <c:v>8.291520000000002</c:v>
                </c:pt>
                <c:pt idx="1179">
                  <c:v>8.9395200000000017</c:v>
                </c:pt>
                <c:pt idx="1180">
                  <c:v>8.291520000000002</c:v>
                </c:pt>
                <c:pt idx="1181">
                  <c:v>8.291520000000002</c:v>
                </c:pt>
                <c:pt idx="1182">
                  <c:v>8.129520000000003</c:v>
                </c:pt>
                <c:pt idx="1183">
                  <c:v>8.9395200000000017</c:v>
                </c:pt>
                <c:pt idx="1184">
                  <c:v>8.7775200000000027</c:v>
                </c:pt>
                <c:pt idx="1185">
                  <c:v>8.7775200000000027</c:v>
                </c:pt>
                <c:pt idx="1186">
                  <c:v>8.291520000000002</c:v>
                </c:pt>
                <c:pt idx="1187">
                  <c:v>8.9395200000000017</c:v>
                </c:pt>
                <c:pt idx="1188">
                  <c:v>8.291520000000002</c:v>
                </c:pt>
                <c:pt idx="1189">
                  <c:v>8.291520000000002</c:v>
                </c:pt>
                <c:pt idx="1190">
                  <c:v>8.129520000000003</c:v>
                </c:pt>
                <c:pt idx="1191">
                  <c:v>8.9395200000000017</c:v>
                </c:pt>
                <c:pt idx="1192">
                  <c:v>8.7775200000000027</c:v>
                </c:pt>
                <c:pt idx="1193">
                  <c:v>8.7775200000000027</c:v>
                </c:pt>
                <c:pt idx="1194">
                  <c:v>8.291520000000002</c:v>
                </c:pt>
                <c:pt idx="1195">
                  <c:v>8.9395200000000017</c:v>
                </c:pt>
                <c:pt idx="1196">
                  <c:v>8.291520000000002</c:v>
                </c:pt>
                <c:pt idx="1197">
                  <c:v>8.291520000000002</c:v>
                </c:pt>
                <c:pt idx="1198">
                  <c:v>8.129520000000003</c:v>
                </c:pt>
                <c:pt idx="1199">
                  <c:v>8.9395200000000017</c:v>
                </c:pt>
                <c:pt idx="1200">
                  <c:v>8.7775200000000027</c:v>
                </c:pt>
                <c:pt idx="1201">
                  <c:v>8.7775200000000027</c:v>
                </c:pt>
                <c:pt idx="1202">
                  <c:v>8.291520000000002</c:v>
                </c:pt>
                <c:pt idx="1203">
                  <c:v>8.9395200000000017</c:v>
                </c:pt>
                <c:pt idx="1204">
                  <c:v>8.291520000000002</c:v>
                </c:pt>
                <c:pt idx="1205">
                  <c:v>8.291520000000002</c:v>
                </c:pt>
                <c:pt idx="1206">
                  <c:v>8.129520000000003</c:v>
                </c:pt>
                <c:pt idx="1207">
                  <c:v>8.9395200000000017</c:v>
                </c:pt>
                <c:pt idx="1208">
                  <c:v>8.7775200000000027</c:v>
                </c:pt>
                <c:pt idx="1209">
                  <c:v>8.7775200000000027</c:v>
                </c:pt>
                <c:pt idx="1210">
                  <c:v>8.291520000000002</c:v>
                </c:pt>
                <c:pt idx="1211">
                  <c:v>8.9395200000000017</c:v>
                </c:pt>
                <c:pt idx="1212">
                  <c:v>8.291520000000002</c:v>
                </c:pt>
                <c:pt idx="1213">
                  <c:v>8.291520000000002</c:v>
                </c:pt>
                <c:pt idx="1214">
                  <c:v>8.129520000000003</c:v>
                </c:pt>
                <c:pt idx="1215">
                  <c:v>8.9395200000000017</c:v>
                </c:pt>
                <c:pt idx="1216">
                  <c:v>8.7775200000000027</c:v>
                </c:pt>
                <c:pt idx="1217">
                  <c:v>8.7775200000000027</c:v>
                </c:pt>
                <c:pt idx="1218">
                  <c:v>8.291520000000002</c:v>
                </c:pt>
                <c:pt idx="1219">
                  <c:v>8.9395200000000017</c:v>
                </c:pt>
                <c:pt idx="1220">
                  <c:v>8.291520000000002</c:v>
                </c:pt>
                <c:pt idx="1221">
                  <c:v>8.291520000000002</c:v>
                </c:pt>
                <c:pt idx="1222">
                  <c:v>8.129520000000003</c:v>
                </c:pt>
                <c:pt idx="1223">
                  <c:v>8.9395200000000017</c:v>
                </c:pt>
                <c:pt idx="1224">
                  <c:v>8.7775200000000027</c:v>
                </c:pt>
                <c:pt idx="1225">
                  <c:v>8.7775200000000027</c:v>
                </c:pt>
                <c:pt idx="1226">
                  <c:v>8.291520000000002</c:v>
                </c:pt>
                <c:pt idx="1227">
                  <c:v>8.9395200000000017</c:v>
                </c:pt>
                <c:pt idx="1228">
                  <c:v>8.291520000000002</c:v>
                </c:pt>
                <c:pt idx="1229">
                  <c:v>8.291520000000002</c:v>
                </c:pt>
                <c:pt idx="1230">
                  <c:v>8.129520000000003</c:v>
                </c:pt>
                <c:pt idx="1231">
                  <c:v>8.9395200000000017</c:v>
                </c:pt>
                <c:pt idx="1232">
                  <c:v>8.7775200000000027</c:v>
                </c:pt>
                <c:pt idx="1233">
                  <c:v>8.7775200000000027</c:v>
                </c:pt>
                <c:pt idx="1234">
                  <c:v>8.291520000000002</c:v>
                </c:pt>
                <c:pt idx="1235">
                  <c:v>8.9395200000000017</c:v>
                </c:pt>
                <c:pt idx="1236">
                  <c:v>8.291520000000002</c:v>
                </c:pt>
                <c:pt idx="1237">
                  <c:v>8.291520000000002</c:v>
                </c:pt>
                <c:pt idx="1238">
                  <c:v>8.129520000000003</c:v>
                </c:pt>
                <c:pt idx="1239">
                  <c:v>8.9395200000000017</c:v>
                </c:pt>
                <c:pt idx="1240">
                  <c:v>8.7775200000000027</c:v>
                </c:pt>
                <c:pt idx="1241">
                  <c:v>8.7775200000000027</c:v>
                </c:pt>
                <c:pt idx="1242">
                  <c:v>8.291520000000002</c:v>
                </c:pt>
                <c:pt idx="1243">
                  <c:v>8.9395200000000017</c:v>
                </c:pt>
                <c:pt idx="1244">
                  <c:v>8.291520000000002</c:v>
                </c:pt>
                <c:pt idx="1245">
                  <c:v>8.291520000000002</c:v>
                </c:pt>
                <c:pt idx="1246">
                  <c:v>8.129520000000003</c:v>
                </c:pt>
                <c:pt idx="1247">
                  <c:v>8.9395200000000017</c:v>
                </c:pt>
                <c:pt idx="1248">
                  <c:v>8.7775200000000027</c:v>
                </c:pt>
                <c:pt idx="1249">
                  <c:v>8.7775200000000027</c:v>
                </c:pt>
                <c:pt idx="1250">
                  <c:v>8.291520000000002</c:v>
                </c:pt>
                <c:pt idx="1251">
                  <c:v>8.9395200000000017</c:v>
                </c:pt>
                <c:pt idx="1252">
                  <c:v>8.291520000000002</c:v>
                </c:pt>
                <c:pt idx="1253">
                  <c:v>8.291520000000002</c:v>
                </c:pt>
                <c:pt idx="1254">
                  <c:v>8.129520000000003</c:v>
                </c:pt>
                <c:pt idx="1255">
                  <c:v>8.9395200000000017</c:v>
                </c:pt>
                <c:pt idx="1256">
                  <c:v>8.7775200000000027</c:v>
                </c:pt>
                <c:pt idx="1257">
                  <c:v>8.7775200000000027</c:v>
                </c:pt>
                <c:pt idx="1258">
                  <c:v>8.291520000000002</c:v>
                </c:pt>
                <c:pt idx="1259">
                  <c:v>8.9395200000000017</c:v>
                </c:pt>
                <c:pt idx="1260">
                  <c:v>8.291520000000002</c:v>
                </c:pt>
                <c:pt idx="1261">
                  <c:v>8.291520000000002</c:v>
                </c:pt>
                <c:pt idx="1262">
                  <c:v>8.129520000000003</c:v>
                </c:pt>
                <c:pt idx="1263">
                  <c:v>8.9395200000000017</c:v>
                </c:pt>
                <c:pt idx="1264">
                  <c:v>8.7775200000000027</c:v>
                </c:pt>
                <c:pt idx="1265">
                  <c:v>8.7775200000000027</c:v>
                </c:pt>
                <c:pt idx="1266">
                  <c:v>8.291520000000002</c:v>
                </c:pt>
                <c:pt idx="1267">
                  <c:v>8.9395200000000017</c:v>
                </c:pt>
                <c:pt idx="1268">
                  <c:v>8.291520000000002</c:v>
                </c:pt>
                <c:pt idx="1269">
                  <c:v>8.291520000000002</c:v>
                </c:pt>
                <c:pt idx="1270">
                  <c:v>8.129520000000003</c:v>
                </c:pt>
                <c:pt idx="1271">
                  <c:v>8.9395200000000017</c:v>
                </c:pt>
                <c:pt idx="1272">
                  <c:v>8.7775200000000027</c:v>
                </c:pt>
                <c:pt idx="1273">
                  <c:v>8.7775200000000027</c:v>
                </c:pt>
                <c:pt idx="1274">
                  <c:v>8.291520000000002</c:v>
                </c:pt>
                <c:pt idx="1275">
                  <c:v>8.9395200000000017</c:v>
                </c:pt>
                <c:pt idx="1276">
                  <c:v>8.291520000000002</c:v>
                </c:pt>
                <c:pt idx="1277">
                  <c:v>8.291520000000002</c:v>
                </c:pt>
                <c:pt idx="1278">
                  <c:v>8.129520000000003</c:v>
                </c:pt>
                <c:pt idx="1279">
                  <c:v>8.9395200000000017</c:v>
                </c:pt>
                <c:pt idx="1280">
                  <c:v>8.7775200000000027</c:v>
                </c:pt>
                <c:pt idx="1281">
                  <c:v>8.7775200000000027</c:v>
                </c:pt>
                <c:pt idx="1282">
                  <c:v>8.291520000000002</c:v>
                </c:pt>
                <c:pt idx="1283">
                  <c:v>8.9395200000000017</c:v>
                </c:pt>
                <c:pt idx="1284">
                  <c:v>8.291520000000002</c:v>
                </c:pt>
                <c:pt idx="1285">
                  <c:v>8.291520000000002</c:v>
                </c:pt>
                <c:pt idx="1286">
                  <c:v>8.129520000000003</c:v>
                </c:pt>
                <c:pt idx="1287">
                  <c:v>8.9395200000000017</c:v>
                </c:pt>
                <c:pt idx="1288">
                  <c:v>8.7775200000000027</c:v>
                </c:pt>
                <c:pt idx="1289">
                  <c:v>8.7775200000000027</c:v>
                </c:pt>
                <c:pt idx="1290">
                  <c:v>8.291520000000002</c:v>
                </c:pt>
                <c:pt idx="1291">
                  <c:v>8.9395200000000017</c:v>
                </c:pt>
                <c:pt idx="1292">
                  <c:v>8.291520000000002</c:v>
                </c:pt>
                <c:pt idx="1293">
                  <c:v>8.291520000000002</c:v>
                </c:pt>
                <c:pt idx="1294">
                  <c:v>8.129520000000003</c:v>
                </c:pt>
                <c:pt idx="1295">
                  <c:v>8.9395200000000017</c:v>
                </c:pt>
                <c:pt idx="1296">
                  <c:v>8.7775200000000027</c:v>
                </c:pt>
                <c:pt idx="1297">
                  <c:v>8.7775200000000027</c:v>
                </c:pt>
                <c:pt idx="1298">
                  <c:v>8.291520000000002</c:v>
                </c:pt>
                <c:pt idx="1299">
                  <c:v>8.9395200000000017</c:v>
                </c:pt>
                <c:pt idx="1300">
                  <c:v>8.291520000000002</c:v>
                </c:pt>
                <c:pt idx="1301">
                  <c:v>8.291520000000002</c:v>
                </c:pt>
                <c:pt idx="1302">
                  <c:v>8.129520000000003</c:v>
                </c:pt>
                <c:pt idx="1303">
                  <c:v>8.9395200000000017</c:v>
                </c:pt>
                <c:pt idx="1304">
                  <c:v>8.7775200000000027</c:v>
                </c:pt>
                <c:pt idx="1305">
                  <c:v>8.7775200000000027</c:v>
                </c:pt>
                <c:pt idx="1306">
                  <c:v>8.291520000000002</c:v>
                </c:pt>
                <c:pt idx="1307">
                  <c:v>8.9395200000000017</c:v>
                </c:pt>
                <c:pt idx="1308">
                  <c:v>8.291520000000002</c:v>
                </c:pt>
                <c:pt idx="1309">
                  <c:v>8.291520000000002</c:v>
                </c:pt>
                <c:pt idx="1310">
                  <c:v>8.129520000000003</c:v>
                </c:pt>
                <c:pt idx="1311">
                  <c:v>8.9395200000000017</c:v>
                </c:pt>
                <c:pt idx="1312">
                  <c:v>8.7775200000000027</c:v>
                </c:pt>
                <c:pt idx="1313">
                  <c:v>8.7775200000000027</c:v>
                </c:pt>
                <c:pt idx="1314">
                  <c:v>8.291520000000002</c:v>
                </c:pt>
                <c:pt idx="1315">
                  <c:v>8.9395200000000017</c:v>
                </c:pt>
                <c:pt idx="1316">
                  <c:v>8.291520000000002</c:v>
                </c:pt>
                <c:pt idx="1317">
                  <c:v>8.291520000000002</c:v>
                </c:pt>
                <c:pt idx="1318">
                  <c:v>8.129520000000003</c:v>
                </c:pt>
                <c:pt idx="1319">
                  <c:v>8.9395200000000017</c:v>
                </c:pt>
                <c:pt idx="1320">
                  <c:v>8.7775200000000027</c:v>
                </c:pt>
                <c:pt idx="1321">
                  <c:v>8.7775200000000027</c:v>
                </c:pt>
                <c:pt idx="1322">
                  <c:v>8.291520000000002</c:v>
                </c:pt>
                <c:pt idx="1323">
                  <c:v>8.9395200000000017</c:v>
                </c:pt>
                <c:pt idx="1324">
                  <c:v>8.291520000000002</c:v>
                </c:pt>
                <c:pt idx="1325">
                  <c:v>8.291520000000002</c:v>
                </c:pt>
                <c:pt idx="1326">
                  <c:v>8.129520000000003</c:v>
                </c:pt>
                <c:pt idx="1327">
                  <c:v>8.9395200000000017</c:v>
                </c:pt>
                <c:pt idx="1328">
                  <c:v>8.7775200000000027</c:v>
                </c:pt>
                <c:pt idx="1329">
                  <c:v>8.7775200000000027</c:v>
                </c:pt>
                <c:pt idx="1330">
                  <c:v>8.291520000000002</c:v>
                </c:pt>
                <c:pt idx="1331">
                  <c:v>8.9395200000000017</c:v>
                </c:pt>
                <c:pt idx="1332">
                  <c:v>8.291520000000002</c:v>
                </c:pt>
                <c:pt idx="1333">
                  <c:v>8.291520000000002</c:v>
                </c:pt>
                <c:pt idx="1334">
                  <c:v>8.129520000000003</c:v>
                </c:pt>
                <c:pt idx="1335">
                  <c:v>8.9395200000000017</c:v>
                </c:pt>
                <c:pt idx="1336">
                  <c:v>8.7775200000000027</c:v>
                </c:pt>
                <c:pt idx="1337">
                  <c:v>8.7775200000000027</c:v>
                </c:pt>
                <c:pt idx="1338">
                  <c:v>8.291520000000002</c:v>
                </c:pt>
                <c:pt idx="1339">
                  <c:v>8.9395200000000017</c:v>
                </c:pt>
                <c:pt idx="1340">
                  <c:v>8.291520000000002</c:v>
                </c:pt>
                <c:pt idx="1341">
                  <c:v>8.291520000000002</c:v>
                </c:pt>
                <c:pt idx="1342">
                  <c:v>8.129520000000003</c:v>
                </c:pt>
                <c:pt idx="1343">
                  <c:v>8.9395200000000017</c:v>
                </c:pt>
                <c:pt idx="1344">
                  <c:v>8.7775200000000027</c:v>
                </c:pt>
                <c:pt idx="1345">
                  <c:v>8.7775200000000027</c:v>
                </c:pt>
                <c:pt idx="1346">
                  <c:v>8.291520000000002</c:v>
                </c:pt>
                <c:pt idx="1347">
                  <c:v>8.9395200000000017</c:v>
                </c:pt>
                <c:pt idx="1348">
                  <c:v>8.291520000000002</c:v>
                </c:pt>
                <c:pt idx="1349">
                  <c:v>8.291520000000002</c:v>
                </c:pt>
                <c:pt idx="1350">
                  <c:v>8.129520000000003</c:v>
                </c:pt>
                <c:pt idx="1351">
                  <c:v>8.9395200000000017</c:v>
                </c:pt>
                <c:pt idx="1352">
                  <c:v>8.7775200000000027</c:v>
                </c:pt>
                <c:pt idx="1353">
                  <c:v>8.7775200000000027</c:v>
                </c:pt>
                <c:pt idx="1354">
                  <c:v>8.291520000000002</c:v>
                </c:pt>
                <c:pt idx="1355">
                  <c:v>8.9395200000000017</c:v>
                </c:pt>
                <c:pt idx="1356">
                  <c:v>8.291520000000002</c:v>
                </c:pt>
                <c:pt idx="1357">
                  <c:v>8.291520000000002</c:v>
                </c:pt>
                <c:pt idx="1358">
                  <c:v>8.129520000000003</c:v>
                </c:pt>
                <c:pt idx="1359">
                  <c:v>8.9395200000000017</c:v>
                </c:pt>
                <c:pt idx="1360">
                  <c:v>8.7775200000000027</c:v>
                </c:pt>
                <c:pt idx="1361">
                  <c:v>8.7775200000000027</c:v>
                </c:pt>
                <c:pt idx="1362">
                  <c:v>8.291520000000002</c:v>
                </c:pt>
                <c:pt idx="1363">
                  <c:v>8.9395200000000017</c:v>
                </c:pt>
                <c:pt idx="1364">
                  <c:v>8.291520000000002</c:v>
                </c:pt>
                <c:pt idx="1365">
                  <c:v>8.291520000000002</c:v>
                </c:pt>
                <c:pt idx="1366">
                  <c:v>8.129520000000003</c:v>
                </c:pt>
                <c:pt idx="1367">
                  <c:v>8.9395200000000017</c:v>
                </c:pt>
                <c:pt idx="1368">
                  <c:v>8.7775200000000027</c:v>
                </c:pt>
                <c:pt idx="1369">
                  <c:v>8.7775200000000027</c:v>
                </c:pt>
                <c:pt idx="1370">
                  <c:v>8.291520000000002</c:v>
                </c:pt>
                <c:pt idx="1371">
                  <c:v>8.9395200000000017</c:v>
                </c:pt>
                <c:pt idx="1372">
                  <c:v>8.291520000000002</c:v>
                </c:pt>
                <c:pt idx="1373">
                  <c:v>8.291520000000002</c:v>
                </c:pt>
                <c:pt idx="1374">
                  <c:v>8.129520000000003</c:v>
                </c:pt>
                <c:pt idx="1375">
                  <c:v>8.9395200000000017</c:v>
                </c:pt>
                <c:pt idx="1376">
                  <c:v>8.7775200000000027</c:v>
                </c:pt>
                <c:pt idx="1377">
                  <c:v>8.7775200000000027</c:v>
                </c:pt>
                <c:pt idx="1378">
                  <c:v>8.291520000000002</c:v>
                </c:pt>
                <c:pt idx="1379">
                  <c:v>8.9395200000000017</c:v>
                </c:pt>
                <c:pt idx="1380">
                  <c:v>8.291520000000002</c:v>
                </c:pt>
                <c:pt idx="1381">
                  <c:v>8.291520000000002</c:v>
                </c:pt>
                <c:pt idx="1382">
                  <c:v>8.129520000000003</c:v>
                </c:pt>
                <c:pt idx="1383">
                  <c:v>8.9395200000000017</c:v>
                </c:pt>
                <c:pt idx="1384">
                  <c:v>8.7775200000000027</c:v>
                </c:pt>
                <c:pt idx="1385">
                  <c:v>8.7775200000000027</c:v>
                </c:pt>
                <c:pt idx="1386">
                  <c:v>8.291520000000002</c:v>
                </c:pt>
                <c:pt idx="1387">
                  <c:v>8.9395200000000017</c:v>
                </c:pt>
                <c:pt idx="1388">
                  <c:v>8.291520000000002</c:v>
                </c:pt>
                <c:pt idx="1389">
                  <c:v>8.291520000000002</c:v>
                </c:pt>
                <c:pt idx="1390">
                  <c:v>8.129520000000003</c:v>
                </c:pt>
                <c:pt idx="1391">
                  <c:v>8.9395200000000017</c:v>
                </c:pt>
                <c:pt idx="1392">
                  <c:v>8.7775200000000027</c:v>
                </c:pt>
                <c:pt idx="1393">
                  <c:v>8.7775200000000027</c:v>
                </c:pt>
                <c:pt idx="1394">
                  <c:v>8.291520000000002</c:v>
                </c:pt>
                <c:pt idx="1395">
                  <c:v>8.9395200000000017</c:v>
                </c:pt>
                <c:pt idx="1396">
                  <c:v>8.291520000000002</c:v>
                </c:pt>
                <c:pt idx="1397">
                  <c:v>8.291520000000002</c:v>
                </c:pt>
                <c:pt idx="1398">
                  <c:v>8.129520000000003</c:v>
                </c:pt>
                <c:pt idx="1399">
                  <c:v>8.9395200000000017</c:v>
                </c:pt>
                <c:pt idx="1400">
                  <c:v>8.7775200000000027</c:v>
                </c:pt>
                <c:pt idx="1401">
                  <c:v>8.7775200000000027</c:v>
                </c:pt>
                <c:pt idx="1402">
                  <c:v>8.291520000000002</c:v>
                </c:pt>
                <c:pt idx="1403">
                  <c:v>8.9395200000000017</c:v>
                </c:pt>
                <c:pt idx="1404">
                  <c:v>8.291520000000002</c:v>
                </c:pt>
                <c:pt idx="1405">
                  <c:v>8.291520000000002</c:v>
                </c:pt>
                <c:pt idx="1406">
                  <c:v>8.129520000000003</c:v>
                </c:pt>
                <c:pt idx="1407">
                  <c:v>8.9395200000000017</c:v>
                </c:pt>
                <c:pt idx="1408">
                  <c:v>8.7775200000000027</c:v>
                </c:pt>
                <c:pt idx="1409">
                  <c:v>8.7775200000000027</c:v>
                </c:pt>
                <c:pt idx="1410">
                  <c:v>8.291520000000002</c:v>
                </c:pt>
                <c:pt idx="1411">
                  <c:v>8.9395200000000017</c:v>
                </c:pt>
                <c:pt idx="1412">
                  <c:v>8.291520000000002</c:v>
                </c:pt>
                <c:pt idx="1413">
                  <c:v>8.291520000000002</c:v>
                </c:pt>
                <c:pt idx="1414">
                  <c:v>8.129520000000003</c:v>
                </c:pt>
                <c:pt idx="1415">
                  <c:v>8.9395200000000017</c:v>
                </c:pt>
                <c:pt idx="1416">
                  <c:v>8.7775200000000027</c:v>
                </c:pt>
                <c:pt idx="1417">
                  <c:v>8.7775200000000027</c:v>
                </c:pt>
                <c:pt idx="1418">
                  <c:v>8.291520000000002</c:v>
                </c:pt>
                <c:pt idx="1419">
                  <c:v>8.9395200000000017</c:v>
                </c:pt>
                <c:pt idx="1420">
                  <c:v>8.291520000000002</c:v>
                </c:pt>
                <c:pt idx="1421">
                  <c:v>8.291520000000002</c:v>
                </c:pt>
                <c:pt idx="1422">
                  <c:v>8.129520000000003</c:v>
                </c:pt>
                <c:pt idx="1423">
                  <c:v>8.9395200000000017</c:v>
                </c:pt>
                <c:pt idx="1424">
                  <c:v>8.7775200000000027</c:v>
                </c:pt>
                <c:pt idx="1425">
                  <c:v>8.7775200000000027</c:v>
                </c:pt>
                <c:pt idx="1426">
                  <c:v>8.291520000000002</c:v>
                </c:pt>
                <c:pt idx="1427">
                  <c:v>8.9395200000000017</c:v>
                </c:pt>
                <c:pt idx="1428">
                  <c:v>8.291520000000002</c:v>
                </c:pt>
                <c:pt idx="1429">
                  <c:v>8.291520000000002</c:v>
                </c:pt>
                <c:pt idx="1430">
                  <c:v>8.129520000000003</c:v>
                </c:pt>
                <c:pt idx="1431">
                  <c:v>8.9395200000000017</c:v>
                </c:pt>
                <c:pt idx="1432">
                  <c:v>8.7775200000000027</c:v>
                </c:pt>
                <c:pt idx="1433">
                  <c:v>8.7775200000000027</c:v>
                </c:pt>
                <c:pt idx="1434">
                  <c:v>8.291520000000002</c:v>
                </c:pt>
                <c:pt idx="1435">
                  <c:v>8.9395200000000017</c:v>
                </c:pt>
                <c:pt idx="1436">
                  <c:v>8.291520000000002</c:v>
                </c:pt>
                <c:pt idx="1437">
                  <c:v>8.291520000000002</c:v>
                </c:pt>
                <c:pt idx="1438">
                  <c:v>8.129520000000003</c:v>
                </c:pt>
                <c:pt idx="1439">
                  <c:v>8.9395200000000017</c:v>
                </c:pt>
                <c:pt idx="1440">
                  <c:v>8.7775200000000027</c:v>
                </c:pt>
                <c:pt idx="1441">
                  <c:v>8.7775200000000027</c:v>
                </c:pt>
                <c:pt idx="1442">
                  <c:v>8.291520000000002</c:v>
                </c:pt>
                <c:pt idx="1443">
                  <c:v>8.9395200000000017</c:v>
                </c:pt>
                <c:pt idx="1444">
                  <c:v>8.9395200000000017</c:v>
                </c:pt>
                <c:pt idx="1445">
                  <c:v>-11.310479999999998</c:v>
                </c:pt>
                <c:pt idx="1446">
                  <c:v>-11.148479999999999</c:v>
                </c:pt>
                <c:pt idx="1447">
                  <c:v>-11.148479999999999</c:v>
                </c:pt>
                <c:pt idx="1448">
                  <c:v>-11.310479999999998</c:v>
                </c:pt>
                <c:pt idx="1449">
                  <c:v>-10.500479999999998</c:v>
                </c:pt>
                <c:pt idx="1450">
                  <c:v>-10.662479999999999</c:v>
                </c:pt>
                <c:pt idx="1451">
                  <c:v>-10.662479999999999</c:v>
                </c:pt>
                <c:pt idx="1452">
                  <c:v>-11.148479999999999</c:v>
                </c:pt>
                <c:pt idx="1453">
                  <c:v>-10.500479999999998</c:v>
                </c:pt>
                <c:pt idx="1454">
                  <c:v>-10.338479999999997</c:v>
                </c:pt>
                <c:pt idx="1455">
                  <c:v>-10.338479999999997</c:v>
                </c:pt>
                <c:pt idx="1456">
                  <c:v>-10.500479999999998</c:v>
                </c:pt>
                <c:pt idx="1457">
                  <c:v>-9.6904799999999973</c:v>
                </c:pt>
                <c:pt idx="1458">
                  <c:v>-9.8524799999999981</c:v>
                </c:pt>
                <c:pt idx="1459">
                  <c:v>-9.8524799999999981</c:v>
                </c:pt>
                <c:pt idx="1460">
                  <c:v>-10.338479999999997</c:v>
                </c:pt>
                <c:pt idx="1461">
                  <c:v>-9.6904799999999973</c:v>
                </c:pt>
                <c:pt idx="1462">
                  <c:v>-9.5284799999999965</c:v>
                </c:pt>
                <c:pt idx="1463">
                  <c:v>-9.5284799999999965</c:v>
                </c:pt>
                <c:pt idx="1464">
                  <c:v>-9.6904799999999973</c:v>
                </c:pt>
                <c:pt idx="1465">
                  <c:v>-8.8804799999999968</c:v>
                </c:pt>
                <c:pt idx="1466">
                  <c:v>-9.0424799999999976</c:v>
                </c:pt>
                <c:pt idx="1467">
                  <c:v>-9.0424799999999976</c:v>
                </c:pt>
                <c:pt idx="1468">
                  <c:v>-9.5284799999999965</c:v>
                </c:pt>
                <c:pt idx="1469">
                  <c:v>-8.8804799999999968</c:v>
                </c:pt>
                <c:pt idx="1470">
                  <c:v>-8.7184799999999978</c:v>
                </c:pt>
                <c:pt idx="1471">
                  <c:v>-8.7184799999999978</c:v>
                </c:pt>
                <c:pt idx="1472">
                  <c:v>-8.8804799999999986</c:v>
                </c:pt>
                <c:pt idx="1473">
                  <c:v>-8.0704799999999981</c:v>
                </c:pt>
                <c:pt idx="1474">
                  <c:v>-8.2324799999999989</c:v>
                </c:pt>
                <c:pt idx="1475">
                  <c:v>-8.2324799999999989</c:v>
                </c:pt>
                <c:pt idx="1476">
                  <c:v>-8.7184799999999978</c:v>
                </c:pt>
                <c:pt idx="1477">
                  <c:v>-8.0704799999999981</c:v>
                </c:pt>
                <c:pt idx="1478">
                  <c:v>-7.9084799999999973</c:v>
                </c:pt>
                <c:pt idx="1479">
                  <c:v>-7.9084799999999973</c:v>
                </c:pt>
                <c:pt idx="1480">
                  <c:v>-8.0704799999999981</c:v>
                </c:pt>
                <c:pt idx="1481">
                  <c:v>-7.2604799999999976</c:v>
                </c:pt>
                <c:pt idx="1482">
                  <c:v>-7.4224799999999984</c:v>
                </c:pt>
                <c:pt idx="1483">
                  <c:v>-7.4224799999999984</c:v>
                </c:pt>
                <c:pt idx="1484">
                  <c:v>-7.9084799999999973</c:v>
                </c:pt>
                <c:pt idx="1485">
                  <c:v>-7.2604799999999976</c:v>
                </c:pt>
                <c:pt idx="1486">
                  <c:v>-7.0984799999999968</c:v>
                </c:pt>
                <c:pt idx="1487">
                  <c:v>-7.0984799999999968</c:v>
                </c:pt>
                <c:pt idx="1488">
                  <c:v>-7.2604799999999976</c:v>
                </c:pt>
                <c:pt idx="1489">
                  <c:v>-6.4504799999999971</c:v>
                </c:pt>
                <c:pt idx="1490">
                  <c:v>-6.6124799999999979</c:v>
                </c:pt>
                <c:pt idx="1491">
                  <c:v>-6.6124799999999979</c:v>
                </c:pt>
                <c:pt idx="1492">
                  <c:v>-7.0984799999999968</c:v>
                </c:pt>
                <c:pt idx="1493">
                  <c:v>-6.4504799999999971</c:v>
                </c:pt>
                <c:pt idx="1494">
                  <c:v>-6.2884799999999981</c:v>
                </c:pt>
                <c:pt idx="1495">
                  <c:v>-6.2884799999999981</c:v>
                </c:pt>
                <c:pt idx="1496">
                  <c:v>-6.4504799999999989</c:v>
                </c:pt>
                <c:pt idx="1497">
                  <c:v>-5.6404799999999984</c:v>
                </c:pt>
                <c:pt idx="1498">
                  <c:v>-5.8024799999999992</c:v>
                </c:pt>
                <c:pt idx="1499">
                  <c:v>-5.8024799999999992</c:v>
                </c:pt>
                <c:pt idx="1500">
                  <c:v>-6.2884799999999981</c:v>
                </c:pt>
                <c:pt idx="1501">
                  <c:v>-5.6404799999999984</c:v>
                </c:pt>
                <c:pt idx="1502">
                  <c:v>-5.4784799999999976</c:v>
                </c:pt>
                <c:pt idx="1503">
                  <c:v>-5.4784799999999976</c:v>
                </c:pt>
                <c:pt idx="1504">
                  <c:v>-5.6404799999999984</c:v>
                </c:pt>
                <c:pt idx="1505">
                  <c:v>-4.8304799999999979</c:v>
                </c:pt>
                <c:pt idx="1506">
                  <c:v>-4.9924799999999987</c:v>
                </c:pt>
                <c:pt idx="1507">
                  <c:v>-4.9924799999999987</c:v>
                </c:pt>
                <c:pt idx="1508">
                  <c:v>-5.4784799999999976</c:v>
                </c:pt>
                <c:pt idx="1509">
                  <c:v>-4.8304799999999979</c:v>
                </c:pt>
                <c:pt idx="1510">
                  <c:v>-4.6684799999999971</c:v>
                </c:pt>
                <c:pt idx="1511">
                  <c:v>-4.6684799999999971</c:v>
                </c:pt>
                <c:pt idx="1512">
                  <c:v>-4.8304799999999979</c:v>
                </c:pt>
                <c:pt idx="1513">
                  <c:v>-4.0204799999999974</c:v>
                </c:pt>
                <c:pt idx="1514">
                  <c:v>-4.1824799999999982</c:v>
                </c:pt>
                <c:pt idx="1515">
                  <c:v>-4.1824799999999982</c:v>
                </c:pt>
                <c:pt idx="1516">
                  <c:v>-4.6684799999999971</c:v>
                </c:pt>
                <c:pt idx="1517">
                  <c:v>-4.0204799999999974</c:v>
                </c:pt>
                <c:pt idx="1518">
                  <c:v>-3.8584799999999966</c:v>
                </c:pt>
                <c:pt idx="1519">
                  <c:v>-3.8584799999999966</c:v>
                </c:pt>
                <c:pt idx="1520">
                  <c:v>-4.0204799999999974</c:v>
                </c:pt>
                <c:pt idx="1521">
                  <c:v>-3.2104799999999969</c:v>
                </c:pt>
                <c:pt idx="1522">
                  <c:v>-3.3724799999999977</c:v>
                </c:pt>
                <c:pt idx="1523">
                  <c:v>-3.3724799999999977</c:v>
                </c:pt>
                <c:pt idx="1524">
                  <c:v>-3.8584799999999966</c:v>
                </c:pt>
                <c:pt idx="1525">
                  <c:v>-3.2104799999999969</c:v>
                </c:pt>
                <c:pt idx="1526">
                  <c:v>-3.0484799999999961</c:v>
                </c:pt>
                <c:pt idx="1527">
                  <c:v>-3.0484799999999961</c:v>
                </c:pt>
                <c:pt idx="1528">
                  <c:v>-3.2104799999999969</c:v>
                </c:pt>
                <c:pt idx="1529">
                  <c:v>-2.4004799999999964</c:v>
                </c:pt>
                <c:pt idx="1530">
                  <c:v>-2.5624799999999972</c:v>
                </c:pt>
                <c:pt idx="1531">
                  <c:v>-2.5624799999999972</c:v>
                </c:pt>
                <c:pt idx="1532">
                  <c:v>-3.0484799999999961</c:v>
                </c:pt>
                <c:pt idx="1533">
                  <c:v>-2.4004799999999964</c:v>
                </c:pt>
                <c:pt idx="1534">
                  <c:v>-2.2384799999999974</c:v>
                </c:pt>
                <c:pt idx="1535">
                  <c:v>-2.2384799999999974</c:v>
                </c:pt>
                <c:pt idx="1536">
                  <c:v>-2.4004799999999982</c:v>
                </c:pt>
                <c:pt idx="1537">
                  <c:v>-1.5904799999999994</c:v>
                </c:pt>
                <c:pt idx="1538">
                  <c:v>-1.7524799999999985</c:v>
                </c:pt>
                <c:pt idx="1539">
                  <c:v>-1.7524799999999985</c:v>
                </c:pt>
                <c:pt idx="1540">
                  <c:v>-2.2384799999999974</c:v>
                </c:pt>
                <c:pt idx="1541">
                  <c:v>-1.5904799999999994</c:v>
                </c:pt>
                <c:pt idx="1542">
                  <c:v>-1.4284800000000004</c:v>
                </c:pt>
                <c:pt idx="1543">
                  <c:v>-1.4284800000000004</c:v>
                </c:pt>
                <c:pt idx="1544">
                  <c:v>-1.5904799999999994</c:v>
                </c:pt>
                <c:pt idx="1545">
                  <c:v>-0.78048000000000073</c:v>
                </c:pt>
                <c:pt idx="1546">
                  <c:v>-0.94247999999999976</c:v>
                </c:pt>
                <c:pt idx="1547">
                  <c:v>-0.94247999999999976</c:v>
                </c:pt>
                <c:pt idx="1548">
                  <c:v>-1.4284800000000004</c:v>
                </c:pt>
                <c:pt idx="1549">
                  <c:v>-0.78048000000000073</c:v>
                </c:pt>
                <c:pt idx="1550">
                  <c:v>-0.61847999999999814</c:v>
                </c:pt>
                <c:pt idx="1551">
                  <c:v>-0.61847999999999814</c:v>
                </c:pt>
                <c:pt idx="1552">
                  <c:v>-0.78047999999999718</c:v>
                </c:pt>
                <c:pt idx="1553">
                  <c:v>2.9520000000001545E-2</c:v>
                </c:pt>
                <c:pt idx="1554">
                  <c:v>-0.13247999999999749</c:v>
                </c:pt>
                <c:pt idx="1555">
                  <c:v>-0.13247999999999749</c:v>
                </c:pt>
                <c:pt idx="1556">
                  <c:v>-0.61847999999999814</c:v>
                </c:pt>
                <c:pt idx="1557">
                  <c:v>2.9520000000001545E-2</c:v>
                </c:pt>
                <c:pt idx="1558">
                  <c:v>0.19152000000000058</c:v>
                </c:pt>
                <c:pt idx="1559">
                  <c:v>0.19152000000000058</c:v>
                </c:pt>
                <c:pt idx="1560">
                  <c:v>2.9520000000001545E-2</c:v>
                </c:pt>
                <c:pt idx="1561">
                  <c:v>0.83952000000000027</c:v>
                </c:pt>
                <c:pt idx="1562">
                  <c:v>0.67752000000000123</c:v>
                </c:pt>
                <c:pt idx="1563">
                  <c:v>0.67752000000000123</c:v>
                </c:pt>
                <c:pt idx="1564">
                  <c:v>0.19152000000000058</c:v>
                </c:pt>
                <c:pt idx="1565">
                  <c:v>0.83952000000000027</c:v>
                </c:pt>
                <c:pt idx="1566">
                  <c:v>1.0015199999999993</c:v>
                </c:pt>
                <c:pt idx="1567">
                  <c:v>1.0015199999999993</c:v>
                </c:pt>
                <c:pt idx="1568">
                  <c:v>0.83952000000000027</c:v>
                </c:pt>
                <c:pt idx="1569">
                  <c:v>1.649519999999999</c:v>
                </c:pt>
                <c:pt idx="1570">
                  <c:v>1.48752</c:v>
                </c:pt>
                <c:pt idx="1571">
                  <c:v>1.48752</c:v>
                </c:pt>
                <c:pt idx="1572">
                  <c:v>1.0015199999999993</c:v>
                </c:pt>
                <c:pt idx="1573">
                  <c:v>1.649519999999999</c:v>
                </c:pt>
                <c:pt idx="1574">
                  <c:v>1.8115200000000016</c:v>
                </c:pt>
                <c:pt idx="1575">
                  <c:v>1.8115200000000016</c:v>
                </c:pt>
                <c:pt idx="1576">
                  <c:v>1.6495200000000025</c:v>
                </c:pt>
                <c:pt idx="1577">
                  <c:v>2.4595200000000013</c:v>
                </c:pt>
                <c:pt idx="1578">
                  <c:v>2.2975200000000022</c:v>
                </c:pt>
                <c:pt idx="1579">
                  <c:v>2.2975200000000022</c:v>
                </c:pt>
                <c:pt idx="1580">
                  <c:v>1.8115200000000016</c:v>
                </c:pt>
                <c:pt idx="1581">
                  <c:v>2.4595200000000013</c:v>
                </c:pt>
                <c:pt idx="1582">
                  <c:v>2.6215200000000038</c:v>
                </c:pt>
                <c:pt idx="1583">
                  <c:v>2.6215200000000038</c:v>
                </c:pt>
                <c:pt idx="1584">
                  <c:v>2.4595200000000048</c:v>
                </c:pt>
                <c:pt idx="1585">
                  <c:v>3.2695200000000035</c:v>
                </c:pt>
                <c:pt idx="1586">
                  <c:v>3.1075200000000045</c:v>
                </c:pt>
                <c:pt idx="1587">
                  <c:v>3.1075200000000045</c:v>
                </c:pt>
                <c:pt idx="1588">
                  <c:v>2.6215200000000038</c:v>
                </c:pt>
                <c:pt idx="1589">
                  <c:v>3.2695200000000035</c:v>
                </c:pt>
                <c:pt idx="1590">
                  <c:v>3.4315200000000026</c:v>
                </c:pt>
                <c:pt idx="1591">
                  <c:v>3.4315200000000026</c:v>
                </c:pt>
                <c:pt idx="1592">
                  <c:v>3.2695200000000035</c:v>
                </c:pt>
                <c:pt idx="1593">
                  <c:v>4.0795200000000023</c:v>
                </c:pt>
                <c:pt idx="1594">
                  <c:v>3.9175200000000032</c:v>
                </c:pt>
                <c:pt idx="1595">
                  <c:v>3.9175200000000032</c:v>
                </c:pt>
                <c:pt idx="1596">
                  <c:v>3.4315200000000026</c:v>
                </c:pt>
                <c:pt idx="1597">
                  <c:v>4.0795200000000023</c:v>
                </c:pt>
                <c:pt idx="1598">
                  <c:v>4.2415200000000013</c:v>
                </c:pt>
                <c:pt idx="1599">
                  <c:v>4.2415200000000013</c:v>
                </c:pt>
                <c:pt idx="1600">
                  <c:v>4.0795200000000023</c:v>
                </c:pt>
                <c:pt idx="1601">
                  <c:v>4.889520000000001</c:v>
                </c:pt>
                <c:pt idx="1602">
                  <c:v>4.7275200000000019</c:v>
                </c:pt>
                <c:pt idx="1603">
                  <c:v>4.7275200000000019</c:v>
                </c:pt>
                <c:pt idx="1604">
                  <c:v>4.2415200000000013</c:v>
                </c:pt>
                <c:pt idx="1605">
                  <c:v>4.889520000000001</c:v>
                </c:pt>
                <c:pt idx="1606">
                  <c:v>5.0515200000000036</c:v>
                </c:pt>
                <c:pt idx="1607">
                  <c:v>5.0515200000000036</c:v>
                </c:pt>
                <c:pt idx="1608">
                  <c:v>4.8895200000000045</c:v>
                </c:pt>
                <c:pt idx="1609">
                  <c:v>5.6995200000000033</c:v>
                </c:pt>
                <c:pt idx="1610">
                  <c:v>5.5375200000000042</c:v>
                </c:pt>
                <c:pt idx="1611">
                  <c:v>5.5375200000000042</c:v>
                </c:pt>
                <c:pt idx="1612">
                  <c:v>5.0515200000000036</c:v>
                </c:pt>
                <c:pt idx="1613">
                  <c:v>5.6995200000000033</c:v>
                </c:pt>
                <c:pt idx="1614">
                  <c:v>5.8615200000000023</c:v>
                </c:pt>
                <c:pt idx="1615">
                  <c:v>5.8615200000000023</c:v>
                </c:pt>
                <c:pt idx="1616">
                  <c:v>5.6995200000000033</c:v>
                </c:pt>
                <c:pt idx="1617">
                  <c:v>6.509520000000002</c:v>
                </c:pt>
                <c:pt idx="1618">
                  <c:v>6.3475200000000029</c:v>
                </c:pt>
                <c:pt idx="1619">
                  <c:v>6.3475200000000029</c:v>
                </c:pt>
                <c:pt idx="1620">
                  <c:v>5.8615200000000023</c:v>
                </c:pt>
                <c:pt idx="1621">
                  <c:v>6.509520000000002</c:v>
                </c:pt>
                <c:pt idx="1622">
                  <c:v>6.671520000000001</c:v>
                </c:pt>
                <c:pt idx="1623">
                  <c:v>6.671520000000001</c:v>
                </c:pt>
                <c:pt idx="1624">
                  <c:v>6.509520000000002</c:v>
                </c:pt>
                <c:pt idx="1625">
                  <c:v>7.3195200000000007</c:v>
                </c:pt>
                <c:pt idx="1626">
                  <c:v>7.1575200000000017</c:v>
                </c:pt>
                <c:pt idx="1627">
                  <c:v>7.1575200000000017</c:v>
                </c:pt>
                <c:pt idx="1628">
                  <c:v>6.671520000000001</c:v>
                </c:pt>
                <c:pt idx="1629">
                  <c:v>7.3195200000000007</c:v>
                </c:pt>
                <c:pt idx="1630">
                  <c:v>7.4815200000000033</c:v>
                </c:pt>
                <c:pt idx="1631">
                  <c:v>7.4815200000000033</c:v>
                </c:pt>
                <c:pt idx="1632">
                  <c:v>7.3195200000000042</c:v>
                </c:pt>
                <c:pt idx="1633">
                  <c:v>8.129520000000003</c:v>
                </c:pt>
                <c:pt idx="1634">
                  <c:v>7.9675200000000039</c:v>
                </c:pt>
                <c:pt idx="1635">
                  <c:v>7.9675200000000039</c:v>
                </c:pt>
                <c:pt idx="1636">
                  <c:v>7.4815200000000033</c:v>
                </c:pt>
                <c:pt idx="1637">
                  <c:v>8.129520000000003</c:v>
                </c:pt>
                <c:pt idx="1638">
                  <c:v>8.291520000000002</c:v>
                </c:pt>
                <c:pt idx="1639">
                  <c:v>8.291520000000002</c:v>
                </c:pt>
                <c:pt idx="1640">
                  <c:v>8.129520000000003</c:v>
                </c:pt>
                <c:pt idx="1641">
                  <c:v>8.9395200000000017</c:v>
                </c:pt>
                <c:pt idx="1642">
                  <c:v>8.7775200000000027</c:v>
                </c:pt>
                <c:pt idx="1643">
                  <c:v>8.7775200000000027</c:v>
                </c:pt>
                <c:pt idx="1644">
                  <c:v>8.291520000000002</c:v>
                </c:pt>
                <c:pt idx="1645">
                  <c:v>8.9395200000000017</c:v>
                </c:pt>
                <c:pt idx="1646">
                  <c:v>8.291520000000002</c:v>
                </c:pt>
                <c:pt idx="1647">
                  <c:v>8.291520000000002</c:v>
                </c:pt>
                <c:pt idx="1648">
                  <c:v>8.129520000000003</c:v>
                </c:pt>
                <c:pt idx="1649">
                  <c:v>8.9395200000000017</c:v>
                </c:pt>
                <c:pt idx="1650">
                  <c:v>8.7775200000000027</c:v>
                </c:pt>
                <c:pt idx="1651">
                  <c:v>8.7775200000000027</c:v>
                </c:pt>
                <c:pt idx="1652">
                  <c:v>8.291520000000002</c:v>
                </c:pt>
                <c:pt idx="1653">
                  <c:v>8.9395200000000017</c:v>
                </c:pt>
                <c:pt idx="1654">
                  <c:v>8.291520000000002</c:v>
                </c:pt>
                <c:pt idx="1655">
                  <c:v>8.291520000000002</c:v>
                </c:pt>
                <c:pt idx="1656">
                  <c:v>8.129520000000003</c:v>
                </c:pt>
                <c:pt idx="1657">
                  <c:v>8.9395200000000017</c:v>
                </c:pt>
                <c:pt idx="1658">
                  <c:v>8.7775200000000027</c:v>
                </c:pt>
                <c:pt idx="1659">
                  <c:v>8.7775200000000027</c:v>
                </c:pt>
                <c:pt idx="1660">
                  <c:v>8.291520000000002</c:v>
                </c:pt>
                <c:pt idx="1661">
                  <c:v>8.9395200000000017</c:v>
                </c:pt>
                <c:pt idx="1662">
                  <c:v>8.291520000000002</c:v>
                </c:pt>
                <c:pt idx="1663">
                  <c:v>8.291520000000002</c:v>
                </c:pt>
                <c:pt idx="1664">
                  <c:v>8.129520000000003</c:v>
                </c:pt>
                <c:pt idx="1665">
                  <c:v>8.9395200000000017</c:v>
                </c:pt>
                <c:pt idx="1666">
                  <c:v>8.7775200000000027</c:v>
                </c:pt>
                <c:pt idx="1667">
                  <c:v>8.7775200000000027</c:v>
                </c:pt>
                <c:pt idx="1668">
                  <c:v>8.291520000000002</c:v>
                </c:pt>
                <c:pt idx="1669">
                  <c:v>8.9395200000000017</c:v>
                </c:pt>
                <c:pt idx="1670">
                  <c:v>8.291520000000002</c:v>
                </c:pt>
                <c:pt idx="1671">
                  <c:v>8.291520000000002</c:v>
                </c:pt>
                <c:pt idx="1672">
                  <c:v>8.129520000000003</c:v>
                </c:pt>
                <c:pt idx="1673">
                  <c:v>8.9395200000000017</c:v>
                </c:pt>
                <c:pt idx="1674">
                  <c:v>8.7775200000000027</c:v>
                </c:pt>
                <c:pt idx="1675">
                  <c:v>8.7775200000000027</c:v>
                </c:pt>
                <c:pt idx="1676">
                  <c:v>8.291520000000002</c:v>
                </c:pt>
                <c:pt idx="1677">
                  <c:v>8.9395200000000017</c:v>
                </c:pt>
                <c:pt idx="1678">
                  <c:v>8.291520000000002</c:v>
                </c:pt>
                <c:pt idx="1679">
                  <c:v>8.291520000000002</c:v>
                </c:pt>
                <c:pt idx="1680">
                  <c:v>8.129520000000003</c:v>
                </c:pt>
                <c:pt idx="1681">
                  <c:v>8.9395200000000017</c:v>
                </c:pt>
                <c:pt idx="1682">
                  <c:v>8.7775200000000027</c:v>
                </c:pt>
                <c:pt idx="1683">
                  <c:v>8.7775200000000027</c:v>
                </c:pt>
                <c:pt idx="1684">
                  <c:v>8.291520000000002</c:v>
                </c:pt>
                <c:pt idx="1685">
                  <c:v>8.9395200000000017</c:v>
                </c:pt>
                <c:pt idx="1686">
                  <c:v>8.291520000000002</c:v>
                </c:pt>
                <c:pt idx="1687">
                  <c:v>8.291520000000002</c:v>
                </c:pt>
                <c:pt idx="1688">
                  <c:v>8.129520000000003</c:v>
                </c:pt>
                <c:pt idx="1689">
                  <c:v>8.9395200000000017</c:v>
                </c:pt>
                <c:pt idx="1690">
                  <c:v>8.7775200000000027</c:v>
                </c:pt>
                <c:pt idx="1691">
                  <c:v>8.7775200000000027</c:v>
                </c:pt>
                <c:pt idx="1692">
                  <c:v>8.291520000000002</c:v>
                </c:pt>
                <c:pt idx="1693">
                  <c:v>8.9395200000000017</c:v>
                </c:pt>
                <c:pt idx="1694">
                  <c:v>8.291520000000002</c:v>
                </c:pt>
                <c:pt idx="1695">
                  <c:v>8.291520000000002</c:v>
                </c:pt>
                <c:pt idx="1696">
                  <c:v>8.129520000000003</c:v>
                </c:pt>
                <c:pt idx="1697">
                  <c:v>8.9395200000000017</c:v>
                </c:pt>
                <c:pt idx="1698">
                  <c:v>8.7775200000000027</c:v>
                </c:pt>
                <c:pt idx="1699">
                  <c:v>8.7775200000000027</c:v>
                </c:pt>
                <c:pt idx="1700">
                  <c:v>8.291520000000002</c:v>
                </c:pt>
                <c:pt idx="1701">
                  <c:v>8.9395200000000017</c:v>
                </c:pt>
                <c:pt idx="1702">
                  <c:v>8.291520000000002</c:v>
                </c:pt>
                <c:pt idx="1703">
                  <c:v>8.291520000000002</c:v>
                </c:pt>
                <c:pt idx="1704">
                  <c:v>8.129520000000003</c:v>
                </c:pt>
                <c:pt idx="1705">
                  <c:v>8.9395200000000017</c:v>
                </c:pt>
                <c:pt idx="1706">
                  <c:v>8.7775200000000027</c:v>
                </c:pt>
                <c:pt idx="1707">
                  <c:v>8.7775200000000027</c:v>
                </c:pt>
                <c:pt idx="1708">
                  <c:v>8.291520000000002</c:v>
                </c:pt>
                <c:pt idx="1709">
                  <c:v>8.9395200000000017</c:v>
                </c:pt>
                <c:pt idx="1710">
                  <c:v>8.291520000000002</c:v>
                </c:pt>
                <c:pt idx="1711">
                  <c:v>8.291520000000002</c:v>
                </c:pt>
                <c:pt idx="1712">
                  <c:v>8.129520000000003</c:v>
                </c:pt>
                <c:pt idx="1713">
                  <c:v>8.9395200000000017</c:v>
                </c:pt>
                <c:pt idx="1714">
                  <c:v>8.7775200000000027</c:v>
                </c:pt>
                <c:pt idx="1715">
                  <c:v>8.7775200000000027</c:v>
                </c:pt>
                <c:pt idx="1716">
                  <c:v>8.291520000000002</c:v>
                </c:pt>
                <c:pt idx="1717">
                  <c:v>8.9395200000000017</c:v>
                </c:pt>
                <c:pt idx="1718">
                  <c:v>8.291520000000002</c:v>
                </c:pt>
                <c:pt idx="1719">
                  <c:v>8.291520000000002</c:v>
                </c:pt>
                <c:pt idx="1720">
                  <c:v>8.129520000000003</c:v>
                </c:pt>
                <c:pt idx="1721">
                  <c:v>8.9395200000000017</c:v>
                </c:pt>
                <c:pt idx="1722">
                  <c:v>8.7775200000000027</c:v>
                </c:pt>
                <c:pt idx="1723">
                  <c:v>8.7775200000000027</c:v>
                </c:pt>
                <c:pt idx="1724">
                  <c:v>8.291520000000002</c:v>
                </c:pt>
                <c:pt idx="1725">
                  <c:v>8.9395200000000017</c:v>
                </c:pt>
                <c:pt idx="1726">
                  <c:v>8.291520000000002</c:v>
                </c:pt>
                <c:pt idx="1727">
                  <c:v>8.291520000000002</c:v>
                </c:pt>
                <c:pt idx="1728">
                  <c:v>8.129520000000003</c:v>
                </c:pt>
                <c:pt idx="1729">
                  <c:v>8.9395200000000017</c:v>
                </c:pt>
                <c:pt idx="1730">
                  <c:v>8.7775200000000027</c:v>
                </c:pt>
                <c:pt idx="1731">
                  <c:v>8.7775200000000027</c:v>
                </c:pt>
                <c:pt idx="1732">
                  <c:v>8.291520000000002</c:v>
                </c:pt>
                <c:pt idx="1733">
                  <c:v>8.9395200000000017</c:v>
                </c:pt>
                <c:pt idx="1734">
                  <c:v>8.291520000000002</c:v>
                </c:pt>
                <c:pt idx="1735">
                  <c:v>8.291520000000002</c:v>
                </c:pt>
                <c:pt idx="1736">
                  <c:v>8.129520000000003</c:v>
                </c:pt>
                <c:pt idx="1737">
                  <c:v>8.9395200000000017</c:v>
                </c:pt>
                <c:pt idx="1738">
                  <c:v>8.7775200000000027</c:v>
                </c:pt>
                <c:pt idx="1739">
                  <c:v>8.7775200000000027</c:v>
                </c:pt>
                <c:pt idx="1740">
                  <c:v>8.291520000000002</c:v>
                </c:pt>
                <c:pt idx="1741">
                  <c:v>8.9395200000000017</c:v>
                </c:pt>
                <c:pt idx="1742">
                  <c:v>8.291520000000002</c:v>
                </c:pt>
                <c:pt idx="1743">
                  <c:v>8.291520000000002</c:v>
                </c:pt>
                <c:pt idx="1744">
                  <c:v>8.129520000000003</c:v>
                </c:pt>
                <c:pt idx="1745">
                  <c:v>8.9395200000000017</c:v>
                </c:pt>
                <c:pt idx="1746">
                  <c:v>8.7775200000000027</c:v>
                </c:pt>
                <c:pt idx="1747">
                  <c:v>8.7775200000000027</c:v>
                </c:pt>
                <c:pt idx="1748">
                  <c:v>8.291520000000002</c:v>
                </c:pt>
                <c:pt idx="1749">
                  <c:v>8.9395200000000017</c:v>
                </c:pt>
                <c:pt idx="1750">
                  <c:v>8.291520000000002</c:v>
                </c:pt>
                <c:pt idx="1751">
                  <c:v>8.291520000000002</c:v>
                </c:pt>
                <c:pt idx="1752">
                  <c:v>8.129520000000003</c:v>
                </c:pt>
                <c:pt idx="1753">
                  <c:v>8.9395200000000017</c:v>
                </c:pt>
                <c:pt idx="1754">
                  <c:v>8.7775200000000027</c:v>
                </c:pt>
                <c:pt idx="1755">
                  <c:v>8.7775200000000027</c:v>
                </c:pt>
                <c:pt idx="1756">
                  <c:v>8.291520000000002</c:v>
                </c:pt>
                <c:pt idx="1757">
                  <c:v>8.9395200000000017</c:v>
                </c:pt>
                <c:pt idx="1758">
                  <c:v>8.291520000000002</c:v>
                </c:pt>
                <c:pt idx="1759">
                  <c:v>8.291520000000002</c:v>
                </c:pt>
                <c:pt idx="1760">
                  <c:v>8.129520000000003</c:v>
                </c:pt>
                <c:pt idx="1761">
                  <c:v>8.9395200000000017</c:v>
                </c:pt>
                <c:pt idx="1762">
                  <c:v>8.7775200000000027</c:v>
                </c:pt>
                <c:pt idx="1763">
                  <c:v>8.7775200000000027</c:v>
                </c:pt>
                <c:pt idx="1764">
                  <c:v>8.291520000000002</c:v>
                </c:pt>
                <c:pt idx="1765">
                  <c:v>8.9395200000000017</c:v>
                </c:pt>
                <c:pt idx="1766">
                  <c:v>8.291520000000002</c:v>
                </c:pt>
                <c:pt idx="1767">
                  <c:v>8.291520000000002</c:v>
                </c:pt>
                <c:pt idx="1768">
                  <c:v>8.129520000000003</c:v>
                </c:pt>
                <c:pt idx="1769">
                  <c:v>8.9395200000000017</c:v>
                </c:pt>
                <c:pt idx="1770">
                  <c:v>8.7775200000000027</c:v>
                </c:pt>
                <c:pt idx="1771">
                  <c:v>8.7775200000000027</c:v>
                </c:pt>
                <c:pt idx="1772">
                  <c:v>8.291520000000002</c:v>
                </c:pt>
                <c:pt idx="1773">
                  <c:v>8.9395200000000017</c:v>
                </c:pt>
                <c:pt idx="1774">
                  <c:v>8.291520000000002</c:v>
                </c:pt>
                <c:pt idx="1775">
                  <c:v>8.291520000000002</c:v>
                </c:pt>
                <c:pt idx="1776">
                  <c:v>8.129520000000003</c:v>
                </c:pt>
                <c:pt idx="1777">
                  <c:v>8.9395200000000017</c:v>
                </c:pt>
                <c:pt idx="1778">
                  <c:v>8.7775200000000027</c:v>
                </c:pt>
                <c:pt idx="1779">
                  <c:v>8.7775200000000027</c:v>
                </c:pt>
                <c:pt idx="1780">
                  <c:v>8.291520000000002</c:v>
                </c:pt>
                <c:pt idx="1781">
                  <c:v>8.9395200000000017</c:v>
                </c:pt>
                <c:pt idx="1782">
                  <c:v>8.291520000000002</c:v>
                </c:pt>
                <c:pt idx="1783">
                  <c:v>8.291520000000002</c:v>
                </c:pt>
                <c:pt idx="1784">
                  <c:v>8.129520000000003</c:v>
                </c:pt>
                <c:pt idx="1785">
                  <c:v>8.9395200000000017</c:v>
                </c:pt>
                <c:pt idx="1786">
                  <c:v>8.7775200000000027</c:v>
                </c:pt>
                <c:pt idx="1787">
                  <c:v>8.7775200000000027</c:v>
                </c:pt>
                <c:pt idx="1788">
                  <c:v>8.291520000000002</c:v>
                </c:pt>
                <c:pt idx="1789">
                  <c:v>8.9395200000000017</c:v>
                </c:pt>
                <c:pt idx="1790">
                  <c:v>8.291520000000002</c:v>
                </c:pt>
                <c:pt idx="1791">
                  <c:v>8.291520000000002</c:v>
                </c:pt>
                <c:pt idx="1792">
                  <c:v>8.129520000000003</c:v>
                </c:pt>
                <c:pt idx="1793">
                  <c:v>8.9395200000000017</c:v>
                </c:pt>
                <c:pt idx="1794">
                  <c:v>8.7775200000000027</c:v>
                </c:pt>
                <c:pt idx="1795">
                  <c:v>8.7775200000000027</c:v>
                </c:pt>
                <c:pt idx="1796">
                  <c:v>8.291520000000002</c:v>
                </c:pt>
                <c:pt idx="1797">
                  <c:v>8.9395200000000017</c:v>
                </c:pt>
                <c:pt idx="1798">
                  <c:v>8.291520000000002</c:v>
                </c:pt>
                <c:pt idx="1799">
                  <c:v>8.291520000000002</c:v>
                </c:pt>
                <c:pt idx="1800">
                  <c:v>8.129520000000003</c:v>
                </c:pt>
                <c:pt idx="1801">
                  <c:v>8.9395200000000017</c:v>
                </c:pt>
                <c:pt idx="1802">
                  <c:v>8.7775200000000027</c:v>
                </c:pt>
                <c:pt idx="1803">
                  <c:v>8.7775200000000027</c:v>
                </c:pt>
                <c:pt idx="1804">
                  <c:v>8.291520000000002</c:v>
                </c:pt>
                <c:pt idx="1805">
                  <c:v>8.9395200000000017</c:v>
                </c:pt>
                <c:pt idx="1806">
                  <c:v>8.291520000000002</c:v>
                </c:pt>
                <c:pt idx="1807">
                  <c:v>8.291520000000002</c:v>
                </c:pt>
                <c:pt idx="1808">
                  <c:v>8.129520000000003</c:v>
                </c:pt>
                <c:pt idx="1809">
                  <c:v>8.9395200000000017</c:v>
                </c:pt>
                <c:pt idx="1810">
                  <c:v>8.7775200000000027</c:v>
                </c:pt>
                <c:pt idx="1811">
                  <c:v>8.7775200000000027</c:v>
                </c:pt>
                <c:pt idx="1812">
                  <c:v>8.291520000000002</c:v>
                </c:pt>
                <c:pt idx="1813">
                  <c:v>8.9395200000000017</c:v>
                </c:pt>
                <c:pt idx="1814">
                  <c:v>8.291520000000002</c:v>
                </c:pt>
                <c:pt idx="1815">
                  <c:v>8.291520000000002</c:v>
                </c:pt>
                <c:pt idx="1816">
                  <c:v>8.129520000000003</c:v>
                </c:pt>
                <c:pt idx="1817">
                  <c:v>8.9395200000000017</c:v>
                </c:pt>
                <c:pt idx="1818">
                  <c:v>8.7775200000000027</c:v>
                </c:pt>
                <c:pt idx="1819">
                  <c:v>8.7775200000000027</c:v>
                </c:pt>
                <c:pt idx="1820">
                  <c:v>8.291520000000002</c:v>
                </c:pt>
                <c:pt idx="1821">
                  <c:v>8.9395200000000017</c:v>
                </c:pt>
                <c:pt idx="1822">
                  <c:v>8.291520000000002</c:v>
                </c:pt>
                <c:pt idx="1823">
                  <c:v>8.291520000000002</c:v>
                </c:pt>
                <c:pt idx="1824">
                  <c:v>8.129520000000003</c:v>
                </c:pt>
                <c:pt idx="1825">
                  <c:v>8.9395200000000017</c:v>
                </c:pt>
                <c:pt idx="1826">
                  <c:v>8.7775200000000027</c:v>
                </c:pt>
                <c:pt idx="1827">
                  <c:v>8.7775200000000027</c:v>
                </c:pt>
                <c:pt idx="1828">
                  <c:v>8.291520000000002</c:v>
                </c:pt>
                <c:pt idx="1829">
                  <c:v>8.9395200000000017</c:v>
                </c:pt>
                <c:pt idx="1830">
                  <c:v>8.291520000000002</c:v>
                </c:pt>
                <c:pt idx="1831">
                  <c:v>8.291520000000002</c:v>
                </c:pt>
                <c:pt idx="1832">
                  <c:v>8.129520000000003</c:v>
                </c:pt>
                <c:pt idx="1833">
                  <c:v>8.9395200000000017</c:v>
                </c:pt>
                <c:pt idx="1834">
                  <c:v>8.7775200000000027</c:v>
                </c:pt>
                <c:pt idx="1835">
                  <c:v>8.7775200000000027</c:v>
                </c:pt>
                <c:pt idx="1836">
                  <c:v>8.291520000000002</c:v>
                </c:pt>
                <c:pt idx="1837">
                  <c:v>8.9395200000000017</c:v>
                </c:pt>
                <c:pt idx="1838">
                  <c:v>8.291520000000002</c:v>
                </c:pt>
                <c:pt idx="1839">
                  <c:v>8.291520000000002</c:v>
                </c:pt>
                <c:pt idx="1840">
                  <c:v>8.129520000000003</c:v>
                </c:pt>
                <c:pt idx="1841">
                  <c:v>8.9395200000000017</c:v>
                </c:pt>
                <c:pt idx="1842">
                  <c:v>8.7775200000000027</c:v>
                </c:pt>
                <c:pt idx="1843">
                  <c:v>8.7775200000000027</c:v>
                </c:pt>
                <c:pt idx="1844">
                  <c:v>8.291520000000002</c:v>
                </c:pt>
                <c:pt idx="1845">
                  <c:v>8.9395200000000017</c:v>
                </c:pt>
                <c:pt idx="1846">
                  <c:v>8.291520000000002</c:v>
                </c:pt>
                <c:pt idx="1847">
                  <c:v>8.291520000000002</c:v>
                </c:pt>
                <c:pt idx="1848">
                  <c:v>8.129520000000003</c:v>
                </c:pt>
                <c:pt idx="1849">
                  <c:v>8.9395200000000017</c:v>
                </c:pt>
                <c:pt idx="1850">
                  <c:v>8.7775200000000027</c:v>
                </c:pt>
                <c:pt idx="1851">
                  <c:v>8.7775200000000027</c:v>
                </c:pt>
                <c:pt idx="1852">
                  <c:v>8.291520000000002</c:v>
                </c:pt>
                <c:pt idx="1853">
                  <c:v>8.9395200000000017</c:v>
                </c:pt>
                <c:pt idx="1854">
                  <c:v>8.291520000000002</c:v>
                </c:pt>
                <c:pt idx="1855">
                  <c:v>8.291520000000002</c:v>
                </c:pt>
                <c:pt idx="1856">
                  <c:v>8.129520000000003</c:v>
                </c:pt>
                <c:pt idx="1857">
                  <c:v>8.9395200000000017</c:v>
                </c:pt>
                <c:pt idx="1858">
                  <c:v>8.7775200000000027</c:v>
                </c:pt>
                <c:pt idx="1859">
                  <c:v>8.7775200000000027</c:v>
                </c:pt>
                <c:pt idx="1860">
                  <c:v>8.291520000000002</c:v>
                </c:pt>
                <c:pt idx="1861">
                  <c:v>8.9395200000000017</c:v>
                </c:pt>
                <c:pt idx="1862">
                  <c:v>8.291520000000002</c:v>
                </c:pt>
                <c:pt idx="1863">
                  <c:v>8.291520000000002</c:v>
                </c:pt>
                <c:pt idx="1864">
                  <c:v>8.129520000000003</c:v>
                </c:pt>
                <c:pt idx="1865">
                  <c:v>8.9395200000000017</c:v>
                </c:pt>
                <c:pt idx="1866">
                  <c:v>8.7775200000000027</c:v>
                </c:pt>
                <c:pt idx="1867">
                  <c:v>8.7775200000000027</c:v>
                </c:pt>
                <c:pt idx="1868">
                  <c:v>8.291520000000002</c:v>
                </c:pt>
                <c:pt idx="1869">
                  <c:v>8.9395200000000017</c:v>
                </c:pt>
                <c:pt idx="1870">
                  <c:v>8.291520000000002</c:v>
                </c:pt>
                <c:pt idx="1871">
                  <c:v>8.291520000000002</c:v>
                </c:pt>
                <c:pt idx="1872">
                  <c:v>8.129520000000003</c:v>
                </c:pt>
                <c:pt idx="1873">
                  <c:v>8.9395200000000017</c:v>
                </c:pt>
                <c:pt idx="1874">
                  <c:v>8.7775200000000027</c:v>
                </c:pt>
                <c:pt idx="1875">
                  <c:v>8.7775200000000027</c:v>
                </c:pt>
                <c:pt idx="1876">
                  <c:v>8.291520000000002</c:v>
                </c:pt>
                <c:pt idx="1877">
                  <c:v>8.9395200000000017</c:v>
                </c:pt>
                <c:pt idx="1878">
                  <c:v>8.291520000000002</c:v>
                </c:pt>
                <c:pt idx="1879">
                  <c:v>8.291520000000002</c:v>
                </c:pt>
                <c:pt idx="1880">
                  <c:v>8.129520000000003</c:v>
                </c:pt>
                <c:pt idx="1881">
                  <c:v>8.9395200000000017</c:v>
                </c:pt>
                <c:pt idx="1882">
                  <c:v>8.7775200000000027</c:v>
                </c:pt>
                <c:pt idx="1883">
                  <c:v>8.7775200000000027</c:v>
                </c:pt>
                <c:pt idx="1884">
                  <c:v>8.291520000000002</c:v>
                </c:pt>
                <c:pt idx="1885">
                  <c:v>8.9395200000000017</c:v>
                </c:pt>
                <c:pt idx="1886">
                  <c:v>8.291520000000002</c:v>
                </c:pt>
                <c:pt idx="1887">
                  <c:v>8.291520000000002</c:v>
                </c:pt>
                <c:pt idx="1888">
                  <c:v>8.129520000000003</c:v>
                </c:pt>
                <c:pt idx="1889">
                  <c:v>8.9395200000000017</c:v>
                </c:pt>
                <c:pt idx="1890">
                  <c:v>8.7775200000000027</c:v>
                </c:pt>
                <c:pt idx="1891">
                  <c:v>8.7775200000000027</c:v>
                </c:pt>
                <c:pt idx="1892">
                  <c:v>8.291520000000002</c:v>
                </c:pt>
                <c:pt idx="1893">
                  <c:v>8.9395200000000017</c:v>
                </c:pt>
                <c:pt idx="1894">
                  <c:v>8.291520000000002</c:v>
                </c:pt>
                <c:pt idx="1895">
                  <c:v>8.291520000000002</c:v>
                </c:pt>
                <c:pt idx="1896">
                  <c:v>8.129520000000003</c:v>
                </c:pt>
                <c:pt idx="1897">
                  <c:v>8.9395200000000017</c:v>
                </c:pt>
                <c:pt idx="1898">
                  <c:v>8.7775200000000027</c:v>
                </c:pt>
                <c:pt idx="1899">
                  <c:v>8.7775200000000027</c:v>
                </c:pt>
                <c:pt idx="1900">
                  <c:v>8.291520000000002</c:v>
                </c:pt>
                <c:pt idx="1901">
                  <c:v>8.9395200000000017</c:v>
                </c:pt>
                <c:pt idx="1902">
                  <c:v>8.291520000000002</c:v>
                </c:pt>
                <c:pt idx="1903">
                  <c:v>8.291520000000002</c:v>
                </c:pt>
                <c:pt idx="1904">
                  <c:v>8.129520000000003</c:v>
                </c:pt>
                <c:pt idx="1905">
                  <c:v>8.9395200000000017</c:v>
                </c:pt>
                <c:pt idx="1906">
                  <c:v>8.7775200000000027</c:v>
                </c:pt>
                <c:pt idx="1907">
                  <c:v>8.7775200000000027</c:v>
                </c:pt>
                <c:pt idx="1908">
                  <c:v>8.291520000000002</c:v>
                </c:pt>
                <c:pt idx="1909">
                  <c:v>8.9395200000000017</c:v>
                </c:pt>
                <c:pt idx="1910">
                  <c:v>8.291520000000002</c:v>
                </c:pt>
                <c:pt idx="1911">
                  <c:v>8.291520000000002</c:v>
                </c:pt>
                <c:pt idx="1912">
                  <c:v>8.129520000000003</c:v>
                </c:pt>
                <c:pt idx="1913">
                  <c:v>8.9395200000000017</c:v>
                </c:pt>
                <c:pt idx="1914">
                  <c:v>8.7775200000000027</c:v>
                </c:pt>
                <c:pt idx="1915">
                  <c:v>8.7775200000000027</c:v>
                </c:pt>
                <c:pt idx="1916">
                  <c:v>8.291520000000002</c:v>
                </c:pt>
                <c:pt idx="1917">
                  <c:v>8.9395200000000017</c:v>
                </c:pt>
                <c:pt idx="1918">
                  <c:v>8.291520000000002</c:v>
                </c:pt>
                <c:pt idx="1919">
                  <c:v>8.291520000000002</c:v>
                </c:pt>
                <c:pt idx="1920">
                  <c:v>8.129520000000003</c:v>
                </c:pt>
                <c:pt idx="1921">
                  <c:v>8.9395200000000017</c:v>
                </c:pt>
                <c:pt idx="1922">
                  <c:v>8.7775200000000027</c:v>
                </c:pt>
                <c:pt idx="1923">
                  <c:v>8.7775200000000027</c:v>
                </c:pt>
                <c:pt idx="1924">
                  <c:v>8.291520000000002</c:v>
                </c:pt>
                <c:pt idx="1925">
                  <c:v>8.9395200000000017</c:v>
                </c:pt>
                <c:pt idx="1926">
                  <c:v>8.9395200000000017</c:v>
                </c:pt>
                <c:pt idx="1927">
                  <c:v>-11.310479999999998</c:v>
                </c:pt>
                <c:pt idx="1928">
                  <c:v>-11.148479999999999</c:v>
                </c:pt>
                <c:pt idx="1929">
                  <c:v>-11.148479999999999</c:v>
                </c:pt>
                <c:pt idx="1930">
                  <c:v>-11.310479999999998</c:v>
                </c:pt>
                <c:pt idx="1931">
                  <c:v>-10.500479999999998</c:v>
                </c:pt>
                <c:pt idx="1932">
                  <c:v>-10.662479999999999</c:v>
                </c:pt>
                <c:pt idx="1933">
                  <c:v>-10.662479999999999</c:v>
                </c:pt>
                <c:pt idx="1934">
                  <c:v>-11.148479999999999</c:v>
                </c:pt>
                <c:pt idx="1935">
                  <c:v>-10.500479999999998</c:v>
                </c:pt>
                <c:pt idx="1936">
                  <c:v>-10.338479999999997</c:v>
                </c:pt>
                <c:pt idx="1937">
                  <c:v>-10.338479999999997</c:v>
                </c:pt>
                <c:pt idx="1938">
                  <c:v>-10.500479999999998</c:v>
                </c:pt>
                <c:pt idx="1939">
                  <c:v>-9.6904799999999973</c:v>
                </c:pt>
                <c:pt idx="1940">
                  <c:v>-9.8524799999999981</c:v>
                </c:pt>
                <c:pt idx="1941">
                  <c:v>-9.8524799999999981</c:v>
                </c:pt>
                <c:pt idx="1942">
                  <c:v>-10.338479999999997</c:v>
                </c:pt>
                <c:pt idx="1943">
                  <c:v>-9.6904799999999973</c:v>
                </c:pt>
                <c:pt idx="1944">
                  <c:v>-9.5284799999999965</c:v>
                </c:pt>
                <c:pt idx="1945">
                  <c:v>-9.5284799999999965</c:v>
                </c:pt>
                <c:pt idx="1946">
                  <c:v>-9.6904799999999973</c:v>
                </c:pt>
                <c:pt idx="1947">
                  <c:v>-8.8804799999999968</c:v>
                </c:pt>
                <c:pt idx="1948">
                  <c:v>-9.0424799999999976</c:v>
                </c:pt>
                <c:pt idx="1949">
                  <c:v>-9.0424799999999976</c:v>
                </c:pt>
                <c:pt idx="1950">
                  <c:v>-9.5284799999999965</c:v>
                </c:pt>
                <c:pt idx="1951">
                  <c:v>-8.8804799999999968</c:v>
                </c:pt>
                <c:pt idx="1952">
                  <c:v>-8.7184799999999978</c:v>
                </c:pt>
                <c:pt idx="1953">
                  <c:v>-8.7184799999999978</c:v>
                </c:pt>
                <c:pt idx="1954">
                  <c:v>-8.8804799999999986</c:v>
                </c:pt>
                <c:pt idx="1955">
                  <c:v>-8.0704799999999981</c:v>
                </c:pt>
                <c:pt idx="1956">
                  <c:v>-8.2324799999999989</c:v>
                </c:pt>
                <c:pt idx="1957">
                  <c:v>-8.2324799999999989</c:v>
                </c:pt>
                <c:pt idx="1958">
                  <c:v>-8.7184799999999978</c:v>
                </c:pt>
                <c:pt idx="1959">
                  <c:v>-8.0704799999999981</c:v>
                </c:pt>
                <c:pt idx="1960">
                  <c:v>-7.9084799999999973</c:v>
                </c:pt>
                <c:pt idx="1961">
                  <c:v>-7.9084799999999973</c:v>
                </c:pt>
                <c:pt idx="1962">
                  <c:v>-8.0704799999999981</c:v>
                </c:pt>
                <c:pt idx="1963">
                  <c:v>-7.2604799999999976</c:v>
                </c:pt>
                <c:pt idx="1964">
                  <c:v>-7.4224799999999984</c:v>
                </c:pt>
                <c:pt idx="1965">
                  <c:v>-7.4224799999999984</c:v>
                </c:pt>
                <c:pt idx="1966">
                  <c:v>-7.9084799999999973</c:v>
                </c:pt>
                <c:pt idx="1967">
                  <c:v>-7.2604799999999976</c:v>
                </c:pt>
                <c:pt idx="1968">
                  <c:v>-7.0984799999999968</c:v>
                </c:pt>
                <c:pt idx="1969">
                  <c:v>-7.0984799999999968</c:v>
                </c:pt>
                <c:pt idx="1970">
                  <c:v>-7.2604799999999976</c:v>
                </c:pt>
                <c:pt idx="1971">
                  <c:v>-6.4504799999999971</c:v>
                </c:pt>
                <c:pt idx="1972">
                  <c:v>-6.6124799999999979</c:v>
                </c:pt>
                <c:pt idx="1973">
                  <c:v>-6.6124799999999979</c:v>
                </c:pt>
                <c:pt idx="1974">
                  <c:v>-7.0984799999999968</c:v>
                </c:pt>
                <c:pt idx="1975">
                  <c:v>-6.4504799999999971</c:v>
                </c:pt>
                <c:pt idx="1976">
                  <c:v>-6.2884799999999981</c:v>
                </c:pt>
                <c:pt idx="1977">
                  <c:v>-6.2884799999999981</c:v>
                </c:pt>
                <c:pt idx="1978">
                  <c:v>-6.4504799999999989</c:v>
                </c:pt>
                <c:pt idx="1979">
                  <c:v>-5.6404799999999984</c:v>
                </c:pt>
                <c:pt idx="1980">
                  <c:v>-5.8024799999999992</c:v>
                </c:pt>
                <c:pt idx="1981">
                  <c:v>-5.8024799999999992</c:v>
                </c:pt>
                <c:pt idx="1982">
                  <c:v>-6.2884799999999981</c:v>
                </c:pt>
                <c:pt idx="1983">
                  <c:v>-5.6404799999999984</c:v>
                </c:pt>
                <c:pt idx="1984">
                  <c:v>-5.4784799999999976</c:v>
                </c:pt>
                <c:pt idx="1985">
                  <c:v>-5.4784799999999976</c:v>
                </c:pt>
                <c:pt idx="1986">
                  <c:v>-5.6404799999999984</c:v>
                </c:pt>
                <c:pt idx="1987">
                  <c:v>-4.8304799999999979</c:v>
                </c:pt>
                <c:pt idx="1988">
                  <c:v>-4.9924799999999987</c:v>
                </c:pt>
                <c:pt idx="1989">
                  <c:v>-4.9924799999999987</c:v>
                </c:pt>
                <c:pt idx="1990">
                  <c:v>-5.4784799999999976</c:v>
                </c:pt>
                <c:pt idx="1991">
                  <c:v>-4.8304799999999979</c:v>
                </c:pt>
                <c:pt idx="1992">
                  <c:v>-4.6684799999999971</c:v>
                </c:pt>
                <c:pt idx="1993">
                  <c:v>-4.6684799999999971</c:v>
                </c:pt>
                <c:pt idx="1994">
                  <c:v>-4.8304799999999979</c:v>
                </c:pt>
                <c:pt idx="1995">
                  <c:v>-4.0204799999999974</c:v>
                </c:pt>
                <c:pt idx="1996">
                  <c:v>-4.1824799999999982</c:v>
                </c:pt>
                <c:pt idx="1997">
                  <c:v>-4.1824799999999982</c:v>
                </c:pt>
                <c:pt idx="1998">
                  <c:v>-4.6684799999999971</c:v>
                </c:pt>
                <c:pt idx="1999">
                  <c:v>-4.0204799999999974</c:v>
                </c:pt>
                <c:pt idx="2000">
                  <c:v>-3.8584799999999966</c:v>
                </c:pt>
                <c:pt idx="2001">
                  <c:v>-3.8584799999999966</c:v>
                </c:pt>
                <c:pt idx="2002">
                  <c:v>-4.0204799999999974</c:v>
                </c:pt>
                <c:pt idx="2003">
                  <c:v>-3.2104799999999969</c:v>
                </c:pt>
                <c:pt idx="2004">
                  <c:v>-3.3724799999999977</c:v>
                </c:pt>
                <c:pt idx="2005">
                  <c:v>-3.3724799999999977</c:v>
                </c:pt>
                <c:pt idx="2006">
                  <c:v>-3.8584799999999966</c:v>
                </c:pt>
                <c:pt idx="2007">
                  <c:v>-3.2104799999999969</c:v>
                </c:pt>
                <c:pt idx="2008">
                  <c:v>-3.0484799999999961</c:v>
                </c:pt>
                <c:pt idx="2009">
                  <c:v>-3.0484799999999961</c:v>
                </c:pt>
                <c:pt idx="2010">
                  <c:v>-3.2104799999999969</c:v>
                </c:pt>
                <c:pt idx="2011">
                  <c:v>-2.4004799999999964</c:v>
                </c:pt>
                <c:pt idx="2012">
                  <c:v>-2.5624799999999972</c:v>
                </c:pt>
                <c:pt idx="2013">
                  <c:v>-2.5624799999999972</c:v>
                </c:pt>
                <c:pt idx="2014">
                  <c:v>-3.0484799999999961</c:v>
                </c:pt>
                <c:pt idx="2015">
                  <c:v>-2.4004799999999964</c:v>
                </c:pt>
                <c:pt idx="2016">
                  <c:v>-2.2384799999999974</c:v>
                </c:pt>
                <c:pt idx="2017">
                  <c:v>-2.2384799999999974</c:v>
                </c:pt>
                <c:pt idx="2018">
                  <c:v>-2.4004799999999982</c:v>
                </c:pt>
                <c:pt idx="2019">
                  <c:v>-1.5904799999999994</c:v>
                </c:pt>
                <c:pt idx="2020">
                  <c:v>-1.7524799999999985</c:v>
                </c:pt>
                <c:pt idx="2021">
                  <c:v>-1.7524799999999985</c:v>
                </c:pt>
                <c:pt idx="2022">
                  <c:v>-2.2384799999999974</c:v>
                </c:pt>
                <c:pt idx="2023">
                  <c:v>-1.5904799999999994</c:v>
                </c:pt>
                <c:pt idx="2024">
                  <c:v>-1.4284800000000004</c:v>
                </c:pt>
                <c:pt idx="2025">
                  <c:v>-1.4284800000000004</c:v>
                </c:pt>
                <c:pt idx="2026">
                  <c:v>-1.5904799999999994</c:v>
                </c:pt>
                <c:pt idx="2027">
                  <c:v>-0.78048000000000073</c:v>
                </c:pt>
                <c:pt idx="2028">
                  <c:v>-0.94247999999999976</c:v>
                </c:pt>
                <c:pt idx="2029">
                  <c:v>-0.94247999999999976</c:v>
                </c:pt>
                <c:pt idx="2030">
                  <c:v>-1.4284800000000004</c:v>
                </c:pt>
                <c:pt idx="2031">
                  <c:v>-0.78048000000000073</c:v>
                </c:pt>
                <c:pt idx="2032">
                  <c:v>-0.61847999999999814</c:v>
                </c:pt>
                <c:pt idx="2033">
                  <c:v>-0.61847999999999814</c:v>
                </c:pt>
                <c:pt idx="2034">
                  <c:v>-0.78047999999999718</c:v>
                </c:pt>
                <c:pt idx="2035">
                  <c:v>2.9520000000001545E-2</c:v>
                </c:pt>
                <c:pt idx="2036">
                  <c:v>-0.13247999999999749</c:v>
                </c:pt>
                <c:pt idx="2037">
                  <c:v>-0.13247999999999749</c:v>
                </c:pt>
                <c:pt idx="2038">
                  <c:v>-0.61847999999999814</c:v>
                </c:pt>
                <c:pt idx="2039">
                  <c:v>2.9520000000001545E-2</c:v>
                </c:pt>
                <c:pt idx="2040">
                  <c:v>0.19152000000000058</c:v>
                </c:pt>
                <c:pt idx="2041">
                  <c:v>0.19152000000000058</c:v>
                </c:pt>
                <c:pt idx="2042">
                  <c:v>2.9520000000001545E-2</c:v>
                </c:pt>
                <c:pt idx="2043">
                  <c:v>0.83952000000000027</c:v>
                </c:pt>
                <c:pt idx="2044">
                  <c:v>0.67752000000000123</c:v>
                </c:pt>
                <c:pt idx="2045">
                  <c:v>0.67752000000000123</c:v>
                </c:pt>
                <c:pt idx="2046">
                  <c:v>0.19152000000000058</c:v>
                </c:pt>
                <c:pt idx="2047">
                  <c:v>0.83952000000000027</c:v>
                </c:pt>
                <c:pt idx="2048">
                  <c:v>1.0015199999999993</c:v>
                </c:pt>
                <c:pt idx="2049">
                  <c:v>1.0015199999999993</c:v>
                </c:pt>
                <c:pt idx="2050">
                  <c:v>0.83952000000000027</c:v>
                </c:pt>
                <c:pt idx="2051">
                  <c:v>1.649519999999999</c:v>
                </c:pt>
                <c:pt idx="2052">
                  <c:v>1.48752</c:v>
                </c:pt>
                <c:pt idx="2053">
                  <c:v>1.48752</c:v>
                </c:pt>
                <c:pt idx="2054">
                  <c:v>1.0015199999999993</c:v>
                </c:pt>
                <c:pt idx="2055">
                  <c:v>1.649519999999999</c:v>
                </c:pt>
                <c:pt idx="2056">
                  <c:v>1.8115200000000016</c:v>
                </c:pt>
                <c:pt idx="2057">
                  <c:v>1.8115200000000016</c:v>
                </c:pt>
                <c:pt idx="2058">
                  <c:v>1.6495200000000025</c:v>
                </c:pt>
                <c:pt idx="2059">
                  <c:v>2.4595200000000013</c:v>
                </c:pt>
                <c:pt idx="2060">
                  <c:v>2.2975200000000022</c:v>
                </c:pt>
                <c:pt idx="2061">
                  <c:v>2.2975200000000022</c:v>
                </c:pt>
                <c:pt idx="2062">
                  <c:v>1.8115200000000016</c:v>
                </c:pt>
                <c:pt idx="2063">
                  <c:v>2.4595200000000013</c:v>
                </c:pt>
                <c:pt idx="2064">
                  <c:v>2.6215200000000038</c:v>
                </c:pt>
                <c:pt idx="2065">
                  <c:v>2.6215200000000038</c:v>
                </c:pt>
                <c:pt idx="2066">
                  <c:v>2.4595200000000048</c:v>
                </c:pt>
                <c:pt idx="2067">
                  <c:v>3.2695200000000035</c:v>
                </c:pt>
                <c:pt idx="2068">
                  <c:v>3.1075200000000045</c:v>
                </c:pt>
                <c:pt idx="2069">
                  <c:v>3.1075200000000045</c:v>
                </c:pt>
                <c:pt idx="2070">
                  <c:v>2.6215200000000038</c:v>
                </c:pt>
                <c:pt idx="2071">
                  <c:v>3.2695200000000035</c:v>
                </c:pt>
                <c:pt idx="2072">
                  <c:v>3.4315200000000026</c:v>
                </c:pt>
                <c:pt idx="2073">
                  <c:v>3.4315200000000026</c:v>
                </c:pt>
                <c:pt idx="2074">
                  <c:v>3.2695200000000035</c:v>
                </c:pt>
                <c:pt idx="2075">
                  <c:v>4.0795200000000023</c:v>
                </c:pt>
                <c:pt idx="2076">
                  <c:v>3.9175200000000032</c:v>
                </c:pt>
                <c:pt idx="2077">
                  <c:v>3.9175200000000032</c:v>
                </c:pt>
                <c:pt idx="2078">
                  <c:v>3.4315200000000026</c:v>
                </c:pt>
                <c:pt idx="2079">
                  <c:v>4.0795200000000023</c:v>
                </c:pt>
                <c:pt idx="2080">
                  <c:v>4.2415200000000013</c:v>
                </c:pt>
                <c:pt idx="2081">
                  <c:v>4.2415200000000013</c:v>
                </c:pt>
                <c:pt idx="2082">
                  <c:v>4.0795200000000023</c:v>
                </c:pt>
                <c:pt idx="2083">
                  <c:v>4.889520000000001</c:v>
                </c:pt>
                <c:pt idx="2084">
                  <c:v>4.7275200000000019</c:v>
                </c:pt>
                <c:pt idx="2085">
                  <c:v>4.7275200000000019</c:v>
                </c:pt>
                <c:pt idx="2086">
                  <c:v>4.2415200000000013</c:v>
                </c:pt>
                <c:pt idx="2087">
                  <c:v>4.889520000000001</c:v>
                </c:pt>
                <c:pt idx="2088">
                  <c:v>5.0515200000000036</c:v>
                </c:pt>
                <c:pt idx="2089">
                  <c:v>5.0515200000000036</c:v>
                </c:pt>
                <c:pt idx="2090">
                  <c:v>4.8895200000000045</c:v>
                </c:pt>
                <c:pt idx="2091">
                  <c:v>5.6995200000000033</c:v>
                </c:pt>
                <c:pt idx="2092">
                  <c:v>5.5375200000000042</c:v>
                </c:pt>
                <c:pt idx="2093">
                  <c:v>5.5375200000000042</c:v>
                </c:pt>
                <c:pt idx="2094">
                  <c:v>5.0515200000000036</c:v>
                </c:pt>
                <c:pt idx="2095">
                  <c:v>5.6995200000000033</c:v>
                </c:pt>
                <c:pt idx="2096">
                  <c:v>5.8615200000000023</c:v>
                </c:pt>
                <c:pt idx="2097">
                  <c:v>5.8615200000000023</c:v>
                </c:pt>
                <c:pt idx="2098">
                  <c:v>5.6995200000000033</c:v>
                </c:pt>
                <c:pt idx="2099">
                  <c:v>6.509520000000002</c:v>
                </c:pt>
                <c:pt idx="2100">
                  <c:v>6.3475200000000029</c:v>
                </c:pt>
                <c:pt idx="2101">
                  <c:v>6.3475200000000029</c:v>
                </c:pt>
                <c:pt idx="2102">
                  <c:v>5.8615200000000023</c:v>
                </c:pt>
                <c:pt idx="2103">
                  <c:v>6.509520000000002</c:v>
                </c:pt>
                <c:pt idx="2104">
                  <c:v>6.671520000000001</c:v>
                </c:pt>
                <c:pt idx="2105">
                  <c:v>6.671520000000001</c:v>
                </c:pt>
                <c:pt idx="2106">
                  <c:v>6.509520000000002</c:v>
                </c:pt>
                <c:pt idx="2107">
                  <c:v>7.3195200000000007</c:v>
                </c:pt>
                <c:pt idx="2108">
                  <c:v>7.1575200000000017</c:v>
                </c:pt>
                <c:pt idx="2109">
                  <c:v>7.1575200000000017</c:v>
                </c:pt>
                <c:pt idx="2110">
                  <c:v>6.671520000000001</c:v>
                </c:pt>
                <c:pt idx="2111">
                  <c:v>7.3195200000000007</c:v>
                </c:pt>
                <c:pt idx="2112">
                  <c:v>7.4815200000000033</c:v>
                </c:pt>
                <c:pt idx="2113">
                  <c:v>7.4815200000000033</c:v>
                </c:pt>
                <c:pt idx="2114">
                  <c:v>7.3195200000000042</c:v>
                </c:pt>
                <c:pt idx="2115">
                  <c:v>8.129520000000003</c:v>
                </c:pt>
                <c:pt idx="2116">
                  <c:v>7.9675200000000039</c:v>
                </c:pt>
                <c:pt idx="2117">
                  <c:v>7.9675200000000039</c:v>
                </c:pt>
                <c:pt idx="2118">
                  <c:v>7.4815200000000033</c:v>
                </c:pt>
                <c:pt idx="2119">
                  <c:v>8.129520000000003</c:v>
                </c:pt>
                <c:pt idx="2120">
                  <c:v>8.291520000000002</c:v>
                </c:pt>
                <c:pt idx="2121">
                  <c:v>8.291520000000002</c:v>
                </c:pt>
                <c:pt idx="2122">
                  <c:v>8.129520000000003</c:v>
                </c:pt>
                <c:pt idx="2123">
                  <c:v>8.9395200000000017</c:v>
                </c:pt>
                <c:pt idx="2124">
                  <c:v>8.7775200000000027</c:v>
                </c:pt>
                <c:pt idx="2125">
                  <c:v>8.7775200000000027</c:v>
                </c:pt>
                <c:pt idx="2126">
                  <c:v>8.291520000000002</c:v>
                </c:pt>
                <c:pt idx="2127">
                  <c:v>8.9395200000000017</c:v>
                </c:pt>
                <c:pt idx="2128">
                  <c:v>8.291520000000002</c:v>
                </c:pt>
                <c:pt idx="2129">
                  <c:v>8.291520000000002</c:v>
                </c:pt>
                <c:pt idx="2130">
                  <c:v>8.129520000000003</c:v>
                </c:pt>
                <c:pt idx="2131">
                  <c:v>8.9395200000000017</c:v>
                </c:pt>
                <c:pt idx="2132">
                  <c:v>8.7775200000000027</c:v>
                </c:pt>
                <c:pt idx="2133">
                  <c:v>8.7775200000000027</c:v>
                </c:pt>
                <c:pt idx="2134">
                  <c:v>8.291520000000002</c:v>
                </c:pt>
                <c:pt idx="2135">
                  <c:v>8.9395200000000017</c:v>
                </c:pt>
                <c:pt idx="2136">
                  <c:v>8.291520000000002</c:v>
                </c:pt>
                <c:pt idx="2137">
                  <c:v>8.291520000000002</c:v>
                </c:pt>
                <c:pt idx="2138">
                  <c:v>8.129520000000003</c:v>
                </c:pt>
                <c:pt idx="2139">
                  <c:v>8.9395200000000017</c:v>
                </c:pt>
                <c:pt idx="2140">
                  <c:v>8.7775200000000027</c:v>
                </c:pt>
                <c:pt idx="2141">
                  <c:v>8.7775200000000027</c:v>
                </c:pt>
                <c:pt idx="2142">
                  <c:v>8.291520000000002</c:v>
                </c:pt>
                <c:pt idx="2143">
                  <c:v>8.9395200000000017</c:v>
                </c:pt>
                <c:pt idx="2144">
                  <c:v>8.291520000000002</c:v>
                </c:pt>
                <c:pt idx="2145">
                  <c:v>8.291520000000002</c:v>
                </c:pt>
                <c:pt idx="2146">
                  <c:v>8.129520000000003</c:v>
                </c:pt>
                <c:pt idx="2147">
                  <c:v>8.9395200000000017</c:v>
                </c:pt>
                <c:pt idx="2148">
                  <c:v>8.7775200000000027</c:v>
                </c:pt>
                <c:pt idx="2149">
                  <c:v>8.7775200000000027</c:v>
                </c:pt>
                <c:pt idx="2150">
                  <c:v>8.291520000000002</c:v>
                </c:pt>
                <c:pt idx="2151">
                  <c:v>8.9395200000000017</c:v>
                </c:pt>
                <c:pt idx="2152">
                  <c:v>8.291520000000002</c:v>
                </c:pt>
                <c:pt idx="2153">
                  <c:v>8.291520000000002</c:v>
                </c:pt>
                <c:pt idx="2154">
                  <c:v>8.129520000000003</c:v>
                </c:pt>
                <c:pt idx="2155">
                  <c:v>8.9395200000000017</c:v>
                </c:pt>
                <c:pt idx="2156">
                  <c:v>8.7775200000000027</c:v>
                </c:pt>
                <c:pt idx="2157">
                  <c:v>8.7775200000000027</c:v>
                </c:pt>
                <c:pt idx="2158">
                  <c:v>8.291520000000002</c:v>
                </c:pt>
                <c:pt idx="2159">
                  <c:v>8.9395200000000017</c:v>
                </c:pt>
                <c:pt idx="2160">
                  <c:v>8.291520000000002</c:v>
                </c:pt>
                <c:pt idx="2161">
                  <c:v>8.291520000000002</c:v>
                </c:pt>
                <c:pt idx="2162">
                  <c:v>8.129520000000003</c:v>
                </c:pt>
                <c:pt idx="2163">
                  <c:v>8.9395200000000017</c:v>
                </c:pt>
                <c:pt idx="2164">
                  <c:v>8.7775200000000027</c:v>
                </c:pt>
                <c:pt idx="2165">
                  <c:v>8.7775200000000027</c:v>
                </c:pt>
                <c:pt idx="2166">
                  <c:v>8.291520000000002</c:v>
                </c:pt>
                <c:pt idx="2167">
                  <c:v>8.9395200000000017</c:v>
                </c:pt>
                <c:pt idx="2168">
                  <c:v>8.291520000000002</c:v>
                </c:pt>
                <c:pt idx="2169">
                  <c:v>8.291520000000002</c:v>
                </c:pt>
                <c:pt idx="2170">
                  <c:v>8.129520000000003</c:v>
                </c:pt>
                <c:pt idx="2171">
                  <c:v>8.9395200000000017</c:v>
                </c:pt>
                <c:pt idx="2172">
                  <c:v>8.7775200000000027</c:v>
                </c:pt>
                <c:pt idx="2173">
                  <c:v>8.7775200000000027</c:v>
                </c:pt>
                <c:pt idx="2174">
                  <c:v>8.291520000000002</c:v>
                </c:pt>
                <c:pt idx="2175">
                  <c:v>8.9395200000000017</c:v>
                </c:pt>
                <c:pt idx="2176">
                  <c:v>8.291520000000002</c:v>
                </c:pt>
                <c:pt idx="2177">
                  <c:v>8.291520000000002</c:v>
                </c:pt>
                <c:pt idx="2178">
                  <c:v>8.129520000000003</c:v>
                </c:pt>
                <c:pt idx="2179">
                  <c:v>8.9395200000000017</c:v>
                </c:pt>
                <c:pt idx="2180">
                  <c:v>8.7775200000000027</c:v>
                </c:pt>
                <c:pt idx="2181">
                  <c:v>8.7775200000000027</c:v>
                </c:pt>
                <c:pt idx="2182">
                  <c:v>8.291520000000002</c:v>
                </c:pt>
                <c:pt idx="2183">
                  <c:v>8.9395200000000017</c:v>
                </c:pt>
                <c:pt idx="2184">
                  <c:v>8.291520000000002</c:v>
                </c:pt>
                <c:pt idx="2185">
                  <c:v>8.291520000000002</c:v>
                </c:pt>
                <c:pt idx="2186">
                  <c:v>8.129520000000003</c:v>
                </c:pt>
                <c:pt idx="2187">
                  <c:v>8.9395200000000017</c:v>
                </c:pt>
                <c:pt idx="2188">
                  <c:v>8.7775200000000027</c:v>
                </c:pt>
                <c:pt idx="2189">
                  <c:v>8.7775200000000027</c:v>
                </c:pt>
                <c:pt idx="2190">
                  <c:v>8.291520000000002</c:v>
                </c:pt>
                <c:pt idx="2191">
                  <c:v>8.9395200000000017</c:v>
                </c:pt>
                <c:pt idx="2192">
                  <c:v>8.291520000000002</c:v>
                </c:pt>
                <c:pt idx="2193">
                  <c:v>8.291520000000002</c:v>
                </c:pt>
                <c:pt idx="2194">
                  <c:v>8.129520000000003</c:v>
                </c:pt>
                <c:pt idx="2195">
                  <c:v>8.9395200000000017</c:v>
                </c:pt>
                <c:pt idx="2196">
                  <c:v>8.7775200000000027</c:v>
                </c:pt>
                <c:pt idx="2197">
                  <c:v>8.7775200000000027</c:v>
                </c:pt>
                <c:pt idx="2198">
                  <c:v>8.291520000000002</c:v>
                </c:pt>
                <c:pt idx="2199">
                  <c:v>8.9395200000000017</c:v>
                </c:pt>
                <c:pt idx="2200">
                  <c:v>8.291520000000002</c:v>
                </c:pt>
                <c:pt idx="2201">
                  <c:v>8.291520000000002</c:v>
                </c:pt>
                <c:pt idx="2202">
                  <c:v>8.129520000000003</c:v>
                </c:pt>
                <c:pt idx="2203">
                  <c:v>8.9395200000000017</c:v>
                </c:pt>
                <c:pt idx="2204">
                  <c:v>8.7775200000000027</c:v>
                </c:pt>
                <c:pt idx="2205">
                  <c:v>8.7775200000000027</c:v>
                </c:pt>
                <c:pt idx="2206">
                  <c:v>8.291520000000002</c:v>
                </c:pt>
                <c:pt idx="2207">
                  <c:v>8.9395200000000017</c:v>
                </c:pt>
                <c:pt idx="2208">
                  <c:v>8.291520000000002</c:v>
                </c:pt>
                <c:pt idx="2209">
                  <c:v>8.291520000000002</c:v>
                </c:pt>
                <c:pt idx="2210">
                  <c:v>8.129520000000003</c:v>
                </c:pt>
                <c:pt idx="2211">
                  <c:v>8.9395200000000017</c:v>
                </c:pt>
                <c:pt idx="2212">
                  <c:v>8.7775200000000027</c:v>
                </c:pt>
                <c:pt idx="2213">
                  <c:v>8.7775200000000027</c:v>
                </c:pt>
                <c:pt idx="2214">
                  <c:v>8.291520000000002</c:v>
                </c:pt>
                <c:pt idx="2215">
                  <c:v>8.9395200000000017</c:v>
                </c:pt>
                <c:pt idx="2216">
                  <c:v>8.291520000000002</c:v>
                </c:pt>
                <c:pt idx="2217">
                  <c:v>8.291520000000002</c:v>
                </c:pt>
                <c:pt idx="2218">
                  <c:v>8.129520000000003</c:v>
                </c:pt>
                <c:pt idx="2219">
                  <c:v>8.9395200000000017</c:v>
                </c:pt>
                <c:pt idx="2220">
                  <c:v>8.7775200000000027</c:v>
                </c:pt>
                <c:pt idx="2221">
                  <c:v>8.7775200000000027</c:v>
                </c:pt>
                <c:pt idx="2222">
                  <c:v>8.291520000000002</c:v>
                </c:pt>
                <c:pt idx="2223">
                  <c:v>8.9395200000000017</c:v>
                </c:pt>
                <c:pt idx="2224">
                  <c:v>8.291520000000002</c:v>
                </c:pt>
                <c:pt idx="2225">
                  <c:v>8.291520000000002</c:v>
                </c:pt>
                <c:pt idx="2226">
                  <c:v>8.129520000000003</c:v>
                </c:pt>
                <c:pt idx="2227">
                  <c:v>8.9395200000000017</c:v>
                </c:pt>
                <c:pt idx="2228">
                  <c:v>8.7775200000000027</c:v>
                </c:pt>
                <c:pt idx="2229">
                  <c:v>8.7775200000000027</c:v>
                </c:pt>
                <c:pt idx="2230">
                  <c:v>8.291520000000002</c:v>
                </c:pt>
                <c:pt idx="2231">
                  <c:v>8.9395200000000017</c:v>
                </c:pt>
                <c:pt idx="2232">
                  <c:v>8.291520000000002</c:v>
                </c:pt>
                <c:pt idx="2233">
                  <c:v>8.291520000000002</c:v>
                </c:pt>
                <c:pt idx="2234">
                  <c:v>8.129520000000003</c:v>
                </c:pt>
                <c:pt idx="2235">
                  <c:v>8.9395200000000017</c:v>
                </c:pt>
                <c:pt idx="2236">
                  <c:v>8.7775200000000027</c:v>
                </c:pt>
                <c:pt idx="2237">
                  <c:v>8.7775200000000027</c:v>
                </c:pt>
                <c:pt idx="2238">
                  <c:v>8.291520000000002</c:v>
                </c:pt>
                <c:pt idx="2239">
                  <c:v>8.9395200000000017</c:v>
                </c:pt>
                <c:pt idx="2240">
                  <c:v>8.291520000000002</c:v>
                </c:pt>
                <c:pt idx="2241">
                  <c:v>8.291520000000002</c:v>
                </c:pt>
                <c:pt idx="2242">
                  <c:v>8.129520000000003</c:v>
                </c:pt>
                <c:pt idx="2243">
                  <c:v>8.9395200000000017</c:v>
                </c:pt>
                <c:pt idx="2244">
                  <c:v>8.7775200000000027</c:v>
                </c:pt>
                <c:pt idx="2245">
                  <c:v>8.7775200000000027</c:v>
                </c:pt>
                <c:pt idx="2246">
                  <c:v>8.291520000000002</c:v>
                </c:pt>
                <c:pt idx="2247">
                  <c:v>8.9395200000000017</c:v>
                </c:pt>
                <c:pt idx="2248">
                  <c:v>8.291520000000002</c:v>
                </c:pt>
                <c:pt idx="2249">
                  <c:v>8.291520000000002</c:v>
                </c:pt>
                <c:pt idx="2250">
                  <c:v>8.129520000000003</c:v>
                </c:pt>
                <c:pt idx="2251">
                  <c:v>8.9395200000000017</c:v>
                </c:pt>
                <c:pt idx="2252">
                  <c:v>8.7775200000000027</c:v>
                </c:pt>
                <c:pt idx="2253">
                  <c:v>8.7775200000000027</c:v>
                </c:pt>
                <c:pt idx="2254">
                  <c:v>8.291520000000002</c:v>
                </c:pt>
                <c:pt idx="2255">
                  <c:v>8.9395200000000017</c:v>
                </c:pt>
                <c:pt idx="2256">
                  <c:v>8.291520000000002</c:v>
                </c:pt>
                <c:pt idx="2257">
                  <c:v>8.291520000000002</c:v>
                </c:pt>
                <c:pt idx="2258">
                  <c:v>8.129520000000003</c:v>
                </c:pt>
                <c:pt idx="2259">
                  <c:v>8.9395200000000017</c:v>
                </c:pt>
                <c:pt idx="2260">
                  <c:v>8.7775200000000027</c:v>
                </c:pt>
                <c:pt idx="2261">
                  <c:v>8.7775200000000027</c:v>
                </c:pt>
                <c:pt idx="2262">
                  <c:v>8.291520000000002</c:v>
                </c:pt>
                <c:pt idx="2263">
                  <c:v>8.9395200000000017</c:v>
                </c:pt>
                <c:pt idx="2264">
                  <c:v>8.291520000000002</c:v>
                </c:pt>
                <c:pt idx="2265">
                  <c:v>8.291520000000002</c:v>
                </c:pt>
                <c:pt idx="2266">
                  <c:v>8.129520000000003</c:v>
                </c:pt>
                <c:pt idx="2267">
                  <c:v>8.9395200000000017</c:v>
                </c:pt>
                <c:pt idx="2268">
                  <c:v>8.7775200000000027</c:v>
                </c:pt>
                <c:pt idx="2269">
                  <c:v>8.7775200000000027</c:v>
                </c:pt>
                <c:pt idx="2270">
                  <c:v>8.291520000000002</c:v>
                </c:pt>
                <c:pt idx="2271">
                  <c:v>8.9395200000000017</c:v>
                </c:pt>
                <c:pt idx="2272">
                  <c:v>8.291520000000002</c:v>
                </c:pt>
                <c:pt idx="2273">
                  <c:v>8.291520000000002</c:v>
                </c:pt>
                <c:pt idx="2274">
                  <c:v>8.129520000000003</c:v>
                </c:pt>
                <c:pt idx="2275">
                  <c:v>8.9395200000000017</c:v>
                </c:pt>
                <c:pt idx="2276">
                  <c:v>8.7775200000000027</c:v>
                </c:pt>
                <c:pt idx="2277">
                  <c:v>8.7775200000000027</c:v>
                </c:pt>
                <c:pt idx="2278">
                  <c:v>8.291520000000002</c:v>
                </c:pt>
                <c:pt idx="2279">
                  <c:v>8.9395200000000017</c:v>
                </c:pt>
                <c:pt idx="2280">
                  <c:v>8.291520000000002</c:v>
                </c:pt>
                <c:pt idx="2281">
                  <c:v>8.291520000000002</c:v>
                </c:pt>
                <c:pt idx="2282">
                  <c:v>8.129520000000003</c:v>
                </c:pt>
                <c:pt idx="2283">
                  <c:v>8.9395200000000017</c:v>
                </c:pt>
                <c:pt idx="2284">
                  <c:v>8.7775200000000027</c:v>
                </c:pt>
                <c:pt idx="2285">
                  <c:v>8.7775200000000027</c:v>
                </c:pt>
                <c:pt idx="2286">
                  <c:v>8.291520000000002</c:v>
                </c:pt>
                <c:pt idx="2287">
                  <c:v>8.9395200000000017</c:v>
                </c:pt>
                <c:pt idx="2288">
                  <c:v>8.291520000000002</c:v>
                </c:pt>
                <c:pt idx="2289">
                  <c:v>8.291520000000002</c:v>
                </c:pt>
                <c:pt idx="2290">
                  <c:v>8.129520000000003</c:v>
                </c:pt>
                <c:pt idx="2291">
                  <c:v>8.9395200000000017</c:v>
                </c:pt>
                <c:pt idx="2292">
                  <c:v>8.7775200000000027</c:v>
                </c:pt>
                <c:pt idx="2293">
                  <c:v>8.7775200000000027</c:v>
                </c:pt>
                <c:pt idx="2294">
                  <c:v>8.291520000000002</c:v>
                </c:pt>
                <c:pt idx="2295">
                  <c:v>8.9395200000000017</c:v>
                </c:pt>
                <c:pt idx="2296">
                  <c:v>8.291520000000002</c:v>
                </c:pt>
                <c:pt idx="2297">
                  <c:v>8.291520000000002</c:v>
                </c:pt>
                <c:pt idx="2298">
                  <c:v>8.129520000000003</c:v>
                </c:pt>
                <c:pt idx="2299">
                  <c:v>8.9395200000000017</c:v>
                </c:pt>
                <c:pt idx="2300">
                  <c:v>8.7775200000000027</c:v>
                </c:pt>
                <c:pt idx="2301">
                  <c:v>8.7775200000000027</c:v>
                </c:pt>
                <c:pt idx="2302">
                  <c:v>8.291520000000002</c:v>
                </c:pt>
                <c:pt idx="2303">
                  <c:v>8.9395200000000017</c:v>
                </c:pt>
                <c:pt idx="2304">
                  <c:v>8.291520000000002</c:v>
                </c:pt>
                <c:pt idx="2305">
                  <c:v>8.291520000000002</c:v>
                </c:pt>
                <c:pt idx="2306">
                  <c:v>8.129520000000003</c:v>
                </c:pt>
                <c:pt idx="2307">
                  <c:v>8.9395200000000017</c:v>
                </c:pt>
                <c:pt idx="2308">
                  <c:v>8.7775200000000027</c:v>
                </c:pt>
                <c:pt idx="2309">
                  <c:v>8.7775200000000027</c:v>
                </c:pt>
                <c:pt idx="2310">
                  <c:v>8.291520000000002</c:v>
                </c:pt>
                <c:pt idx="2311">
                  <c:v>8.9395200000000017</c:v>
                </c:pt>
                <c:pt idx="2312">
                  <c:v>8.291520000000002</c:v>
                </c:pt>
                <c:pt idx="2313">
                  <c:v>8.291520000000002</c:v>
                </c:pt>
                <c:pt idx="2314">
                  <c:v>8.129520000000003</c:v>
                </c:pt>
                <c:pt idx="2315">
                  <c:v>8.9395200000000017</c:v>
                </c:pt>
                <c:pt idx="2316">
                  <c:v>8.7775200000000027</c:v>
                </c:pt>
                <c:pt idx="2317">
                  <c:v>8.7775200000000027</c:v>
                </c:pt>
                <c:pt idx="2318">
                  <c:v>8.291520000000002</c:v>
                </c:pt>
                <c:pt idx="2319">
                  <c:v>8.9395200000000017</c:v>
                </c:pt>
                <c:pt idx="2320">
                  <c:v>8.291520000000002</c:v>
                </c:pt>
                <c:pt idx="2321">
                  <c:v>8.291520000000002</c:v>
                </c:pt>
                <c:pt idx="2322">
                  <c:v>8.129520000000003</c:v>
                </c:pt>
                <c:pt idx="2323">
                  <c:v>8.9395200000000017</c:v>
                </c:pt>
                <c:pt idx="2324">
                  <c:v>8.7775200000000027</c:v>
                </c:pt>
                <c:pt idx="2325">
                  <c:v>8.7775200000000027</c:v>
                </c:pt>
                <c:pt idx="2326">
                  <c:v>8.291520000000002</c:v>
                </c:pt>
                <c:pt idx="2327">
                  <c:v>8.9395200000000017</c:v>
                </c:pt>
                <c:pt idx="2328">
                  <c:v>8.291520000000002</c:v>
                </c:pt>
                <c:pt idx="2329">
                  <c:v>8.291520000000002</c:v>
                </c:pt>
                <c:pt idx="2330">
                  <c:v>8.129520000000003</c:v>
                </c:pt>
                <c:pt idx="2331">
                  <c:v>8.9395200000000017</c:v>
                </c:pt>
                <c:pt idx="2332">
                  <c:v>8.7775200000000027</c:v>
                </c:pt>
                <c:pt idx="2333">
                  <c:v>8.7775200000000027</c:v>
                </c:pt>
                <c:pt idx="2334">
                  <c:v>8.291520000000002</c:v>
                </c:pt>
                <c:pt idx="2335">
                  <c:v>8.9395200000000017</c:v>
                </c:pt>
                <c:pt idx="2336">
                  <c:v>8.291520000000002</c:v>
                </c:pt>
                <c:pt idx="2337">
                  <c:v>8.291520000000002</c:v>
                </c:pt>
                <c:pt idx="2338">
                  <c:v>8.129520000000003</c:v>
                </c:pt>
                <c:pt idx="2339">
                  <c:v>8.9395200000000017</c:v>
                </c:pt>
                <c:pt idx="2340">
                  <c:v>8.7775200000000027</c:v>
                </c:pt>
                <c:pt idx="2341">
                  <c:v>8.7775200000000027</c:v>
                </c:pt>
                <c:pt idx="2342">
                  <c:v>8.291520000000002</c:v>
                </c:pt>
                <c:pt idx="2343">
                  <c:v>8.9395200000000017</c:v>
                </c:pt>
                <c:pt idx="2344">
                  <c:v>8.291520000000002</c:v>
                </c:pt>
                <c:pt idx="2345">
                  <c:v>8.291520000000002</c:v>
                </c:pt>
                <c:pt idx="2346">
                  <c:v>8.129520000000003</c:v>
                </c:pt>
                <c:pt idx="2347">
                  <c:v>8.9395200000000017</c:v>
                </c:pt>
                <c:pt idx="2348">
                  <c:v>8.7775200000000027</c:v>
                </c:pt>
                <c:pt idx="2349">
                  <c:v>8.7775200000000027</c:v>
                </c:pt>
                <c:pt idx="2350">
                  <c:v>8.291520000000002</c:v>
                </c:pt>
                <c:pt idx="2351">
                  <c:v>8.9395200000000017</c:v>
                </c:pt>
                <c:pt idx="2352">
                  <c:v>8.291520000000002</c:v>
                </c:pt>
                <c:pt idx="2353">
                  <c:v>8.291520000000002</c:v>
                </c:pt>
                <c:pt idx="2354">
                  <c:v>8.129520000000003</c:v>
                </c:pt>
                <c:pt idx="2355">
                  <c:v>8.9395200000000017</c:v>
                </c:pt>
                <c:pt idx="2356">
                  <c:v>8.7775200000000027</c:v>
                </c:pt>
                <c:pt idx="2357">
                  <c:v>8.7775200000000027</c:v>
                </c:pt>
                <c:pt idx="2358">
                  <c:v>8.291520000000002</c:v>
                </c:pt>
                <c:pt idx="2359">
                  <c:v>8.9395200000000017</c:v>
                </c:pt>
                <c:pt idx="2360">
                  <c:v>8.291520000000002</c:v>
                </c:pt>
                <c:pt idx="2361">
                  <c:v>8.291520000000002</c:v>
                </c:pt>
                <c:pt idx="2362">
                  <c:v>8.129520000000003</c:v>
                </c:pt>
                <c:pt idx="2363">
                  <c:v>8.9395200000000017</c:v>
                </c:pt>
                <c:pt idx="2364">
                  <c:v>8.7775200000000027</c:v>
                </c:pt>
                <c:pt idx="2365">
                  <c:v>8.7775200000000027</c:v>
                </c:pt>
                <c:pt idx="2366">
                  <c:v>8.291520000000002</c:v>
                </c:pt>
                <c:pt idx="2367">
                  <c:v>8.9395200000000017</c:v>
                </c:pt>
                <c:pt idx="2368">
                  <c:v>8.291520000000002</c:v>
                </c:pt>
                <c:pt idx="2369">
                  <c:v>8.291520000000002</c:v>
                </c:pt>
                <c:pt idx="2370">
                  <c:v>8.129520000000003</c:v>
                </c:pt>
                <c:pt idx="2371">
                  <c:v>8.9395200000000017</c:v>
                </c:pt>
                <c:pt idx="2372">
                  <c:v>8.7775200000000027</c:v>
                </c:pt>
                <c:pt idx="2373">
                  <c:v>8.7775200000000027</c:v>
                </c:pt>
                <c:pt idx="2374">
                  <c:v>8.291520000000002</c:v>
                </c:pt>
                <c:pt idx="2375">
                  <c:v>8.9395200000000017</c:v>
                </c:pt>
                <c:pt idx="2376">
                  <c:v>8.291520000000002</c:v>
                </c:pt>
                <c:pt idx="2377">
                  <c:v>8.291520000000002</c:v>
                </c:pt>
                <c:pt idx="2378">
                  <c:v>8.129520000000003</c:v>
                </c:pt>
                <c:pt idx="2379">
                  <c:v>8.9395200000000017</c:v>
                </c:pt>
                <c:pt idx="2380">
                  <c:v>8.7775200000000027</c:v>
                </c:pt>
                <c:pt idx="2381">
                  <c:v>8.7775200000000027</c:v>
                </c:pt>
                <c:pt idx="2382">
                  <c:v>8.291520000000002</c:v>
                </c:pt>
                <c:pt idx="2383">
                  <c:v>8.9395200000000017</c:v>
                </c:pt>
                <c:pt idx="2384">
                  <c:v>8.291520000000002</c:v>
                </c:pt>
                <c:pt idx="2385">
                  <c:v>8.291520000000002</c:v>
                </c:pt>
                <c:pt idx="2386">
                  <c:v>8.129520000000003</c:v>
                </c:pt>
                <c:pt idx="2387">
                  <c:v>8.9395200000000017</c:v>
                </c:pt>
                <c:pt idx="2388">
                  <c:v>8.7775200000000027</c:v>
                </c:pt>
                <c:pt idx="2389">
                  <c:v>8.7775200000000027</c:v>
                </c:pt>
                <c:pt idx="2390">
                  <c:v>8.291520000000002</c:v>
                </c:pt>
                <c:pt idx="2391">
                  <c:v>8.9395200000000017</c:v>
                </c:pt>
                <c:pt idx="2392">
                  <c:v>8.291520000000002</c:v>
                </c:pt>
                <c:pt idx="2393">
                  <c:v>8.291520000000002</c:v>
                </c:pt>
                <c:pt idx="2394">
                  <c:v>8.129520000000003</c:v>
                </c:pt>
                <c:pt idx="2395">
                  <c:v>8.9395200000000017</c:v>
                </c:pt>
                <c:pt idx="2396">
                  <c:v>8.7775200000000027</c:v>
                </c:pt>
                <c:pt idx="2397">
                  <c:v>8.7775200000000027</c:v>
                </c:pt>
                <c:pt idx="2398">
                  <c:v>8.291520000000002</c:v>
                </c:pt>
                <c:pt idx="2399">
                  <c:v>8.9395200000000017</c:v>
                </c:pt>
                <c:pt idx="2400">
                  <c:v>8.291520000000002</c:v>
                </c:pt>
                <c:pt idx="2401">
                  <c:v>8.291520000000002</c:v>
                </c:pt>
                <c:pt idx="2402">
                  <c:v>8.129520000000003</c:v>
                </c:pt>
                <c:pt idx="2403">
                  <c:v>8.9395200000000017</c:v>
                </c:pt>
                <c:pt idx="2404">
                  <c:v>8.7775200000000027</c:v>
                </c:pt>
                <c:pt idx="2405">
                  <c:v>8.7775200000000027</c:v>
                </c:pt>
                <c:pt idx="2406">
                  <c:v>8.291520000000002</c:v>
                </c:pt>
                <c:pt idx="2407">
                  <c:v>8.9395200000000017</c:v>
                </c:pt>
                <c:pt idx="2408">
                  <c:v>8.9395200000000017</c:v>
                </c:pt>
                <c:pt idx="2409">
                  <c:v>-11.310479999999998</c:v>
                </c:pt>
                <c:pt idx="2410">
                  <c:v>-11.148479999999999</c:v>
                </c:pt>
                <c:pt idx="2411">
                  <c:v>-11.148479999999999</c:v>
                </c:pt>
                <c:pt idx="2412">
                  <c:v>-11.310479999999998</c:v>
                </c:pt>
                <c:pt idx="2413">
                  <c:v>-10.500479999999998</c:v>
                </c:pt>
                <c:pt idx="2414">
                  <c:v>-10.662479999999999</c:v>
                </c:pt>
                <c:pt idx="2415">
                  <c:v>-10.662479999999999</c:v>
                </c:pt>
                <c:pt idx="2416">
                  <c:v>-11.148479999999999</c:v>
                </c:pt>
                <c:pt idx="2417">
                  <c:v>-10.500479999999998</c:v>
                </c:pt>
                <c:pt idx="2418">
                  <c:v>-10.338479999999997</c:v>
                </c:pt>
                <c:pt idx="2419">
                  <c:v>-10.338479999999997</c:v>
                </c:pt>
                <c:pt idx="2420">
                  <c:v>-10.500479999999998</c:v>
                </c:pt>
                <c:pt idx="2421">
                  <c:v>-9.6904799999999973</c:v>
                </c:pt>
                <c:pt idx="2422">
                  <c:v>-9.8524799999999981</c:v>
                </c:pt>
                <c:pt idx="2423">
                  <c:v>-9.8524799999999981</c:v>
                </c:pt>
                <c:pt idx="2424">
                  <c:v>-10.338479999999997</c:v>
                </c:pt>
                <c:pt idx="2425">
                  <c:v>-9.6904799999999973</c:v>
                </c:pt>
                <c:pt idx="2426">
                  <c:v>-9.5284799999999965</c:v>
                </c:pt>
                <c:pt idx="2427">
                  <c:v>-9.5284799999999965</c:v>
                </c:pt>
                <c:pt idx="2428">
                  <c:v>-9.6904799999999973</c:v>
                </c:pt>
                <c:pt idx="2429">
                  <c:v>-8.8804799999999968</c:v>
                </c:pt>
                <c:pt idx="2430">
                  <c:v>-9.0424799999999976</c:v>
                </c:pt>
                <c:pt idx="2431">
                  <c:v>-9.0424799999999976</c:v>
                </c:pt>
                <c:pt idx="2432">
                  <c:v>-9.5284799999999965</c:v>
                </c:pt>
                <c:pt idx="2433">
                  <c:v>-8.8804799999999968</c:v>
                </c:pt>
                <c:pt idx="2434">
                  <c:v>-8.7184799999999978</c:v>
                </c:pt>
                <c:pt idx="2435">
                  <c:v>-8.7184799999999978</c:v>
                </c:pt>
                <c:pt idx="2436">
                  <c:v>-8.8804799999999986</c:v>
                </c:pt>
                <c:pt idx="2437">
                  <c:v>-8.0704799999999981</c:v>
                </c:pt>
                <c:pt idx="2438">
                  <c:v>-8.2324799999999989</c:v>
                </c:pt>
                <c:pt idx="2439">
                  <c:v>-8.2324799999999989</c:v>
                </c:pt>
                <c:pt idx="2440">
                  <c:v>-8.7184799999999978</c:v>
                </c:pt>
                <c:pt idx="2441">
                  <c:v>-8.0704799999999981</c:v>
                </c:pt>
                <c:pt idx="2442">
                  <c:v>-7.9084799999999973</c:v>
                </c:pt>
                <c:pt idx="2443">
                  <c:v>-7.9084799999999973</c:v>
                </c:pt>
                <c:pt idx="2444">
                  <c:v>-8.0704799999999981</c:v>
                </c:pt>
                <c:pt idx="2445">
                  <c:v>-7.2604799999999976</c:v>
                </c:pt>
                <c:pt idx="2446">
                  <c:v>-7.4224799999999984</c:v>
                </c:pt>
                <c:pt idx="2447">
                  <c:v>-7.4224799999999984</c:v>
                </c:pt>
                <c:pt idx="2448">
                  <c:v>-7.9084799999999973</c:v>
                </c:pt>
                <c:pt idx="2449">
                  <c:v>-7.2604799999999976</c:v>
                </c:pt>
                <c:pt idx="2450">
                  <c:v>-7.0984799999999968</c:v>
                </c:pt>
                <c:pt idx="2451">
                  <c:v>-7.0984799999999968</c:v>
                </c:pt>
                <c:pt idx="2452">
                  <c:v>-7.2604799999999976</c:v>
                </c:pt>
                <c:pt idx="2453">
                  <c:v>-6.4504799999999971</c:v>
                </c:pt>
                <c:pt idx="2454">
                  <c:v>-6.6124799999999979</c:v>
                </c:pt>
                <c:pt idx="2455">
                  <c:v>-6.6124799999999979</c:v>
                </c:pt>
                <c:pt idx="2456">
                  <c:v>-7.0984799999999968</c:v>
                </c:pt>
                <c:pt idx="2457">
                  <c:v>-6.4504799999999971</c:v>
                </c:pt>
                <c:pt idx="2458">
                  <c:v>-6.2884799999999981</c:v>
                </c:pt>
                <c:pt idx="2459">
                  <c:v>-6.2884799999999981</c:v>
                </c:pt>
                <c:pt idx="2460">
                  <c:v>-6.4504799999999989</c:v>
                </c:pt>
                <c:pt idx="2461">
                  <c:v>-5.6404799999999984</c:v>
                </c:pt>
                <c:pt idx="2462">
                  <c:v>-5.8024799999999992</c:v>
                </c:pt>
                <c:pt idx="2463">
                  <c:v>-5.8024799999999992</c:v>
                </c:pt>
                <c:pt idx="2464">
                  <c:v>-6.2884799999999981</c:v>
                </c:pt>
                <c:pt idx="2465">
                  <c:v>-5.6404799999999984</c:v>
                </c:pt>
                <c:pt idx="2466">
                  <c:v>-5.4784799999999976</c:v>
                </c:pt>
                <c:pt idx="2467">
                  <c:v>-5.4784799999999976</c:v>
                </c:pt>
                <c:pt idx="2468">
                  <c:v>-5.6404799999999984</c:v>
                </c:pt>
                <c:pt idx="2469">
                  <c:v>-4.8304799999999979</c:v>
                </c:pt>
                <c:pt idx="2470">
                  <c:v>-4.9924799999999987</c:v>
                </c:pt>
                <c:pt idx="2471">
                  <c:v>-4.9924799999999987</c:v>
                </c:pt>
                <c:pt idx="2472">
                  <c:v>-5.4784799999999976</c:v>
                </c:pt>
                <c:pt idx="2473">
                  <c:v>-4.8304799999999979</c:v>
                </c:pt>
                <c:pt idx="2474">
                  <c:v>-4.6684799999999971</c:v>
                </c:pt>
                <c:pt idx="2475">
                  <c:v>-4.6684799999999971</c:v>
                </c:pt>
                <c:pt idx="2476">
                  <c:v>-4.8304799999999979</c:v>
                </c:pt>
                <c:pt idx="2477">
                  <c:v>-4.0204799999999974</c:v>
                </c:pt>
                <c:pt idx="2478">
                  <c:v>-4.1824799999999982</c:v>
                </c:pt>
                <c:pt idx="2479">
                  <c:v>-4.1824799999999982</c:v>
                </c:pt>
                <c:pt idx="2480">
                  <c:v>-4.6684799999999971</c:v>
                </c:pt>
                <c:pt idx="2481">
                  <c:v>-4.0204799999999974</c:v>
                </c:pt>
                <c:pt idx="2482">
                  <c:v>-3.8584799999999966</c:v>
                </c:pt>
                <c:pt idx="2483">
                  <c:v>-3.8584799999999966</c:v>
                </c:pt>
                <c:pt idx="2484">
                  <c:v>-4.0204799999999974</c:v>
                </c:pt>
                <c:pt idx="2485">
                  <c:v>-3.2104799999999969</c:v>
                </c:pt>
                <c:pt idx="2486">
                  <c:v>-3.3724799999999977</c:v>
                </c:pt>
                <c:pt idx="2487">
                  <c:v>-3.3724799999999977</c:v>
                </c:pt>
                <c:pt idx="2488">
                  <c:v>-3.8584799999999966</c:v>
                </c:pt>
                <c:pt idx="2489">
                  <c:v>-3.2104799999999969</c:v>
                </c:pt>
                <c:pt idx="2490">
                  <c:v>-3.0484799999999961</c:v>
                </c:pt>
                <c:pt idx="2491">
                  <c:v>-3.0484799999999961</c:v>
                </c:pt>
                <c:pt idx="2492">
                  <c:v>-3.2104799999999969</c:v>
                </c:pt>
                <c:pt idx="2493">
                  <c:v>-2.4004799999999964</c:v>
                </c:pt>
                <c:pt idx="2494">
                  <c:v>-2.5624799999999972</c:v>
                </c:pt>
                <c:pt idx="2495">
                  <c:v>-2.5624799999999972</c:v>
                </c:pt>
                <c:pt idx="2496">
                  <c:v>-3.0484799999999961</c:v>
                </c:pt>
                <c:pt idx="2497">
                  <c:v>-2.4004799999999964</c:v>
                </c:pt>
                <c:pt idx="2498">
                  <c:v>-2.2384799999999974</c:v>
                </c:pt>
                <c:pt idx="2499">
                  <c:v>-2.2384799999999974</c:v>
                </c:pt>
                <c:pt idx="2500">
                  <c:v>-2.4004799999999982</c:v>
                </c:pt>
                <c:pt idx="2501">
                  <c:v>-1.5904799999999994</c:v>
                </c:pt>
                <c:pt idx="2502">
                  <c:v>-1.7524799999999985</c:v>
                </c:pt>
                <c:pt idx="2503">
                  <c:v>-1.7524799999999985</c:v>
                </c:pt>
                <c:pt idx="2504">
                  <c:v>-2.2384799999999974</c:v>
                </c:pt>
                <c:pt idx="2505">
                  <c:v>-1.5904799999999994</c:v>
                </c:pt>
                <c:pt idx="2506">
                  <c:v>-1.4284800000000004</c:v>
                </c:pt>
                <c:pt idx="2507">
                  <c:v>-1.4284800000000004</c:v>
                </c:pt>
                <c:pt idx="2508">
                  <c:v>-1.5904799999999994</c:v>
                </c:pt>
                <c:pt idx="2509">
                  <c:v>-0.78048000000000073</c:v>
                </c:pt>
                <c:pt idx="2510">
                  <c:v>-0.94247999999999976</c:v>
                </c:pt>
                <c:pt idx="2511">
                  <c:v>-0.94247999999999976</c:v>
                </c:pt>
                <c:pt idx="2512">
                  <c:v>-1.4284800000000004</c:v>
                </c:pt>
                <c:pt idx="2513">
                  <c:v>-0.78048000000000073</c:v>
                </c:pt>
                <c:pt idx="2514">
                  <c:v>-0.61847999999999814</c:v>
                </c:pt>
                <c:pt idx="2515">
                  <c:v>-0.61847999999999814</c:v>
                </c:pt>
                <c:pt idx="2516">
                  <c:v>-0.78047999999999718</c:v>
                </c:pt>
                <c:pt idx="2517">
                  <c:v>2.9520000000001545E-2</c:v>
                </c:pt>
                <c:pt idx="2518">
                  <c:v>-0.13247999999999749</c:v>
                </c:pt>
                <c:pt idx="2519">
                  <c:v>-0.13247999999999749</c:v>
                </c:pt>
                <c:pt idx="2520">
                  <c:v>-0.61847999999999814</c:v>
                </c:pt>
                <c:pt idx="2521">
                  <c:v>2.9520000000001545E-2</c:v>
                </c:pt>
                <c:pt idx="2522">
                  <c:v>0.19152000000000058</c:v>
                </c:pt>
                <c:pt idx="2523">
                  <c:v>0.19152000000000058</c:v>
                </c:pt>
                <c:pt idx="2524">
                  <c:v>2.9520000000001545E-2</c:v>
                </c:pt>
                <c:pt idx="2525">
                  <c:v>0.83952000000000027</c:v>
                </c:pt>
                <c:pt idx="2526">
                  <c:v>0.67752000000000123</c:v>
                </c:pt>
                <c:pt idx="2527">
                  <c:v>0.67752000000000123</c:v>
                </c:pt>
                <c:pt idx="2528">
                  <c:v>0.19152000000000058</c:v>
                </c:pt>
                <c:pt idx="2529">
                  <c:v>0.83952000000000027</c:v>
                </c:pt>
                <c:pt idx="2530">
                  <c:v>1.0015199999999993</c:v>
                </c:pt>
                <c:pt idx="2531">
                  <c:v>1.0015199999999993</c:v>
                </c:pt>
                <c:pt idx="2532">
                  <c:v>0.83952000000000027</c:v>
                </c:pt>
                <c:pt idx="2533">
                  <c:v>1.649519999999999</c:v>
                </c:pt>
                <c:pt idx="2534">
                  <c:v>1.48752</c:v>
                </c:pt>
                <c:pt idx="2535">
                  <c:v>1.48752</c:v>
                </c:pt>
                <c:pt idx="2536">
                  <c:v>1.0015199999999993</c:v>
                </c:pt>
                <c:pt idx="2537">
                  <c:v>1.649519999999999</c:v>
                </c:pt>
                <c:pt idx="2538">
                  <c:v>1.8115200000000016</c:v>
                </c:pt>
                <c:pt idx="2539">
                  <c:v>1.8115200000000016</c:v>
                </c:pt>
                <c:pt idx="2540">
                  <c:v>1.6495200000000025</c:v>
                </c:pt>
                <c:pt idx="2541">
                  <c:v>2.4595200000000013</c:v>
                </c:pt>
                <c:pt idx="2542">
                  <c:v>2.2975200000000022</c:v>
                </c:pt>
                <c:pt idx="2543">
                  <c:v>2.2975200000000022</c:v>
                </c:pt>
                <c:pt idx="2544">
                  <c:v>1.8115200000000016</c:v>
                </c:pt>
                <c:pt idx="2545">
                  <c:v>2.4595200000000013</c:v>
                </c:pt>
                <c:pt idx="2546">
                  <c:v>2.6215200000000038</c:v>
                </c:pt>
                <c:pt idx="2547">
                  <c:v>2.6215200000000038</c:v>
                </c:pt>
                <c:pt idx="2548">
                  <c:v>2.4595200000000048</c:v>
                </c:pt>
                <c:pt idx="2549">
                  <c:v>3.2695200000000035</c:v>
                </c:pt>
                <c:pt idx="2550">
                  <c:v>3.1075200000000045</c:v>
                </c:pt>
                <c:pt idx="2551">
                  <c:v>3.1075200000000045</c:v>
                </c:pt>
                <c:pt idx="2552">
                  <c:v>2.6215200000000038</c:v>
                </c:pt>
                <c:pt idx="2553">
                  <c:v>3.2695200000000035</c:v>
                </c:pt>
                <c:pt idx="2554">
                  <c:v>3.4315200000000026</c:v>
                </c:pt>
                <c:pt idx="2555">
                  <c:v>3.4315200000000026</c:v>
                </c:pt>
                <c:pt idx="2556">
                  <c:v>3.2695200000000035</c:v>
                </c:pt>
                <c:pt idx="2557">
                  <c:v>4.0795200000000023</c:v>
                </c:pt>
                <c:pt idx="2558">
                  <c:v>3.9175200000000032</c:v>
                </c:pt>
                <c:pt idx="2559">
                  <c:v>3.9175200000000032</c:v>
                </c:pt>
                <c:pt idx="2560">
                  <c:v>3.4315200000000026</c:v>
                </c:pt>
                <c:pt idx="2561">
                  <c:v>4.0795200000000023</c:v>
                </c:pt>
                <c:pt idx="2562">
                  <c:v>4.2415200000000013</c:v>
                </c:pt>
                <c:pt idx="2563">
                  <c:v>4.2415200000000013</c:v>
                </c:pt>
                <c:pt idx="2564">
                  <c:v>4.0795200000000023</c:v>
                </c:pt>
                <c:pt idx="2565">
                  <c:v>4.889520000000001</c:v>
                </c:pt>
                <c:pt idx="2566">
                  <c:v>4.7275200000000019</c:v>
                </c:pt>
                <c:pt idx="2567">
                  <c:v>4.7275200000000019</c:v>
                </c:pt>
                <c:pt idx="2568">
                  <c:v>4.2415200000000013</c:v>
                </c:pt>
                <c:pt idx="2569">
                  <c:v>4.889520000000001</c:v>
                </c:pt>
                <c:pt idx="2570">
                  <c:v>5.0515200000000036</c:v>
                </c:pt>
                <c:pt idx="2571">
                  <c:v>5.0515200000000036</c:v>
                </c:pt>
                <c:pt idx="2572">
                  <c:v>4.8895200000000045</c:v>
                </c:pt>
                <c:pt idx="2573">
                  <c:v>5.6995200000000033</c:v>
                </c:pt>
                <c:pt idx="2574">
                  <c:v>5.5375200000000042</c:v>
                </c:pt>
                <c:pt idx="2575">
                  <c:v>5.5375200000000042</c:v>
                </c:pt>
                <c:pt idx="2576">
                  <c:v>5.0515200000000036</c:v>
                </c:pt>
                <c:pt idx="2577">
                  <c:v>5.6995200000000033</c:v>
                </c:pt>
                <c:pt idx="2578">
                  <c:v>5.8615200000000023</c:v>
                </c:pt>
                <c:pt idx="2579">
                  <c:v>5.8615200000000023</c:v>
                </c:pt>
                <c:pt idx="2580">
                  <c:v>5.6995200000000033</c:v>
                </c:pt>
                <c:pt idx="2581">
                  <c:v>6.509520000000002</c:v>
                </c:pt>
                <c:pt idx="2582">
                  <c:v>6.3475200000000029</c:v>
                </c:pt>
                <c:pt idx="2583">
                  <c:v>6.3475200000000029</c:v>
                </c:pt>
                <c:pt idx="2584">
                  <c:v>5.8615200000000023</c:v>
                </c:pt>
                <c:pt idx="2585">
                  <c:v>6.509520000000002</c:v>
                </c:pt>
                <c:pt idx="2586">
                  <c:v>6.671520000000001</c:v>
                </c:pt>
                <c:pt idx="2587">
                  <c:v>6.671520000000001</c:v>
                </c:pt>
                <c:pt idx="2588">
                  <c:v>6.509520000000002</c:v>
                </c:pt>
                <c:pt idx="2589">
                  <c:v>7.3195200000000007</c:v>
                </c:pt>
                <c:pt idx="2590">
                  <c:v>7.1575200000000017</c:v>
                </c:pt>
                <c:pt idx="2591">
                  <c:v>7.1575200000000017</c:v>
                </c:pt>
                <c:pt idx="2592">
                  <c:v>6.671520000000001</c:v>
                </c:pt>
                <c:pt idx="2593">
                  <c:v>7.3195200000000007</c:v>
                </c:pt>
                <c:pt idx="2594">
                  <c:v>7.4815200000000033</c:v>
                </c:pt>
                <c:pt idx="2595">
                  <c:v>7.4815200000000033</c:v>
                </c:pt>
                <c:pt idx="2596">
                  <c:v>7.3195200000000042</c:v>
                </c:pt>
                <c:pt idx="2597">
                  <c:v>8.129520000000003</c:v>
                </c:pt>
                <c:pt idx="2598">
                  <c:v>7.9675200000000039</c:v>
                </c:pt>
                <c:pt idx="2599">
                  <c:v>7.9675200000000039</c:v>
                </c:pt>
                <c:pt idx="2600">
                  <c:v>7.4815200000000033</c:v>
                </c:pt>
                <c:pt idx="2601">
                  <c:v>8.129520000000003</c:v>
                </c:pt>
                <c:pt idx="2602">
                  <c:v>8.291520000000002</c:v>
                </c:pt>
                <c:pt idx="2603">
                  <c:v>8.291520000000002</c:v>
                </c:pt>
                <c:pt idx="2604">
                  <c:v>8.129520000000003</c:v>
                </c:pt>
                <c:pt idx="2605">
                  <c:v>8.9395200000000017</c:v>
                </c:pt>
                <c:pt idx="2606">
                  <c:v>8.7775200000000027</c:v>
                </c:pt>
                <c:pt idx="2607">
                  <c:v>8.7775200000000027</c:v>
                </c:pt>
                <c:pt idx="2608">
                  <c:v>8.291520000000002</c:v>
                </c:pt>
                <c:pt idx="2609">
                  <c:v>8.9395200000000017</c:v>
                </c:pt>
                <c:pt idx="2610">
                  <c:v>8.291520000000002</c:v>
                </c:pt>
                <c:pt idx="2611">
                  <c:v>8.291520000000002</c:v>
                </c:pt>
                <c:pt idx="2612">
                  <c:v>8.129520000000003</c:v>
                </c:pt>
                <c:pt idx="2613">
                  <c:v>8.9395200000000017</c:v>
                </c:pt>
                <c:pt idx="2614">
                  <c:v>8.7775200000000027</c:v>
                </c:pt>
                <c:pt idx="2615">
                  <c:v>8.7775200000000027</c:v>
                </c:pt>
                <c:pt idx="2616">
                  <c:v>8.291520000000002</c:v>
                </c:pt>
                <c:pt idx="2617">
                  <c:v>8.9395200000000017</c:v>
                </c:pt>
                <c:pt idx="2618">
                  <c:v>8.291520000000002</c:v>
                </c:pt>
                <c:pt idx="2619">
                  <c:v>8.291520000000002</c:v>
                </c:pt>
                <c:pt idx="2620">
                  <c:v>8.129520000000003</c:v>
                </c:pt>
                <c:pt idx="2621">
                  <c:v>8.9395200000000017</c:v>
                </c:pt>
                <c:pt idx="2622">
                  <c:v>8.7775200000000027</c:v>
                </c:pt>
                <c:pt idx="2623">
                  <c:v>8.7775200000000027</c:v>
                </c:pt>
                <c:pt idx="2624">
                  <c:v>8.291520000000002</c:v>
                </c:pt>
                <c:pt idx="2625">
                  <c:v>8.9395200000000017</c:v>
                </c:pt>
                <c:pt idx="2626">
                  <c:v>8.291520000000002</c:v>
                </c:pt>
                <c:pt idx="2627">
                  <c:v>8.291520000000002</c:v>
                </c:pt>
                <c:pt idx="2628">
                  <c:v>8.129520000000003</c:v>
                </c:pt>
                <c:pt idx="2629">
                  <c:v>8.9395200000000017</c:v>
                </c:pt>
                <c:pt idx="2630">
                  <c:v>8.7775200000000027</c:v>
                </c:pt>
                <c:pt idx="2631">
                  <c:v>8.7775200000000027</c:v>
                </c:pt>
                <c:pt idx="2632">
                  <c:v>8.291520000000002</c:v>
                </c:pt>
                <c:pt idx="2633">
                  <c:v>8.9395200000000017</c:v>
                </c:pt>
                <c:pt idx="2634">
                  <c:v>8.291520000000002</c:v>
                </c:pt>
                <c:pt idx="2635">
                  <c:v>8.291520000000002</c:v>
                </c:pt>
                <c:pt idx="2636">
                  <c:v>8.129520000000003</c:v>
                </c:pt>
                <c:pt idx="2637">
                  <c:v>8.9395200000000017</c:v>
                </c:pt>
                <c:pt idx="2638">
                  <c:v>8.7775200000000027</c:v>
                </c:pt>
                <c:pt idx="2639">
                  <c:v>8.7775200000000027</c:v>
                </c:pt>
                <c:pt idx="2640">
                  <c:v>8.291520000000002</c:v>
                </c:pt>
                <c:pt idx="2641">
                  <c:v>8.9395200000000017</c:v>
                </c:pt>
                <c:pt idx="2642">
                  <c:v>8.291520000000002</c:v>
                </c:pt>
                <c:pt idx="2643">
                  <c:v>8.291520000000002</c:v>
                </c:pt>
                <c:pt idx="2644">
                  <c:v>8.129520000000003</c:v>
                </c:pt>
                <c:pt idx="2645">
                  <c:v>8.9395200000000017</c:v>
                </c:pt>
                <c:pt idx="2646">
                  <c:v>8.7775200000000027</c:v>
                </c:pt>
                <c:pt idx="2647">
                  <c:v>8.7775200000000027</c:v>
                </c:pt>
                <c:pt idx="2648">
                  <c:v>8.291520000000002</c:v>
                </c:pt>
                <c:pt idx="2649">
                  <c:v>8.9395200000000017</c:v>
                </c:pt>
                <c:pt idx="2650">
                  <c:v>8.291520000000002</c:v>
                </c:pt>
                <c:pt idx="2651">
                  <c:v>8.291520000000002</c:v>
                </c:pt>
                <c:pt idx="2652">
                  <c:v>8.129520000000003</c:v>
                </c:pt>
                <c:pt idx="2653">
                  <c:v>8.9395200000000017</c:v>
                </c:pt>
                <c:pt idx="2654">
                  <c:v>8.7775200000000027</c:v>
                </c:pt>
                <c:pt idx="2655">
                  <c:v>8.7775200000000027</c:v>
                </c:pt>
                <c:pt idx="2656">
                  <c:v>8.291520000000002</c:v>
                </c:pt>
                <c:pt idx="2657">
                  <c:v>8.9395200000000017</c:v>
                </c:pt>
                <c:pt idx="2658">
                  <c:v>8.291520000000002</c:v>
                </c:pt>
                <c:pt idx="2659">
                  <c:v>8.291520000000002</c:v>
                </c:pt>
                <c:pt idx="2660">
                  <c:v>8.129520000000003</c:v>
                </c:pt>
                <c:pt idx="2661">
                  <c:v>8.9395200000000017</c:v>
                </c:pt>
                <c:pt idx="2662">
                  <c:v>8.7775200000000027</c:v>
                </c:pt>
                <c:pt idx="2663">
                  <c:v>8.7775200000000027</c:v>
                </c:pt>
                <c:pt idx="2664">
                  <c:v>8.291520000000002</c:v>
                </c:pt>
                <c:pt idx="2665">
                  <c:v>8.9395200000000017</c:v>
                </c:pt>
                <c:pt idx="2666">
                  <c:v>8.291520000000002</c:v>
                </c:pt>
                <c:pt idx="2667">
                  <c:v>8.291520000000002</c:v>
                </c:pt>
                <c:pt idx="2668">
                  <c:v>8.129520000000003</c:v>
                </c:pt>
                <c:pt idx="2669">
                  <c:v>8.9395200000000017</c:v>
                </c:pt>
                <c:pt idx="2670">
                  <c:v>8.7775200000000027</c:v>
                </c:pt>
                <c:pt idx="2671">
                  <c:v>8.7775200000000027</c:v>
                </c:pt>
                <c:pt idx="2672">
                  <c:v>8.291520000000002</c:v>
                </c:pt>
                <c:pt idx="2673">
                  <c:v>8.9395200000000017</c:v>
                </c:pt>
                <c:pt idx="2674">
                  <c:v>8.291520000000002</c:v>
                </c:pt>
                <c:pt idx="2675">
                  <c:v>8.291520000000002</c:v>
                </c:pt>
                <c:pt idx="2676">
                  <c:v>8.129520000000003</c:v>
                </c:pt>
                <c:pt idx="2677">
                  <c:v>8.9395200000000017</c:v>
                </c:pt>
                <c:pt idx="2678">
                  <c:v>8.7775200000000027</c:v>
                </c:pt>
                <c:pt idx="2679">
                  <c:v>8.7775200000000027</c:v>
                </c:pt>
                <c:pt idx="2680">
                  <c:v>8.291520000000002</c:v>
                </c:pt>
                <c:pt idx="2681">
                  <c:v>8.9395200000000017</c:v>
                </c:pt>
                <c:pt idx="2682">
                  <c:v>8.291520000000002</c:v>
                </c:pt>
                <c:pt idx="2683">
                  <c:v>8.291520000000002</c:v>
                </c:pt>
                <c:pt idx="2684">
                  <c:v>8.129520000000003</c:v>
                </c:pt>
                <c:pt idx="2685">
                  <c:v>8.9395200000000017</c:v>
                </c:pt>
                <c:pt idx="2686">
                  <c:v>8.7775200000000027</c:v>
                </c:pt>
                <c:pt idx="2687">
                  <c:v>8.7775200000000027</c:v>
                </c:pt>
                <c:pt idx="2688">
                  <c:v>8.291520000000002</c:v>
                </c:pt>
                <c:pt idx="2689">
                  <c:v>8.9395200000000017</c:v>
                </c:pt>
                <c:pt idx="2690">
                  <c:v>8.291520000000002</c:v>
                </c:pt>
                <c:pt idx="2691">
                  <c:v>8.291520000000002</c:v>
                </c:pt>
                <c:pt idx="2692">
                  <c:v>8.129520000000003</c:v>
                </c:pt>
                <c:pt idx="2693">
                  <c:v>8.9395200000000017</c:v>
                </c:pt>
                <c:pt idx="2694">
                  <c:v>8.7775200000000027</c:v>
                </c:pt>
                <c:pt idx="2695">
                  <c:v>8.7775200000000027</c:v>
                </c:pt>
                <c:pt idx="2696">
                  <c:v>8.291520000000002</c:v>
                </c:pt>
                <c:pt idx="2697">
                  <c:v>8.9395200000000017</c:v>
                </c:pt>
                <c:pt idx="2698">
                  <c:v>8.291520000000002</c:v>
                </c:pt>
                <c:pt idx="2699">
                  <c:v>8.291520000000002</c:v>
                </c:pt>
                <c:pt idx="2700">
                  <c:v>8.129520000000003</c:v>
                </c:pt>
                <c:pt idx="2701">
                  <c:v>8.9395200000000017</c:v>
                </c:pt>
                <c:pt idx="2702">
                  <c:v>8.7775200000000027</c:v>
                </c:pt>
                <c:pt idx="2703">
                  <c:v>8.7775200000000027</c:v>
                </c:pt>
                <c:pt idx="2704">
                  <c:v>8.291520000000002</c:v>
                </c:pt>
                <c:pt idx="2705">
                  <c:v>8.9395200000000017</c:v>
                </c:pt>
                <c:pt idx="2706">
                  <c:v>8.291520000000002</c:v>
                </c:pt>
                <c:pt idx="2707">
                  <c:v>8.291520000000002</c:v>
                </c:pt>
                <c:pt idx="2708">
                  <c:v>8.129520000000003</c:v>
                </c:pt>
                <c:pt idx="2709">
                  <c:v>8.9395200000000017</c:v>
                </c:pt>
                <c:pt idx="2710">
                  <c:v>8.7775200000000027</c:v>
                </c:pt>
                <c:pt idx="2711">
                  <c:v>8.7775200000000027</c:v>
                </c:pt>
                <c:pt idx="2712">
                  <c:v>8.291520000000002</c:v>
                </c:pt>
                <c:pt idx="2713">
                  <c:v>8.9395200000000017</c:v>
                </c:pt>
                <c:pt idx="2714">
                  <c:v>8.291520000000002</c:v>
                </c:pt>
                <c:pt idx="2715">
                  <c:v>8.291520000000002</c:v>
                </c:pt>
                <c:pt idx="2716">
                  <c:v>8.129520000000003</c:v>
                </c:pt>
                <c:pt idx="2717">
                  <c:v>8.9395200000000017</c:v>
                </c:pt>
                <c:pt idx="2718">
                  <c:v>8.7775200000000027</c:v>
                </c:pt>
                <c:pt idx="2719">
                  <c:v>8.7775200000000027</c:v>
                </c:pt>
                <c:pt idx="2720">
                  <c:v>8.291520000000002</c:v>
                </c:pt>
                <c:pt idx="2721">
                  <c:v>8.9395200000000017</c:v>
                </c:pt>
                <c:pt idx="2722">
                  <c:v>8.291520000000002</c:v>
                </c:pt>
                <c:pt idx="2723">
                  <c:v>8.291520000000002</c:v>
                </c:pt>
                <c:pt idx="2724">
                  <c:v>8.129520000000003</c:v>
                </c:pt>
                <c:pt idx="2725">
                  <c:v>8.9395200000000017</c:v>
                </c:pt>
                <c:pt idx="2726">
                  <c:v>8.7775200000000027</c:v>
                </c:pt>
                <c:pt idx="2727">
                  <c:v>8.7775200000000027</c:v>
                </c:pt>
                <c:pt idx="2728">
                  <c:v>8.291520000000002</c:v>
                </c:pt>
                <c:pt idx="2729">
                  <c:v>8.9395200000000017</c:v>
                </c:pt>
                <c:pt idx="2730">
                  <c:v>8.291520000000002</c:v>
                </c:pt>
                <c:pt idx="2731">
                  <c:v>8.291520000000002</c:v>
                </c:pt>
                <c:pt idx="2732">
                  <c:v>8.129520000000003</c:v>
                </c:pt>
                <c:pt idx="2733">
                  <c:v>8.9395200000000017</c:v>
                </c:pt>
                <c:pt idx="2734">
                  <c:v>8.7775200000000027</c:v>
                </c:pt>
                <c:pt idx="2735">
                  <c:v>8.7775200000000027</c:v>
                </c:pt>
                <c:pt idx="2736">
                  <c:v>8.291520000000002</c:v>
                </c:pt>
                <c:pt idx="2737">
                  <c:v>8.9395200000000017</c:v>
                </c:pt>
                <c:pt idx="2738">
                  <c:v>8.291520000000002</c:v>
                </c:pt>
                <c:pt idx="2739">
                  <c:v>8.291520000000002</c:v>
                </c:pt>
                <c:pt idx="2740">
                  <c:v>8.129520000000003</c:v>
                </c:pt>
                <c:pt idx="2741">
                  <c:v>8.9395200000000017</c:v>
                </c:pt>
                <c:pt idx="2742">
                  <c:v>8.7775200000000027</c:v>
                </c:pt>
                <c:pt idx="2743">
                  <c:v>8.7775200000000027</c:v>
                </c:pt>
                <c:pt idx="2744">
                  <c:v>8.291520000000002</c:v>
                </c:pt>
                <c:pt idx="2745">
                  <c:v>8.9395200000000017</c:v>
                </c:pt>
                <c:pt idx="2746">
                  <c:v>8.291520000000002</c:v>
                </c:pt>
                <c:pt idx="2747">
                  <c:v>8.291520000000002</c:v>
                </c:pt>
                <c:pt idx="2748">
                  <c:v>8.129520000000003</c:v>
                </c:pt>
                <c:pt idx="2749">
                  <c:v>8.9395200000000017</c:v>
                </c:pt>
                <c:pt idx="2750">
                  <c:v>8.7775200000000027</c:v>
                </c:pt>
                <c:pt idx="2751">
                  <c:v>8.7775200000000027</c:v>
                </c:pt>
                <c:pt idx="2752">
                  <c:v>8.291520000000002</c:v>
                </c:pt>
                <c:pt idx="2753">
                  <c:v>8.9395200000000017</c:v>
                </c:pt>
                <c:pt idx="2754">
                  <c:v>8.291520000000002</c:v>
                </c:pt>
                <c:pt idx="2755">
                  <c:v>8.291520000000002</c:v>
                </c:pt>
                <c:pt idx="2756">
                  <c:v>8.129520000000003</c:v>
                </c:pt>
                <c:pt idx="2757">
                  <c:v>8.9395200000000017</c:v>
                </c:pt>
                <c:pt idx="2758">
                  <c:v>8.7775200000000027</c:v>
                </c:pt>
                <c:pt idx="2759">
                  <c:v>8.7775200000000027</c:v>
                </c:pt>
                <c:pt idx="2760">
                  <c:v>8.291520000000002</c:v>
                </c:pt>
                <c:pt idx="2761">
                  <c:v>8.9395200000000017</c:v>
                </c:pt>
                <c:pt idx="2762">
                  <c:v>8.291520000000002</c:v>
                </c:pt>
                <c:pt idx="2763">
                  <c:v>8.291520000000002</c:v>
                </c:pt>
                <c:pt idx="2764">
                  <c:v>8.129520000000003</c:v>
                </c:pt>
                <c:pt idx="2765">
                  <c:v>8.9395200000000017</c:v>
                </c:pt>
                <c:pt idx="2766">
                  <c:v>8.7775200000000027</c:v>
                </c:pt>
                <c:pt idx="2767">
                  <c:v>8.7775200000000027</c:v>
                </c:pt>
                <c:pt idx="2768">
                  <c:v>8.291520000000002</c:v>
                </c:pt>
                <c:pt idx="2769">
                  <c:v>8.9395200000000017</c:v>
                </c:pt>
                <c:pt idx="2770">
                  <c:v>8.291520000000002</c:v>
                </c:pt>
                <c:pt idx="2771">
                  <c:v>8.291520000000002</c:v>
                </c:pt>
                <c:pt idx="2772">
                  <c:v>8.129520000000003</c:v>
                </c:pt>
                <c:pt idx="2773">
                  <c:v>8.9395200000000017</c:v>
                </c:pt>
                <c:pt idx="2774">
                  <c:v>8.7775200000000027</c:v>
                </c:pt>
                <c:pt idx="2775">
                  <c:v>8.7775200000000027</c:v>
                </c:pt>
                <c:pt idx="2776">
                  <c:v>8.291520000000002</c:v>
                </c:pt>
                <c:pt idx="2777">
                  <c:v>8.9395200000000017</c:v>
                </c:pt>
                <c:pt idx="2778">
                  <c:v>8.291520000000002</c:v>
                </c:pt>
                <c:pt idx="2779">
                  <c:v>8.291520000000002</c:v>
                </c:pt>
                <c:pt idx="2780">
                  <c:v>8.129520000000003</c:v>
                </c:pt>
                <c:pt idx="2781">
                  <c:v>8.9395200000000017</c:v>
                </c:pt>
                <c:pt idx="2782">
                  <c:v>8.7775200000000027</c:v>
                </c:pt>
                <c:pt idx="2783">
                  <c:v>8.7775200000000027</c:v>
                </c:pt>
                <c:pt idx="2784">
                  <c:v>8.291520000000002</c:v>
                </c:pt>
                <c:pt idx="2785">
                  <c:v>8.9395200000000017</c:v>
                </c:pt>
                <c:pt idx="2786">
                  <c:v>8.291520000000002</c:v>
                </c:pt>
                <c:pt idx="2787">
                  <c:v>8.291520000000002</c:v>
                </c:pt>
                <c:pt idx="2788">
                  <c:v>8.129520000000003</c:v>
                </c:pt>
                <c:pt idx="2789">
                  <c:v>8.9395200000000017</c:v>
                </c:pt>
                <c:pt idx="2790">
                  <c:v>8.7775200000000027</c:v>
                </c:pt>
                <c:pt idx="2791">
                  <c:v>8.7775200000000027</c:v>
                </c:pt>
                <c:pt idx="2792">
                  <c:v>8.291520000000002</c:v>
                </c:pt>
                <c:pt idx="2793">
                  <c:v>8.9395200000000017</c:v>
                </c:pt>
                <c:pt idx="2794">
                  <c:v>8.291520000000002</c:v>
                </c:pt>
                <c:pt idx="2795">
                  <c:v>8.291520000000002</c:v>
                </c:pt>
                <c:pt idx="2796">
                  <c:v>8.129520000000003</c:v>
                </c:pt>
                <c:pt idx="2797">
                  <c:v>8.9395200000000017</c:v>
                </c:pt>
                <c:pt idx="2798">
                  <c:v>8.7775200000000027</c:v>
                </c:pt>
                <c:pt idx="2799">
                  <c:v>8.7775200000000027</c:v>
                </c:pt>
                <c:pt idx="2800">
                  <c:v>8.291520000000002</c:v>
                </c:pt>
                <c:pt idx="2801">
                  <c:v>8.9395200000000017</c:v>
                </c:pt>
                <c:pt idx="2802">
                  <c:v>8.291520000000002</c:v>
                </c:pt>
                <c:pt idx="2803">
                  <c:v>8.291520000000002</c:v>
                </c:pt>
                <c:pt idx="2804">
                  <c:v>8.129520000000003</c:v>
                </c:pt>
                <c:pt idx="2805">
                  <c:v>8.9395200000000017</c:v>
                </c:pt>
                <c:pt idx="2806">
                  <c:v>8.7775200000000027</c:v>
                </c:pt>
                <c:pt idx="2807">
                  <c:v>8.7775200000000027</c:v>
                </c:pt>
                <c:pt idx="2808">
                  <c:v>8.291520000000002</c:v>
                </c:pt>
                <c:pt idx="2809">
                  <c:v>8.9395200000000017</c:v>
                </c:pt>
                <c:pt idx="2810">
                  <c:v>8.291520000000002</c:v>
                </c:pt>
                <c:pt idx="2811">
                  <c:v>8.291520000000002</c:v>
                </c:pt>
                <c:pt idx="2812">
                  <c:v>8.129520000000003</c:v>
                </c:pt>
                <c:pt idx="2813">
                  <c:v>8.9395200000000017</c:v>
                </c:pt>
                <c:pt idx="2814">
                  <c:v>8.7775200000000027</c:v>
                </c:pt>
                <c:pt idx="2815">
                  <c:v>8.7775200000000027</c:v>
                </c:pt>
                <c:pt idx="2816">
                  <c:v>8.291520000000002</c:v>
                </c:pt>
                <c:pt idx="2817">
                  <c:v>8.9395200000000017</c:v>
                </c:pt>
                <c:pt idx="2818">
                  <c:v>8.291520000000002</c:v>
                </c:pt>
                <c:pt idx="2819">
                  <c:v>8.291520000000002</c:v>
                </c:pt>
                <c:pt idx="2820">
                  <c:v>8.129520000000003</c:v>
                </c:pt>
                <c:pt idx="2821">
                  <c:v>8.9395200000000017</c:v>
                </c:pt>
                <c:pt idx="2822">
                  <c:v>8.7775200000000027</c:v>
                </c:pt>
                <c:pt idx="2823">
                  <c:v>8.7775200000000027</c:v>
                </c:pt>
                <c:pt idx="2824">
                  <c:v>8.291520000000002</c:v>
                </c:pt>
                <c:pt idx="2825">
                  <c:v>8.9395200000000017</c:v>
                </c:pt>
                <c:pt idx="2826">
                  <c:v>8.291520000000002</c:v>
                </c:pt>
                <c:pt idx="2827">
                  <c:v>8.291520000000002</c:v>
                </c:pt>
                <c:pt idx="2828">
                  <c:v>8.129520000000003</c:v>
                </c:pt>
                <c:pt idx="2829">
                  <c:v>8.9395200000000017</c:v>
                </c:pt>
                <c:pt idx="2830">
                  <c:v>8.7775200000000027</c:v>
                </c:pt>
                <c:pt idx="2831">
                  <c:v>8.7775200000000027</c:v>
                </c:pt>
                <c:pt idx="2832">
                  <c:v>8.291520000000002</c:v>
                </c:pt>
                <c:pt idx="2833">
                  <c:v>8.9395200000000017</c:v>
                </c:pt>
                <c:pt idx="2834">
                  <c:v>8.291520000000002</c:v>
                </c:pt>
                <c:pt idx="2835">
                  <c:v>8.291520000000002</c:v>
                </c:pt>
                <c:pt idx="2836">
                  <c:v>8.129520000000003</c:v>
                </c:pt>
                <c:pt idx="2837">
                  <c:v>8.9395200000000017</c:v>
                </c:pt>
                <c:pt idx="2838">
                  <c:v>8.7775200000000027</c:v>
                </c:pt>
                <c:pt idx="2839">
                  <c:v>8.7775200000000027</c:v>
                </c:pt>
                <c:pt idx="2840">
                  <c:v>8.291520000000002</c:v>
                </c:pt>
                <c:pt idx="2841">
                  <c:v>8.9395200000000017</c:v>
                </c:pt>
                <c:pt idx="2842">
                  <c:v>8.291520000000002</c:v>
                </c:pt>
                <c:pt idx="2843">
                  <c:v>8.291520000000002</c:v>
                </c:pt>
                <c:pt idx="2844">
                  <c:v>8.129520000000003</c:v>
                </c:pt>
                <c:pt idx="2845">
                  <c:v>8.9395200000000017</c:v>
                </c:pt>
                <c:pt idx="2846">
                  <c:v>8.7775200000000027</c:v>
                </c:pt>
                <c:pt idx="2847">
                  <c:v>8.7775200000000027</c:v>
                </c:pt>
                <c:pt idx="2848">
                  <c:v>8.291520000000002</c:v>
                </c:pt>
                <c:pt idx="2849">
                  <c:v>8.9395200000000017</c:v>
                </c:pt>
                <c:pt idx="2850">
                  <c:v>8.291520000000002</c:v>
                </c:pt>
                <c:pt idx="2851">
                  <c:v>8.291520000000002</c:v>
                </c:pt>
                <c:pt idx="2852">
                  <c:v>8.129520000000003</c:v>
                </c:pt>
                <c:pt idx="2853">
                  <c:v>8.9395200000000017</c:v>
                </c:pt>
                <c:pt idx="2854">
                  <c:v>8.7775200000000027</c:v>
                </c:pt>
                <c:pt idx="2855">
                  <c:v>8.7775200000000027</c:v>
                </c:pt>
                <c:pt idx="2856">
                  <c:v>8.291520000000002</c:v>
                </c:pt>
                <c:pt idx="2857">
                  <c:v>8.9395200000000017</c:v>
                </c:pt>
                <c:pt idx="2858">
                  <c:v>8.291520000000002</c:v>
                </c:pt>
                <c:pt idx="2859">
                  <c:v>8.291520000000002</c:v>
                </c:pt>
                <c:pt idx="2860">
                  <c:v>8.129520000000003</c:v>
                </c:pt>
                <c:pt idx="2861">
                  <c:v>8.9395200000000017</c:v>
                </c:pt>
                <c:pt idx="2862">
                  <c:v>8.7775200000000027</c:v>
                </c:pt>
                <c:pt idx="2863">
                  <c:v>8.7775200000000027</c:v>
                </c:pt>
                <c:pt idx="2864">
                  <c:v>8.291520000000002</c:v>
                </c:pt>
                <c:pt idx="2865">
                  <c:v>8.9395200000000017</c:v>
                </c:pt>
                <c:pt idx="2866">
                  <c:v>8.291520000000002</c:v>
                </c:pt>
                <c:pt idx="2867">
                  <c:v>8.291520000000002</c:v>
                </c:pt>
                <c:pt idx="2868">
                  <c:v>8.129520000000003</c:v>
                </c:pt>
                <c:pt idx="2869">
                  <c:v>8.9395200000000017</c:v>
                </c:pt>
                <c:pt idx="2870">
                  <c:v>8.7775200000000027</c:v>
                </c:pt>
                <c:pt idx="2871">
                  <c:v>8.7775200000000027</c:v>
                </c:pt>
                <c:pt idx="2872">
                  <c:v>8.291520000000002</c:v>
                </c:pt>
                <c:pt idx="2873">
                  <c:v>8.9395200000000017</c:v>
                </c:pt>
                <c:pt idx="2874">
                  <c:v>8.291520000000002</c:v>
                </c:pt>
                <c:pt idx="2875">
                  <c:v>8.291520000000002</c:v>
                </c:pt>
                <c:pt idx="2876">
                  <c:v>8.129520000000003</c:v>
                </c:pt>
                <c:pt idx="2877">
                  <c:v>8.9395200000000017</c:v>
                </c:pt>
                <c:pt idx="2878">
                  <c:v>8.7775200000000027</c:v>
                </c:pt>
                <c:pt idx="2879">
                  <c:v>8.7775200000000027</c:v>
                </c:pt>
                <c:pt idx="2880">
                  <c:v>8.291520000000002</c:v>
                </c:pt>
                <c:pt idx="2881">
                  <c:v>8.9395200000000017</c:v>
                </c:pt>
                <c:pt idx="2882">
                  <c:v>8.291520000000002</c:v>
                </c:pt>
                <c:pt idx="2883">
                  <c:v>8.291520000000002</c:v>
                </c:pt>
                <c:pt idx="2884">
                  <c:v>8.129520000000003</c:v>
                </c:pt>
                <c:pt idx="2885">
                  <c:v>8.9395200000000017</c:v>
                </c:pt>
                <c:pt idx="2886">
                  <c:v>8.7775200000000027</c:v>
                </c:pt>
                <c:pt idx="2887">
                  <c:v>8.7775200000000027</c:v>
                </c:pt>
                <c:pt idx="2888">
                  <c:v>8.291520000000002</c:v>
                </c:pt>
                <c:pt idx="2889">
                  <c:v>8.9395200000000017</c:v>
                </c:pt>
                <c:pt idx="2890">
                  <c:v>8.9395200000000017</c:v>
                </c:pt>
                <c:pt idx="2891">
                  <c:v>-11.310479999999998</c:v>
                </c:pt>
                <c:pt idx="2892">
                  <c:v>-11.148479999999999</c:v>
                </c:pt>
                <c:pt idx="2893">
                  <c:v>-11.148479999999999</c:v>
                </c:pt>
                <c:pt idx="2894">
                  <c:v>-11.310479999999998</c:v>
                </c:pt>
                <c:pt idx="2895">
                  <c:v>-10.500479999999998</c:v>
                </c:pt>
                <c:pt idx="2896">
                  <c:v>-10.662479999999999</c:v>
                </c:pt>
                <c:pt idx="2897">
                  <c:v>-10.662479999999999</c:v>
                </c:pt>
                <c:pt idx="2898">
                  <c:v>-11.148479999999999</c:v>
                </c:pt>
                <c:pt idx="2899">
                  <c:v>-10.500479999999998</c:v>
                </c:pt>
                <c:pt idx="2900">
                  <c:v>-10.338479999999997</c:v>
                </c:pt>
                <c:pt idx="2901">
                  <c:v>-10.338479999999997</c:v>
                </c:pt>
                <c:pt idx="2902">
                  <c:v>-10.500479999999998</c:v>
                </c:pt>
                <c:pt idx="2903">
                  <c:v>-9.6904799999999973</c:v>
                </c:pt>
                <c:pt idx="2904">
                  <c:v>-9.8524799999999981</c:v>
                </c:pt>
                <c:pt idx="2905">
                  <c:v>-9.8524799999999981</c:v>
                </c:pt>
                <c:pt idx="2906">
                  <c:v>-10.338479999999997</c:v>
                </c:pt>
                <c:pt idx="2907">
                  <c:v>-9.6904799999999973</c:v>
                </c:pt>
                <c:pt idx="2908">
                  <c:v>-9.5284799999999965</c:v>
                </c:pt>
                <c:pt idx="2909">
                  <c:v>-9.5284799999999965</c:v>
                </c:pt>
                <c:pt idx="2910">
                  <c:v>-9.6904799999999973</c:v>
                </c:pt>
                <c:pt idx="2911">
                  <c:v>-8.8804799999999968</c:v>
                </c:pt>
                <c:pt idx="2912">
                  <c:v>-9.0424799999999976</c:v>
                </c:pt>
                <c:pt idx="2913">
                  <c:v>-9.0424799999999976</c:v>
                </c:pt>
                <c:pt idx="2914">
                  <c:v>-9.5284799999999965</c:v>
                </c:pt>
                <c:pt idx="2915">
                  <c:v>-8.8804799999999968</c:v>
                </c:pt>
                <c:pt idx="2916">
                  <c:v>-8.7184799999999978</c:v>
                </c:pt>
                <c:pt idx="2917">
                  <c:v>-8.7184799999999978</c:v>
                </c:pt>
                <c:pt idx="2918">
                  <c:v>-8.8804799999999986</c:v>
                </c:pt>
                <c:pt idx="2919">
                  <c:v>-8.0704799999999981</c:v>
                </c:pt>
                <c:pt idx="2920">
                  <c:v>-8.2324799999999989</c:v>
                </c:pt>
                <c:pt idx="2921">
                  <c:v>-8.2324799999999989</c:v>
                </c:pt>
                <c:pt idx="2922">
                  <c:v>-8.7184799999999978</c:v>
                </c:pt>
                <c:pt idx="2923">
                  <c:v>-8.0704799999999981</c:v>
                </c:pt>
                <c:pt idx="2924">
                  <c:v>-7.9084799999999973</c:v>
                </c:pt>
                <c:pt idx="2925">
                  <c:v>-7.9084799999999973</c:v>
                </c:pt>
                <c:pt idx="2926">
                  <c:v>-8.0704799999999981</c:v>
                </c:pt>
                <c:pt idx="2927">
                  <c:v>-7.2604799999999976</c:v>
                </c:pt>
                <c:pt idx="2928">
                  <c:v>-7.4224799999999984</c:v>
                </c:pt>
                <c:pt idx="2929">
                  <c:v>-7.4224799999999984</c:v>
                </c:pt>
                <c:pt idx="2930">
                  <c:v>-7.9084799999999973</c:v>
                </c:pt>
                <c:pt idx="2931">
                  <c:v>-7.2604799999999976</c:v>
                </c:pt>
                <c:pt idx="2932">
                  <c:v>-7.0984799999999968</c:v>
                </c:pt>
                <c:pt idx="2933">
                  <c:v>-7.0984799999999968</c:v>
                </c:pt>
                <c:pt idx="2934">
                  <c:v>-7.2604799999999976</c:v>
                </c:pt>
                <c:pt idx="2935">
                  <c:v>-6.4504799999999971</c:v>
                </c:pt>
                <c:pt idx="2936">
                  <c:v>-6.6124799999999979</c:v>
                </c:pt>
                <c:pt idx="2937">
                  <c:v>-6.6124799999999979</c:v>
                </c:pt>
                <c:pt idx="2938">
                  <c:v>-7.0984799999999968</c:v>
                </c:pt>
                <c:pt idx="2939">
                  <c:v>-6.4504799999999971</c:v>
                </c:pt>
                <c:pt idx="2940">
                  <c:v>-6.2884799999999981</c:v>
                </c:pt>
                <c:pt idx="2941">
                  <c:v>-6.2884799999999981</c:v>
                </c:pt>
                <c:pt idx="2942">
                  <c:v>-6.4504799999999989</c:v>
                </c:pt>
                <c:pt idx="2943">
                  <c:v>-5.6404799999999984</c:v>
                </c:pt>
                <c:pt idx="2944">
                  <c:v>-5.8024799999999992</c:v>
                </c:pt>
                <c:pt idx="2945">
                  <c:v>-5.8024799999999992</c:v>
                </c:pt>
                <c:pt idx="2946">
                  <c:v>-6.2884799999999981</c:v>
                </c:pt>
                <c:pt idx="2947">
                  <c:v>-5.6404799999999984</c:v>
                </c:pt>
                <c:pt idx="2948">
                  <c:v>-5.4784799999999976</c:v>
                </c:pt>
                <c:pt idx="2949">
                  <c:v>-5.4784799999999976</c:v>
                </c:pt>
                <c:pt idx="2950">
                  <c:v>-5.6404799999999984</c:v>
                </c:pt>
                <c:pt idx="2951">
                  <c:v>-4.8304799999999979</c:v>
                </c:pt>
                <c:pt idx="2952">
                  <c:v>-4.9924799999999987</c:v>
                </c:pt>
                <c:pt idx="2953">
                  <c:v>-4.9924799999999987</c:v>
                </c:pt>
                <c:pt idx="2954">
                  <c:v>-5.4784799999999976</c:v>
                </c:pt>
                <c:pt idx="2955">
                  <c:v>-4.8304799999999979</c:v>
                </c:pt>
                <c:pt idx="2956">
                  <c:v>-4.6684799999999971</c:v>
                </c:pt>
                <c:pt idx="2957">
                  <c:v>-4.6684799999999971</c:v>
                </c:pt>
                <c:pt idx="2958">
                  <c:v>-4.8304799999999979</c:v>
                </c:pt>
                <c:pt idx="2959">
                  <c:v>-4.0204799999999974</c:v>
                </c:pt>
                <c:pt idx="2960">
                  <c:v>-4.1824799999999982</c:v>
                </c:pt>
                <c:pt idx="2961">
                  <c:v>-4.1824799999999982</c:v>
                </c:pt>
                <c:pt idx="2962">
                  <c:v>-4.6684799999999971</c:v>
                </c:pt>
                <c:pt idx="2963">
                  <c:v>-4.0204799999999974</c:v>
                </c:pt>
                <c:pt idx="2964">
                  <c:v>-3.8584799999999966</c:v>
                </c:pt>
                <c:pt idx="2965">
                  <c:v>-3.8584799999999966</c:v>
                </c:pt>
                <c:pt idx="2966">
                  <c:v>-4.0204799999999974</c:v>
                </c:pt>
                <c:pt idx="2967">
                  <c:v>-3.2104799999999969</c:v>
                </c:pt>
                <c:pt idx="2968">
                  <c:v>-3.3724799999999977</c:v>
                </c:pt>
                <c:pt idx="2969">
                  <c:v>-3.3724799999999977</c:v>
                </c:pt>
                <c:pt idx="2970">
                  <c:v>-3.8584799999999966</c:v>
                </c:pt>
                <c:pt idx="2971">
                  <c:v>-3.2104799999999969</c:v>
                </c:pt>
                <c:pt idx="2972">
                  <c:v>-3.0484799999999961</c:v>
                </c:pt>
                <c:pt idx="2973">
                  <c:v>-3.0484799999999961</c:v>
                </c:pt>
                <c:pt idx="2974">
                  <c:v>-3.2104799999999969</c:v>
                </c:pt>
                <c:pt idx="2975">
                  <c:v>-2.4004799999999964</c:v>
                </c:pt>
                <c:pt idx="2976">
                  <c:v>-2.5624799999999972</c:v>
                </c:pt>
                <c:pt idx="2977">
                  <c:v>-2.5624799999999972</c:v>
                </c:pt>
                <c:pt idx="2978">
                  <c:v>-3.0484799999999961</c:v>
                </c:pt>
                <c:pt idx="2979">
                  <c:v>-2.4004799999999964</c:v>
                </c:pt>
                <c:pt idx="2980">
                  <c:v>-2.2384799999999974</c:v>
                </c:pt>
                <c:pt idx="2981">
                  <c:v>-2.2384799999999974</c:v>
                </c:pt>
                <c:pt idx="2982">
                  <c:v>-2.4004799999999982</c:v>
                </c:pt>
                <c:pt idx="2983">
                  <c:v>-1.5904799999999994</c:v>
                </c:pt>
                <c:pt idx="2984">
                  <c:v>-1.7524799999999985</c:v>
                </c:pt>
                <c:pt idx="2985">
                  <c:v>-1.7524799999999985</c:v>
                </c:pt>
                <c:pt idx="2986">
                  <c:v>-2.2384799999999974</c:v>
                </c:pt>
                <c:pt idx="2987">
                  <c:v>-1.5904799999999994</c:v>
                </c:pt>
                <c:pt idx="2988">
                  <c:v>-1.4284800000000004</c:v>
                </c:pt>
                <c:pt idx="2989">
                  <c:v>-1.4284800000000004</c:v>
                </c:pt>
                <c:pt idx="2990">
                  <c:v>-1.5904799999999994</c:v>
                </c:pt>
                <c:pt idx="2991">
                  <c:v>-0.78048000000000073</c:v>
                </c:pt>
                <c:pt idx="2992">
                  <c:v>-0.94247999999999976</c:v>
                </c:pt>
                <c:pt idx="2993">
                  <c:v>-0.94247999999999976</c:v>
                </c:pt>
                <c:pt idx="2994">
                  <c:v>-1.4284800000000004</c:v>
                </c:pt>
                <c:pt idx="2995">
                  <c:v>-0.78048000000000073</c:v>
                </c:pt>
                <c:pt idx="2996">
                  <c:v>-0.61847999999999814</c:v>
                </c:pt>
                <c:pt idx="2997">
                  <c:v>-0.61847999999999814</c:v>
                </c:pt>
                <c:pt idx="2998">
                  <c:v>-0.78047999999999718</c:v>
                </c:pt>
                <c:pt idx="2999">
                  <c:v>2.9520000000001545E-2</c:v>
                </c:pt>
                <c:pt idx="3000">
                  <c:v>-0.13247999999999749</c:v>
                </c:pt>
                <c:pt idx="3001">
                  <c:v>-0.13247999999999749</c:v>
                </c:pt>
                <c:pt idx="3002">
                  <c:v>-0.61847999999999814</c:v>
                </c:pt>
                <c:pt idx="3003">
                  <c:v>2.9520000000001545E-2</c:v>
                </c:pt>
                <c:pt idx="3004">
                  <c:v>0.19152000000000058</c:v>
                </c:pt>
                <c:pt idx="3005">
                  <c:v>0.19152000000000058</c:v>
                </c:pt>
                <c:pt idx="3006">
                  <c:v>2.9520000000001545E-2</c:v>
                </c:pt>
                <c:pt idx="3007">
                  <c:v>0.83952000000000027</c:v>
                </c:pt>
                <c:pt idx="3008">
                  <c:v>0.67752000000000123</c:v>
                </c:pt>
                <c:pt idx="3009">
                  <c:v>0.67752000000000123</c:v>
                </c:pt>
                <c:pt idx="3010">
                  <c:v>0.19152000000000058</c:v>
                </c:pt>
                <c:pt idx="3011">
                  <c:v>0.83952000000000027</c:v>
                </c:pt>
                <c:pt idx="3012">
                  <c:v>1.0015199999999993</c:v>
                </c:pt>
                <c:pt idx="3013">
                  <c:v>1.0015199999999993</c:v>
                </c:pt>
                <c:pt idx="3014">
                  <c:v>0.83952000000000027</c:v>
                </c:pt>
                <c:pt idx="3015">
                  <c:v>1.649519999999999</c:v>
                </c:pt>
                <c:pt idx="3016">
                  <c:v>1.48752</c:v>
                </c:pt>
                <c:pt idx="3017">
                  <c:v>1.48752</c:v>
                </c:pt>
                <c:pt idx="3018">
                  <c:v>1.0015199999999993</c:v>
                </c:pt>
                <c:pt idx="3019">
                  <c:v>1.649519999999999</c:v>
                </c:pt>
                <c:pt idx="3020">
                  <c:v>1.8115200000000016</c:v>
                </c:pt>
                <c:pt idx="3021">
                  <c:v>1.8115200000000016</c:v>
                </c:pt>
                <c:pt idx="3022">
                  <c:v>1.6495200000000025</c:v>
                </c:pt>
                <c:pt idx="3023">
                  <c:v>2.4595200000000013</c:v>
                </c:pt>
                <c:pt idx="3024">
                  <c:v>2.2975200000000022</c:v>
                </c:pt>
                <c:pt idx="3025">
                  <c:v>2.2975200000000022</c:v>
                </c:pt>
                <c:pt idx="3026">
                  <c:v>1.8115200000000016</c:v>
                </c:pt>
                <c:pt idx="3027">
                  <c:v>2.4595200000000013</c:v>
                </c:pt>
                <c:pt idx="3028">
                  <c:v>2.6215200000000038</c:v>
                </c:pt>
                <c:pt idx="3029">
                  <c:v>2.6215200000000038</c:v>
                </c:pt>
                <c:pt idx="3030">
                  <c:v>2.4595200000000048</c:v>
                </c:pt>
                <c:pt idx="3031">
                  <c:v>3.2695200000000035</c:v>
                </c:pt>
                <c:pt idx="3032">
                  <c:v>3.1075200000000045</c:v>
                </c:pt>
                <c:pt idx="3033">
                  <c:v>3.1075200000000045</c:v>
                </c:pt>
                <c:pt idx="3034">
                  <c:v>2.6215200000000038</c:v>
                </c:pt>
                <c:pt idx="3035">
                  <c:v>3.2695200000000035</c:v>
                </c:pt>
                <c:pt idx="3036">
                  <c:v>3.4315200000000026</c:v>
                </c:pt>
                <c:pt idx="3037">
                  <c:v>3.4315200000000026</c:v>
                </c:pt>
                <c:pt idx="3038">
                  <c:v>3.2695200000000035</c:v>
                </c:pt>
                <c:pt idx="3039">
                  <c:v>4.0795200000000023</c:v>
                </c:pt>
                <c:pt idx="3040">
                  <c:v>3.9175200000000032</c:v>
                </c:pt>
                <c:pt idx="3041">
                  <c:v>3.9175200000000032</c:v>
                </c:pt>
                <c:pt idx="3042">
                  <c:v>3.4315200000000026</c:v>
                </c:pt>
                <c:pt idx="3043">
                  <c:v>4.0795200000000023</c:v>
                </c:pt>
                <c:pt idx="3044">
                  <c:v>4.2415200000000013</c:v>
                </c:pt>
                <c:pt idx="3045">
                  <c:v>4.2415200000000013</c:v>
                </c:pt>
                <c:pt idx="3046">
                  <c:v>4.0795200000000023</c:v>
                </c:pt>
                <c:pt idx="3047">
                  <c:v>4.889520000000001</c:v>
                </c:pt>
                <c:pt idx="3048">
                  <c:v>4.7275200000000019</c:v>
                </c:pt>
                <c:pt idx="3049">
                  <c:v>4.7275200000000019</c:v>
                </c:pt>
                <c:pt idx="3050">
                  <c:v>4.2415200000000013</c:v>
                </c:pt>
                <c:pt idx="3051">
                  <c:v>4.889520000000001</c:v>
                </c:pt>
                <c:pt idx="3052">
                  <c:v>5.0515200000000036</c:v>
                </c:pt>
                <c:pt idx="3053">
                  <c:v>5.0515200000000036</c:v>
                </c:pt>
                <c:pt idx="3054">
                  <c:v>4.8895200000000045</c:v>
                </c:pt>
                <c:pt idx="3055">
                  <c:v>5.6995200000000033</c:v>
                </c:pt>
                <c:pt idx="3056">
                  <c:v>5.5375200000000042</c:v>
                </c:pt>
                <c:pt idx="3057">
                  <c:v>5.5375200000000042</c:v>
                </c:pt>
                <c:pt idx="3058">
                  <c:v>5.0515200000000036</c:v>
                </c:pt>
                <c:pt idx="3059">
                  <c:v>5.6995200000000033</c:v>
                </c:pt>
                <c:pt idx="3060">
                  <c:v>5.8615200000000023</c:v>
                </c:pt>
                <c:pt idx="3061">
                  <c:v>5.8615200000000023</c:v>
                </c:pt>
                <c:pt idx="3062">
                  <c:v>5.6995200000000033</c:v>
                </c:pt>
                <c:pt idx="3063">
                  <c:v>6.509520000000002</c:v>
                </c:pt>
                <c:pt idx="3064">
                  <c:v>6.3475200000000029</c:v>
                </c:pt>
                <c:pt idx="3065">
                  <c:v>6.3475200000000029</c:v>
                </c:pt>
                <c:pt idx="3066">
                  <c:v>5.8615200000000023</c:v>
                </c:pt>
                <c:pt idx="3067">
                  <c:v>6.509520000000002</c:v>
                </c:pt>
                <c:pt idx="3068">
                  <c:v>6.671520000000001</c:v>
                </c:pt>
                <c:pt idx="3069">
                  <c:v>6.671520000000001</c:v>
                </c:pt>
                <c:pt idx="3070">
                  <c:v>6.509520000000002</c:v>
                </c:pt>
                <c:pt idx="3071">
                  <c:v>7.3195200000000007</c:v>
                </c:pt>
                <c:pt idx="3072">
                  <c:v>7.1575200000000017</c:v>
                </c:pt>
                <c:pt idx="3073">
                  <c:v>7.1575200000000017</c:v>
                </c:pt>
                <c:pt idx="3074">
                  <c:v>6.671520000000001</c:v>
                </c:pt>
                <c:pt idx="3075">
                  <c:v>7.3195200000000007</c:v>
                </c:pt>
                <c:pt idx="3076">
                  <c:v>7.4815200000000033</c:v>
                </c:pt>
                <c:pt idx="3077">
                  <c:v>7.4815200000000033</c:v>
                </c:pt>
                <c:pt idx="3078">
                  <c:v>7.3195200000000042</c:v>
                </c:pt>
                <c:pt idx="3079">
                  <c:v>8.129520000000003</c:v>
                </c:pt>
                <c:pt idx="3080">
                  <c:v>7.9675200000000039</c:v>
                </c:pt>
                <c:pt idx="3081">
                  <c:v>7.9675200000000039</c:v>
                </c:pt>
                <c:pt idx="3082">
                  <c:v>7.4815200000000033</c:v>
                </c:pt>
                <c:pt idx="3083">
                  <c:v>8.129520000000003</c:v>
                </c:pt>
                <c:pt idx="3084">
                  <c:v>8.291520000000002</c:v>
                </c:pt>
                <c:pt idx="3085">
                  <c:v>8.291520000000002</c:v>
                </c:pt>
                <c:pt idx="3086">
                  <c:v>8.129520000000003</c:v>
                </c:pt>
                <c:pt idx="3087">
                  <c:v>8.9395200000000017</c:v>
                </c:pt>
                <c:pt idx="3088">
                  <c:v>8.7775200000000027</c:v>
                </c:pt>
                <c:pt idx="3089">
                  <c:v>8.7775200000000027</c:v>
                </c:pt>
                <c:pt idx="3090">
                  <c:v>8.291520000000002</c:v>
                </c:pt>
                <c:pt idx="3091">
                  <c:v>8.9395200000000017</c:v>
                </c:pt>
                <c:pt idx="3092">
                  <c:v>8.291520000000002</c:v>
                </c:pt>
                <c:pt idx="3093">
                  <c:v>8.291520000000002</c:v>
                </c:pt>
                <c:pt idx="3094">
                  <c:v>8.129520000000003</c:v>
                </c:pt>
                <c:pt idx="3095">
                  <c:v>8.9395200000000017</c:v>
                </c:pt>
                <c:pt idx="3096">
                  <c:v>8.7775200000000027</c:v>
                </c:pt>
                <c:pt idx="3097">
                  <c:v>8.7775200000000027</c:v>
                </c:pt>
                <c:pt idx="3098">
                  <c:v>8.291520000000002</c:v>
                </c:pt>
                <c:pt idx="3099">
                  <c:v>8.9395200000000017</c:v>
                </c:pt>
                <c:pt idx="3100">
                  <c:v>8.291520000000002</c:v>
                </c:pt>
                <c:pt idx="3101">
                  <c:v>8.291520000000002</c:v>
                </c:pt>
                <c:pt idx="3102">
                  <c:v>8.129520000000003</c:v>
                </c:pt>
                <c:pt idx="3103">
                  <c:v>8.9395200000000017</c:v>
                </c:pt>
                <c:pt idx="3104">
                  <c:v>8.7775200000000027</c:v>
                </c:pt>
                <c:pt idx="3105">
                  <c:v>8.7775200000000027</c:v>
                </c:pt>
                <c:pt idx="3106">
                  <c:v>8.291520000000002</c:v>
                </c:pt>
                <c:pt idx="3107">
                  <c:v>8.9395200000000017</c:v>
                </c:pt>
                <c:pt idx="3108">
                  <c:v>8.291520000000002</c:v>
                </c:pt>
                <c:pt idx="3109">
                  <c:v>8.291520000000002</c:v>
                </c:pt>
                <c:pt idx="3110">
                  <c:v>8.129520000000003</c:v>
                </c:pt>
                <c:pt idx="3111">
                  <c:v>8.9395200000000017</c:v>
                </c:pt>
                <c:pt idx="3112">
                  <c:v>8.7775200000000027</c:v>
                </c:pt>
                <c:pt idx="3113">
                  <c:v>8.7775200000000027</c:v>
                </c:pt>
                <c:pt idx="3114">
                  <c:v>8.291520000000002</c:v>
                </c:pt>
                <c:pt idx="3115">
                  <c:v>8.9395200000000017</c:v>
                </c:pt>
                <c:pt idx="3116">
                  <c:v>8.291520000000002</c:v>
                </c:pt>
                <c:pt idx="3117">
                  <c:v>8.291520000000002</c:v>
                </c:pt>
                <c:pt idx="3118">
                  <c:v>8.129520000000003</c:v>
                </c:pt>
                <c:pt idx="3119">
                  <c:v>8.9395200000000017</c:v>
                </c:pt>
                <c:pt idx="3120">
                  <c:v>8.7775200000000027</c:v>
                </c:pt>
                <c:pt idx="3121">
                  <c:v>8.7775200000000027</c:v>
                </c:pt>
                <c:pt idx="3122">
                  <c:v>8.291520000000002</c:v>
                </c:pt>
                <c:pt idx="3123">
                  <c:v>8.9395200000000017</c:v>
                </c:pt>
                <c:pt idx="3124">
                  <c:v>8.291520000000002</c:v>
                </c:pt>
                <c:pt idx="3125">
                  <c:v>8.291520000000002</c:v>
                </c:pt>
                <c:pt idx="3126">
                  <c:v>8.129520000000003</c:v>
                </c:pt>
                <c:pt idx="3127">
                  <c:v>8.9395200000000017</c:v>
                </c:pt>
                <c:pt idx="3128">
                  <c:v>8.7775200000000027</c:v>
                </c:pt>
                <c:pt idx="3129">
                  <c:v>8.7775200000000027</c:v>
                </c:pt>
                <c:pt idx="3130">
                  <c:v>8.291520000000002</c:v>
                </c:pt>
                <c:pt idx="3131">
                  <c:v>8.9395200000000017</c:v>
                </c:pt>
                <c:pt idx="3132">
                  <c:v>8.291520000000002</c:v>
                </c:pt>
                <c:pt idx="3133">
                  <c:v>8.291520000000002</c:v>
                </c:pt>
                <c:pt idx="3134">
                  <c:v>8.129520000000003</c:v>
                </c:pt>
                <c:pt idx="3135">
                  <c:v>8.9395200000000017</c:v>
                </c:pt>
                <c:pt idx="3136">
                  <c:v>8.7775200000000027</c:v>
                </c:pt>
                <c:pt idx="3137">
                  <c:v>8.7775200000000027</c:v>
                </c:pt>
                <c:pt idx="3138">
                  <c:v>8.291520000000002</c:v>
                </c:pt>
                <c:pt idx="3139">
                  <c:v>8.9395200000000017</c:v>
                </c:pt>
                <c:pt idx="3140">
                  <c:v>8.291520000000002</c:v>
                </c:pt>
                <c:pt idx="3141">
                  <c:v>8.291520000000002</c:v>
                </c:pt>
                <c:pt idx="3142">
                  <c:v>8.129520000000003</c:v>
                </c:pt>
                <c:pt idx="3143">
                  <c:v>8.9395200000000017</c:v>
                </c:pt>
                <c:pt idx="3144">
                  <c:v>8.7775200000000027</c:v>
                </c:pt>
                <c:pt idx="3145">
                  <c:v>8.7775200000000027</c:v>
                </c:pt>
                <c:pt idx="3146">
                  <c:v>8.291520000000002</c:v>
                </c:pt>
                <c:pt idx="3147">
                  <c:v>8.9395200000000017</c:v>
                </c:pt>
                <c:pt idx="3148">
                  <c:v>8.291520000000002</c:v>
                </c:pt>
                <c:pt idx="3149">
                  <c:v>8.291520000000002</c:v>
                </c:pt>
                <c:pt idx="3150">
                  <c:v>8.129520000000003</c:v>
                </c:pt>
                <c:pt idx="3151">
                  <c:v>8.9395200000000017</c:v>
                </c:pt>
                <c:pt idx="3152">
                  <c:v>8.7775200000000027</c:v>
                </c:pt>
                <c:pt idx="3153">
                  <c:v>8.7775200000000027</c:v>
                </c:pt>
                <c:pt idx="3154">
                  <c:v>8.291520000000002</c:v>
                </c:pt>
                <c:pt idx="3155">
                  <c:v>8.9395200000000017</c:v>
                </c:pt>
                <c:pt idx="3156">
                  <c:v>8.291520000000002</c:v>
                </c:pt>
                <c:pt idx="3157">
                  <c:v>8.291520000000002</c:v>
                </c:pt>
                <c:pt idx="3158">
                  <c:v>8.129520000000003</c:v>
                </c:pt>
                <c:pt idx="3159">
                  <c:v>8.9395200000000017</c:v>
                </c:pt>
                <c:pt idx="3160">
                  <c:v>8.7775200000000027</c:v>
                </c:pt>
                <c:pt idx="3161">
                  <c:v>8.7775200000000027</c:v>
                </c:pt>
                <c:pt idx="3162">
                  <c:v>8.291520000000002</c:v>
                </c:pt>
                <c:pt idx="3163">
                  <c:v>8.9395200000000017</c:v>
                </c:pt>
                <c:pt idx="3164">
                  <c:v>8.291520000000002</c:v>
                </c:pt>
                <c:pt idx="3165">
                  <c:v>8.291520000000002</c:v>
                </c:pt>
                <c:pt idx="3166">
                  <c:v>8.129520000000003</c:v>
                </c:pt>
                <c:pt idx="3167">
                  <c:v>8.9395200000000017</c:v>
                </c:pt>
                <c:pt idx="3168">
                  <c:v>8.7775200000000027</c:v>
                </c:pt>
                <c:pt idx="3169">
                  <c:v>8.7775200000000027</c:v>
                </c:pt>
                <c:pt idx="3170">
                  <c:v>8.291520000000002</c:v>
                </c:pt>
                <c:pt idx="3171">
                  <c:v>8.9395200000000017</c:v>
                </c:pt>
                <c:pt idx="3172">
                  <c:v>8.291520000000002</c:v>
                </c:pt>
                <c:pt idx="3173">
                  <c:v>8.291520000000002</c:v>
                </c:pt>
                <c:pt idx="3174">
                  <c:v>8.129520000000003</c:v>
                </c:pt>
                <c:pt idx="3175">
                  <c:v>8.9395200000000017</c:v>
                </c:pt>
                <c:pt idx="3176">
                  <c:v>8.7775200000000027</c:v>
                </c:pt>
                <c:pt idx="3177">
                  <c:v>8.7775200000000027</c:v>
                </c:pt>
                <c:pt idx="3178">
                  <c:v>8.291520000000002</c:v>
                </c:pt>
                <c:pt idx="3179">
                  <c:v>8.9395200000000017</c:v>
                </c:pt>
                <c:pt idx="3180">
                  <c:v>8.291520000000002</c:v>
                </c:pt>
                <c:pt idx="3181">
                  <c:v>8.291520000000002</c:v>
                </c:pt>
                <c:pt idx="3182">
                  <c:v>8.129520000000003</c:v>
                </c:pt>
                <c:pt idx="3183">
                  <c:v>8.9395200000000017</c:v>
                </c:pt>
                <c:pt idx="3184">
                  <c:v>8.7775200000000027</c:v>
                </c:pt>
                <c:pt idx="3185">
                  <c:v>8.7775200000000027</c:v>
                </c:pt>
                <c:pt idx="3186">
                  <c:v>8.291520000000002</c:v>
                </c:pt>
                <c:pt idx="3187">
                  <c:v>8.9395200000000017</c:v>
                </c:pt>
                <c:pt idx="3188">
                  <c:v>8.291520000000002</c:v>
                </c:pt>
                <c:pt idx="3189">
                  <c:v>8.291520000000002</c:v>
                </c:pt>
                <c:pt idx="3190">
                  <c:v>8.129520000000003</c:v>
                </c:pt>
                <c:pt idx="3191">
                  <c:v>8.9395200000000017</c:v>
                </c:pt>
                <c:pt idx="3192">
                  <c:v>8.7775200000000027</c:v>
                </c:pt>
                <c:pt idx="3193">
                  <c:v>8.7775200000000027</c:v>
                </c:pt>
                <c:pt idx="3194">
                  <c:v>8.291520000000002</c:v>
                </c:pt>
                <c:pt idx="3195">
                  <c:v>8.9395200000000017</c:v>
                </c:pt>
                <c:pt idx="3196">
                  <c:v>8.291520000000002</c:v>
                </c:pt>
                <c:pt idx="3197">
                  <c:v>8.291520000000002</c:v>
                </c:pt>
                <c:pt idx="3198">
                  <c:v>8.129520000000003</c:v>
                </c:pt>
                <c:pt idx="3199">
                  <c:v>8.9395200000000017</c:v>
                </c:pt>
                <c:pt idx="3200">
                  <c:v>8.7775200000000027</c:v>
                </c:pt>
                <c:pt idx="3201">
                  <c:v>8.7775200000000027</c:v>
                </c:pt>
                <c:pt idx="3202">
                  <c:v>8.291520000000002</c:v>
                </c:pt>
                <c:pt idx="3203">
                  <c:v>8.9395200000000017</c:v>
                </c:pt>
                <c:pt idx="3204">
                  <c:v>8.291520000000002</c:v>
                </c:pt>
                <c:pt idx="3205">
                  <c:v>8.291520000000002</c:v>
                </c:pt>
                <c:pt idx="3206">
                  <c:v>8.129520000000003</c:v>
                </c:pt>
                <c:pt idx="3207">
                  <c:v>8.9395200000000017</c:v>
                </c:pt>
                <c:pt idx="3208">
                  <c:v>8.7775200000000027</c:v>
                </c:pt>
                <c:pt idx="3209">
                  <c:v>8.7775200000000027</c:v>
                </c:pt>
                <c:pt idx="3210">
                  <c:v>8.291520000000002</c:v>
                </c:pt>
                <c:pt idx="3211">
                  <c:v>8.9395200000000017</c:v>
                </c:pt>
                <c:pt idx="3212">
                  <c:v>8.291520000000002</c:v>
                </c:pt>
                <c:pt idx="3213">
                  <c:v>8.291520000000002</c:v>
                </c:pt>
                <c:pt idx="3214">
                  <c:v>8.129520000000003</c:v>
                </c:pt>
                <c:pt idx="3215">
                  <c:v>8.9395200000000017</c:v>
                </c:pt>
                <c:pt idx="3216">
                  <c:v>8.7775200000000027</c:v>
                </c:pt>
                <c:pt idx="3217">
                  <c:v>8.7775200000000027</c:v>
                </c:pt>
                <c:pt idx="3218">
                  <c:v>8.291520000000002</c:v>
                </c:pt>
                <c:pt idx="3219">
                  <c:v>8.9395200000000017</c:v>
                </c:pt>
                <c:pt idx="3220">
                  <c:v>8.291520000000002</c:v>
                </c:pt>
                <c:pt idx="3221">
                  <c:v>8.291520000000002</c:v>
                </c:pt>
                <c:pt idx="3222">
                  <c:v>8.129520000000003</c:v>
                </c:pt>
                <c:pt idx="3223">
                  <c:v>8.9395200000000017</c:v>
                </c:pt>
                <c:pt idx="3224">
                  <c:v>8.7775200000000027</c:v>
                </c:pt>
                <c:pt idx="3225">
                  <c:v>8.7775200000000027</c:v>
                </c:pt>
                <c:pt idx="3226">
                  <c:v>8.291520000000002</c:v>
                </c:pt>
                <c:pt idx="3227">
                  <c:v>8.9395200000000017</c:v>
                </c:pt>
                <c:pt idx="3228">
                  <c:v>8.291520000000002</c:v>
                </c:pt>
                <c:pt idx="3229">
                  <c:v>8.291520000000002</c:v>
                </c:pt>
                <c:pt idx="3230">
                  <c:v>8.129520000000003</c:v>
                </c:pt>
                <c:pt idx="3231">
                  <c:v>8.9395200000000017</c:v>
                </c:pt>
                <c:pt idx="3232">
                  <c:v>8.7775200000000027</c:v>
                </c:pt>
                <c:pt idx="3233">
                  <c:v>8.7775200000000027</c:v>
                </c:pt>
                <c:pt idx="3234">
                  <c:v>8.291520000000002</c:v>
                </c:pt>
                <c:pt idx="3235">
                  <c:v>8.9395200000000017</c:v>
                </c:pt>
                <c:pt idx="3236">
                  <c:v>8.291520000000002</c:v>
                </c:pt>
                <c:pt idx="3237">
                  <c:v>8.291520000000002</c:v>
                </c:pt>
                <c:pt idx="3238">
                  <c:v>8.129520000000003</c:v>
                </c:pt>
                <c:pt idx="3239">
                  <c:v>8.9395200000000017</c:v>
                </c:pt>
                <c:pt idx="3240">
                  <c:v>8.7775200000000027</c:v>
                </c:pt>
                <c:pt idx="3241">
                  <c:v>8.7775200000000027</c:v>
                </c:pt>
                <c:pt idx="3242">
                  <c:v>8.291520000000002</c:v>
                </c:pt>
                <c:pt idx="3243">
                  <c:v>8.9395200000000017</c:v>
                </c:pt>
                <c:pt idx="3244">
                  <c:v>8.291520000000002</c:v>
                </c:pt>
                <c:pt idx="3245">
                  <c:v>8.291520000000002</c:v>
                </c:pt>
                <c:pt idx="3246">
                  <c:v>8.129520000000003</c:v>
                </c:pt>
                <c:pt idx="3247">
                  <c:v>8.9395200000000017</c:v>
                </c:pt>
                <c:pt idx="3248">
                  <c:v>8.7775200000000027</c:v>
                </c:pt>
                <c:pt idx="3249">
                  <c:v>8.7775200000000027</c:v>
                </c:pt>
                <c:pt idx="3250">
                  <c:v>8.291520000000002</c:v>
                </c:pt>
                <c:pt idx="3251">
                  <c:v>8.9395200000000017</c:v>
                </c:pt>
                <c:pt idx="3252">
                  <c:v>8.291520000000002</c:v>
                </c:pt>
                <c:pt idx="3253">
                  <c:v>8.291520000000002</c:v>
                </c:pt>
                <c:pt idx="3254">
                  <c:v>8.129520000000003</c:v>
                </c:pt>
                <c:pt idx="3255">
                  <c:v>8.9395200000000017</c:v>
                </c:pt>
                <c:pt idx="3256">
                  <c:v>8.7775200000000027</c:v>
                </c:pt>
                <c:pt idx="3257">
                  <c:v>8.7775200000000027</c:v>
                </c:pt>
                <c:pt idx="3258">
                  <c:v>8.291520000000002</c:v>
                </c:pt>
                <c:pt idx="3259">
                  <c:v>8.9395200000000017</c:v>
                </c:pt>
                <c:pt idx="3260">
                  <c:v>8.291520000000002</c:v>
                </c:pt>
                <c:pt idx="3261">
                  <c:v>8.291520000000002</c:v>
                </c:pt>
                <c:pt idx="3262">
                  <c:v>8.129520000000003</c:v>
                </c:pt>
                <c:pt idx="3263">
                  <c:v>8.9395200000000017</c:v>
                </c:pt>
                <c:pt idx="3264">
                  <c:v>8.7775200000000027</c:v>
                </c:pt>
                <c:pt idx="3265">
                  <c:v>8.7775200000000027</c:v>
                </c:pt>
                <c:pt idx="3266">
                  <c:v>8.291520000000002</c:v>
                </c:pt>
                <c:pt idx="3267">
                  <c:v>8.9395200000000017</c:v>
                </c:pt>
                <c:pt idx="3268">
                  <c:v>8.291520000000002</c:v>
                </c:pt>
                <c:pt idx="3269">
                  <c:v>8.291520000000002</c:v>
                </c:pt>
                <c:pt idx="3270">
                  <c:v>8.129520000000003</c:v>
                </c:pt>
                <c:pt idx="3271">
                  <c:v>8.9395200000000017</c:v>
                </c:pt>
                <c:pt idx="3272">
                  <c:v>8.7775200000000027</c:v>
                </c:pt>
                <c:pt idx="3273">
                  <c:v>8.7775200000000027</c:v>
                </c:pt>
                <c:pt idx="3274">
                  <c:v>8.291520000000002</c:v>
                </c:pt>
                <c:pt idx="3275">
                  <c:v>8.9395200000000017</c:v>
                </c:pt>
                <c:pt idx="3276">
                  <c:v>8.291520000000002</c:v>
                </c:pt>
                <c:pt idx="3277">
                  <c:v>8.291520000000002</c:v>
                </c:pt>
                <c:pt idx="3278">
                  <c:v>8.129520000000003</c:v>
                </c:pt>
                <c:pt idx="3279">
                  <c:v>8.9395200000000017</c:v>
                </c:pt>
                <c:pt idx="3280">
                  <c:v>8.7775200000000027</c:v>
                </c:pt>
                <c:pt idx="3281">
                  <c:v>8.7775200000000027</c:v>
                </c:pt>
                <c:pt idx="3282">
                  <c:v>8.291520000000002</c:v>
                </c:pt>
                <c:pt idx="3283">
                  <c:v>8.9395200000000017</c:v>
                </c:pt>
                <c:pt idx="3284">
                  <c:v>8.291520000000002</c:v>
                </c:pt>
                <c:pt idx="3285">
                  <c:v>8.291520000000002</c:v>
                </c:pt>
                <c:pt idx="3286">
                  <c:v>8.129520000000003</c:v>
                </c:pt>
                <c:pt idx="3287">
                  <c:v>8.9395200000000017</c:v>
                </c:pt>
                <c:pt idx="3288">
                  <c:v>8.7775200000000027</c:v>
                </c:pt>
                <c:pt idx="3289">
                  <c:v>8.7775200000000027</c:v>
                </c:pt>
                <c:pt idx="3290">
                  <c:v>8.291520000000002</c:v>
                </c:pt>
                <c:pt idx="3291">
                  <c:v>8.9395200000000017</c:v>
                </c:pt>
                <c:pt idx="3292">
                  <c:v>8.291520000000002</c:v>
                </c:pt>
                <c:pt idx="3293">
                  <c:v>8.291520000000002</c:v>
                </c:pt>
                <c:pt idx="3294">
                  <c:v>8.129520000000003</c:v>
                </c:pt>
                <c:pt idx="3295">
                  <c:v>8.9395200000000017</c:v>
                </c:pt>
                <c:pt idx="3296">
                  <c:v>8.7775200000000027</c:v>
                </c:pt>
                <c:pt idx="3297">
                  <c:v>8.7775200000000027</c:v>
                </c:pt>
                <c:pt idx="3298">
                  <c:v>8.291520000000002</c:v>
                </c:pt>
                <c:pt idx="3299">
                  <c:v>8.9395200000000017</c:v>
                </c:pt>
                <c:pt idx="3300">
                  <c:v>8.291520000000002</c:v>
                </c:pt>
                <c:pt idx="3301">
                  <c:v>8.291520000000002</c:v>
                </c:pt>
                <c:pt idx="3302">
                  <c:v>8.129520000000003</c:v>
                </c:pt>
                <c:pt idx="3303">
                  <c:v>8.9395200000000017</c:v>
                </c:pt>
                <c:pt idx="3304">
                  <c:v>8.7775200000000027</c:v>
                </c:pt>
                <c:pt idx="3305">
                  <c:v>8.7775200000000027</c:v>
                </c:pt>
                <c:pt idx="3306">
                  <c:v>8.291520000000002</c:v>
                </c:pt>
                <c:pt idx="3307">
                  <c:v>8.9395200000000017</c:v>
                </c:pt>
                <c:pt idx="3308">
                  <c:v>8.291520000000002</c:v>
                </c:pt>
                <c:pt idx="3309">
                  <c:v>8.291520000000002</c:v>
                </c:pt>
                <c:pt idx="3310">
                  <c:v>8.129520000000003</c:v>
                </c:pt>
                <c:pt idx="3311">
                  <c:v>8.9395200000000017</c:v>
                </c:pt>
                <c:pt idx="3312">
                  <c:v>8.7775200000000027</c:v>
                </c:pt>
                <c:pt idx="3313">
                  <c:v>8.7775200000000027</c:v>
                </c:pt>
                <c:pt idx="3314">
                  <c:v>8.291520000000002</c:v>
                </c:pt>
                <c:pt idx="3315">
                  <c:v>8.9395200000000017</c:v>
                </c:pt>
                <c:pt idx="3316">
                  <c:v>8.291520000000002</c:v>
                </c:pt>
                <c:pt idx="3317">
                  <c:v>8.291520000000002</c:v>
                </c:pt>
                <c:pt idx="3318">
                  <c:v>8.129520000000003</c:v>
                </c:pt>
                <c:pt idx="3319">
                  <c:v>8.9395200000000017</c:v>
                </c:pt>
                <c:pt idx="3320">
                  <c:v>8.7775200000000027</c:v>
                </c:pt>
                <c:pt idx="3321">
                  <c:v>8.7775200000000027</c:v>
                </c:pt>
                <c:pt idx="3322">
                  <c:v>8.291520000000002</c:v>
                </c:pt>
                <c:pt idx="3323">
                  <c:v>8.9395200000000017</c:v>
                </c:pt>
                <c:pt idx="3324">
                  <c:v>8.291520000000002</c:v>
                </c:pt>
                <c:pt idx="3325">
                  <c:v>8.291520000000002</c:v>
                </c:pt>
                <c:pt idx="3326">
                  <c:v>8.129520000000003</c:v>
                </c:pt>
                <c:pt idx="3327">
                  <c:v>8.9395200000000017</c:v>
                </c:pt>
                <c:pt idx="3328">
                  <c:v>8.7775200000000027</c:v>
                </c:pt>
                <c:pt idx="3329">
                  <c:v>8.7775200000000027</c:v>
                </c:pt>
                <c:pt idx="3330">
                  <c:v>8.291520000000002</c:v>
                </c:pt>
                <c:pt idx="3331">
                  <c:v>8.9395200000000017</c:v>
                </c:pt>
                <c:pt idx="3332">
                  <c:v>8.291520000000002</c:v>
                </c:pt>
                <c:pt idx="3333">
                  <c:v>8.291520000000002</c:v>
                </c:pt>
                <c:pt idx="3334">
                  <c:v>8.129520000000003</c:v>
                </c:pt>
                <c:pt idx="3335">
                  <c:v>8.9395200000000017</c:v>
                </c:pt>
                <c:pt idx="3336">
                  <c:v>8.7775200000000027</c:v>
                </c:pt>
                <c:pt idx="3337">
                  <c:v>8.7775200000000027</c:v>
                </c:pt>
                <c:pt idx="3338">
                  <c:v>8.291520000000002</c:v>
                </c:pt>
                <c:pt idx="3339">
                  <c:v>8.9395200000000017</c:v>
                </c:pt>
                <c:pt idx="3340">
                  <c:v>8.291520000000002</c:v>
                </c:pt>
                <c:pt idx="3341">
                  <c:v>8.291520000000002</c:v>
                </c:pt>
                <c:pt idx="3342">
                  <c:v>8.129520000000003</c:v>
                </c:pt>
                <c:pt idx="3343">
                  <c:v>8.9395200000000017</c:v>
                </c:pt>
                <c:pt idx="3344">
                  <c:v>8.7775200000000027</c:v>
                </c:pt>
                <c:pt idx="3345">
                  <c:v>8.7775200000000027</c:v>
                </c:pt>
                <c:pt idx="3346">
                  <c:v>8.291520000000002</c:v>
                </c:pt>
                <c:pt idx="3347">
                  <c:v>8.9395200000000017</c:v>
                </c:pt>
                <c:pt idx="3348">
                  <c:v>8.291520000000002</c:v>
                </c:pt>
                <c:pt idx="3349">
                  <c:v>8.291520000000002</c:v>
                </c:pt>
                <c:pt idx="3350">
                  <c:v>8.129520000000003</c:v>
                </c:pt>
                <c:pt idx="3351">
                  <c:v>8.9395200000000017</c:v>
                </c:pt>
                <c:pt idx="3352">
                  <c:v>8.7775200000000027</c:v>
                </c:pt>
                <c:pt idx="3353">
                  <c:v>8.7775200000000027</c:v>
                </c:pt>
                <c:pt idx="3354">
                  <c:v>8.291520000000002</c:v>
                </c:pt>
                <c:pt idx="3355">
                  <c:v>8.9395200000000017</c:v>
                </c:pt>
                <c:pt idx="3356">
                  <c:v>8.291520000000002</c:v>
                </c:pt>
                <c:pt idx="3357">
                  <c:v>8.291520000000002</c:v>
                </c:pt>
                <c:pt idx="3358">
                  <c:v>8.129520000000003</c:v>
                </c:pt>
                <c:pt idx="3359">
                  <c:v>8.9395200000000017</c:v>
                </c:pt>
                <c:pt idx="3360">
                  <c:v>8.7775200000000027</c:v>
                </c:pt>
                <c:pt idx="3361">
                  <c:v>8.7775200000000027</c:v>
                </c:pt>
                <c:pt idx="3362">
                  <c:v>8.291520000000002</c:v>
                </c:pt>
                <c:pt idx="3363">
                  <c:v>8.9395200000000017</c:v>
                </c:pt>
                <c:pt idx="3364">
                  <c:v>8.291520000000002</c:v>
                </c:pt>
                <c:pt idx="3365">
                  <c:v>8.291520000000002</c:v>
                </c:pt>
                <c:pt idx="3366">
                  <c:v>8.129520000000003</c:v>
                </c:pt>
                <c:pt idx="3367">
                  <c:v>8.9395200000000017</c:v>
                </c:pt>
                <c:pt idx="3368">
                  <c:v>8.7775200000000027</c:v>
                </c:pt>
                <c:pt idx="3369">
                  <c:v>8.7775200000000027</c:v>
                </c:pt>
                <c:pt idx="3370">
                  <c:v>8.291520000000002</c:v>
                </c:pt>
                <c:pt idx="3371">
                  <c:v>8.9395200000000017</c:v>
                </c:pt>
                <c:pt idx="3372">
                  <c:v>8.9395200000000017</c:v>
                </c:pt>
                <c:pt idx="3373">
                  <c:v>-11.310479999999998</c:v>
                </c:pt>
                <c:pt idx="3374">
                  <c:v>-11.148479999999999</c:v>
                </c:pt>
                <c:pt idx="3375">
                  <c:v>-11.148479999999999</c:v>
                </c:pt>
                <c:pt idx="3376">
                  <c:v>-11.310479999999998</c:v>
                </c:pt>
                <c:pt idx="3377">
                  <c:v>-10.500479999999998</c:v>
                </c:pt>
                <c:pt idx="3378">
                  <c:v>-10.662479999999999</c:v>
                </c:pt>
                <c:pt idx="3379">
                  <c:v>-10.662479999999999</c:v>
                </c:pt>
                <c:pt idx="3380">
                  <c:v>-11.148479999999999</c:v>
                </c:pt>
                <c:pt idx="3381">
                  <c:v>-10.500479999999998</c:v>
                </c:pt>
                <c:pt idx="3382">
                  <c:v>-10.338479999999997</c:v>
                </c:pt>
                <c:pt idx="3383">
                  <c:v>-10.338479999999997</c:v>
                </c:pt>
                <c:pt idx="3384">
                  <c:v>-10.500479999999998</c:v>
                </c:pt>
                <c:pt idx="3385">
                  <c:v>-9.6904799999999973</c:v>
                </c:pt>
                <c:pt idx="3386">
                  <c:v>-9.8524799999999981</c:v>
                </c:pt>
                <c:pt idx="3387">
                  <c:v>-9.8524799999999981</c:v>
                </c:pt>
                <c:pt idx="3388">
                  <c:v>-10.338479999999997</c:v>
                </c:pt>
                <c:pt idx="3389">
                  <c:v>-9.6904799999999973</c:v>
                </c:pt>
                <c:pt idx="3390">
                  <c:v>-9.5284799999999965</c:v>
                </c:pt>
                <c:pt idx="3391">
                  <c:v>-9.5284799999999965</c:v>
                </c:pt>
                <c:pt idx="3392">
                  <c:v>-9.6904799999999973</c:v>
                </c:pt>
                <c:pt idx="3393">
                  <c:v>-8.8804799999999968</c:v>
                </c:pt>
                <c:pt idx="3394">
                  <c:v>-9.0424799999999976</c:v>
                </c:pt>
                <c:pt idx="3395">
                  <c:v>-9.0424799999999976</c:v>
                </c:pt>
                <c:pt idx="3396">
                  <c:v>-9.5284799999999965</c:v>
                </c:pt>
                <c:pt idx="3397">
                  <c:v>-8.8804799999999968</c:v>
                </c:pt>
                <c:pt idx="3398">
                  <c:v>-8.7184799999999978</c:v>
                </c:pt>
                <c:pt idx="3399">
                  <c:v>-8.7184799999999978</c:v>
                </c:pt>
                <c:pt idx="3400">
                  <c:v>-8.8804799999999986</c:v>
                </c:pt>
                <c:pt idx="3401">
                  <c:v>-8.0704799999999981</c:v>
                </c:pt>
                <c:pt idx="3402">
                  <c:v>-8.2324799999999989</c:v>
                </c:pt>
                <c:pt idx="3403">
                  <c:v>-8.2324799999999989</c:v>
                </c:pt>
                <c:pt idx="3404">
                  <c:v>-8.7184799999999978</c:v>
                </c:pt>
                <c:pt idx="3405">
                  <c:v>-8.0704799999999981</c:v>
                </c:pt>
                <c:pt idx="3406">
                  <c:v>-7.9084799999999973</c:v>
                </c:pt>
                <c:pt idx="3407">
                  <c:v>-7.9084799999999973</c:v>
                </c:pt>
                <c:pt idx="3408">
                  <c:v>-8.0704799999999981</c:v>
                </c:pt>
                <c:pt idx="3409">
                  <c:v>-7.2604799999999976</c:v>
                </c:pt>
                <c:pt idx="3410">
                  <c:v>-7.4224799999999984</c:v>
                </c:pt>
                <c:pt idx="3411">
                  <c:v>-7.4224799999999984</c:v>
                </c:pt>
                <c:pt idx="3412">
                  <c:v>-7.9084799999999973</c:v>
                </c:pt>
                <c:pt idx="3413">
                  <c:v>-7.2604799999999976</c:v>
                </c:pt>
                <c:pt idx="3414">
                  <c:v>-7.0984799999999968</c:v>
                </c:pt>
                <c:pt idx="3415">
                  <c:v>-7.0984799999999968</c:v>
                </c:pt>
                <c:pt idx="3416">
                  <c:v>-7.2604799999999976</c:v>
                </c:pt>
                <c:pt idx="3417">
                  <c:v>-6.4504799999999971</c:v>
                </c:pt>
                <c:pt idx="3418">
                  <c:v>-6.6124799999999979</c:v>
                </c:pt>
                <c:pt idx="3419">
                  <c:v>-6.6124799999999979</c:v>
                </c:pt>
                <c:pt idx="3420">
                  <c:v>-7.0984799999999968</c:v>
                </c:pt>
                <c:pt idx="3421">
                  <c:v>-6.4504799999999971</c:v>
                </c:pt>
                <c:pt idx="3422">
                  <c:v>-6.2884799999999981</c:v>
                </c:pt>
                <c:pt idx="3423">
                  <c:v>-6.2884799999999981</c:v>
                </c:pt>
                <c:pt idx="3424">
                  <c:v>-6.4504799999999989</c:v>
                </c:pt>
                <c:pt idx="3425">
                  <c:v>-5.6404799999999984</c:v>
                </c:pt>
                <c:pt idx="3426">
                  <c:v>-5.8024799999999992</c:v>
                </c:pt>
                <c:pt idx="3427">
                  <c:v>-5.8024799999999992</c:v>
                </c:pt>
                <c:pt idx="3428">
                  <c:v>-6.2884799999999981</c:v>
                </c:pt>
                <c:pt idx="3429">
                  <c:v>-5.6404799999999984</c:v>
                </c:pt>
                <c:pt idx="3430">
                  <c:v>-5.4784799999999976</c:v>
                </c:pt>
                <c:pt idx="3431">
                  <c:v>-5.4784799999999976</c:v>
                </c:pt>
                <c:pt idx="3432">
                  <c:v>-5.6404799999999984</c:v>
                </c:pt>
                <c:pt idx="3433">
                  <c:v>-4.8304799999999979</c:v>
                </c:pt>
                <c:pt idx="3434">
                  <c:v>-4.9924799999999987</c:v>
                </c:pt>
                <c:pt idx="3435">
                  <c:v>-4.9924799999999987</c:v>
                </c:pt>
                <c:pt idx="3436">
                  <c:v>-5.4784799999999976</c:v>
                </c:pt>
                <c:pt idx="3437">
                  <c:v>-4.8304799999999979</c:v>
                </c:pt>
                <c:pt idx="3438">
                  <c:v>-4.6684799999999971</c:v>
                </c:pt>
                <c:pt idx="3439">
                  <c:v>-4.6684799999999971</c:v>
                </c:pt>
                <c:pt idx="3440">
                  <c:v>-4.8304799999999979</c:v>
                </c:pt>
                <c:pt idx="3441">
                  <c:v>-4.0204799999999974</c:v>
                </c:pt>
                <c:pt idx="3442">
                  <c:v>-4.1824799999999982</c:v>
                </c:pt>
                <c:pt idx="3443">
                  <c:v>-4.1824799999999982</c:v>
                </c:pt>
                <c:pt idx="3444">
                  <c:v>-4.6684799999999971</c:v>
                </c:pt>
                <c:pt idx="3445">
                  <c:v>-4.0204799999999974</c:v>
                </c:pt>
                <c:pt idx="3446">
                  <c:v>-3.8584799999999966</c:v>
                </c:pt>
                <c:pt idx="3447">
                  <c:v>-3.8584799999999966</c:v>
                </c:pt>
                <c:pt idx="3448">
                  <c:v>-4.0204799999999974</c:v>
                </c:pt>
                <c:pt idx="3449">
                  <c:v>-3.2104799999999969</c:v>
                </c:pt>
                <c:pt idx="3450">
                  <c:v>-3.3724799999999977</c:v>
                </c:pt>
                <c:pt idx="3451">
                  <c:v>-3.3724799999999977</c:v>
                </c:pt>
                <c:pt idx="3452">
                  <c:v>-3.8584799999999966</c:v>
                </c:pt>
                <c:pt idx="3453">
                  <c:v>-3.2104799999999969</c:v>
                </c:pt>
                <c:pt idx="3454">
                  <c:v>-3.0484799999999961</c:v>
                </c:pt>
                <c:pt idx="3455">
                  <c:v>-3.0484799999999961</c:v>
                </c:pt>
                <c:pt idx="3456">
                  <c:v>-3.2104799999999969</c:v>
                </c:pt>
                <c:pt idx="3457">
                  <c:v>-2.4004799999999964</c:v>
                </c:pt>
                <c:pt idx="3458">
                  <c:v>-2.5624799999999972</c:v>
                </c:pt>
                <c:pt idx="3459">
                  <c:v>-2.5624799999999972</c:v>
                </c:pt>
                <c:pt idx="3460">
                  <c:v>-3.0484799999999961</c:v>
                </c:pt>
                <c:pt idx="3461">
                  <c:v>-2.4004799999999964</c:v>
                </c:pt>
                <c:pt idx="3462">
                  <c:v>-2.2384799999999974</c:v>
                </c:pt>
                <c:pt idx="3463">
                  <c:v>-2.2384799999999974</c:v>
                </c:pt>
                <c:pt idx="3464">
                  <c:v>-2.4004799999999982</c:v>
                </c:pt>
                <c:pt idx="3465">
                  <c:v>-1.5904799999999994</c:v>
                </c:pt>
                <c:pt idx="3466">
                  <c:v>-1.7524799999999985</c:v>
                </c:pt>
                <c:pt idx="3467">
                  <c:v>-1.7524799999999985</c:v>
                </c:pt>
                <c:pt idx="3468">
                  <c:v>-2.2384799999999974</c:v>
                </c:pt>
                <c:pt idx="3469">
                  <c:v>-1.5904799999999994</c:v>
                </c:pt>
                <c:pt idx="3470">
                  <c:v>-1.4284800000000004</c:v>
                </c:pt>
                <c:pt idx="3471">
                  <c:v>-1.4284800000000004</c:v>
                </c:pt>
                <c:pt idx="3472">
                  <c:v>-1.5904799999999994</c:v>
                </c:pt>
                <c:pt idx="3473">
                  <c:v>-0.78048000000000073</c:v>
                </c:pt>
                <c:pt idx="3474">
                  <c:v>-0.94247999999999976</c:v>
                </c:pt>
                <c:pt idx="3475">
                  <c:v>-0.94247999999999976</c:v>
                </c:pt>
                <c:pt idx="3476">
                  <c:v>-1.4284800000000004</c:v>
                </c:pt>
                <c:pt idx="3477">
                  <c:v>-0.78048000000000073</c:v>
                </c:pt>
                <c:pt idx="3478">
                  <c:v>-0.61847999999999814</c:v>
                </c:pt>
                <c:pt idx="3479">
                  <c:v>-0.61847999999999814</c:v>
                </c:pt>
                <c:pt idx="3480">
                  <c:v>-0.78047999999999718</c:v>
                </c:pt>
                <c:pt idx="3481">
                  <c:v>2.9520000000001545E-2</c:v>
                </c:pt>
                <c:pt idx="3482">
                  <c:v>-0.13247999999999749</c:v>
                </c:pt>
                <c:pt idx="3483">
                  <c:v>-0.13247999999999749</c:v>
                </c:pt>
                <c:pt idx="3484">
                  <c:v>-0.61847999999999814</c:v>
                </c:pt>
                <c:pt idx="3485">
                  <c:v>2.9520000000001545E-2</c:v>
                </c:pt>
                <c:pt idx="3486">
                  <c:v>0.19152000000000058</c:v>
                </c:pt>
                <c:pt idx="3487">
                  <c:v>0.19152000000000058</c:v>
                </c:pt>
                <c:pt idx="3488">
                  <c:v>2.9520000000001545E-2</c:v>
                </c:pt>
                <c:pt idx="3489">
                  <c:v>0.83952000000000027</c:v>
                </c:pt>
                <c:pt idx="3490">
                  <c:v>0.67752000000000123</c:v>
                </c:pt>
                <c:pt idx="3491">
                  <c:v>0.67752000000000123</c:v>
                </c:pt>
                <c:pt idx="3492">
                  <c:v>0.19152000000000058</c:v>
                </c:pt>
                <c:pt idx="3493">
                  <c:v>0.83952000000000027</c:v>
                </c:pt>
                <c:pt idx="3494">
                  <c:v>1.0015199999999993</c:v>
                </c:pt>
                <c:pt idx="3495">
                  <c:v>1.0015199999999993</c:v>
                </c:pt>
                <c:pt idx="3496">
                  <c:v>0.83952000000000027</c:v>
                </c:pt>
                <c:pt idx="3497">
                  <c:v>1.649519999999999</c:v>
                </c:pt>
                <c:pt idx="3498">
                  <c:v>1.48752</c:v>
                </c:pt>
                <c:pt idx="3499">
                  <c:v>1.48752</c:v>
                </c:pt>
                <c:pt idx="3500">
                  <c:v>1.0015199999999993</c:v>
                </c:pt>
                <c:pt idx="3501">
                  <c:v>1.649519999999999</c:v>
                </c:pt>
                <c:pt idx="3502">
                  <c:v>1.8115200000000016</c:v>
                </c:pt>
                <c:pt idx="3503">
                  <c:v>1.8115200000000016</c:v>
                </c:pt>
                <c:pt idx="3504">
                  <c:v>1.6495200000000025</c:v>
                </c:pt>
                <c:pt idx="3505">
                  <c:v>2.4595200000000013</c:v>
                </c:pt>
                <c:pt idx="3506">
                  <c:v>2.2975200000000022</c:v>
                </c:pt>
                <c:pt idx="3507">
                  <c:v>2.2975200000000022</c:v>
                </c:pt>
                <c:pt idx="3508">
                  <c:v>1.8115200000000016</c:v>
                </c:pt>
                <c:pt idx="3509">
                  <c:v>2.4595200000000013</c:v>
                </c:pt>
                <c:pt idx="3510">
                  <c:v>2.6215200000000038</c:v>
                </c:pt>
                <c:pt idx="3511">
                  <c:v>2.6215200000000038</c:v>
                </c:pt>
                <c:pt idx="3512">
                  <c:v>2.4595200000000048</c:v>
                </c:pt>
                <c:pt idx="3513">
                  <c:v>3.2695200000000035</c:v>
                </c:pt>
                <c:pt idx="3514">
                  <c:v>3.1075200000000045</c:v>
                </c:pt>
                <c:pt idx="3515">
                  <c:v>3.1075200000000045</c:v>
                </c:pt>
                <c:pt idx="3516">
                  <c:v>2.6215200000000038</c:v>
                </c:pt>
                <c:pt idx="3517">
                  <c:v>3.2695200000000035</c:v>
                </c:pt>
                <c:pt idx="3518">
                  <c:v>3.4315200000000026</c:v>
                </c:pt>
                <c:pt idx="3519">
                  <c:v>3.4315200000000026</c:v>
                </c:pt>
                <c:pt idx="3520">
                  <c:v>3.2695200000000035</c:v>
                </c:pt>
                <c:pt idx="3521">
                  <c:v>4.0795200000000023</c:v>
                </c:pt>
                <c:pt idx="3522">
                  <c:v>3.9175200000000032</c:v>
                </c:pt>
                <c:pt idx="3523">
                  <c:v>3.9175200000000032</c:v>
                </c:pt>
                <c:pt idx="3524">
                  <c:v>3.4315200000000026</c:v>
                </c:pt>
                <c:pt idx="3525">
                  <c:v>4.0795200000000023</c:v>
                </c:pt>
                <c:pt idx="3526">
                  <c:v>4.2415200000000013</c:v>
                </c:pt>
                <c:pt idx="3527">
                  <c:v>4.2415200000000013</c:v>
                </c:pt>
                <c:pt idx="3528">
                  <c:v>4.0795200000000023</c:v>
                </c:pt>
                <c:pt idx="3529">
                  <c:v>4.889520000000001</c:v>
                </c:pt>
                <c:pt idx="3530">
                  <c:v>4.7275200000000019</c:v>
                </c:pt>
                <c:pt idx="3531">
                  <c:v>4.7275200000000019</c:v>
                </c:pt>
                <c:pt idx="3532">
                  <c:v>4.2415200000000013</c:v>
                </c:pt>
                <c:pt idx="3533">
                  <c:v>4.889520000000001</c:v>
                </c:pt>
                <c:pt idx="3534">
                  <c:v>5.0515200000000036</c:v>
                </c:pt>
                <c:pt idx="3535">
                  <c:v>5.0515200000000036</c:v>
                </c:pt>
                <c:pt idx="3536">
                  <c:v>4.8895200000000045</c:v>
                </c:pt>
                <c:pt idx="3537">
                  <c:v>5.6995200000000033</c:v>
                </c:pt>
                <c:pt idx="3538">
                  <c:v>5.5375200000000042</c:v>
                </c:pt>
                <c:pt idx="3539">
                  <c:v>5.5375200000000042</c:v>
                </c:pt>
                <c:pt idx="3540">
                  <c:v>5.0515200000000036</c:v>
                </c:pt>
                <c:pt idx="3541">
                  <c:v>5.6995200000000033</c:v>
                </c:pt>
                <c:pt idx="3542">
                  <c:v>5.8615200000000023</c:v>
                </c:pt>
                <c:pt idx="3543">
                  <c:v>5.8615200000000023</c:v>
                </c:pt>
                <c:pt idx="3544">
                  <c:v>5.6995200000000033</c:v>
                </c:pt>
                <c:pt idx="3545">
                  <c:v>6.509520000000002</c:v>
                </c:pt>
                <c:pt idx="3546">
                  <c:v>6.3475200000000029</c:v>
                </c:pt>
                <c:pt idx="3547">
                  <c:v>6.3475200000000029</c:v>
                </c:pt>
                <c:pt idx="3548">
                  <c:v>5.8615200000000023</c:v>
                </c:pt>
                <c:pt idx="3549">
                  <c:v>6.509520000000002</c:v>
                </c:pt>
                <c:pt idx="3550">
                  <c:v>6.671520000000001</c:v>
                </c:pt>
                <c:pt idx="3551">
                  <c:v>6.671520000000001</c:v>
                </c:pt>
                <c:pt idx="3552">
                  <c:v>6.509520000000002</c:v>
                </c:pt>
                <c:pt idx="3553">
                  <c:v>7.3195200000000007</c:v>
                </c:pt>
                <c:pt idx="3554">
                  <c:v>7.1575200000000017</c:v>
                </c:pt>
                <c:pt idx="3555">
                  <c:v>7.1575200000000017</c:v>
                </c:pt>
                <c:pt idx="3556">
                  <c:v>6.671520000000001</c:v>
                </c:pt>
                <c:pt idx="3557">
                  <c:v>7.3195200000000007</c:v>
                </c:pt>
                <c:pt idx="3558">
                  <c:v>7.4815200000000033</c:v>
                </c:pt>
                <c:pt idx="3559">
                  <c:v>7.4815200000000033</c:v>
                </c:pt>
                <c:pt idx="3560">
                  <c:v>7.3195200000000042</c:v>
                </c:pt>
                <c:pt idx="3561">
                  <c:v>8.129520000000003</c:v>
                </c:pt>
                <c:pt idx="3562">
                  <c:v>7.9675200000000039</c:v>
                </c:pt>
                <c:pt idx="3563">
                  <c:v>7.9675200000000039</c:v>
                </c:pt>
                <c:pt idx="3564">
                  <c:v>7.4815200000000033</c:v>
                </c:pt>
                <c:pt idx="3565">
                  <c:v>8.129520000000003</c:v>
                </c:pt>
                <c:pt idx="3566">
                  <c:v>8.291520000000002</c:v>
                </c:pt>
                <c:pt idx="3567">
                  <c:v>8.291520000000002</c:v>
                </c:pt>
                <c:pt idx="3568">
                  <c:v>8.129520000000003</c:v>
                </c:pt>
                <c:pt idx="3569">
                  <c:v>8.9395200000000017</c:v>
                </c:pt>
                <c:pt idx="3570">
                  <c:v>8.7775200000000027</c:v>
                </c:pt>
                <c:pt idx="3571">
                  <c:v>8.7775200000000027</c:v>
                </c:pt>
                <c:pt idx="3572">
                  <c:v>8.291520000000002</c:v>
                </c:pt>
                <c:pt idx="3573">
                  <c:v>8.9395200000000017</c:v>
                </c:pt>
                <c:pt idx="3574">
                  <c:v>8.291520000000002</c:v>
                </c:pt>
                <c:pt idx="3575">
                  <c:v>8.291520000000002</c:v>
                </c:pt>
                <c:pt idx="3576">
                  <c:v>8.129520000000003</c:v>
                </c:pt>
                <c:pt idx="3577">
                  <c:v>8.9395200000000017</c:v>
                </c:pt>
                <c:pt idx="3578">
                  <c:v>8.7775200000000027</c:v>
                </c:pt>
                <c:pt idx="3579">
                  <c:v>8.7775200000000027</c:v>
                </c:pt>
                <c:pt idx="3580">
                  <c:v>8.291520000000002</c:v>
                </c:pt>
                <c:pt idx="3581">
                  <c:v>8.9395200000000017</c:v>
                </c:pt>
                <c:pt idx="3582">
                  <c:v>8.291520000000002</c:v>
                </c:pt>
                <c:pt idx="3583">
                  <c:v>8.291520000000002</c:v>
                </c:pt>
                <c:pt idx="3584">
                  <c:v>8.129520000000003</c:v>
                </c:pt>
                <c:pt idx="3585">
                  <c:v>8.9395200000000017</c:v>
                </c:pt>
                <c:pt idx="3586">
                  <c:v>8.7775200000000027</c:v>
                </c:pt>
                <c:pt idx="3587">
                  <c:v>8.7775200000000027</c:v>
                </c:pt>
                <c:pt idx="3588">
                  <c:v>8.291520000000002</c:v>
                </c:pt>
                <c:pt idx="3589">
                  <c:v>8.9395200000000017</c:v>
                </c:pt>
                <c:pt idx="3590">
                  <c:v>8.291520000000002</c:v>
                </c:pt>
                <c:pt idx="3591">
                  <c:v>8.291520000000002</c:v>
                </c:pt>
                <c:pt idx="3592">
                  <c:v>8.129520000000003</c:v>
                </c:pt>
                <c:pt idx="3593">
                  <c:v>8.9395200000000017</c:v>
                </c:pt>
                <c:pt idx="3594">
                  <c:v>8.7775200000000027</c:v>
                </c:pt>
                <c:pt idx="3595">
                  <c:v>8.7775200000000027</c:v>
                </c:pt>
                <c:pt idx="3596">
                  <c:v>8.291520000000002</c:v>
                </c:pt>
                <c:pt idx="3597">
                  <c:v>8.9395200000000017</c:v>
                </c:pt>
                <c:pt idx="3598">
                  <c:v>8.291520000000002</c:v>
                </c:pt>
                <c:pt idx="3599">
                  <c:v>8.291520000000002</c:v>
                </c:pt>
                <c:pt idx="3600">
                  <c:v>8.129520000000003</c:v>
                </c:pt>
                <c:pt idx="3601">
                  <c:v>8.9395200000000017</c:v>
                </c:pt>
                <c:pt idx="3602">
                  <c:v>8.7775200000000027</c:v>
                </c:pt>
                <c:pt idx="3603">
                  <c:v>8.7775200000000027</c:v>
                </c:pt>
                <c:pt idx="3604">
                  <c:v>8.291520000000002</c:v>
                </c:pt>
                <c:pt idx="3605">
                  <c:v>8.9395200000000017</c:v>
                </c:pt>
                <c:pt idx="3606">
                  <c:v>8.291520000000002</c:v>
                </c:pt>
                <c:pt idx="3607">
                  <c:v>8.291520000000002</c:v>
                </c:pt>
                <c:pt idx="3608">
                  <c:v>8.129520000000003</c:v>
                </c:pt>
                <c:pt idx="3609">
                  <c:v>8.9395200000000017</c:v>
                </c:pt>
                <c:pt idx="3610">
                  <c:v>8.7775200000000027</c:v>
                </c:pt>
                <c:pt idx="3611">
                  <c:v>8.7775200000000027</c:v>
                </c:pt>
                <c:pt idx="3612">
                  <c:v>8.291520000000002</c:v>
                </c:pt>
                <c:pt idx="3613">
                  <c:v>8.9395200000000017</c:v>
                </c:pt>
                <c:pt idx="3614">
                  <c:v>8.291520000000002</c:v>
                </c:pt>
                <c:pt idx="3615">
                  <c:v>8.291520000000002</c:v>
                </c:pt>
                <c:pt idx="3616">
                  <c:v>8.129520000000003</c:v>
                </c:pt>
                <c:pt idx="3617">
                  <c:v>8.9395200000000017</c:v>
                </c:pt>
                <c:pt idx="3618">
                  <c:v>8.7775200000000027</c:v>
                </c:pt>
                <c:pt idx="3619">
                  <c:v>8.7775200000000027</c:v>
                </c:pt>
                <c:pt idx="3620">
                  <c:v>8.291520000000002</c:v>
                </c:pt>
                <c:pt idx="3621">
                  <c:v>8.9395200000000017</c:v>
                </c:pt>
                <c:pt idx="3622">
                  <c:v>8.291520000000002</c:v>
                </c:pt>
                <c:pt idx="3623">
                  <c:v>8.291520000000002</c:v>
                </c:pt>
                <c:pt idx="3624">
                  <c:v>8.129520000000003</c:v>
                </c:pt>
                <c:pt idx="3625">
                  <c:v>8.9395200000000017</c:v>
                </c:pt>
                <c:pt idx="3626">
                  <c:v>8.7775200000000027</c:v>
                </c:pt>
                <c:pt idx="3627">
                  <c:v>8.7775200000000027</c:v>
                </c:pt>
                <c:pt idx="3628">
                  <c:v>8.291520000000002</c:v>
                </c:pt>
                <c:pt idx="3629">
                  <c:v>8.9395200000000017</c:v>
                </c:pt>
                <c:pt idx="3630">
                  <c:v>8.291520000000002</c:v>
                </c:pt>
                <c:pt idx="3631">
                  <c:v>8.291520000000002</c:v>
                </c:pt>
                <c:pt idx="3632">
                  <c:v>8.129520000000003</c:v>
                </c:pt>
                <c:pt idx="3633">
                  <c:v>8.9395200000000017</c:v>
                </c:pt>
                <c:pt idx="3634">
                  <c:v>8.7775200000000027</c:v>
                </c:pt>
                <c:pt idx="3635">
                  <c:v>8.7775200000000027</c:v>
                </c:pt>
                <c:pt idx="3636">
                  <c:v>8.291520000000002</c:v>
                </c:pt>
                <c:pt idx="3637">
                  <c:v>8.9395200000000017</c:v>
                </c:pt>
                <c:pt idx="3638">
                  <c:v>8.291520000000002</c:v>
                </c:pt>
                <c:pt idx="3639">
                  <c:v>8.291520000000002</c:v>
                </c:pt>
                <c:pt idx="3640">
                  <c:v>8.129520000000003</c:v>
                </c:pt>
                <c:pt idx="3641">
                  <c:v>8.9395200000000017</c:v>
                </c:pt>
                <c:pt idx="3642">
                  <c:v>8.7775200000000027</c:v>
                </c:pt>
                <c:pt idx="3643">
                  <c:v>8.7775200000000027</c:v>
                </c:pt>
                <c:pt idx="3644">
                  <c:v>8.291520000000002</c:v>
                </c:pt>
                <c:pt idx="3645">
                  <c:v>8.9395200000000017</c:v>
                </c:pt>
                <c:pt idx="3646">
                  <c:v>8.291520000000002</c:v>
                </c:pt>
                <c:pt idx="3647">
                  <c:v>8.291520000000002</c:v>
                </c:pt>
                <c:pt idx="3648">
                  <c:v>8.129520000000003</c:v>
                </c:pt>
                <c:pt idx="3649">
                  <c:v>8.9395200000000017</c:v>
                </c:pt>
                <c:pt idx="3650">
                  <c:v>8.7775200000000027</c:v>
                </c:pt>
                <c:pt idx="3651">
                  <c:v>8.7775200000000027</c:v>
                </c:pt>
                <c:pt idx="3652">
                  <c:v>8.291520000000002</c:v>
                </c:pt>
                <c:pt idx="3653">
                  <c:v>8.9395200000000017</c:v>
                </c:pt>
                <c:pt idx="3654">
                  <c:v>8.291520000000002</c:v>
                </c:pt>
                <c:pt idx="3655">
                  <c:v>8.291520000000002</c:v>
                </c:pt>
                <c:pt idx="3656">
                  <c:v>8.129520000000003</c:v>
                </c:pt>
                <c:pt idx="3657">
                  <c:v>8.9395200000000017</c:v>
                </c:pt>
                <c:pt idx="3658">
                  <c:v>8.7775200000000027</c:v>
                </c:pt>
                <c:pt idx="3659">
                  <c:v>8.7775200000000027</c:v>
                </c:pt>
                <c:pt idx="3660">
                  <c:v>8.291520000000002</c:v>
                </c:pt>
                <c:pt idx="3661">
                  <c:v>8.9395200000000017</c:v>
                </c:pt>
                <c:pt idx="3662">
                  <c:v>8.291520000000002</c:v>
                </c:pt>
                <c:pt idx="3663">
                  <c:v>8.291520000000002</c:v>
                </c:pt>
                <c:pt idx="3664">
                  <c:v>8.129520000000003</c:v>
                </c:pt>
                <c:pt idx="3665">
                  <c:v>8.9395200000000017</c:v>
                </c:pt>
                <c:pt idx="3666">
                  <c:v>8.7775200000000027</c:v>
                </c:pt>
                <c:pt idx="3667">
                  <c:v>8.7775200000000027</c:v>
                </c:pt>
                <c:pt idx="3668">
                  <c:v>8.291520000000002</c:v>
                </c:pt>
                <c:pt idx="3669">
                  <c:v>8.9395200000000017</c:v>
                </c:pt>
                <c:pt idx="3670">
                  <c:v>8.291520000000002</c:v>
                </c:pt>
                <c:pt idx="3671">
                  <c:v>8.291520000000002</c:v>
                </c:pt>
                <c:pt idx="3672">
                  <c:v>8.129520000000003</c:v>
                </c:pt>
                <c:pt idx="3673">
                  <c:v>8.9395200000000017</c:v>
                </c:pt>
                <c:pt idx="3674">
                  <c:v>8.7775200000000027</c:v>
                </c:pt>
                <c:pt idx="3675">
                  <c:v>8.7775200000000027</c:v>
                </c:pt>
                <c:pt idx="3676">
                  <c:v>8.291520000000002</c:v>
                </c:pt>
                <c:pt idx="3677">
                  <c:v>8.9395200000000017</c:v>
                </c:pt>
                <c:pt idx="3678">
                  <c:v>8.291520000000002</c:v>
                </c:pt>
                <c:pt idx="3679">
                  <c:v>8.291520000000002</c:v>
                </c:pt>
                <c:pt idx="3680">
                  <c:v>8.129520000000003</c:v>
                </c:pt>
                <c:pt idx="3681">
                  <c:v>8.9395200000000017</c:v>
                </c:pt>
                <c:pt idx="3682">
                  <c:v>8.7775200000000027</c:v>
                </c:pt>
                <c:pt idx="3683">
                  <c:v>8.7775200000000027</c:v>
                </c:pt>
                <c:pt idx="3684">
                  <c:v>8.291520000000002</c:v>
                </c:pt>
                <c:pt idx="3685">
                  <c:v>8.9395200000000017</c:v>
                </c:pt>
                <c:pt idx="3686">
                  <c:v>8.291520000000002</c:v>
                </c:pt>
                <c:pt idx="3687">
                  <c:v>8.291520000000002</c:v>
                </c:pt>
                <c:pt idx="3688">
                  <c:v>8.129520000000003</c:v>
                </c:pt>
                <c:pt idx="3689">
                  <c:v>8.9395200000000017</c:v>
                </c:pt>
                <c:pt idx="3690">
                  <c:v>8.7775200000000027</c:v>
                </c:pt>
                <c:pt idx="3691">
                  <c:v>8.7775200000000027</c:v>
                </c:pt>
                <c:pt idx="3692">
                  <c:v>8.291520000000002</c:v>
                </c:pt>
                <c:pt idx="3693">
                  <c:v>8.9395200000000017</c:v>
                </c:pt>
                <c:pt idx="3694">
                  <c:v>8.291520000000002</c:v>
                </c:pt>
                <c:pt idx="3695">
                  <c:v>8.291520000000002</c:v>
                </c:pt>
                <c:pt idx="3696">
                  <c:v>8.129520000000003</c:v>
                </c:pt>
                <c:pt idx="3697">
                  <c:v>8.9395200000000017</c:v>
                </c:pt>
                <c:pt idx="3698">
                  <c:v>8.7775200000000027</c:v>
                </c:pt>
                <c:pt idx="3699">
                  <c:v>8.7775200000000027</c:v>
                </c:pt>
                <c:pt idx="3700">
                  <c:v>8.291520000000002</c:v>
                </c:pt>
                <c:pt idx="3701">
                  <c:v>8.9395200000000017</c:v>
                </c:pt>
                <c:pt idx="3702">
                  <c:v>8.291520000000002</c:v>
                </c:pt>
                <c:pt idx="3703">
                  <c:v>8.291520000000002</c:v>
                </c:pt>
                <c:pt idx="3704">
                  <c:v>8.129520000000003</c:v>
                </c:pt>
                <c:pt idx="3705">
                  <c:v>8.9395200000000017</c:v>
                </c:pt>
                <c:pt idx="3706">
                  <c:v>8.7775200000000027</c:v>
                </c:pt>
                <c:pt idx="3707">
                  <c:v>8.7775200000000027</c:v>
                </c:pt>
                <c:pt idx="3708">
                  <c:v>8.291520000000002</c:v>
                </c:pt>
                <c:pt idx="3709">
                  <c:v>8.9395200000000017</c:v>
                </c:pt>
                <c:pt idx="3710">
                  <c:v>8.291520000000002</c:v>
                </c:pt>
                <c:pt idx="3711">
                  <c:v>8.291520000000002</c:v>
                </c:pt>
                <c:pt idx="3712">
                  <c:v>8.129520000000003</c:v>
                </c:pt>
                <c:pt idx="3713">
                  <c:v>8.9395200000000017</c:v>
                </c:pt>
                <c:pt idx="3714">
                  <c:v>8.7775200000000027</c:v>
                </c:pt>
                <c:pt idx="3715">
                  <c:v>8.7775200000000027</c:v>
                </c:pt>
                <c:pt idx="3716">
                  <c:v>8.291520000000002</c:v>
                </c:pt>
                <c:pt idx="3717">
                  <c:v>8.9395200000000017</c:v>
                </c:pt>
                <c:pt idx="3718">
                  <c:v>8.291520000000002</c:v>
                </c:pt>
                <c:pt idx="3719">
                  <c:v>8.291520000000002</c:v>
                </c:pt>
                <c:pt idx="3720">
                  <c:v>8.129520000000003</c:v>
                </c:pt>
                <c:pt idx="3721">
                  <c:v>8.9395200000000017</c:v>
                </c:pt>
                <c:pt idx="3722">
                  <c:v>8.7775200000000027</c:v>
                </c:pt>
                <c:pt idx="3723">
                  <c:v>8.7775200000000027</c:v>
                </c:pt>
                <c:pt idx="3724">
                  <c:v>8.291520000000002</c:v>
                </c:pt>
                <c:pt idx="3725">
                  <c:v>8.9395200000000017</c:v>
                </c:pt>
                <c:pt idx="3726">
                  <c:v>8.291520000000002</c:v>
                </c:pt>
                <c:pt idx="3727">
                  <c:v>8.291520000000002</c:v>
                </c:pt>
                <c:pt idx="3728">
                  <c:v>8.129520000000003</c:v>
                </c:pt>
                <c:pt idx="3729">
                  <c:v>8.9395200000000017</c:v>
                </c:pt>
                <c:pt idx="3730">
                  <c:v>8.7775200000000027</c:v>
                </c:pt>
                <c:pt idx="3731">
                  <c:v>8.7775200000000027</c:v>
                </c:pt>
                <c:pt idx="3732">
                  <c:v>8.291520000000002</c:v>
                </c:pt>
                <c:pt idx="3733">
                  <c:v>8.9395200000000017</c:v>
                </c:pt>
                <c:pt idx="3734">
                  <c:v>8.291520000000002</c:v>
                </c:pt>
                <c:pt idx="3735">
                  <c:v>8.291520000000002</c:v>
                </c:pt>
                <c:pt idx="3736">
                  <c:v>8.129520000000003</c:v>
                </c:pt>
                <c:pt idx="3737">
                  <c:v>8.9395200000000017</c:v>
                </c:pt>
                <c:pt idx="3738">
                  <c:v>8.7775200000000027</c:v>
                </c:pt>
                <c:pt idx="3739">
                  <c:v>8.7775200000000027</c:v>
                </c:pt>
                <c:pt idx="3740">
                  <c:v>8.291520000000002</c:v>
                </c:pt>
                <c:pt idx="3741">
                  <c:v>8.9395200000000017</c:v>
                </c:pt>
                <c:pt idx="3742">
                  <c:v>8.291520000000002</c:v>
                </c:pt>
                <c:pt idx="3743">
                  <c:v>8.291520000000002</c:v>
                </c:pt>
                <c:pt idx="3744">
                  <c:v>8.129520000000003</c:v>
                </c:pt>
                <c:pt idx="3745">
                  <c:v>8.9395200000000017</c:v>
                </c:pt>
                <c:pt idx="3746">
                  <c:v>8.7775200000000027</c:v>
                </c:pt>
                <c:pt idx="3747">
                  <c:v>8.7775200000000027</c:v>
                </c:pt>
                <c:pt idx="3748">
                  <c:v>8.291520000000002</c:v>
                </c:pt>
                <c:pt idx="3749">
                  <c:v>8.9395200000000017</c:v>
                </c:pt>
                <c:pt idx="3750">
                  <c:v>8.291520000000002</c:v>
                </c:pt>
                <c:pt idx="3751">
                  <c:v>8.291520000000002</c:v>
                </c:pt>
                <c:pt idx="3752">
                  <c:v>8.129520000000003</c:v>
                </c:pt>
                <c:pt idx="3753">
                  <c:v>8.9395200000000017</c:v>
                </c:pt>
                <c:pt idx="3754">
                  <c:v>8.7775200000000027</c:v>
                </c:pt>
                <c:pt idx="3755">
                  <c:v>8.7775200000000027</c:v>
                </c:pt>
                <c:pt idx="3756">
                  <c:v>8.291520000000002</c:v>
                </c:pt>
                <c:pt idx="3757">
                  <c:v>8.9395200000000017</c:v>
                </c:pt>
                <c:pt idx="3758">
                  <c:v>8.291520000000002</c:v>
                </c:pt>
                <c:pt idx="3759">
                  <c:v>8.291520000000002</c:v>
                </c:pt>
                <c:pt idx="3760">
                  <c:v>8.129520000000003</c:v>
                </c:pt>
                <c:pt idx="3761">
                  <c:v>8.9395200000000017</c:v>
                </c:pt>
                <c:pt idx="3762">
                  <c:v>8.7775200000000027</c:v>
                </c:pt>
                <c:pt idx="3763">
                  <c:v>8.7775200000000027</c:v>
                </c:pt>
                <c:pt idx="3764">
                  <c:v>8.291520000000002</c:v>
                </c:pt>
                <c:pt idx="3765">
                  <c:v>8.9395200000000017</c:v>
                </c:pt>
                <c:pt idx="3766">
                  <c:v>8.291520000000002</c:v>
                </c:pt>
                <c:pt idx="3767">
                  <c:v>8.291520000000002</c:v>
                </c:pt>
                <c:pt idx="3768">
                  <c:v>8.129520000000003</c:v>
                </c:pt>
                <c:pt idx="3769">
                  <c:v>8.9395200000000017</c:v>
                </c:pt>
                <c:pt idx="3770">
                  <c:v>8.7775200000000027</c:v>
                </c:pt>
                <c:pt idx="3771">
                  <c:v>8.7775200000000027</c:v>
                </c:pt>
                <c:pt idx="3772">
                  <c:v>8.291520000000002</c:v>
                </c:pt>
                <c:pt idx="3773">
                  <c:v>8.9395200000000017</c:v>
                </c:pt>
                <c:pt idx="3774">
                  <c:v>8.291520000000002</c:v>
                </c:pt>
                <c:pt idx="3775">
                  <c:v>8.291520000000002</c:v>
                </c:pt>
                <c:pt idx="3776">
                  <c:v>8.129520000000003</c:v>
                </c:pt>
                <c:pt idx="3777">
                  <c:v>8.9395200000000017</c:v>
                </c:pt>
                <c:pt idx="3778">
                  <c:v>8.7775200000000027</c:v>
                </c:pt>
                <c:pt idx="3779">
                  <c:v>8.7775200000000027</c:v>
                </c:pt>
                <c:pt idx="3780">
                  <c:v>8.291520000000002</c:v>
                </c:pt>
                <c:pt idx="3781">
                  <c:v>8.9395200000000017</c:v>
                </c:pt>
                <c:pt idx="3782">
                  <c:v>8.291520000000002</c:v>
                </c:pt>
                <c:pt idx="3783">
                  <c:v>8.291520000000002</c:v>
                </c:pt>
                <c:pt idx="3784">
                  <c:v>8.129520000000003</c:v>
                </c:pt>
                <c:pt idx="3785">
                  <c:v>8.9395200000000017</c:v>
                </c:pt>
                <c:pt idx="3786">
                  <c:v>8.7775200000000027</c:v>
                </c:pt>
                <c:pt idx="3787">
                  <c:v>8.7775200000000027</c:v>
                </c:pt>
                <c:pt idx="3788">
                  <c:v>8.291520000000002</c:v>
                </c:pt>
                <c:pt idx="3789">
                  <c:v>8.9395200000000017</c:v>
                </c:pt>
                <c:pt idx="3790">
                  <c:v>8.291520000000002</c:v>
                </c:pt>
                <c:pt idx="3791">
                  <c:v>8.291520000000002</c:v>
                </c:pt>
                <c:pt idx="3792">
                  <c:v>8.129520000000003</c:v>
                </c:pt>
                <c:pt idx="3793">
                  <c:v>8.9395200000000017</c:v>
                </c:pt>
                <c:pt idx="3794">
                  <c:v>8.7775200000000027</c:v>
                </c:pt>
                <c:pt idx="3795">
                  <c:v>8.7775200000000027</c:v>
                </c:pt>
                <c:pt idx="3796">
                  <c:v>8.291520000000002</c:v>
                </c:pt>
                <c:pt idx="3797">
                  <c:v>8.9395200000000017</c:v>
                </c:pt>
                <c:pt idx="3798">
                  <c:v>8.291520000000002</c:v>
                </c:pt>
                <c:pt idx="3799">
                  <c:v>8.291520000000002</c:v>
                </c:pt>
                <c:pt idx="3800">
                  <c:v>8.129520000000003</c:v>
                </c:pt>
                <c:pt idx="3801">
                  <c:v>8.9395200000000017</c:v>
                </c:pt>
                <c:pt idx="3802">
                  <c:v>8.7775200000000027</c:v>
                </c:pt>
                <c:pt idx="3803">
                  <c:v>8.7775200000000027</c:v>
                </c:pt>
                <c:pt idx="3804">
                  <c:v>8.291520000000002</c:v>
                </c:pt>
                <c:pt idx="3805">
                  <c:v>8.9395200000000017</c:v>
                </c:pt>
                <c:pt idx="3806">
                  <c:v>8.291520000000002</c:v>
                </c:pt>
                <c:pt idx="3807">
                  <c:v>8.291520000000002</c:v>
                </c:pt>
                <c:pt idx="3808">
                  <c:v>8.129520000000003</c:v>
                </c:pt>
                <c:pt idx="3809">
                  <c:v>8.9395200000000017</c:v>
                </c:pt>
                <c:pt idx="3810">
                  <c:v>8.7775200000000027</c:v>
                </c:pt>
                <c:pt idx="3811">
                  <c:v>8.7775200000000027</c:v>
                </c:pt>
                <c:pt idx="3812">
                  <c:v>8.291520000000002</c:v>
                </c:pt>
                <c:pt idx="3813">
                  <c:v>8.9395200000000017</c:v>
                </c:pt>
                <c:pt idx="3814">
                  <c:v>8.291520000000002</c:v>
                </c:pt>
                <c:pt idx="3815">
                  <c:v>8.291520000000002</c:v>
                </c:pt>
                <c:pt idx="3816">
                  <c:v>8.129520000000003</c:v>
                </c:pt>
                <c:pt idx="3817">
                  <c:v>8.9395200000000017</c:v>
                </c:pt>
                <c:pt idx="3818">
                  <c:v>8.7775200000000027</c:v>
                </c:pt>
                <c:pt idx="3819">
                  <c:v>8.7775200000000027</c:v>
                </c:pt>
                <c:pt idx="3820">
                  <c:v>8.291520000000002</c:v>
                </c:pt>
                <c:pt idx="3821">
                  <c:v>8.9395200000000017</c:v>
                </c:pt>
                <c:pt idx="3822">
                  <c:v>8.291520000000002</c:v>
                </c:pt>
                <c:pt idx="3823">
                  <c:v>8.291520000000002</c:v>
                </c:pt>
                <c:pt idx="3824">
                  <c:v>8.129520000000003</c:v>
                </c:pt>
                <c:pt idx="3825">
                  <c:v>8.9395200000000017</c:v>
                </c:pt>
                <c:pt idx="3826">
                  <c:v>8.7775200000000027</c:v>
                </c:pt>
                <c:pt idx="3827">
                  <c:v>8.7775200000000027</c:v>
                </c:pt>
                <c:pt idx="3828">
                  <c:v>8.291520000000002</c:v>
                </c:pt>
                <c:pt idx="3829">
                  <c:v>8.9395200000000017</c:v>
                </c:pt>
                <c:pt idx="3830">
                  <c:v>8.291520000000002</c:v>
                </c:pt>
                <c:pt idx="3831">
                  <c:v>8.291520000000002</c:v>
                </c:pt>
                <c:pt idx="3832">
                  <c:v>8.129520000000003</c:v>
                </c:pt>
                <c:pt idx="3833">
                  <c:v>8.9395200000000017</c:v>
                </c:pt>
                <c:pt idx="3834">
                  <c:v>8.7775200000000027</c:v>
                </c:pt>
                <c:pt idx="3835">
                  <c:v>8.7775200000000027</c:v>
                </c:pt>
                <c:pt idx="3836">
                  <c:v>8.291520000000002</c:v>
                </c:pt>
                <c:pt idx="3837">
                  <c:v>8.9395200000000017</c:v>
                </c:pt>
                <c:pt idx="3838">
                  <c:v>8.291520000000002</c:v>
                </c:pt>
                <c:pt idx="3839">
                  <c:v>8.291520000000002</c:v>
                </c:pt>
                <c:pt idx="3840">
                  <c:v>8.129520000000003</c:v>
                </c:pt>
                <c:pt idx="3841">
                  <c:v>8.9395200000000017</c:v>
                </c:pt>
                <c:pt idx="3842">
                  <c:v>8.7775200000000027</c:v>
                </c:pt>
                <c:pt idx="3843">
                  <c:v>8.7775200000000027</c:v>
                </c:pt>
                <c:pt idx="3844">
                  <c:v>8.291520000000002</c:v>
                </c:pt>
                <c:pt idx="3845">
                  <c:v>8.9395200000000017</c:v>
                </c:pt>
                <c:pt idx="3846">
                  <c:v>8.291520000000002</c:v>
                </c:pt>
                <c:pt idx="3847">
                  <c:v>8.291520000000002</c:v>
                </c:pt>
                <c:pt idx="3848">
                  <c:v>8.129520000000003</c:v>
                </c:pt>
                <c:pt idx="3849">
                  <c:v>8.9395200000000017</c:v>
                </c:pt>
                <c:pt idx="3850">
                  <c:v>8.7775200000000027</c:v>
                </c:pt>
                <c:pt idx="3851">
                  <c:v>8.7775200000000027</c:v>
                </c:pt>
                <c:pt idx="3852">
                  <c:v>8.291520000000002</c:v>
                </c:pt>
                <c:pt idx="3853">
                  <c:v>8.9395200000000017</c:v>
                </c:pt>
                <c:pt idx="3854">
                  <c:v>8.9395200000000017</c:v>
                </c:pt>
                <c:pt idx="3855">
                  <c:v>-11.310479999999998</c:v>
                </c:pt>
                <c:pt idx="3856">
                  <c:v>-11.148479999999999</c:v>
                </c:pt>
                <c:pt idx="3857">
                  <c:v>-11.148479999999999</c:v>
                </c:pt>
                <c:pt idx="3858">
                  <c:v>-11.310479999999998</c:v>
                </c:pt>
                <c:pt idx="3859">
                  <c:v>-10.500479999999998</c:v>
                </c:pt>
                <c:pt idx="3860">
                  <c:v>-10.662479999999999</c:v>
                </c:pt>
                <c:pt idx="3861">
                  <c:v>-10.662479999999999</c:v>
                </c:pt>
                <c:pt idx="3862">
                  <c:v>-11.148479999999999</c:v>
                </c:pt>
                <c:pt idx="3863">
                  <c:v>-10.500479999999998</c:v>
                </c:pt>
                <c:pt idx="3864">
                  <c:v>-10.338479999999997</c:v>
                </c:pt>
                <c:pt idx="3865">
                  <c:v>-10.338479999999997</c:v>
                </c:pt>
                <c:pt idx="3866">
                  <c:v>-10.500479999999998</c:v>
                </c:pt>
                <c:pt idx="3867">
                  <c:v>-9.6904799999999973</c:v>
                </c:pt>
                <c:pt idx="3868">
                  <c:v>-9.8524799999999981</c:v>
                </c:pt>
                <c:pt idx="3869">
                  <c:v>-9.8524799999999981</c:v>
                </c:pt>
                <c:pt idx="3870">
                  <c:v>-10.338479999999997</c:v>
                </c:pt>
                <c:pt idx="3871">
                  <c:v>-9.6904799999999973</c:v>
                </c:pt>
                <c:pt idx="3872">
                  <c:v>-9.5284799999999965</c:v>
                </c:pt>
                <c:pt idx="3873">
                  <c:v>-9.5284799999999965</c:v>
                </c:pt>
                <c:pt idx="3874">
                  <c:v>-9.6904799999999973</c:v>
                </c:pt>
                <c:pt idx="3875">
                  <c:v>-8.8804799999999968</c:v>
                </c:pt>
                <c:pt idx="3876">
                  <c:v>-9.0424799999999976</c:v>
                </c:pt>
                <c:pt idx="3877">
                  <c:v>-9.0424799999999976</c:v>
                </c:pt>
                <c:pt idx="3878">
                  <c:v>-9.5284799999999965</c:v>
                </c:pt>
                <c:pt idx="3879">
                  <c:v>-8.8804799999999968</c:v>
                </c:pt>
                <c:pt idx="3880">
                  <c:v>-8.7184799999999978</c:v>
                </c:pt>
                <c:pt idx="3881">
                  <c:v>-8.7184799999999978</c:v>
                </c:pt>
                <c:pt idx="3882">
                  <c:v>-8.8804799999999986</c:v>
                </c:pt>
                <c:pt idx="3883">
                  <c:v>-8.0704799999999981</c:v>
                </c:pt>
                <c:pt idx="3884">
                  <c:v>-8.2324799999999989</c:v>
                </c:pt>
                <c:pt idx="3885">
                  <c:v>-8.2324799999999989</c:v>
                </c:pt>
                <c:pt idx="3886">
                  <c:v>-8.7184799999999978</c:v>
                </c:pt>
                <c:pt idx="3887">
                  <c:v>-8.0704799999999981</c:v>
                </c:pt>
                <c:pt idx="3888">
                  <c:v>-7.9084799999999973</c:v>
                </c:pt>
                <c:pt idx="3889">
                  <c:v>-7.9084799999999973</c:v>
                </c:pt>
                <c:pt idx="3890">
                  <c:v>-8.0704799999999981</c:v>
                </c:pt>
                <c:pt idx="3891">
                  <c:v>-7.2604799999999976</c:v>
                </c:pt>
                <c:pt idx="3892">
                  <c:v>-7.4224799999999984</c:v>
                </c:pt>
                <c:pt idx="3893">
                  <c:v>-7.4224799999999984</c:v>
                </c:pt>
                <c:pt idx="3894">
                  <c:v>-7.9084799999999973</c:v>
                </c:pt>
                <c:pt idx="3895">
                  <c:v>-7.2604799999999976</c:v>
                </c:pt>
                <c:pt idx="3896">
                  <c:v>-7.0984799999999968</c:v>
                </c:pt>
                <c:pt idx="3897">
                  <c:v>-7.0984799999999968</c:v>
                </c:pt>
                <c:pt idx="3898">
                  <c:v>-7.2604799999999976</c:v>
                </c:pt>
                <c:pt idx="3899">
                  <c:v>-6.4504799999999971</c:v>
                </c:pt>
                <c:pt idx="3900">
                  <c:v>-6.6124799999999979</c:v>
                </c:pt>
                <c:pt idx="3901">
                  <c:v>-6.6124799999999979</c:v>
                </c:pt>
                <c:pt idx="3902">
                  <c:v>-7.0984799999999968</c:v>
                </c:pt>
                <c:pt idx="3903">
                  <c:v>-6.4504799999999971</c:v>
                </c:pt>
                <c:pt idx="3904">
                  <c:v>-6.2884799999999981</c:v>
                </c:pt>
                <c:pt idx="3905">
                  <c:v>-6.2884799999999981</c:v>
                </c:pt>
                <c:pt idx="3906">
                  <c:v>-6.4504799999999989</c:v>
                </c:pt>
                <c:pt idx="3907">
                  <c:v>-5.6404799999999984</c:v>
                </c:pt>
                <c:pt idx="3908">
                  <c:v>-5.8024799999999992</c:v>
                </c:pt>
                <c:pt idx="3909">
                  <c:v>-5.8024799999999992</c:v>
                </c:pt>
                <c:pt idx="3910">
                  <c:v>-6.2884799999999981</c:v>
                </c:pt>
                <c:pt idx="3911">
                  <c:v>-5.6404799999999984</c:v>
                </c:pt>
                <c:pt idx="3912">
                  <c:v>-5.4784799999999976</c:v>
                </c:pt>
                <c:pt idx="3913">
                  <c:v>-5.4784799999999976</c:v>
                </c:pt>
                <c:pt idx="3914">
                  <c:v>-5.6404799999999984</c:v>
                </c:pt>
                <c:pt idx="3915">
                  <c:v>-4.8304799999999979</c:v>
                </c:pt>
                <c:pt idx="3916">
                  <c:v>-4.9924799999999987</c:v>
                </c:pt>
                <c:pt idx="3917">
                  <c:v>-4.9924799999999987</c:v>
                </c:pt>
                <c:pt idx="3918">
                  <c:v>-5.4784799999999976</c:v>
                </c:pt>
                <c:pt idx="3919">
                  <c:v>-4.8304799999999979</c:v>
                </c:pt>
                <c:pt idx="3920">
                  <c:v>-4.6684799999999971</c:v>
                </c:pt>
                <c:pt idx="3921">
                  <c:v>-4.6684799999999971</c:v>
                </c:pt>
                <c:pt idx="3922">
                  <c:v>-4.8304799999999979</c:v>
                </c:pt>
                <c:pt idx="3923">
                  <c:v>-4.0204799999999974</c:v>
                </c:pt>
                <c:pt idx="3924">
                  <c:v>-4.1824799999999982</c:v>
                </c:pt>
                <c:pt idx="3925">
                  <c:v>-4.1824799999999982</c:v>
                </c:pt>
                <c:pt idx="3926">
                  <c:v>-4.6684799999999971</c:v>
                </c:pt>
                <c:pt idx="3927">
                  <c:v>-4.0204799999999974</c:v>
                </c:pt>
                <c:pt idx="3928">
                  <c:v>-3.8584799999999966</c:v>
                </c:pt>
                <c:pt idx="3929">
                  <c:v>-3.8584799999999966</c:v>
                </c:pt>
                <c:pt idx="3930">
                  <c:v>-4.0204799999999974</c:v>
                </c:pt>
                <c:pt idx="3931">
                  <c:v>-3.2104799999999969</c:v>
                </c:pt>
                <c:pt idx="3932">
                  <c:v>-3.3724799999999977</c:v>
                </c:pt>
                <c:pt idx="3933">
                  <c:v>-3.3724799999999977</c:v>
                </c:pt>
                <c:pt idx="3934">
                  <c:v>-3.8584799999999966</c:v>
                </c:pt>
                <c:pt idx="3935">
                  <c:v>-3.2104799999999969</c:v>
                </c:pt>
                <c:pt idx="3936">
                  <c:v>-3.0484799999999961</c:v>
                </c:pt>
                <c:pt idx="3937">
                  <c:v>-3.0484799999999961</c:v>
                </c:pt>
                <c:pt idx="3938">
                  <c:v>-3.2104799999999969</c:v>
                </c:pt>
                <c:pt idx="3939">
                  <c:v>-2.4004799999999964</c:v>
                </c:pt>
                <c:pt idx="3940">
                  <c:v>-2.5624799999999972</c:v>
                </c:pt>
                <c:pt idx="3941">
                  <c:v>-2.5624799999999972</c:v>
                </c:pt>
                <c:pt idx="3942">
                  <c:v>-3.0484799999999961</c:v>
                </c:pt>
                <c:pt idx="3943">
                  <c:v>-2.4004799999999964</c:v>
                </c:pt>
                <c:pt idx="3944">
                  <c:v>-2.2384799999999974</c:v>
                </c:pt>
                <c:pt idx="3945">
                  <c:v>-2.2384799999999974</c:v>
                </c:pt>
                <c:pt idx="3946">
                  <c:v>-2.4004799999999982</c:v>
                </c:pt>
                <c:pt idx="3947">
                  <c:v>-1.5904799999999994</c:v>
                </c:pt>
                <c:pt idx="3948">
                  <c:v>-1.7524799999999985</c:v>
                </c:pt>
                <c:pt idx="3949">
                  <c:v>-1.7524799999999985</c:v>
                </c:pt>
                <c:pt idx="3950">
                  <c:v>-2.2384799999999974</c:v>
                </c:pt>
                <c:pt idx="3951">
                  <c:v>-1.5904799999999994</c:v>
                </c:pt>
                <c:pt idx="3952">
                  <c:v>-1.4284800000000004</c:v>
                </c:pt>
                <c:pt idx="3953">
                  <c:v>-1.4284800000000004</c:v>
                </c:pt>
                <c:pt idx="3954">
                  <c:v>-1.5904799999999994</c:v>
                </c:pt>
                <c:pt idx="3955">
                  <c:v>-0.78048000000000073</c:v>
                </c:pt>
                <c:pt idx="3956">
                  <c:v>-0.94247999999999976</c:v>
                </c:pt>
                <c:pt idx="3957">
                  <c:v>-0.94247999999999976</c:v>
                </c:pt>
                <c:pt idx="3958">
                  <c:v>-1.4284800000000004</c:v>
                </c:pt>
                <c:pt idx="3959">
                  <c:v>-0.78048000000000073</c:v>
                </c:pt>
                <c:pt idx="3960">
                  <c:v>-0.61847999999999814</c:v>
                </c:pt>
                <c:pt idx="3961">
                  <c:v>-0.61847999999999814</c:v>
                </c:pt>
                <c:pt idx="3962">
                  <c:v>-0.78047999999999718</c:v>
                </c:pt>
                <c:pt idx="3963">
                  <c:v>2.9520000000001545E-2</c:v>
                </c:pt>
                <c:pt idx="3964">
                  <c:v>-0.13247999999999749</c:v>
                </c:pt>
                <c:pt idx="3965">
                  <c:v>-0.13247999999999749</c:v>
                </c:pt>
                <c:pt idx="3966">
                  <c:v>-0.61847999999999814</c:v>
                </c:pt>
                <c:pt idx="3967">
                  <c:v>2.9520000000001545E-2</c:v>
                </c:pt>
                <c:pt idx="3968">
                  <c:v>0.19152000000000058</c:v>
                </c:pt>
                <c:pt idx="3969">
                  <c:v>0.19152000000000058</c:v>
                </c:pt>
                <c:pt idx="3970">
                  <c:v>2.9520000000001545E-2</c:v>
                </c:pt>
                <c:pt idx="3971">
                  <c:v>0.83952000000000027</c:v>
                </c:pt>
                <c:pt idx="3972">
                  <c:v>0.67752000000000123</c:v>
                </c:pt>
                <c:pt idx="3973">
                  <c:v>0.67752000000000123</c:v>
                </c:pt>
                <c:pt idx="3974">
                  <c:v>0.19152000000000058</c:v>
                </c:pt>
                <c:pt idx="3975">
                  <c:v>0.83952000000000027</c:v>
                </c:pt>
                <c:pt idx="3976">
                  <c:v>1.0015199999999993</c:v>
                </c:pt>
                <c:pt idx="3977">
                  <c:v>1.0015199999999993</c:v>
                </c:pt>
                <c:pt idx="3978">
                  <c:v>0.83952000000000027</c:v>
                </c:pt>
                <c:pt idx="3979">
                  <c:v>1.649519999999999</c:v>
                </c:pt>
                <c:pt idx="3980">
                  <c:v>1.48752</c:v>
                </c:pt>
                <c:pt idx="3981">
                  <c:v>1.48752</c:v>
                </c:pt>
                <c:pt idx="3982">
                  <c:v>1.0015199999999993</c:v>
                </c:pt>
                <c:pt idx="3983">
                  <c:v>1.649519999999999</c:v>
                </c:pt>
                <c:pt idx="3984">
                  <c:v>1.8115200000000016</c:v>
                </c:pt>
                <c:pt idx="3985">
                  <c:v>1.8115200000000016</c:v>
                </c:pt>
                <c:pt idx="3986">
                  <c:v>1.6495200000000025</c:v>
                </c:pt>
                <c:pt idx="3987">
                  <c:v>2.4595200000000013</c:v>
                </c:pt>
                <c:pt idx="3988">
                  <c:v>2.2975200000000022</c:v>
                </c:pt>
                <c:pt idx="3989">
                  <c:v>2.2975200000000022</c:v>
                </c:pt>
                <c:pt idx="3990">
                  <c:v>1.8115200000000016</c:v>
                </c:pt>
                <c:pt idx="3991">
                  <c:v>2.4595200000000013</c:v>
                </c:pt>
                <c:pt idx="3992">
                  <c:v>2.6215200000000038</c:v>
                </c:pt>
                <c:pt idx="3993">
                  <c:v>2.6215200000000038</c:v>
                </c:pt>
                <c:pt idx="3994">
                  <c:v>2.4595200000000048</c:v>
                </c:pt>
                <c:pt idx="3995">
                  <c:v>3.2695200000000035</c:v>
                </c:pt>
                <c:pt idx="3996">
                  <c:v>3.1075200000000045</c:v>
                </c:pt>
                <c:pt idx="3997">
                  <c:v>3.1075200000000045</c:v>
                </c:pt>
                <c:pt idx="3998">
                  <c:v>2.6215200000000038</c:v>
                </c:pt>
                <c:pt idx="3999">
                  <c:v>3.2695200000000035</c:v>
                </c:pt>
                <c:pt idx="4000">
                  <c:v>3.4315200000000026</c:v>
                </c:pt>
                <c:pt idx="4001">
                  <c:v>3.4315200000000026</c:v>
                </c:pt>
                <c:pt idx="4002">
                  <c:v>3.2695200000000035</c:v>
                </c:pt>
                <c:pt idx="4003">
                  <c:v>4.0795200000000023</c:v>
                </c:pt>
                <c:pt idx="4004">
                  <c:v>3.9175200000000032</c:v>
                </c:pt>
                <c:pt idx="4005">
                  <c:v>3.9175200000000032</c:v>
                </c:pt>
                <c:pt idx="4006">
                  <c:v>3.4315200000000026</c:v>
                </c:pt>
                <c:pt idx="4007">
                  <c:v>4.0795200000000023</c:v>
                </c:pt>
                <c:pt idx="4008">
                  <c:v>4.2415200000000013</c:v>
                </c:pt>
                <c:pt idx="4009">
                  <c:v>4.2415200000000013</c:v>
                </c:pt>
                <c:pt idx="4010">
                  <c:v>4.0795200000000023</c:v>
                </c:pt>
                <c:pt idx="4011">
                  <c:v>4.889520000000001</c:v>
                </c:pt>
                <c:pt idx="4012">
                  <c:v>4.7275200000000019</c:v>
                </c:pt>
                <c:pt idx="4013">
                  <c:v>4.7275200000000019</c:v>
                </c:pt>
                <c:pt idx="4014">
                  <c:v>4.2415200000000013</c:v>
                </c:pt>
                <c:pt idx="4015">
                  <c:v>4.889520000000001</c:v>
                </c:pt>
                <c:pt idx="4016">
                  <c:v>5.0515200000000036</c:v>
                </c:pt>
                <c:pt idx="4017">
                  <c:v>5.0515200000000036</c:v>
                </c:pt>
                <c:pt idx="4018">
                  <c:v>4.8895200000000045</c:v>
                </c:pt>
                <c:pt idx="4019">
                  <c:v>5.6995200000000033</c:v>
                </c:pt>
                <c:pt idx="4020">
                  <c:v>5.5375200000000042</c:v>
                </c:pt>
                <c:pt idx="4021">
                  <c:v>5.5375200000000042</c:v>
                </c:pt>
                <c:pt idx="4022">
                  <c:v>5.0515200000000036</c:v>
                </c:pt>
                <c:pt idx="4023">
                  <c:v>5.6995200000000033</c:v>
                </c:pt>
                <c:pt idx="4024">
                  <c:v>5.8615200000000023</c:v>
                </c:pt>
                <c:pt idx="4025">
                  <c:v>5.8615200000000023</c:v>
                </c:pt>
                <c:pt idx="4026">
                  <c:v>5.6995200000000033</c:v>
                </c:pt>
                <c:pt idx="4027">
                  <c:v>6.509520000000002</c:v>
                </c:pt>
                <c:pt idx="4028">
                  <c:v>6.3475200000000029</c:v>
                </c:pt>
                <c:pt idx="4029">
                  <c:v>6.3475200000000029</c:v>
                </c:pt>
                <c:pt idx="4030">
                  <c:v>5.8615200000000023</c:v>
                </c:pt>
                <c:pt idx="4031">
                  <c:v>6.509520000000002</c:v>
                </c:pt>
                <c:pt idx="4032">
                  <c:v>6.671520000000001</c:v>
                </c:pt>
                <c:pt idx="4033">
                  <c:v>6.671520000000001</c:v>
                </c:pt>
                <c:pt idx="4034">
                  <c:v>6.509520000000002</c:v>
                </c:pt>
                <c:pt idx="4035">
                  <c:v>7.3195200000000007</c:v>
                </c:pt>
                <c:pt idx="4036">
                  <c:v>7.1575200000000017</c:v>
                </c:pt>
                <c:pt idx="4037">
                  <c:v>7.1575200000000017</c:v>
                </c:pt>
                <c:pt idx="4038">
                  <c:v>6.671520000000001</c:v>
                </c:pt>
                <c:pt idx="4039">
                  <c:v>7.3195200000000007</c:v>
                </c:pt>
                <c:pt idx="4040">
                  <c:v>7.4815200000000033</c:v>
                </c:pt>
                <c:pt idx="4041">
                  <c:v>7.4815200000000033</c:v>
                </c:pt>
                <c:pt idx="4042">
                  <c:v>7.3195200000000042</c:v>
                </c:pt>
                <c:pt idx="4043">
                  <c:v>8.129520000000003</c:v>
                </c:pt>
                <c:pt idx="4044">
                  <c:v>7.9675200000000039</c:v>
                </c:pt>
                <c:pt idx="4045">
                  <c:v>7.9675200000000039</c:v>
                </c:pt>
                <c:pt idx="4046">
                  <c:v>7.4815200000000033</c:v>
                </c:pt>
                <c:pt idx="4047">
                  <c:v>8.129520000000003</c:v>
                </c:pt>
                <c:pt idx="4048">
                  <c:v>8.291520000000002</c:v>
                </c:pt>
                <c:pt idx="4049">
                  <c:v>8.291520000000002</c:v>
                </c:pt>
                <c:pt idx="4050">
                  <c:v>8.129520000000003</c:v>
                </c:pt>
                <c:pt idx="4051">
                  <c:v>8.9395200000000017</c:v>
                </c:pt>
                <c:pt idx="4052">
                  <c:v>8.7775200000000027</c:v>
                </c:pt>
                <c:pt idx="4053">
                  <c:v>8.7775200000000027</c:v>
                </c:pt>
                <c:pt idx="4054">
                  <c:v>8.291520000000002</c:v>
                </c:pt>
                <c:pt idx="4055">
                  <c:v>8.9395200000000017</c:v>
                </c:pt>
                <c:pt idx="4056">
                  <c:v>8.291520000000002</c:v>
                </c:pt>
                <c:pt idx="4057">
                  <c:v>8.291520000000002</c:v>
                </c:pt>
                <c:pt idx="4058">
                  <c:v>8.129520000000003</c:v>
                </c:pt>
                <c:pt idx="4059">
                  <c:v>8.9395200000000017</c:v>
                </c:pt>
                <c:pt idx="4060">
                  <c:v>8.7775200000000027</c:v>
                </c:pt>
                <c:pt idx="4061">
                  <c:v>8.7775200000000027</c:v>
                </c:pt>
                <c:pt idx="4062">
                  <c:v>8.291520000000002</c:v>
                </c:pt>
                <c:pt idx="4063">
                  <c:v>8.9395200000000017</c:v>
                </c:pt>
                <c:pt idx="4064">
                  <c:v>8.291520000000002</c:v>
                </c:pt>
                <c:pt idx="4065">
                  <c:v>8.291520000000002</c:v>
                </c:pt>
                <c:pt idx="4066">
                  <c:v>8.129520000000003</c:v>
                </c:pt>
                <c:pt idx="4067">
                  <c:v>8.9395200000000017</c:v>
                </c:pt>
                <c:pt idx="4068">
                  <c:v>8.7775200000000027</c:v>
                </c:pt>
                <c:pt idx="4069">
                  <c:v>8.7775200000000027</c:v>
                </c:pt>
                <c:pt idx="4070">
                  <c:v>8.291520000000002</c:v>
                </c:pt>
                <c:pt idx="4071">
                  <c:v>8.9395200000000017</c:v>
                </c:pt>
                <c:pt idx="4072">
                  <c:v>8.291520000000002</c:v>
                </c:pt>
                <c:pt idx="4073">
                  <c:v>8.291520000000002</c:v>
                </c:pt>
                <c:pt idx="4074">
                  <c:v>8.129520000000003</c:v>
                </c:pt>
                <c:pt idx="4075">
                  <c:v>8.9395200000000017</c:v>
                </c:pt>
                <c:pt idx="4076">
                  <c:v>8.7775200000000027</c:v>
                </c:pt>
                <c:pt idx="4077">
                  <c:v>8.7775200000000027</c:v>
                </c:pt>
                <c:pt idx="4078">
                  <c:v>8.291520000000002</c:v>
                </c:pt>
                <c:pt idx="4079">
                  <c:v>8.9395200000000017</c:v>
                </c:pt>
                <c:pt idx="4080">
                  <c:v>8.291520000000002</c:v>
                </c:pt>
                <c:pt idx="4081">
                  <c:v>8.291520000000002</c:v>
                </c:pt>
                <c:pt idx="4082">
                  <c:v>8.129520000000003</c:v>
                </c:pt>
                <c:pt idx="4083">
                  <c:v>8.9395200000000017</c:v>
                </c:pt>
                <c:pt idx="4084">
                  <c:v>8.7775200000000027</c:v>
                </c:pt>
                <c:pt idx="4085">
                  <c:v>8.7775200000000027</c:v>
                </c:pt>
                <c:pt idx="4086">
                  <c:v>8.291520000000002</c:v>
                </c:pt>
                <c:pt idx="4087">
                  <c:v>8.9395200000000017</c:v>
                </c:pt>
                <c:pt idx="4088">
                  <c:v>8.291520000000002</c:v>
                </c:pt>
                <c:pt idx="4089">
                  <c:v>8.291520000000002</c:v>
                </c:pt>
                <c:pt idx="4090">
                  <c:v>8.129520000000003</c:v>
                </c:pt>
                <c:pt idx="4091">
                  <c:v>8.9395200000000017</c:v>
                </c:pt>
                <c:pt idx="4092">
                  <c:v>8.7775200000000027</c:v>
                </c:pt>
                <c:pt idx="4093">
                  <c:v>8.7775200000000027</c:v>
                </c:pt>
                <c:pt idx="4094">
                  <c:v>8.291520000000002</c:v>
                </c:pt>
                <c:pt idx="4095">
                  <c:v>8.9395200000000017</c:v>
                </c:pt>
                <c:pt idx="4096">
                  <c:v>8.291520000000002</c:v>
                </c:pt>
                <c:pt idx="4097">
                  <c:v>8.291520000000002</c:v>
                </c:pt>
                <c:pt idx="4098">
                  <c:v>8.129520000000003</c:v>
                </c:pt>
                <c:pt idx="4099">
                  <c:v>8.9395200000000017</c:v>
                </c:pt>
                <c:pt idx="4100">
                  <c:v>8.7775200000000027</c:v>
                </c:pt>
                <c:pt idx="4101">
                  <c:v>8.7775200000000027</c:v>
                </c:pt>
                <c:pt idx="4102">
                  <c:v>8.291520000000002</c:v>
                </c:pt>
                <c:pt idx="4103">
                  <c:v>8.9395200000000017</c:v>
                </c:pt>
                <c:pt idx="4104">
                  <c:v>8.291520000000002</c:v>
                </c:pt>
                <c:pt idx="4105">
                  <c:v>8.291520000000002</c:v>
                </c:pt>
                <c:pt idx="4106">
                  <c:v>8.129520000000003</c:v>
                </c:pt>
                <c:pt idx="4107">
                  <c:v>8.9395200000000017</c:v>
                </c:pt>
                <c:pt idx="4108">
                  <c:v>8.7775200000000027</c:v>
                </c:pt>
                <c:pt idx="4109">
                  <c:v>8.7775200000000027</c:v>
                </c:pt>
                <c:pt idx="4110">
                  <c:v>8.291520000000002</c:v>
                </c:pt>
                <c:pt idx="4111">
                  <c:v>8.9395200000000017</c:v>
                </c:pt>
                <c:pt idx="4112">
                  <c:v>8.291520000000002</c:v>
                </c:pt>
                <c:pt idx="4113">
                  <c:v>8.291520000000002</c:v>
                </c:pt>
                <c:pt idx="4114">
                  <c:v>8.129520000000003</c:v>
                </c:pt>
                <c:pt idx="4115">
                  <c:v>8.9395200000000017</c:v>
                </c:pt>
                <c:pt idx="4116">
                  <c:v>8.7775200000000027</c:v>
                </c:pt>
                <c:pt idx="4117">
                  <c:v>8.7775200000000027</c:v>
                </c:pt>
                <c:pt idx="4118">
                  <c:v>8.291520000000002</c:v>
                </c:pt>
                <c:pt idx="4119">
                  <c:v>8.9395200000000017</c:v>
                </c:pt>
                <c:pt idx="4120">
                  <c:v>8.291520000000002</c:v>
                </c:pt>
                <c:pt idx="4121">
                  <c:v>8.291520000000002</c:v>
                </c:pt>
                <c:pt idx="4122">
                  <c:v>8.129520000000003</c:v>
                </c:pt>
                <c:pt idx="4123">
                  <c:v>8.9395200000000017</c:v>
                </c:pt>
                <c:pt idx="4124">
                  <c:v>8.7775200000000027</c:v>
                </c:pt>
                <c:pt idx="4125">
                  <c:v>8.7775200000000027</c:v>
                </c:pt>
                <c:pt idx="4126">
                  <c:v>8.291520000000002</c:v>
                </c:pt>
                <c:pt idx="4127">
                  <c:v>8.9395200000000017</c:v>
                </c:pt>
                <c:pt idx="4128">
                  <c:v>8.291520000000002</c:v>
                </c:pt>
                <c:pt idx="4129">
                  <c:v>8.291520000000002</c:v>
                </c:pt>
                <c:pt idx="4130">
                  <c:v>8.129520000000003</c:v>
                </c:pt>
                <c:pt idx="4131">
                  <c:v>8.9395200000000017</c:v>
                </c:pt>
                <c:pt idx="4132">
                  <c:v>8.7775200000000027</c:v>
                </c:pt>
                <c:pt idx="4133">
                  <c:v>8.7775200000000027</c:v>
                </c:pt>
                <c:pt idx="4134">
                  <c:v>8.291520000000002</c:v>
                </c:pt>
                <c:pt idx="4135">
                  <c:v>8.9395200000000017</c:v>
                </c:pt>
                <c:pt idx="4136">
                  <c:v>8.291520000000002</c:v>
                </c:pt>
                <c:pt idx="4137">
                  <c:v>8.291520000000002</c:v>
                </c:pt>
                <c:pt idx="4138">
                  <c:v>8.129520000000003</c:v>
                </c:pt>
                <c:pt idx="4139">
                  <c:v>8.9395200000000017</c:v>
                </c:pt>
                <c:pt idx="4140">
                  <c:v>8.7775200000000027</c:v>
                </c:pt>
                <c:pt idx="4141">
                  <c:v>8.7775200000000027</c:v>
                </c:pt>
                <c:pt idx="4142">
                  <c:v>8.291520000000002</c:v>
                </c:pt>
                <c:pt idx="4143">
                  <c:v>8.9395200000000017</c:v>
                </c:pt>
                <c:pt idx="4144">
                  <c:v>8.291520000000002</c:v>
                </c:pt>
                <c:pt idx="4145">
                  <c:v>8.291520000000002</c:v>
                </c:pt>
                <c:pt idx="4146">
                  <c:v>8.129520000000003</c:v>
                </c:pt>
                <c:pt idx="4147">
                  <c:v>8.9395200000000017</c:v>
                </c:pt>
                <c:pt idx="4148">
                  <c:v>8.7775200000000027</c:v>
                </c:pt>
                <c:pt idx="4149">
                  <c:v>8.7775200000000027</c:v>
                </c:pt>
                <c:pt idx="4150">
                  <c:v>8.291520000000002</c:v>
                </c:pt>
                <c:pt idx="4151">
                  <c:v>8.9395200000000017</c:v>
                </c:pt>
                <c:pt idx="4152">
                  <c:v>8.291520000000002</c:v>
                </c:pt>
                <c:pt idx="4153">
                  <c:v>8.291520000000002</c:v>
                </c:pt>
                <c:pt idx="4154">
                  <c:v>8.129520000000003</c:v>
                </c:pt>
                <c:pt idx="4155">
                  <c:v>8.9395200000000017</c:v>
                </c:pt>
                <c:pt idx="4156">
                  <c:v>8.7775200000000027</c:v>
                </c:pt>
                <c:pt idx="4157">
                  <c:v>8.7775200000000027</c:v>
                </c:pt>
                <c:pt idx="4158">
                  <c:v>8.291520000000002</c:v>
                </c:pt>
                <c:pt idx="4159">
                  <c:v>8.9395200000000017</c:v>
                </c:pt>
                <c:pt idx="4160">
                  <c:v>8.291520000000002</c:v>
                </c:pt>
                <c:pt idx="4161">
                  <c:v>8.291520000000002</c:v>
                </c:pt>
                <c:pt idx="4162">
                  <c:v>8.129520000000003</c:v>
                </c:pt>
                <c:pt idx="4163">
                  <c:v>8.9395200000000017</c:v>
                </c:pt>
                <c:pt idx="4164">
                  <c:v>8.7775200000000027</c:v>
                </c:pt>
                <c:pt idx="4165">
                  <c:v>8.7775200000000027</c:v>
                </c:pt>
                <c:pt idx="4166">
                  <c:v>8.291520000000002</c:v>
                </c:pt>
                <c:pt idx="4167">
                  <c:v>8.9395200000000017</c:v>
                </c:pt>
                <c:pt idx="4168">
                  <c:v>8.291520000000002</c:v>
                </c:pt>
                <c:pt idx="4169">
                  <c:v>8.291520000000002</c:v>
                </c:pt>
                <c:pt idx="4170">
                  <c:v>8.129520000000003</c:v>
                </c:pt>
                <c:pt idx="4171">
                  <c:v>8.9395200000000017</c:v>
                </c:pt>
                <c:pt idx="4172">
                  <c:v>8.7775200000000027</c:v>
                </c:pt>
                <c:pt idx="4173">
                  <c:v>8.7775200000000027</c:v>
                </c:pt>
                <c:pt idx="4174">
                  <c:v>8.291520000000002</c:v>
                </c:pt>
                <c:pt idx="4175">
                  <c:v>8.9395200000000017</c:v>
                </c:pt>
                <c:pt idx="4176">
                  <c:v>8.291520000000002</c:v>
                </c:pt>
                <c:pt idx="4177">
                  <c:v>8.291520000000002</c:v>
                </c:pt>
                <c:pt idx="4178">
                  <c:v>8.129520000000003</c:v>
                </c:pt>
                <c:pt idx="4179">
                  <c:v>8.9395200000000017</c:v>
                </c:pt>
                <c:pt idx="4180">
                  <c:v>8.7775200000000027</c:v>
                </c:pt>
                <c:pt idx="4181">
                  <c:v>8.7775200000000027</c:v>
                </c:pt>
                <c:pt idx="4182">
                  <c:v>8.291520000000002</c:v>
                </c:pt>
                <c:pt idx="4183">
                  <c:v>8.9395200000000017</c:v>
                </c:pt>
                <c:pt idx="4184">
                  <c:v>8.291520000000002</c:v>
                </c:pt>
                <c:pt idx="4185">
                  <c:v>8.291520000000002</c:v>
                </c:pt>
                <c:pt idx="4186">
                  <c:v>8.129520000000003</c:v>
                </c:pt>
                <c:pt idx="4187">
                  <c:v>8.9395200000000017</c:v>
                </c:pt>
                <c:pt idx="4188">
                  <c:v>8.7775200000000027</c:v>
                </c:pt>
                <c:pt idx="4189">
                  <c:v>8.7775200000000027</c:v>
                </c:pt>
                <c:pt idx="4190">
                  <c:v>8.291520000000002</c:v>
                </c:pt>
                <c:pt idx="4191">
                  <c:v>8.9395200000000017</c:v>
                </c:pt>
                <c:pt idx="4192">
                  <c:v>8.291520000000002</c:v>
                </c:pt>
                <c:pt idx="4193">
                  <c:v>8.291520000000002</c:v>
                </c:pt>
                <c:pt idx="4194">
                  <c:v>8.129520000000003</c:v>
                </c:pt>
                <c:pt idx="4195">
                  <c:v>8.9395200000000017</c:v>
                </c:pt>
                <c:pt idx="4196">
                  <c:v>8.7775200000000027</c:v>
                </c:pt>
                <c:pt idx="4197">
                  <c:v>8.7775200000000027</c:v>
                </c:pt>
                <c:pt idx="4198">
                  <c:v>8.291520000000002</c:v>
                </c:pt>
                <c:pt idx="4199">
                  <c:v>8.9395200000000017</c:v>
                </c:pt>
                <c:pt idx="4200">
                  <c:v>8.291520000000002</c:v>
                </c:pt>
                <c:pt idx="4201">
                  <c:v>8.291520000000002</c:v>
                </c:pt>
                <c:pt idx="4202">
                  <c:v>8.129520000000003</c:v>
                </c:pt>
                <c:pt idx="4203">
                  <c:v>8.9395200000000017</c:v>
                </c:pt>
                <c:pt idx="4204">
                  <c:v>8.7775200000000027</c:v>
                </c:pt>
                <c:pt idx="4205">
                  <c:v>8.7775200000000027</c:v>
                </c:pt>
                <c:pt idx="4206">
                  <c:v>8.291520000000002</c:v>
                </c:pt>
                <c:pt idx="4207">
                  <c:v>8.9395200000000017</c:v>
                </c:pt>
                <c:pt idx="4208">
                  <c:v>8.291520000000002</c:v>
                </c:pt>
                <c:pt idx="4209">
                  <c:v>8.291520000000002</c:v>
                </c:pt>
                <c:pt idx="4210">
                  <c:v>8.129520000000003</c:v>
                </c:pt>
                <c:pt idx="4211">
                  <c:v>8.9395200000000017</c:v>
                </c:pt>
                <c:pt idx="4212">
                  <c:v>8.7775200000000027</c:v>
                </c:pt>
                <c:pt idx="4213">
                  <c:v>8.7775200000000027</c:v>
                </c:pt>
                <c:pt idx="4214">
                  <c:v>8.291520000000002</c:v>
                </c:pt>
                <c:pt idx="4215">
                  <c:v>8.9395200000000017</c:v>
                </c:pt>
                <c:pt idx="4216">
                  <c:v>8.291520000000002</c:v>
                </c:pt>
                <c:pt idx="4217">
                  <c:v>8.291520000000002</c:v>
                </c:pt>
                <c:pt idx="4218">
                  <c:v>8.129520000000003</c:v>
                </c:pt>
                <c:pt idx="4219">
                  <c:v>8.9395200000000017</c:v>
                </c:pt>
                <c:pt idx="4220">
                  <c:v>8.7775200000000027</c:v>
                </c:pt>
                <c:pt idx="4221">
                  <c:v>8.7775200000000027</c:v>
                </c:pt>
                <c:pt idx="4222">
                  <c:v>8.291520000000002</c:v>
                </c:pt>
                <c:pt idx="4223">
                  <c:v>8.9395200000000017</c:v>
                </c:pt>
                <c:pt idx="4224">
                  <c:v>8.291520000000002</c:v>
                </c:pt>
                <c:pt idx="4225">
                  <c:v>8.291520000000002</c:v>
                </c:pt>
                <c:pt idx="4226">
                  <c:v>8.129520000000003</c:v>
                </c:pt>
                <c:pt idx="4227">
                  <c:v>8.9395200000000017</c:v>
                </c:pt>
                <c:pt idx="4228">
                  <c:v>8.7775200000000027</c:v>
                </c:pt>
                <c:pt idx="4229">
                  <c:v>8.7775200000000027</c:v>
                </c:pt>
                <c:pt idx="4230">
                  <c:v>8.291520000000002</c:v>
                </c:pt>
                <c:pt idx="4231">
                  <c:v>8.9395200000000017</c:v>
                </c:pt>
                <c:pt idx="4232">
                  <c:v>8.291520000000002</c:v>
                </c:pt>
                <c:pt idx="4233">
                  <c:v>8.291520000000002</c:v>
                </c:pt>
                <c:pt idx="4234">
                  <c:v>8.129520000000003</c:v>
                </c:pt>
                <c:pt idx="4235">
                  <c:v>8.9395200000000017</c:v>
                </c:pt>
                <c:pt idx="4236">
                  <c:v>8.7775200000000027</c:v>
                </c:pt>
                <c:pt idx="4237">
                  <c:v>8.7775200000000027</c:v>
                </c:pt>
                <c:pt idx="4238">
                  <c:v>8.291520000000002</c:v>
                </c:pt>
                <c:pt idx="4239">
                  <c:v>8.9395200000000017</c:v>
                </c:pt>
                <c:pt idx="4240">
                  <c:v>8.291520000000002</c:v>
                </c:pt>
                <c:pt idx="4241">
                  <c:v>8.291520000000002</c:v>
                </c:pt>
                <c:pt idx="4242">
                  <c:v>8.129520000000003</c:v>
                </c:pt>
                <c:pt idx="4243">
                  <c:v>8.9395200000000017</c:v>
                </c:pt>
                <c:pt idx="4244">
                  <c:v>8.7775200000000027</c:v>
                </c:pt>
                <c:pt idx="4245">
                  <c:v>8.7775200000000027</c:v>
                </c:pt>
                <c:pt idx="4246">
                  <c:v>8.291520000000002</c:v>
                </c:pt>
                <c:pt idx="4247">
                  <c:v>8.9395200000000017</c:v>
                </c:pt>
                <c:pt idx="4248">
                  <c:v>8.291520000000002</c:v>
                </c:pt>
                <c:pt idx="4249">
                  <c:v>8.291520000000002</c:v>
                </c:pt>
                <c:pt idx="4250">
                  <c:v>8.129520000000003</c:v>
                </c:pt>
                <c:pt idx="4251">
                  <c:v>8.9395200000000017</c:v>
                </c:pt>
                <c:pt idx="4252">
                  <c:v>8.7775200000000027</c:v>
                </c:pt>
                <c:pt idx="4253">
                  <c:v>8.7775200000000027</c:v>
                </c:pt>
                <c:pt idx="4254">
                  <c:v>8.291520000000002</c:v>
                </c:pt>
                <c:pt idx="4255">
                  <c:v>8.9395200000000017</c:v>
                </c:pt>
                <c:pt idx="4256">
                  <c:v>8.291520000000002</c:v>
                </c:pt>
                <c:pt idx="4257">
                  <c:v>8.291520000000002</c:v>
                </c:pt>
                <c:pt idx="4258">
                  <c:v>8.129520000000003</c:v>
                </c:pt>
                <c:pt idx="4259">
                  <c:v>8.9395200000000017</c:v>
                </c:pt>
                <c:pt idx="4260">
                  <c:v>8.7775200000000027</c:v>
                </c:pt>
                <c:pt idx="4261">
                  <c:v>8.7775200000000027</c:v>
                </c:pt>
                <c:pt idx="4262">
                  <c:v>8.291520000000002</c:v>
                </c:pt>
                <c:pt idx="4263">
                  <c:v>8.9395200000000017</c:v>
                </c:pt>
                <c:pt idx="4264">
                  <c:v>8.291520000000002</c:v>
                </c:pt>
                <c:pt idx="4265">
                  <c:v>8.291520000000002</c:v>
                </c:pt>
                <c:pt idx="4266">
                  <c:v>8.129520000000003</c:v>
                </c:pt>
                <c:pt idx="4267">
                  <c:v>8.9395200000000017</c:v>
                </c:pt>
                <c:pt idx="4268">
                  <c:v>8.7775200000000027</c:v>
                </c:pt>
                <c:pt idx="4269">
                  <c:v>8.7775200000000027</c:v>
                </c:pt>
                <c:pt idx="4270">
                  <c:v>8.291520000000002</c:v>
                </c:pt>
                <c:pt idx="4271">
                  <c:v>8.9395200000000017</c:v>
                </c:pt>
                <c:pt idx="4272">
                  <c:v>8.291520000000002</c:v>
                </c:pt>
                <c:pt idx="4273">
                  <c:v>8.291520000000002</c:v>
                </c:pt>
                <c:pt idx="4274">
                  <c:v>8.129520000000003</c:v>
                </c:pt>
                <c:pt idx="4275">
                  <c:v>8.9395200000000017</c:v>
                </c:pt>
                <c:pt idx="4276">
                  <c:v>8.7775200000000027</c:v>
                </c:pt>
                <c:pt idx="4277">
                  <c:v>8.7775200000000027</c:v>
                </c:pt>
                <c:pt idx="4278">
                  <c:v>8.291520000000002</c:v>
                </c:pt>
                <c:pt idx="4279">
                  <c:v>8.9395200000000017</c:v>
                </c:pt>
                <c:pt idx="4280">
                  <c:v>8.291520000000002</c:v>
                </c:pt>
                <c:pt idx="4281">
                  <c:v>8.291520000000002</c:v>
                </c:pt>
                <c:pt idx="4282">
                  <c:v>8.129520000000003</c:v>
                </c:pt>
                <c:pt idx="4283">
                  <c:v>8.9395200000000017</c:v>
                </c:pt>
                <c:pt idx="4284">
                  <c:v>8.7775200000000027</c:v>
                </c:pt>
                <c:pt idx="4285">
                  <c:v>8.7775200000000027</c:v>
                </c:pt>
                <c:pt idx="4286">
                  <c:v>8.291520000000002</c:v>
                </c:pt>
                <c:pt idx="4287">
                  <c:v>8.9395200000000017</c:v>
                </c:pt>
                <c:pt idx="4288">
                  <c:v>8.291520000000002</c:v>
                </c:pt>
                <c:pt idx="4289">
                  <c:v>8.291520000000002</c:v>
                </c:pt>
                <c:pt idx="4290">
                  <c:v>8.129520000000003</c:v>
                </c:pt>
                <c:pt idx="4291">
                  <c:v>8.9395200000000017</c:v>
                </c:pt>
                <c:pt idx="4292">
                  <c:v>8.7775200000000027</c:v>
                </c:pt>
                <c:pt idx="4293">
                  <c:v>8.7775200000000027</c:v>
                </c:pt>
                <c:pt idx="4294">
                  <c:v>8.291520000000002</c:v>
                </c:pt>
                <c:pt idx="4295">
                  <c:v>8.9395200000000017</c:v>
                </c:pt>
                <c:pt idx="4296">
                  <c:v>8.291520000000002</c:v>
                </c:pt>
                <c:pt idx="4297">
                  <c:v>8.291520000000002</c:v>
                </c:pt>
                <c:pt idx="4298">
                  <c:v>8.129520000000003</c:v>
                </c:pt>
                <c:pt idx="4299">
                  <c:v>8.9395200000000017</c:v>
                </c:pt>
                <c:pt idx="4300">
                  <c:v>8.7775200000000027</c:v>
                </c:pt>
                <c:pt idx="4301">
                  <c:v>8.7775200000000027</c:v>
                </c:pt>
                <c:pt idx="4302">
                  <c:v>8.291520000000002</c:v>
                </c:pt>
                <c:pt idx="4303">
                  <c:v>8.9395200000000017</c:v>
                </c:pt>
                <c:pt idx="4304">
                  <c:v>8.291520000000002</c:v>
                </c:pt>
                <c:pt idx="4305">
                  <c:v>8.291520000000002</c:v>
                </c:pt>
                <c:pt idx="4306">
                  <c:v>8.129520000000003</c:v>
                </c:pt>
                <c:pt idx="4307">
                  <c:v>8.9395200000000017</c:v>
                </c:pt>
                <c:pt idx="4308">
                  <c:v>8.7775200000000027</c:v>
                </c:pt>
                <c:pt idx="4309">
                  <c:v>8.7775200000000027</c:v>
                </c:pt>
                <c:pt idx="4310">
                  <c:v>8.291520000000002</c:v>
                </c:pt>
                <c:pt idx="4311">
                  <c:v>8.9395200000000017</c:v>
                </c:pt>
                <c:pt idx="4312">
                  <c:v>8.291520000000002</c:v>
                </c:pt>
                <c:pt idx="4313">
                  <c:v>8.291520000000002</c:v>
                </c:pt>
                <c:pt idx="4314">
                  <c:v>8.129520000000003</c:v>
                </c:pt>
                <c:pt idx="4315">
                  <c:v>8.9395200000000017</c:v>
                </c:pt>
                <c:pt idx="4316">
                  <c:v>8.7775200000000027</c:v>
                </c:pt>
                <c:pt idx="4317">
                  <c:v>8.7775200000000027</c:v>
                </c:pt>
                <c:pt idx="4318">
                  <c:v>8.291520000000002</c:v>
                </c:pt>
                <c:pt idx="4319">
                  <c:v>8.9395200000000017</c:v>
                </c:pt>
                <c:pt idx="4320">
                  <c:v>8.291520000000002</c:v>
                </c:pt>
                <c:pt idx="4321">
                  <c:v>8.291520000000002</c:v>
                </c:pt>
                <c:pt idx="4322">
                  <c:v>8.129520000000003</c:v>
                </c:pt>
                <c:pt idx="4323">
                  <c:v>8.9395200000000017</c:v>
                </c:pt>
                <c:pt idx="4324">
                  <c:v>8.7775200000000027</c:v>
                </c:pt>
                <c:pt idx="4325">
                  <c:v>8.7775200000000027</c:v>
                </c:pt>
                <c:pt idx="4326">
                  <c:v>8.291520000000002</c:v>
                </c:pt>
                <c:pt idx="4327">
                  <c:v>8.9395200000000017</c:v>
                </c:pt>
                <c:pt idx="4328">
                  <c:v>8.291520000000002</c:v>
                </c:pt>
                <c:pt idx="4329">
                  <c:v>8.291520000000002</c:v>
                </c:pt>
                <c:pt idx="4330">
                  <c:v>8.129520000000003</c:v>
                </c:pt>
                <c:pt idx="4331">
                  <c:v>8.9395200000000017</c:v>
                </c:pt>
                <c:pt idx="4332">
                  <c:v>8.7775200000000027</c:v>
                </c:pt>
                <c:pt idx="4333">
                  <c:v>8.7775200000000027</c:v>
                </c:pt>
                <c:pt idx="4334">
                  <c:v>8.291520000000002</c:v>
                </c:pt>
                <c:pt idx="4335">
                  <c:v>8.9395200000000017</c:v>
                </c:pt>
                <c:pt idx="4336">
                  <c:v>8.9395200000000017</c:v>
                </c:pt>
                <c:pt idx="4337">
                  <c:v>-11.310479999999998</c:v>
                </c:pt>
                <c:pt idx="4338">
                  <c:v>-11.148479999999999</c:v>
                </c:pt>
                <c:pt idx="4339">
                  <c:v>-11.148479999999999</c:v>
                </c:pt>
                <c:pt idx="4340">
                  <c:v>-11.310479999999998</c:v>
                </c:pt>
                <c:pt idx="4341">
                  <c:v>-10.500479999999998</c:v>
                </c:pt>
                <c:pt idx="4342">
                  <c:v>-10.662479999999999</c:v>
                </c:pt>
                <c:pt idx="4343">
                  <c:v>-10.662479999999999</c:v>
                </c:pt>
                <c:pt idx="4344">
                  <c:v>-11.148479999999999</c:v>
                </c:pt>
                <c:pt idx="4345">
                  <c:v>-10.500479999999998</c:v>
                </c:pt>
                <c:pt idx="4346">
                  <c:v>-10.338479999999997</c:v>
                </c:pt>
                <c:pt idx="4347">
                  <c:v>-10.338479999999997</c:v>
                </c:pt>
                <c:pt idx="4348">
                  <c:v>-10.500479999999998</c:v>
                </c:pt>
                <c:pt idx="4349">
                  <c:v>-9.6904799999999973</c:v>
                </c:pt>
                <c:pt idx="4350">
                  <c:v>-9.8524799999999981</c:v>
                </c:pt>
                <c:pt idx="4351">
                  <c:v>-9.8524799999999981</c:v>
                </c:pt>
                <c:pt idx="4352">
                  <c:v>-10.338479999999997</c:v>
                </c:pt>
                <c:pt idx="4353">
                  <c:v>-9.6904799999999973</c:v>
                </c:pt>
                <c:pt idx="4354">
                  <c:v>-9.5284799999999965</c:v>
                </c:pt>
                <c:pt idx="4355">
                  <c:v>-9.5284799999999965</c:v>
                </c:pt>
                <c:pt idx="4356">
                  <c:v>-9.6904799999999973</c:v>
                </c:pt>
                <c:pt idx="4357">
                  <c:v>-8.8804799999999968</c:v>
                </c:pt>
                <c:pt idx="4358">
                  <c:v>-9.0424799999999976</c:v>
                </c:pt>
                <c:pt idx="4359">
                  <c:v>-9.0424799999999976</c:v>
                </c:pt>
                <c:pt idx="4360">
                  <c:v>-9.5284799999999965</c:v>
                </c:pt>
                <c:pt idx="4361">
                  <c:v>-8.8804799999999968</c:v>
                </c:pt>
                <c:pt idx="4362">
                  <c:v>-8.7184799999999978</c:v>
                </c:pt>
                <c:pt idx="4363">
                  <c:v>-8.7184799999999978</c:v>
                </c:pt>
                <c:pt idx="4364">
                  <c:v>-8.8804799999999986</c:v>
                </c:pt>
                <c:pt idx="4365">
                  <c:v>-8.0704799999999981</c:v>
                </c:pt>
                <c:pt idx="4366">
                  <c:v>-8.2324799999999989</c:v>
                </c:pt>
                <c:pt idx="4367">
                  <c:v>-8.2324799999999989</c:v>
                </c:pt>
                <c:pt idx="4368">
                  <c:v>-8.7184799999999978</c:v>
                </c:pt>
                <c:pt idx="4369">
                  <c:v>-8.0704799999999981</c:v>
                </c:pt>
                <c:pt idx="4370">
                  <c:v>-7.9084799999999973</c:v>
                </c:pt>
                <c:pt idx="4371">
                  <c:v>-7.9084799999999973</c:v>
                </c:pt>
                <c:pt idx="4372">
                  <c:v>-8.0704799999999981</c:v>
                </c:pt>
                <c:pt idx="4373">
                  <c:v>-7.2604799999999976</c:v>
                </c:pt>
                <c:pt idx="4374">
                  <c:v>-7.4224799999999984</c:v>
                </c:pt>
                <c:pt idx="4375">
                  <c:v>-7.4224799999999984</c:v>
                </c:pt>
                <c:pt idx="4376">
                  <c:v>-7.9084799999999973</c:v>
                </c:pt>
                <c:pt idx="4377">
                  <c:v>-7.2604799999999976</c:v>
                </c:pt>
                <c:pt idx="4378">
                  <c:v>-7.0984799999999968</c:v>
                </c:pt>
                <c:pt idx="4379">
                  <c:v>-7.0984799999999968</c:v>
                </c:pt>
                <c:pt idx="4380">
                  <c:v>-7.2604799999999976</c:v>
                </c:pt>
                <c:pt idx="4381">
                  <c:v>-6.4504799999999971</c:v>
                </c:pt>
                <c:pt idx="4382">
                  <c:v>-6.6124799999999979</c:v>
                </c:pt>
                <c:pt idx="4383">
                  <c:v>-6.6124799999999979</c:v>
                </c:pt>
                <c:pt idx="4384">
                  <c:v>-7.0984799999999968</c:v>
                </c:pt>
                <c:pt idx="4385">
                  <c:v>-6.4504799999999971</c:v>
                </c:pt>
                <c:pt idx="4386">
                  <c:v>-6.2884799999999981</c:v>
                </c:pt>
                <c:pt idx="4387">
                  <c:v>-6.2884799999999981</c:v>
                </c:pt>
                <c:pt idx="4388">
                  <c:v>-6.4504799999999989</c:v>
                </c:pt>
                <c:pt idx="4389">
                  <c:v>-5.6404799999999984</c:v>
                </c:pt>
                <c:pt idx="4390">
                  <c:v>-5.8024799999999992</c:v>
                </c:pt>
                <c:pt idx="4391">
                  <c:v>-5.8024799999999992</c:v>
                </c:pt>
                <c:pt idx="4392">
                  <c:v>-6.2884799999999981</c:v>
                </c:pt>
                <c:pt idx="4393">
                  <c:v>-5.6404799999999984</c:v>
                </c:pt>
                <c:pt idx="4394">
                  <c:v>-5.4784799999999976</c:v>
                </c:pt>
                <c:pt idx="4395">
                  <c:v>-5.4784799999999976</c:v>
                </c:pt>
                <c:pt idx="4396">
                  <c:v>-5.6404799999999984</c:v>
                </c:pt>
                <c:pt idx="4397">
                  <c:v>-4.8304799999999979</c:v>
                </c:pt>
                <c:pt idx="4398">
                  <c:v>-4.9924799999999987</c:v>
                </c:pt>
                <c:pt idx="4399">
                  <c:v>-4.9924799999999987</c:v>
                </c:pt>
                <c:pt idx="4400">
                  <c:v>-5.4784799999999976</c:v>
                </c:pt>
                <c:pt idx="4401">
                  <c:v>-4.8304799999999979</c:v>
                </c:pt>
                <c:pt idx="4402">
                  <c:v>-4.6684799999999971</c:v>
                </c:pt>
                <c:pt idx="4403">
                  <c:v>-4.6684799999999971</c:v>
                </c:pt>
                <c:pt idx="4404">
                  <c:v>-4.8304799999999979</c:v>
                </c:pt>
                <c:pt idx="4405">
                  <c:v>-4.0204799999999974</c:v>
                </c:pt>
                <c:pt idx="4406">
                  <c:v>-4.1824799999999982</c:v>
                </c:pt>
                <c:pt idx="4407">
                  <c:v>-4.1824799999999982</c:v>
                </c:pt>
                <c:pt idx="4408">
                  <c:v>-4.6684799999999971</c:v>
                </c:pt>
                <c:pt idx="4409">
                  <c:v>-4.0204799999999974</c:v>
                </c:pt>
                <c:pt idx="4410">
                  <c:v>-3.8584799999999966</c:v>
                </c:pt>
                <c:pt idx="4411">
                  <c:v>-3.8584799999999966</c:v>
                </c:pt>
                <c:pt idx="4412">
                  <c:v>-4.0204799999999974</c:v>
                </c:pt>
                <c:pt idx="4413">
                  <c:v>-3.2104799999999969</c:v>
                </c:pt>
                <c:pt idx="4414">
                  <c:v>-3.3724799999999977</c:v>
                </c:pt>
                <c:pt idx="4415">
                  <c:v>-3.3724799999999977</c:v>
                </c:pt>
                <c:pt idx="4416">
                  <c:v>-3.8584799999999966</c:v>
                </c:pt>
                <c:pt idx="4417">
                  <c:v>-3.2104799999999969</c:v>
                </c:pt>
                <c:pt idx="4418">
                  <c:v>-3.0484799999999961</c:v>
                </c:pt>
                <c:pt idx="4419">
                  <c:v>-3.0484799999999961</c:v>
                </c:pt>
                <c:pt idx="4420">
                  <c:v>-3.2104799999999969</c:v>
                </c:pt>
                <c:pt idx="4421">
                  <c:v>-2.4004799999999964</c:v>
                </c:pt>
                <c:pt idx="4422">
                  <c:v>-2.5624799999999972</c:v>
                </c:pt>
                <c:pt idx="4423">
                  <c:v>-2.5624799999999972</c:v>
                </c:pt>
                <c:pt idx="4424">
                  <c:v>-3.0484799999999961</c:v>
                </c:pt>
                <c:pt idx="4425">
                  <c:v>-2.4004799999999964</c:v>
                </c:pt>
                <c:pt idx="4426">
                  <c:v>-2.2384799999999974</c:v>
                </c:pt>
                <c:pt idx="4427">
                  <c:v>-2.2384799999999974</c:v>
                </c:pt>
                <c:pt idx="4428">
                  <c:v>-2.4004799999999982</c:v>
                </c:pt>
                <c:pt idx="4429">
                  <c:v>-1.5904799999999994</c:v>
                </c:pt>
                <c:pt idx="4430">
                  <c:v>-1.7524799999999985</c:v>
                </c:pt>
                <c:pt idx="4431">
                  <c:v>-1.7524799999999985</c:v>
                </c:pt>
                <c:pt idx="4432">
                  <c:v>-2.2384799999999974</c:v>
                </c:pt>
                <c:pt idx="4433">
                  <c:v>-1.5904799999999994</c:v>
                </c:pt>
                <c:pt idx="4434">
                  <c:v>-1.4284800000000004</c:v>
                </c:pt>
                <c:pt idx="4435">
                  <c:v>-1.4284800000000004</c:v>
                </c:pt>
                <c:pt idx="4436">
                  <c:v>-1.5904799999999994</c:v>
                </c:pt>
                <c:pt idx="4437">
                  <c:v>-0.78048000000000073</c:v>
                </c:pt>
                <c:pt idx="4438">
                  <c:v>-0.94247999999999976</c:v>
                </c:pt>
                <c:pt idx="4439">
                  <c:v>-0.94247999999999976</c:v>
                </c:pt>
                <c:pt idx="4440">
                  <c:v>-1.4284800000000004</c:v>
                </c:pt>
                <c:pt idx="4441">
                  <c:v>-0.78048000000000073</c:v>
                </c:pt>
                <c:pt idx="4442">
                  <c:v>-0.61847999999999814</c:v>
                </c:pt>
                <c:pt idx="4443">
                  <c:v>-0.61847999999999814</c:v>
                </c:pt>
                <c:pt idx="4444">
                  <c:v>-0.78047999999999718</c:v>
                </c:pt>
                <c:pt idx="4445">
                  <c:v>2.9520000000001545E-2</c:v>
                </c:pt>
                <c:pt idx="4446">
                  <c:v>-0.13247999999999749</c:v>
                </c:pt>
                <c:pt idx="4447">
                  <c:v>-0.13247999999999749</c:v>
                </c:pt>
                <c:pt idx="4448">
                  <c:v>-0.61847999999999814</c:v>
                </c:pt>
                <c:pt idx="4449">
                  <c:v>2.9520000000001545E-2</c:v>
                </c:pt>
                <c:pt idx="4450">
                  <c:v>0.19152000000000058</c:v>
                </c:pt>
                <c:pt idx="4451">
                  <c:v>0.19152000000000058</c:v>
                </c:pt>
                <c:pt idx="4452">
                  <c:v>2.9520000000001545E-2</c:v>
                </c:pt>
                <c:pt idx="4453">
                  <c:v>0.83952000000000027</c:v>
                </c:pt>
                <c:pt idx="4454">
                  <c:v>0.67752000000000123</c:v>
                </c:pt>
                <c:pt idx="4455">
                  <c:v>0.67752000000000123</c:v>
                </c:pt>
                <c:pt idx="4456">
                  <c:v>0.19152000000000058</c:v>
                </c:pt>
                <c:pt idx="4457">
                  <c:v>0.83952000000000027</c:v>
                </c:pt>
                <c:pt idx="4458">
                  <c:v>1.0015199999999993</c:v>
                </c:pt>
                <c:pt idx="4459">
                  <c:v>1.0015199999999993</c:v>
                </c:pt>
                <c:pt idx="4460">
                  <c:v>0.83952000000000027</c:v>
                </c:pt>
                <c:pt idx="4461">
                  <c:v>1.649519999999999</c:v>
                </c:pt>
                <c:pt idx="4462">
                  <c:v>1.48752</c:v>
                </c:pt>
                <c:pt idx="4463">
                  <c:v>1.48752</c:v>
                </c:pt>
                <c:pt idx="4464">
                  <c:v>1.0015199999999993</c:v>
                </c:pt>
                <c:pt idx="4465">
                  <c:v>1.649519999999999</c:v>
                </c:pt>
                <c:pt idx="4466">
                  <c:v>1.8115200000000016</c:v>
                </c:pt>
                <c:pt idx="4467">
                  <c:v>1.8115200000000016</c:v>
                </c:pt>
                <c:pt idx="4468">
                  <c:v>1.6495200000000025</c:v>
                </c:pt>
                <c:pt idx="4469">
                  <c:v>2.4595200000000013</c:v>
                </c:pt>
                <c:pt idx="4470">
                  <c:v>2.2975200000000022</c:v>
                </c:pt>
                <c:pt idx="4471">
                  <c:v>2.2975200000000022</c:v>
                </c:pt>
                <c:pt idx="4472">
                  <c:v>1.8115200000000016</c:v>
                </c:pt>
                <c:pt idx="4473">
                  <c:v>2.4595200000000013</c:v>
                </c:pt>
                <c:pt idx="4474">
                  <c:v>2.6215200000000038</c:v>
                </c:pt>
                <c:pt idx="4475">
                  <c:v>2.6215200000000038</c:v>
                </c:pt>
                <c:pt idx="4476">
                  <c:v>2.4595200000000048</c:v>
                </c:pt>
                <c:pt idx="4477">
                  <c:v>3.2695200000000035</c:v>
                </c:pt>
                <c:pt idx="4478">
                  <c:v>3.1075200000000045</c:v>
                </c:pt>
                <c:pt idx="4479">
                  <c:v>3.1075200000000045</c:v>
                </c:pt>
                <c:pt idx="4480">
                  <c:v>2.6215200000000038</c:v>
                </c:pt>
                <c:pt idx="4481">
                  <c:v>3.2695200000000035</c:v>
                </c:pt>
                <c:pt idx="4482">
                  <c:v>3.4315200000000026</c:v>
                </c:pt>
                <c:pt idx="4483">
                  <c:v>3.4315200000000026</c:v>
                </c:pt>
                <c:pt idx="4484">
                  <c:v>3.2695200000000035</c:v>
                </c:pt>
                <c:pt idx="4485">
                  <c:v>4.0795200000000023</c:v>
                </c:pt>
                <c:pt idx="4486">
                  <c:v>3.9175200000000032</c:v>
                </c:pt>
                <c:pt idx="4487">
                  <c:v>3.9175200000000032</c:v>
                </c:pt>
                <c:pt idx="4488">
                  <c:v>3.4315200000000026</c:v>
                </c:pt>
                <c:pt idx="4489">
                  <c:v>4.0795200000000023</c:v>
                </c:pt>
                <c:pt idx="4490">
                  <c:v>4.2415200000000013</c:v>
                </c:pt>
                <c:pt idx="4491">
                  <c:v>4.2415200000000013</c:v>
                </c:pt>
                <c:pt idx="4492">
                  <c:v>4.0795200000000023</c:v>
                </c:pt>
                <c:pt idx="4493">
                  <c:v>4.889520000000001</c:v>
                </c:pt>
                <c:pt idx="4494">
                  <c:v>4.7275200000000019</c:v>
                </c:pt>
                <c:pt idx="4495">
                  <c:v>4.7275200000000019</c:v>
                </c:pt>
                <c:pt idx="4496">
                  <c:v>4.2415200000000013</c:v>
                </c:pt>
                <c:pt idx="4497">
                  <c:v>4.889520000000001</c:v>
                </c:pt>
                <c:pt idx="4498">
                  <c:v>5.0515200000000036</c:v>
                </c:pt>
                <c:pt idx="4499">
                  <c:v>5.0515200000000036</c:v>
                </c:pt>
                <c:pt idx="4500">
                  <c:v>4.8895200000000045</c:v>
                </c:pt>
                <c:pt idx="4501">
                  <c:v>5.6995200000000033</c:v>
                </c:pt>
                <c:pt idx="4502">
                  <c:v>5.5375200000000042</c:v>
                </c:pt>
                <c:pt idx="4503">
                  <c:v>5.5375200000000042</c:v>
                </c:pt>
                <c:pt idx="4504">
                  <c:v>5.0515200000000036</c:v>
                </c:pt>
                <c:pt idx="4505">
                  <c:v>5.6995200000000033</c:v>
                </c:pt>
                <c:pt idx="4506">
                  <c:v>5.8615200000000023</c:v>
                </c:pt>
                <c:pt idx="4507">
                  <c:v>5.8615200000000023</c:v>
                </c:pt>
                <c:pt idx="4508">
                  <c:v>5.6995200000000033</c:v>
                </c:pt>
                <c:pt idx="4509">
                  <c:v>6.509520000000002</c:v>
                </c:pt>
                <c:pt idx="4510">
                  <c:v>6.3475200000000029</c:v>
                </c:pt>
                <c:pt idx="4511">
                  <c:v>6.3475200000000029</c:v>
                </c:pt>
                <c:pt idx="4512">
                  <c:v>5.8615200000000023</c:v>
                </c:pt>
                <c:pt idx="4513">
                  <c:v>6.509520000000002</c:v>
                </c:pt>
                <c:pt idx="4514">
                  <c:v>6.671520000000001</c:v>
                </c:pt>
                <c:pt idx="4515">
                  <c:v>6.671520000000001</c:v>
                </c:pt>
                <c:pt idx="4516">
                  <c:v>6.509520000000002</c:v>
                </c:pt>
                <c:pt idx="4517">
                  <c:v>7.3195200000000007</c:v>
                </c:pt>
                <c:pt idx="4518">
                  <c:v>7.1575200000000017</c:v>
                </c:pt>
                <c:pt idx="4519">
                  <c:v>7.1575200000000017</c:v>
                </c:pt>
                <c:pt idx="4520">
                  <c:v>6.671520000000001</c:v>
                </c:pt>
                <c:pt idx="4521">
                  <c:v>7.3195200000000007</c:v>
                </c:pt>
                <c:pt idx="4522">
                  <c:v>7.4815200000000033</c:v>
                </c:pt>
                <c:pt idx="4523">
                  <c:v>7.4815200000000033</c:v>
                </c:pt>
                <c:pt idx="4524">
                  <c:v>7.3195200000000042</c:v>
                </c:pt>
                <c:pt idx="4525">
                  <c:v>8.129520000000003</c:v>
                </c:pt>
                <c:pt idx="4526">
                  <c:v>7.9675200000000039</c:v>
                </c:pt>
                <c:pt idx="4527">
                  <c:v>7.9675200000000039</c:v>
                </c:pt>
                <c:pt idx="4528">
                  <c:v>7.4815200000000033</c:v>
                </c:pt>
                <c:pt idx="4529">
                  <c:v>8.129520000000003</c:v>
                </c:pt>
                <c:pt idx="4530">
                  <c:v>8.291520000000002</c:v>
                </c:pt>
                <c:pt idx="4531">
                  <c:v>8.291520000000002</c:v>
                </c:pt>
                <c:pt idx="4532">
                  <c:v>8.129520000000003</c:v>
                </c:pt>
                <c:pt idx="4533">
                  <c:v>8.9395200000000017</c:v>
                </c:pt>
                <c:pt idx="4534">
                  <c:v>8.7775200000000027</c:v>
                </c:pt>
                <c:pt idx="4535">
                  <c:v>8.7775200000000027</c:v>
                </c:pt>
                <c:pt idx="4536">
                  <c:v>8.291520000000002</c:v>
                </c:pt>
                <c:pt idx="4537">
                  <c:v>8.9395200000000017</c:v>
                </c:pt>
                <c:pt idx="4538">
                  <c:v>8.291520000000002</c:v>
                </c:pt>
                <c:pt idx="4539">
                  <c:v>8.291520000000002</c:v>
                </c:pt>
                <c:pt idx="4540">
                  <c:v>8.129520000000003</c:v>
                </c:pt>
                <c:pt idx="4541">
                  <c:v>8.9395200000000017</c:v>
                </c:pt>
                <c:pt idx="4542">
                  <c:v>8.7775200000000027</c:v>
                </c:pt>
                <c:pt idx="4543">
                  <c:v>8.7775200000000027</c:v>
                </c:pt>
                <c:pt idx="4544">
                  <c:v>8.291520000000002</c:v>
                </c:pt>
                <c:pt idx="4545">
                  <c:v>8.9395200000000017</c:v>
                </c:pt>
                <c:pt idx="4546">
                  <c:v>8.291520000000002</c:v>
                </c:pt>
                <c:pt idx="4547">
                  <c:v>8.291520000000002</c:v>
                </c:pt>
                <c:pt idx="4548">
                  <c:v>8.129520000000003</c:v>
                </c:pt>
                <c:pt idx="4549">
                  <c:v>8.9395200000000017</c:v>
                </c:pt>
                <c:pt idx="4550">
                  <c:v>8.7775200000000027</c:v>
                </c:pt>
                <c:pt idx="4551">
                  <c:v>8.7775200000000027</c:v>
                </c:pt>
                <c:pt idx="4552">
                  <c:v>8.291520000000002</c:v>
                </c:pt>
                <c:pt idx="4553">
                  <c:v>8.9395200000000017</c:v>
                </c:pt>
                <c:pt idx="4554">
                  <c:v>8.291520000000002</c:v>
                </c:pt>
                <c:pt idx="4555">
                  <c:v>8.291520000000002</c:v>
                </c:pt>
                <c:pt idx="4556">
                  <c:v>8.129520000000003</c:v>
                </c:pt>
                <c:pt idx="4557">
                  <c:v>8.9395200000000017</c:v>
                </c:pt>
                <c:pt idx="4558">
                  <c:v>8.7775200000000027</c:v>
                </c:pt>
                <c:pt idx="4559">
                  <c:v>8.7775200000000027</c:v>
                </c:pt>
                <c:pt idx="4560">
                  <c:v>8.291520000000002</c:v>
                </c:pt>
                <c:pt idx="4561">
                  <c:v>8.9395200000000017</c:v>
                </c:pt>
                <c:pt idx="4562">
                  <c:v>8.291520000000002</c:v>
                </c:pt>
                <c:pt idx="4563">
                  <c:v>8.291520000000002</c:v>
                </c:pt>
                <c:pt idx="4564">
                  <c:v>8.129520000000003</c:v>
                </c:pt>
                <c:pt idx="4565">
                  <c:v>8.9395200000000017</c:v>
                </c:pt>
                <c:pt idx="4566">
                  <c:v>8.7775200000000027</c:v>
                </c:pt>
                <c:pt idx="4567">
                  <c:v>8.7775200000000027</c:v>
                </c:pt>
                <c:pt idx="4568">
                  <c:v>8.291520000000002</c:v>
                </c:pt>
                <c:pt idx="4569">
                  <c:v>8.9395200000000017</c:v>
                </c:pt>
                <c:pt idx="4570">
                  <c:v>8.291520000000002</c:v>
                </c:pt>
                <c:pt idx="4571">
                  <c:v>8.291520000000002</c:v>
                </c:pt>
                <c:pt idx="4572">
                  <c:v>8.129520000000003</c:v>
                </c:pt>
                <c:pt idx="4573">
                  <c:v>8.9395200000000017</c:v>
                </c:pt>
                <c:pt idx="4574">
                  <c:v>8.7775200000000027</c:v>
                </c:pt>
                <c:pt idx="4575">
                  <c:v>8.7775200000000027</c:v>
                </c:pt>
                <c:pt idx="4576">
                  <c:v>8.291520000000002</c:v>
                </c:pt>
                <c:pt idx="4577">
                  <c:v>8.9395200000000017</c:v>
                </c:pt>
                <c:pt idx="4578">
                  <c:v>8.291520000000002</c:v>
                </c:pt>
                <c:pt idx="4579">
                  <c:v>8.291520000000002</c:v>
                </c:pt>
                <c:pt idx="4580">
                  <c:v>8.129520000000003</c:v>
                </c:pt>
                <c:pt idx="4581">
                  <c:v>8.9395200000000017</c:v>
                </c:pt>
                <c:pt idx="4582">
                  <c:v>8.7775200000000027</c:v>
                </c:pt>
                <c:pt idx="4583">
                  <c:v>8.7775200000000027</c:v>
                </c:pt>
                <c:pt idx="4584">
                  <c:v>8.291520000000002</c:v>
                </c:pt>
                <c:pt idx="4585">
                  <c:v>8.9395200000000017</c:v>
                </c:pt>
                <c:pt idx="4586">
                  <c:v>8.291520000000002</c:v>
                </c:pt>
                <c:pt idx="4587">
                  <c:v>8.291520000000002</c:v>
                </c:pt>
                <c:pt idx="4588">
                  <c:v>8.129520000000003</c:v>
                </c:pt>
                <c:pt idx="4589">
                  <c:v>8.9395200000000017</c:v>
                </c:pt>
                <c:pt idx="4590">
                  <c:v>8.7775200000000027</c:v>
                </c:pt>
                <c:pt idx="4591">
                  <c:v>8.7775200000000027</c:v>
                </c:pt>
                <c:pt idx="4592">
                  <c:v>8.291520000000002</c:v>
                </c:pt>
                <c:pt idx="4593">
                  <c:v>8.9395200000000017</c:v>
                </c:pt>
                <c:pt idx="4594">
                  <c:v>8.291520000000002</c:v>
                </c:pt>
                <c:pt idx="4595">
                  <c:v>8.291520000000002</c:v>
                </c:pt>
                <c:pt idx="4596">
                  <c:v>8.129520000000003</c:v>
                </c:pt>
                <c:pt idx="4597">
                  <c:v>8.9395200000000017</c:v>
                </c:pt>
                <c:pt idx="4598">
                  <c:v>8.7775200000000027</c:v>
                </c:pt>
                <c:pt idx="4599">
                  <c:v>8.7775200000000027</c:v>
                </c:pt>
                <c:pt idx="4600">
                  <c:v>8.291520000000002</c:v>
                </c:pt>
                <c:pt idx="4601">
                  <c:v>8.9395200000000017</c:v>
                </c:pt>
                <c:pt idx="4602">
                  <c:v>8.291520000000002</c:v>
                </c:pt>
                <c:pt idx="4603">
                  <c:v>8.291520000000002</c:v>
                </c:pt>
                <c:pt idx="4604">
                  <c:v>8.129520000000003</c:v>
                </c:pt>
                <c:pt idx="4605">
                  <c:v>8.9395200000000017</c:v>
                </c:pt>
                <c:pt idx="4606">
                  <c:v>8.7775200000000027</c:v>
                </c:pt>
                <c:pt idx="4607">
                  <c:v>8.7775200000000027</c:v>
                </c:pt>
                <c:pt idx="4608">
                  <c:v>8.291520000000002</c:v>
                </c:pt>
                <c:pt idx="4609">
                  <c:v>8.9395200000000017</c:v>
                </c:pt>
                <c:pt idx="4610">
                  <c:v>8.291520000000002</c:v>
                </c:pt>
                <c:pt idx="4611">
                  <c:v>8.291520000000002</c:v>
                </c:pt>
                <c:pt idx="4612">
                  <c:v>8.129520000000003</c:v>
                </c:pt>
                <c:pt idx="4613">
                  <c:v>8.9395200000000017</c:v>
                </c:pt>
                <c:pt idx="4614">
                  <c:v>8.7775200000000027</c:v>
                </c:pt>
                <c:pt idx="4615">
                  <c:v>8.7775200000000027</c:v>
                </c:pt>
                <c:pt idx="4616">
                  <c:v>8.291520000000002</c:v>
                </c:pt>
                <c:pt idx="4617">
                  <c:v>8.9395200000000017</c:v>
                </c:pt>
                <c:pt idx="4618">
                  <c:v>8.291520000000002</c:v>
                </c:pt>
                <c:pt idx="4619">
                  <c:v>8.291520000000002</c:v>
                </c:pt>
                <c:pt idx="4620">
                  <c:v>8.129520000000003</c:v>
                </c:pt>
                <c:pt idx="4621">
                  <c:v>8.9395200000000017</c:v>
                </c:pt>
                <c:pt idx="4622">
                  <c:v>8.7775200000000027</c:v>
                </c:pt>
                <c:pt idx="4623">
                  <c:v>8.7775200000000027</c:v>
                </c:pt>
                <c:pt idx="4624">
                  <c:v>8.291520000000002</c:v>
                </c:pt>
                <c:pt idx="4625">
                  <c:v>8.9395200000000017</c:v>
                </c:pt>
                <c:pt idx="4626">
                  <c:v>8.291520000000002</c:v>
                </c:pt>
                <c:pt idx="4627">
                  <c:v>8.291520000000002</c:v>
                </c:pt>
                <c:pt idx="4628">
                  <c:v>8.129520000000003</c:v>
                </c:pt>
                <c:pt idx="4629">
                  <c:v>8.9395200000000017</c:v>
                </c:pt>
                <c:pt idx="4630">
                  <c:v>8.7775200000000027</c:v>
                </c:pt>
                <c:pt idx="4631">
                  <c:v>8.7775200000000027</c:v>
                </c:pt>
                <c:pt idx="4632">
                  <c:v>8.291520000000002</c:v>
                </c:pt>
                <c:pt idx="4633">
                  <c:v>8.9395200000000017</c:v>
                </c:pt>
                <c:pt idx="4634">
                  <c:v>8.291520000000002</c:v>
                </c:pt>
                <c:pt idx="4635">
                  <c:v>8.291520000000002</c:v>
                </c:pt>
                <c:pt idx="4636">
                  <c:v>8.129520000000003</c:v>
                </c:pt>
                <c:pt idx="4637">
                  <c:v>8.9395200000000017</c:v>
                </c:pt>
                <c:pt idx="4638">
                  <c:v>8.7775200000000027</c:v>
                </c:pt>
                <c:pt idx="4639">
                  <c:v>8.7775200000000027</c:v>
                </c:pt>
                <c:pt idx="4640">
                  <c:v>8.291520000000002</c:v>
                </c:pt>
                <c:pt idx="4641">
                  <c:v>8.9395200000000017</c:v>
                </c:pt>
                <c:pt idx="4642">
                  <c:v>8.291520000000002</c:v>
                </c:pt>
                <c:pt idx="4643">
                  <c:v>8.291520000000002</c:v>
                </c:pt>
                <c:pt idx="4644">
                  <c:v>8.129520000000003</c:v>
                </c:pt>
                <c:pt idx="4645">
                  <c:v>8.9395200000000017</c:v>
                </c:pt>
                <c:pt idx="4646">
                  <c:v>8.7775200000000027</c:v>
                </c:pt>
                <c:pt idx="4647">
                  <c:v>8.7775200000000027</c:v>
                </c:pt>
                <c:pt idx="4648">
                  <c:v>8.291520000000002</c:v>
                </c:pt>
                <c:pt idx="4649">
                  <c:v>8.9395200000000017</c:v>
                </c:pt>
                <c:pt idx="4650">
                  <c:v>8.291520000000002</c:v>
                </c:pt>
                <c:pt idx="4651">
                  <c:v>8.291520000000002</c:v>
                </c:pt>
                <c:pt idx="4652">
                  <c:v>8.129520000000003</c:v>
                </c:pt>
                <c:pt idx="4653">
                  <c:v>8.9395200000000017</c:v>
                </c:pt>
                <c:pt idx="4654">
                  <c:v>8.7775200000000027</c:v>
                </c:pt>
                <c:pt idx="4655">
                  <c:v>8.7775200000000027</c:v>
                </c:pt>
                <c:pt idx="4656">
                  <c:v>8.291520000000002</c:v>
                </c:pt>
                <c:pt idx="4657">
                  <c:v>8.9395200000000017</c:v>
                </c:pt>
                <c:pt idx="4658">
                  <c:v>8.291520000000002</c:v>
                </c:pt>
                <c:pt idx="4659">
                  <c:v>8.291520000000002</c:v>
                </c:pt>
                <c:pt idx="4660">
                  <c:v>8.129520000000003</c:v>
                </c:pt>
                <c:pt idx="4661">
                  <c:v>8.9395200000000017</c:v>
                </c:pt>
                <c:pt idx="4662">
                  <c:v>8.7775200000000027</c:v>
                </c:pt>
                <c:pt idx="4663">
                  <c:v>8.7775200000000027</c:v>
                </c:pt>
                <c:pt idx="4664">
                  <c:v>8.291520000000002</c:v>
                </c:pt>
                <c:pt idx="4665">
                  <c:v>8.9395200000000017</c:v>
                </c:pt>
                <c:pt idx="4666">
                  <c:v>8.291520000000002</c:v>
                </c:pt>
                <c:pt idx="4667">
                  <c:v>8.291520000000002</c:v>
                </c:pt>
                <c:pt idx="4668">
                  <c:v>8.129520000000003</c:v>
                </c:pt>
                <c:pt idx="4669">
                  <c:v>8.9395200000000017</c:v>
                </c:pt>
                <c:pt idx="4670">
                  <c:v>8.7775200000000027</c:v>
                </c:pt>
                <c:pt idx="4671">
                  <c:v>8.7775200000000027</c:v>
                </c:pt>
                <c:pt idx="4672">
                  <c:v>8.291520000000002</c:v>
                </c:pt>
                <c:pt idx="4673">
                  <c:v>8.9395200000000017</c:v>
                </c:pt>
                <c:pt idx="4674">
                  <c:v>8.291520000000002</c:v>
                </c:pt>
                <c:pt idx="4675">
                  <c:v>8.291520000000002</c:v>
                </c:pt>
                <c:pt idx="4676">
                  <c:v>8.129520000000003</c:v>
                </c:pt>
                <c:pt idx="4677">
                  <c:v>8.9395200000000017</c:v>
                </c:pt>
                <c:pt idx="4678">
                  <c:v>8.7775200000000027</c:v>
                </c:pt>
                <c:pt idx="4679">
                  <c:v>8.7775200000000027</c:v>
                </c:pt>
                <c:pt idx="4680">
                  <c:v>8.291520000000002</c:v>
                </c:pt>
                <c:pt idx="4681">
                  <c:v>8.9395200000000017</c:v>
                </c:pt>
                <c:pt idx="4682">
                  <c:v>8.291520000000002</c:v>
                </c:pt>
                <c:pt idx="4683">
                  <c:v>8.291520000000002</c:v>
                </c:pt>
                <c:pt idx="4684">
                  <c:v>8.129520000000003</c:v>
                </c:pt>
                <c:pt idx="4685">
                  <c:v>8.9395200000000017</c:v>
                </c:pt>
                <c:pt idx="4686">
                  <c:v>8.7775200000000027</c:v>
                </c:pt>
                <c:pt idx="4687">
                  <c:v>8.7775200000000027</c:v>
                </c:pt>
                <c:pt idx="4688">
                  <c:v>8.291520000000002</c:v>
                </c:pt>
                <c:pt idx="4689">
                  <c:v>8.9395200000000017</c:v>
                </c:pt>
                <c:pt idx="4690">
                  <c:v>8.291520000000002</c:v>
                </c:pt>
                <c:pt idx="4691">
                  <c:v>8.291520000000002</c:v>
                </c:pt>
                <c:pt idx="4692">
                  <c:v>8.129520000000003</c:v>
                </c:pt>
                <c:pt idx="4693">
                  <c:v>8.9395200000000017</c:v>
                </c:pt>
                <c:pt idx="4694">
                  <c:v>8.7775200000000027</c:v>
                </c:pt>
                <c:pt idx="4695">
                  <c:v>8.7775200000000027</c:v>
                </c:pt>
                <c:pt idx="4696">
                  <c:v>8.291520000000002</c:v>
                </c:pt>
                <c:pt idx="4697">
                  <c:v>8.9395200000000017</c:v>
                </c:pt>
                <c:pt idx="4698">
                  <c:v>8.291520000000002</c:v>
                </c:pt>
                <c:pt idx="4699">
                  <c:v>8.291520000000002</c:v>
                </c:pt>
                <c:pt idx="4700">
                  <c:v>8.129520000000003</c:v>
                </c:pt>
                <c:pt idx="4701">
                  <c:v>8.9395200000000017</c:v>
                </c:pt>
                <c:pt idx="4702">
                  <c:v>8.7775200000000027</c:v>
                </c:pt>
                <c:pt idx="4703">
                  <c:v>8.7775200000000027</c:v>
                </c:pt>
                <c:pt idx="4704">
                  <c:v>8.291520000000002</c:v>
                </c:pt>
                <c:pt idx="4705">
                  <c:v>8.9395200000000017</c:v>
                </c:pt>
                <c:pt idx="4706">
                  <c:v>8.291520000000002</c:v>
                </c:pt>
                <c:pt idx="4707">
                  <c:v>8.291520000000002</c:v>
                </c:pt>
                <c:pt idx="4708">
                  <c:v>8.129520000000003</c:v>
                </c:pt>
                <c:pt idx="4709">
                  <c:v>8.9395200000000017</c:v>
                </c:pt>
                <c:pt idx="4710">
                  <c:v>8.7775200000000027</c:v>
                </c:pt>
                <c:pt idx="4711">
                  <c:v>8.7775200000000027</c:v>
                </c:pt>
                <c:pt idx="4712">
                  <c:v>8.291520000000002</c:v>
                </c:pt>
                <c:pt idx="4713">
                  <c:v>8.9395200000000017</c:v>
                </c:pt>
                <c:pt idx="4714">
                  <c:v>8.291520000000002</c:v>
                </c:pt>
                <c:pt idx="4715">
                  <c:v>8.291520000000002</c:v>
                </c:pt>
                <c:pt idx="4716">
                  <c:v>8.129520000000003</c:v>
                </c:pt>
                <c:pt idx="4717">
                  <c:v>8.9395200000000017</c:v>
                </c:pt>
                <c:pt idx="4718">
                  <c:v>8.7775200000000027</c:v>
                </c:pt>
                <c:pt idx="4719">
                  <c:v>8.7775200000000027</c:v>
                </c:pt>
                <c:pt idx="4720">
                  <c:v>8.291520000000002</c:v>
                </c:pt>
                <c:pt idx="4721">
                  <c:v>8.9395200000000017</c:v>
                </c:pt>
                <c:pt idx="4722">
                  <c:v>8.291520000000002</c:v>
                </c:pt>
                <c:pt idx="4723">
                  <c:v>8.291520000000002</c:v>
                </c:pt>
                <c:pt idx="4724">
                  <c:v>8.129520000000003</c:v>
                </c:pt>
                <c:pt idx="4725">
                  <c:v>8.9395200000000017</c:v>
                </c:pt>
                <c:pt idx="4726">
                  <c:v>8.7775200000000027</c:v>
                </c:pt>
                <c:pt idx="4727">
                  <c:v>8.7775200000000027</c:v>
                </c:pt>
                <c:pt idx="4728">
                  <c:v>8.291520000000002</c:v>
                </c:pt>
                <c:pt idx="4729">
                  <c:v>8.9395200000000017</c:v>
                </c:pt>
                <c:pt idx="4730">
                  <c:v>8.291520000000002</c:v>
                </c:pt>
                <c:pt idx="4731">
                  <c:v>8.291520000000002</c:v>
                </c:pt>
                <c:pt idx="4732">
                  <c:v>8.129520000000003</c:v>
                </c:pt>
                <c:pt idx="4733">
                  <c:v>8.9395200000000017</c:v>
                </c:pt>
                <c:pt idx="4734">
                  <c:v>8.7775200000000027</c:v>
                </c:pt>
                <c:pt idx="4735">
                  <c:v>8.7775200000000027</c:v>
                </c:pt>
                <c:pt idx="4736">
                  <c:v>8.291520000000002</c:v>
                </c:pt>
                <c:pt idx="4737">
                  <c:v>8.9395200000000017</c:v>
                </c:pt>
                <c:pt idx="4738">
                  <c:v>8.291520000000002</c:v>
                </c:pt>
                <c:pt idx="4739">
                  <c:v>8.291520000000002</c:v>
                </c:pt>
                <c:pt idx="4740">
                  <c:v>8.129520000000003</c:v>
                </c:pt>
                <c:pt idx="4741">
                  <c:v>8.9395200000000017</c:v>
                </c:pt>
                <c:pt idx="4742">
                  <c:v>8.7775200000000027</c:v>
                </c:pt>
                <c:pt idx="4743">
                  <c:v>8.7775200000000027</c:v>
                </c:pt>
                <c:pt idx="4744">
                  <c:v>8.291520000000002</c:v>
                </c:pt>
                <c:pt idx="4745">
                  <c:v>8.9395200000000017</c:v>
                </c:pt>
                <c:pt idx="4746">
                  <c:v>8.291520000000002</c:v>
                </c:pt>
                <c:pt idx="4747">
                  <c:v>8.291520000000002</c:v>
                </c:pt>
                <c:pt idx="4748">
                  <c:v>8.129520000000003</c:v>
                </c:pt>
                <c:pt idx="4749">
                  <c:v>8.9395200000000017</c:v>
                </c:pt>
                <c:pt idx="4750">
                  <c:v>8.7775200000000027</c:v>
                </c:pt>
                <c:pt idx="4751">
                  <c:v>8.7775200000000027</c:v>
                </c:pt>
                <c:pt idx="4752">
                  <c:v>8.291520000000002</c:v>
                </c:pt>
                <c:pt idx="4753">
                  <c:v>8.9395200000000017</c:v>
                </c:pt>
                <c:pt idx="4754">
                  <c:v>8.291520000000002</c:v>
                </c:pt>
                <c:pt idx="4755">
                  <c:v>8.291520000000002</c:v>
                </c:pt>
                <c:pt idx="4756">
                  <c:v>8.129520000000003</c:v>
                </c:pt>
                <c:pt idx="4757">
                  <c:v>8.9395200000000017</c:v>
                </c:pt>
                <c:pt idx="4758">
                  <c:v>8.7775200000000027</c:v>
                </c:pt>
                <c:pt idx="4759">
                  <c:v>8.7775200000000027</c:v>
                </c:pt>
                <c:pt idx="4760">
                  <c:v>8.291520000000002</c:v>
                </c:pt>
                <c:pt idx="4761">
                  <c:v>8.9395200000000017</c:v>
                </c:pt>
                <c:pt idx="4762">
                  <c:v>8.291520000000002</c:v>
                </c:pt>
                <c:pt idx="4763">
                  <c:v>8.291520000000002</c:v>
                </c:pt>
                <c:pt idx="4764">
                  <c:v>8.129520000000003</c:v>
                </c:pt>
                <c:pt idx="4765">
                  <c:v>8.9395200000000017</c:v>
                </c:pt>
                <c:pt idx="4766">
                  <c:v>8.7775200000000027</c:v>
                </c:pt>
                <c:pt idx="4767">
                  <c:v>8.7775200000000027</c:v>
                </c:pt>
                <c:pt idx="4768">
                  <c:v>8.291520000000002</c:v>
                </c:pt>
                <c:pt idx="4769">
                  <c:v>8.9395200000000017</c:v>
                </c:pt>
                <c:pt idx="4770">
                  <c:v>8.291520000000002</c:v>
                </c:pt>
                <c:pt idx="4771">
                  <c:v>8.291520000000002</c:v>
                </c:pt>
                <c:pt idx="4772">
                  <c:v>8.129520000000003</c:v>
                </c:pt>
                <c:pt idx="4773">
                  <c:v>8.9395200000000017</c:v>
                </c:pt>
                <c:pt idx="4774">
                  <c:v>8.7775200000000027</c:v>
                </c:pt>
                <c:pt idx="4775">
                  <c:v>8.7775200000000027</c:v>
                </c:pt>
                <c:pt idx="4776">
                  <c:v>8.291520000000002</c:v>
                </c:pt>
                <c:pt idx="4777">
                  <c:v>8.9395200000000017</c:v>
                </c:pt>
                <c:pt idx="4778">
                  <c:v>8.291520000000002</c:v>
                </c:pt>
                <c:pt idx="4779">
                  <c:v>8.291520000000002</c:v>
                </c:pt>
                <c:pt idx="4780">
                  <c:v>8.129520000000003</c:v>
                </c:pt>
                <c:pt idx="4781">
                  <c:v>8.9395200000000017</c:v>
                </c:pt>
                <c:pt idx="4782">
                  <c:v>8.7775200000000027</c:v>
                </c:pt>
                <c:pt idx="4783">
                  <c:v>8.7775200000000027</c:v>
                </c:pt>
                <c:pt idx="4784">
                  <c:v>8.291520000000002</c:v>
                </c:pt>
                <c:pt idx="4785">
                  <c:v>8.9395200000000017</c:v>
                </c:pt>
                <c:pt idx="4786">
                  <c:v>8.291520000000002</c:v>
                </c:pt>
                <c:pt idx="4787">
                  <c:v>8.291520000000002</c:v>
                </c:pt>
                <c:pt idx="4788">
                  <c:v>8.129520000000003</c:v>
                </c:pt>
                <c:pt idx="4789">
                  <c:v>8.9395200000000017</c:v>
                </c:pt>
                <c:pt idx="4790">
                  <c:v>8.7775200000000027</c:v>
                </c:pt>
                <c:pt idx="4791">
                  <c:v>8.7775200000000027</c:v>
                </c:pt>
                <c:pt idx="4792">
                  <c:v>8.291520000000002</c:v>
                </c:pt>
                <c:pt idx="4793">
                  <c:v>8.9395200000000017</c:v>
                </c:pt>
                <c:pt idx="4794">
                  <c:v>8.291520000000002</c:v>
                </c:pt>
                <c:pt idx="4795">
                  <c:v>8.291520000000002</c:v>
                </c:pt>
                <c:pt idx="4796">
                  <c:v>8.129520000000003</c:v>
                </c:pt>
                <c:pt idx="4797">
                  <c:v>8.9395200000000017</c:v>
                </c:pt>
                <c:pt idx="4798">
                  <c:v>8.7775200000000027</c:v>
                </c:pt>
                <c:pt idx="4799">
                  <c:v>8.7775200000000027</c:v>
                </c:pt>
                <c:pt idx="4800">
                  <c:v>8.291520000000002</c:v>
                </c:pt>
                <c:pt idx="4801">
                  <c:v>8.9395200000000017</c:v>
                </c:pt>
                <c:pt idx="4802">
                  <c:v>8.291520000000002</c:v>
                </c:pt>
                <c:pt idx="4803">
                  <c:v>8.291520000000002</c:v>
                </c:pt>
                <c:pt idx="4804">
                  <c:v>8.129520000000003</c:v>
                </c:pt>
                <c:pt idx="4805">
                  <c:v>8.9395200000000017</c:v>
                </c:pt>
                <c:pt idx="4806">
                  <c:v>8.7775200000000027</c:v>
                </c:pt>
                <c:pt idx="4807">
                  <c:v>8.7775200000000027</c:v>
                </c:pt>
                <c:pt idx="4808">
                  <c:v>8.291520000000002</c:v>
                </c:pt>
                <c:pt idx="4809">
                  <c:v>8.9395200000000017</c:v>
                </c:pt>
                <c:pt idx="4810">
                  <c:v>8.291520000000002</c:v>
                </c:pt>
                <c:pt idx="4811">
                  <c:v>8.291520000000002</c:v>
                </c:pt>
                <c:pt idx="4812">
                  <c:v>8.129520000000003</c:v>
                </c:pt>
                <c:pt idx="4813">
                  <c:v>8.9395200000000017</c:v>
                </c:pt>
                <c:pt idx="4814">
                  <c:v>8.7775200000000027</c:v>
                </c:pt>
                <c:pt idx="4815">
                  <c:v>8.7775200000000027</c:v>
                </c:pt>
                <c:pt idx="4816">
                  <c:v>8.291520000000002</c:v>
                </c:pt>
                <c:pt idx="4817">
                  <c:v>8.9395200000000017</c:v>
                </c:pt>
              </c:numCache>
            </c:numRef>
          </c:xVal>
          <c:yVal>
            <c:numRef>
              <c:f>Plot_Data!$BN$5:$BN$4822</c:f>
              <c:numCache>
                <c:formatCode>0.000</c:formatCode>
                <c:ptCount val="4818"/>
                <c:pt idx="0">
                  <c:v>-1.84</c:v>
                </c:pt>
                <c:pt idx="1">
                  <c:v>-1.31</c:v>
                </c:pt>
                <c:pt idx="2">
                  <c:v>-1.31</c:v>
                </c:pt>
                <c:pt idx="3">
                  <c:v>-1.31</c:v>
                </c:pt>
                <c:pt idx="4">
                  <c:v>-1.31</c:v>
                </c:pt>
                <c:pt idx="5">
                  <c:v>-1.84</c:v>
                </c:pt>
                <c:pt idx="6">
                  <c:v>-1.84</c:v>
                </c:pt>
                <c:pt idx="7">
                  <c:v>-1.84</c:v>
                </c:pt>
                <c:pt idx="8">
                  <c:v>-1.84</c:v>
                </c:pt>
                <c:pt idx="9">
                  <c:v>-1.31</c:v>
                </c:pt>
                <c:pt idx="10">
                  <c:v>-1.31</c:v>
                </c:pt>
                <c:pt idx="11">
                  <c:v>-1.31</c:v>
                </c:pt>
                <c:pt idx="12">
                  <c:v>-1.31</c:v>
                </c:pt>
                <c:pt idx="13">
                  <c:v>-1.84</c:v>
                </c:pt>
                <c:pt idx="14">
                  <c:v>-1.84</c:v>
                </c:pt>
                <c:pt idx="15">
                  <c:v>-1.84</c:v>
                </c:pt>
                <c:pt idx="16">
                  <c:v>-1.84</c:v>
                </c:pt>
                <c:pt idx="17">
                  <c:v>-1.31</c:v>
                </c:pt>
                <c:pt idx="18">
                  <c:v>-1.31</c:v>
                </c:pt>
                <c:pt idx="19">
                  <c:v>-1.31</c:v>
                </c:pt>
                <c:pt idx="20">
                  <c:v>-1.31</c:v>
                </c:pt>
                <c:pt idx="21">
                  <c:v>-1.84</c:v>
                </c:pt>
                <c:pt idx="22">
                  <c:v>-1.84</c:v>
                </c:pt>
                <c:pt idx="23">
                  <c:v>-1.84</c:v>
                </c:pt>
                <c:pt idx="24">
                  <c:v>-1.84</c:v>
                </c:pt>
                <c:pt idx="25">
                  <c:v>-1.31</c:v>
                </c:pt>
                <c:pt idx="26">
                  <c:v>-1.31</c:v>
                </c:pt>
                <c:pt idx="27">
                  <c:v>-1.31</c:v>
                </c:pt>
                <c:pt idx="28">
                  <c:v>-1.31</c:v>
                </c:pt>
                <c:pt idx="29">
                  <c:v>-1.84</c:v>
                </c:pt>
                <c:pt idx="30">
                  <c:v>-1.84</c:v>
                </c:pt>
                <c:pt idx="31">
                  <c:v>-1.84</c:v>
                </c:pt>
                <c:pt idx="32">
                  <c:v>-1.84</c:v>
                </c:pt>
                <c:pt idx="33">
                  <c:v>-1.31</c:v>
                </c:pt>
                <c:pt idx="34">
                  <c:v>-1.31</c:v>
                </c:pt>
                <c:pt idx="35">
                  <c:v>-1.31</c:v>
                </c:pt>
                <c:pt idx="36">
                  <c:v>-1.31</c:v>
                </c:pt>
                <c:pt idx="37">
                  <c:v>-1.84</c:v>
                </c:pt>
                <c:pt idx="38">
                  <c:v>-1.84</c:v>
                </c:pt>
                <c:pt idx="39">
                  <c:v>-1.84</c:v>
                </c:pt>
                <c:pt idx="40">
                  <c:v>-1.84</c:v>
                </c:pt>
                <c:pt idx="41">
                  <c:v>-1.31</c:v>
                </c:pt>
                <c:pt idx="42">
                  <c:v>-1.31</c:v>
                </c:pt>
                <c:pt idx="43">
                  <c:v>-1.31</c:v>
                </c:pt>
                <c:pt idx="44">
                  <c:v>-1.31</c:v>
                </c:pt>
                <c:pt idx="45">
                  <c:v>-1.84</c:v>
                </c:pt>
                <c:pt idx="46">
                  <c:v>-1.84</c:v>
                </c:pt>
                <c:pt idx="47">
                  <c:v>-1.84</c:v>
                </c:pt>
                <c:pt idx="48">
                  <c:v>-1.84</c:v>
                </c:pt>
                <c:pt idx="49">
                  <c:v>-1.31</c:v>
                </c:pt>
                <c:pt idx="50">
                  <c:v>-1.31</c:v>
                </c:pt>
                <c:pt idx="51">
                  <c:v>-1.31</c:v>
                </c:pt>
                <c:pt idx="52">
                  <c:v>-1.31</c:v>
                </c:pt>
                <c:pt idx="53">
                  <c:v>-1.84</c:v>
                </c:pt>
                <c:pt idx="54">
                  <c:v>-1.84</c:v>
                </c:pt>
                <c:pt idx="55">
                  <c:v>-1.84</c:v>
                </c:pt>
                <c:pt idx="56">
                  <c:v>-1.84</c:v>
                </c:pt>
                <c:pt idx="57">
                  <c:v>-1.31</c:v>
                </c:pt>
                <c:pt idx="58">
                  <c:v>-1.31</c:v>
                </c:pt>
                <c:pt idx="59">
                  <c:v>-1.31</c:v>
                </c:pt>
                <c:pt idx="60">
                  <c:v>-1.31</c:v>
                </c:pt>
                <c:pt idx="61">
                  <c:v>-1.84</c:v>
                </c:pt>
                <c:pt idx="62">
                  <c:v>-1.84</c:v>
                </c:pt>
                <c:pt idx="63">
                  <c:v>-1.84</c:v>
                </c:pt>
                <c:pt idx="64">
                  <c:v>-1.84</c:v>
                </c:pt>
                <c:pt idx="65">
                  <c:v>-1.31</c:v>
                </c:pt>
                <c:pt idx="66">
                  <c:v>-1.31</c:v>
                </c:pt>
                <c:pt idx="67">
                  <c:v>-1.31</c:v>
                </c:pt>
                <c:pt idx="68">
                  <c:v>-1.31</c:v>
                </c:pt>
                <c:pt idx="69">
                  <c:v>-1.84</c:v>
                </c:pt>
                <c:pt idx="70">
                  <c:v>-1.84</c:v>
                </c:pt>
                <c:pt idx="71">
                  <c:v>-1.84</c:v>
                </c:pt>
                <c:pt idx="72">
                  <c:v>-1.84</c:v>
                </c:pt>
                <c:pt idx="73">
                  <c:v>-1.31</c:v>
                </c:pt>
                <c:pt idx="74">
                  <c:v>-1.31</c:v>
                </c:pt>
                <c:pt idx="75">
                  <c:v>-1.31</c:v>
                </c:pt>
                <c:pt idx="76">
                  <c:v>-1.31</c:v>
                </c:pt>
                <c:pt idx="77">
                  <c:v>-1.84</c:v>
                </c:pt>
                <c:pt idx="78">
                  <c:v>-1.84</c:v>
                </c:pt>
                <c:pt idx="79">
                  <c:v>-1.84</c:v>
                </c:pt>
                <c:pt idx="80">
                  <c:v>-1.84</c:v>
                </c:pt>
                <c:pt idx="81">
                  <c:v>-1.31</c:v>
                </c:pt>
                <c:pt idx="82">
                  <c:v>-1.31</c:v>
                </c:pt>
                <c:pt idx="83">
                  <c:v>-1.31</c:v>
                </c:pt>
                <c:pt idx="84">
                  <c:v>-1.31</c:v>
                </c:pt>
                <c:pt idx="85">
                  <c:v>-1.84</c:v>
                </c:pt>
                <c:pt idx="86">
                  <c:v>-1.84</c:v>
                </c:pt>
                <c:pt idx="87">
                  <c:v>-1.84</c:v>
                </c:pt>
                <c:pt idx="88">
                  <c:v>-1.84</c:v>
                </c:pt>
                <c:pt idx="89">
                  <c:v>-1.31</c:v>
                </c:pt>
                <c:pt idx="90">
                  <c:v>-1.31</c:v>
                </c:pt>
                <c:pt idx="91">
                  <c:v>-1.31</c:v>
                </c:pt>
                <c:pt idx="92">
                  <c:v>-1.31</c:v>
                </c:pt>
                <c:pt idx="93">
                  <c:v>-1.84</c:v>
                </c:pt>
                <c:pt idx="94">
                  <c:v>-1.84</c:v>
                </c:pt>
                <c:pt idx="95">
                  <c:v>-1.84</c:v>
                </c:pt>
                <c:pt idx="96">
                  <c:v>-1.84</c:v>
                </c:pt>
                <c:pt idx="97">
                  <c:v>-1.31</c:v>
                </c:pt>
                <c:pt idx="98">
                  <c:v>-1.31</c:v>
                </c:pt>
                <c:pt idx="99">
                  <c:v>-1.31</c:v>
                </c:pt>
                <c:pt idx="100">
                  <c:v>-1.31</c:v>
                </c:pt>
                <c:pt idx="101">
                  <c:v>-1.84</c:v>
                </c:pt>
                <c:pt idx="102">
                  <c:v>-1.84</c:v>
                </c:pt>
                <c:pt idx="103">
                  <c:v>-1.84</c:v>
                </c:pt>
                <c:pt idx="104">
                  <c:v>-1.84</c:v>
                </c:pt>
                <c:pt idx="105">
                  <c:v>-1.31</c:v>
                </c:pt>
                <c:pt idx="106">
                  <c:v>-1.31</c:v>
                </c:pt>
                <c:pt idx="107">
                  <c:v>-1.31</c:v>
                </c:pt>
                <c:pt idx="108">
                  <c:v>-1.31</c:v>
                </c:pt>
                <c:pt idx="109">
                  <c:v>-1.84</c:v>
                </c:pt>
                <c:pt idx="110">
                  <c:v>-1.84</c:v>
                </c:pt>
                <c:pt idx="111">
                  <c:v>-1.84</c:v>
                </c:pt>
                <c:pt idx="112">
                  <c:v>-1.84</c:v>
                </c:pt>
                <c:pt idx="113">
                  <c:v>-1.31</c:v>
                </c:pt>
                <c:pt idx="114">
                  <c:v>-1.31</c:v>
                </c:pt>
                <c:pt idx="115">
                  <c:v>-1.31</c:v>
                </c:pt>
                <c:pt idx="116">
                  <c:v>-1.31</c:v>
                </c:pt>
                <c:pt idx="117">
                  <c:v>-1.84</c:v>
                </c:pt>
                <c:pt idx="118">
                  <c:v>-1.84</c:v>
                </c:pt>
                <c:pt idx="119">
                  <c:v>-1.84</c:v>
                </c:pt>
                <c:pt idx="120">
                  <c:v>-1.84</c:v>
                </c:pt>
                <c:pt idx="121">
                  <c:v>-1.31</c:v>
                </c:pt>
                <c:pt idx="122">
                  <c:v>-1.31</c:v>
                </c:pt>
                <c:pt idx="123">
                  <c:v>-1.31</c:v>
                </c:pt>
                <c:pt idx="124">
                  <c:v>-1.31</c:v>
                </c:pt>
                <c:pt idx="125">
                  <c:v>-1.84</c:v>
                </c:pt>
                <c:pt idx="126">
                  <c:v>-1.84</c:v>
                </c:pt>
                <c:pt idx="127">
                  <c:v>-1.84</c:v>
                </c:pt>
                <c:pt idx="128">
                  <c:v>-1.84</c:v>
                </c:pt>
                <c:pt idx="129">
                  <c:v>-1.31</c:v>
                </c:pt>
                <c:pt idx="130">
                  <c:v>-1.31</c:v>
                </c:pt>
                <c:pt idx="131">
                  <c:v>-1.31</c:v>
                </c:pt>
                <c:pt idx="132">
                  <c:v>-1.31</c:v>
                </c:pt>
                <c:pt idx="133">
                  <c:v>-1.84</c:v>
                </c:pt>
                <c:pt idx="134">
                  <c:v>-1.84</c:v>
                </c:pt>
                <c:pt idx="135">
                  <c:v>-1.84</c:v>
                </c:pt>
                <c:pt idx="136">
                  <c:v>-1.84</c:v>
                </c:pt>
                <c:pt idx="137">
                  <c:v>-1.31</c:v>
                </c:pt>
                <c:pt idx="138">
                  <c:v>-1.31</c:v>
                </c:pt>
                <c:pt idx="139">
                  <c:v>-1.31</c:v>
                </c:pt>
                <c:pt idx="140">
                  <c:v>-1.31</c:v>
                </c:pt>
                <c:pt idx="141">
                  <c:v>-1.84</c:v>
                </c:pt>
                <c:pt idx="142">
                  <c:v>-1.84</c:v>
                </c:pt>
                <c:pt idx="143">
                  <c:v>-1.84</c:v>
                </c:pt>
                <c:pt idx="144">
                  <c:v>-1.84</c:v>
                </c:pt>
                <c:pt idx="145">
                  <c:v>-1.31</c:v>
                </c:pt>
                <c:pt idx="146">
                  <c:v>-1.31</c:v>
                </c:pt>
                <c:pt idx="147">
                  <c:v>-1.31</c:v>
                </c:pt>
                <c:pt idx="148">
                  <c:v>-1.31</c:v>
                </c:pt>
                <c:pt idx="149">
                  <c:v>-1.84</c:v>
                </c:pt>
                <c:pt idx="150">
                  <c:v>-1.84</c:v>
                </c:pt>
                <c:pt idx="151">
                  <c:v>-1.84</c:v>
                </c:pt>
                <c:pt idx="152">
                  <c:v>-1.84</c:v>
                </c:pt>
                <c:pt idx="153">
                  <c:v>-1.31</c:v>
                </c:pt>
                <c:pt idx="154">
                  <c:v>-1.31</c:v>
                </c:pt>
                <c:pt idx="155">
                  <c:v>-1.31</c:v>
                </c:pt>
                <c:pt idx="156">
                  <c:v>-1.31</c:v>
                </c:pt>
                <c:pt idx="157">
                  <c:v>-1.84</c:v>
                </c:pt>
                <c:pt idx="158">
                  <c:v>-1.84</c:v>
                </c:pt>
                <c:pt idx="159">
                  <c:v>-1.84</c:v>
                </c:pt>
                <c:pt idx="160">
                  <c:v>-1.84</c:v>
                </c:pt>
                <c:pt idx="161">
                  <c:v>-1.31</c:v>
                </c:pt>
                <c:pt idx="162">
                  <c:v>-1.31</c:v>
                </c:pt>
                <c:pt idx="163">
                  <c:v>-1.31</c:v>
                </c:pt>
                <c:pt idx="164">
                  <c:v>-1.31</c:v>
                </c:pt>
                <c:pt idx="165">
                  <c:v>-1.84</c:v>
                </c:pt>
                <c:pt idx="166">
                  <c:v>-1.84</c:v>
                </c:pt>
                <c:pt idx="167">
                  <c:v>-1.84</c:v>
                </c:pt>
                <c:pt idx="168">
                  <c:v>-1.84</c:v>
                </c:pt>
                <c:pt idx="169">
                  <c:v>-1.31</c:v>
                </c:pt>
                <c:pt idx="170">
                  <c:v>-1.31</c:v>
                </c:pt>
                <c:pt idx="171">
                  <c:v>-1.31</c:v>
                </c:pt>
                <c:pt idx="172">
                  <c:v>-1.31</c:v>
                </c:pt>
                <c:pt idx="173">
                  <c:v>-1.84</c:v>
                </c:pt>
                <c:pt idx="174">
                  <c:v>-1.84</c:v>
                </c:pt>
                <c:pt idx="175">
                  <c:v>-1.84</c:v>
                </c:pt>
                <c:pt idx="176">
                  <c:v>-1.84</c:v>
                </c:pt>
                <c:pt idx="177">
                  <c:v>-1.31</c:v>
                </c:pt>
                <c:pt idx="178">
                  <c:v>-1.31</c:v>
                </c:pt>
                <c:pt idx="179">
                  <c:v>-1.31</c:v>
                </c:pt>
                <c:pt idx="180">
                  <c:v>-1.31</c:v>
                </c:pt>
                <c:pt idx="181">
                  <c:v>-1.84</c:v>
                </c:pt>
                <c:pt idx="182">
                  <c:v>-1.84</c:v>
                </c:pt>
                <c:pt idx="183">
                  <c:v>-1.84</c:v>
                </c:pt>
                <c:pt idx="184">
                  <c:v>-1.84</c:v>
                </c:pt>
                <c:pt idx="185">
                  <c:v>-1.31</c:v>
                </c:pt>
                <c:pt idx="186">
                  <c:v>-1.31</c:v>
                </c:pt>
                <c:pt idx="187">
                  <c:v>-1.31</c:v>
                </c:pt>
                <c:pt idx="188">
                  <c:v>-1.31</c:v>
                </c:pt>
                <c:pt idx="189">
                  <c:v>-1.84</c:v>
                </c:pt>
                <c:pt idx="190">
                  <c:v>-1.84</c:v>
                </c:pt>
                <c:pt idx="191">
                  <c:v>-1.84</c:v>
                </c:pt>
                <c:pt idx="192">
                  <c:v>-1.84</c:v>
                </c:pt>
                <c:pt idx="193">
                  <c:v>-1.31</c:v>
                </c:pt>
                <c:pt idx="194">
                  <c:v>-1.31</c:v>
                </c:pt>
                <c:pt idx="195">
                  <c:v>-1.31</c:v>
                </c:pt>
                <c:pt idx="196">
                  <c:v>-1.31</c:v>
                </c:pt>
                <c:pt idx="197">
                  <c:v>-1.84</c:v>
                </c:pt>
                <c:pt idx="198">
                  <c:v>-1.84</c:v>
                </c:pt>
                <c:pt idx="199">
                  <c:v>-1.84</c:v>
                </c:pt>
                <c:pt idx="200">
                  <c:v>-1.84</c:v>
                </c:pt>
                <c:pt idx="201">
                  <c:v>-1.31</c:v>
                </c:pt>
                <c:pt idx="202">
                  <c:v>-1.31</c:v>
                </c:pt>
                <c:pt idx="203">
                  <c:v>-1.31</c:v>
                </c:pt>
                <c:pt idx="204">
                  <c:v>-1.31</c:v>
                </c:pt>
                <c:pt idx="205">
                  <c:v>-1.84</c:v>
                </c:pt>
                <c:pt idx="206">
                  <c:v>-1.84</c:v>
                </c:pt>
                <c:pt idx="207">
                  <c:v>-1.84</c:v>
                </c:pt>
                <c:pt idx="208">
                  <c:v>-1.84</c:v>
                </c:pt>
                <c:pt idx="209">
                  <c:v>-1.31</c:v>
                </c:pt>
                <c:pt idx="210">
                  <c:v>-1.31</c:v>
                </c:pt>
                <c:pt idx="211">
                  <c:v>-1.31</c:v>
                </c:pt>
                <c:pt idx="212">
                  <c:v>-1.31</c:v>
                </c:pt>
                <c:pt idx="213">
                  <c:v>-1.84</c:v>
                </c:pt>
                <c:pt idx="214">
                  <c:v>-1.84</c:v>
                </c:pt>
                <c:pt idx="215">
                  <c:v>-1.84</c:v>
                </c:pt>
                <c:pt idx="216">
                  <c:v>-1.84</c:v>
                </c:pt>
                <c:pt idx="217">
                  <c:v>-1.31</c:v>
                </c:pt>
                <c:pt idx="218">
                  <c:v>-1.31</c:v>
                </c:pt>
                <c:pt idx="219">
                  <c:v>-1.31</c:v>
                </c:pt>
                <c:pt idx="220">
                  <c:v>-1.31</c:v>
                </c:pt>
                <c:pt idx="221">
                  <c:v>-1.84</c:v>
                </c:pt>
                <c:pt idx="222">
                  <c:v>-1.84</c:v>
                </c:pt>
                <c:pt idx="223">
                  <c:v>-1.84</c:v>
                </c:pt>
                <c:pt idx="224">
                  <c:v>-1.84</c:v>
                </c:pt>
                <c:pt idx="225">
                  <c:v>-1.31</c:v>
                </c:pt>
                <c:pt idx="226">
                  <c:v>-1.31</c:v>
                </c:pt>
                <c:pt idx="227">
                  <c:v>-1.31</c:v>
                </c:pt>
                <c:pt idx="228">
                  <c:v>-1.31</c:v>
                </c:pt>
                <c:pt idx="229">
                  <c:v>-1.84</c:v>
                </c:pt>
                <c:pt idx="230">
                  <c:v>-1.84</c:v>
                </c:pt>
                <c:pt idx="231">
                  <c:v>-1.84</c:v>
                </c:pt>
                <c:pt idx="232">
                  <c:v>-1.84</c:v>
                </c:pt>
                <c:pt idx="233">
                  <c:v>-1.31</c:v>
                </c:pt>
                <c:pt idx="234">
                  <c:v>-1.31</c:v>
                </c:pt>
                <c:pt idx="235">
                  <c:v>-1.31</c:v>
                </c:pt>
                <c:pt idx="236">
                  <c:v>-1.31</c:v>
                </c:pt>
                <c:pt idx="237">
                  <c:v>-1.84</c:v>
                </c:pt>
                <c:pt idx="238">
                  <c:v>-1.84</c:v>
                </c:pt>
                <c:pt idx="239">
                  <c:v>-1.84</c:v>
                </c:pt>
                <c:pt idx="240">
                  <c:v>-1.84</c:v>
                </c:pt>
                <c:pt idx="241">
                  <c:v>-1.31</c:v>
                </c:pt>
                <c:pt idx="242">
                  <c:v>-1.31</c:v>
                </c:pt>
                <c:pt idx="243">
                  <c:v>-1.31</c:v>
                </c:pt>
                <c:pt idx="244">
                  <c:v>-1.31</c:v>
                </c:pt>
                <c:pt idx="245">
                  <c:v>-1.84</c:v>
                </c:pt>
                <c:pt idx="246">
                  <c:v>-1.84</c:v>
                </c:pt>
                <c:pt idx="247">
                  <c:v>-1.84</c:v>
                </c:pt>
                <c:pt idx="248">
                  <c:v>-1.84</c:v>
                </c:pt>
                <c:pt idx="249">
                  <c:v>-1.31</c:v>
                </c:pt>
                <c:pt idx="250">
                  <c:v>-1.31</c:v>
                </c:pt>
                <c:pt idx="251">
                  <c:v>-1.31</c:v>
                </c:pt>
                <c:pt idx="252">
                  <c:v>-1.31</c:v>
                </c:pt>
                <c:pt idx="253">
                  <c:v>-1.84</c:v>
                </c:pt>
                <c:pt idx="254">
                  <c:v>-1.84</c:v>
                </c:pt>
                <c:pt idx="255">
                  <c:v>-1.84</c:v>
                </c:pt>
                <c:pt idx="256">
                  <c:v>-1.84</c:v>
                </c:pt>
                <c:pt idx="257">
                  <c:v>-1.31</c:v>
                </c:pt>
                <c:pt idx="258">
                  <c:v>-1.31</c:v>
                </c:pt>
                <c:pt idx="259">
                  <c:v>-1.31</c:v>
                </c:pt>
                <c:pt idx="260">
                  <c:v>-1.31</c:v>
                </c:pt>
                <c:pt idx="261">
                  <c:v>-1.84</c:v>
                </c:pt>
                <c:pt idx="262">
                  <c:v>-1.84</c:v>
                </c:pt>
                <c:pt idx="263">
                  <c:v>-1.84</c:v>
                </c:pt>
                <c:pt idx="264">
                  <c:v>-1.84</c:v>
                </c:pt>
                <c:pt idx="265">
                  <c:v>-1.31</c:v>
                </c:pt>
                <c:pt idx="266">
                  <c:v>-1.31</c:v>
                </c:pt>
                <c:pt idx="267">
                  <c:v>-1.31</c:v>
                </c:pt>
                <c:pt idx="268">
                  <c:v>-1.31</c:v>
                </c:pt>
                <c:pt idx="269">
                  <c:v>-1.84</c:v>
                </c:pt>
                <c:pt idx="270">
                  <c:v>-1.84</c:v>
                </c:pt>
                <c:pt idx="271">
                  <c:v>-1.84</c:v>
                </c:pt>
                <c:pt idx="272">
                  <c:v>-1.84</c:v>
                </c:pt>
                <c:pt idx="273">
                  <c:v>-1.31</c:v>
                </c:pt>
                <c:pt idx="274">
                  <c:v>-1.31</c:v>
                </c:pt>
                <c:pt idx="275">
                  <c:v>-1.31</c:v>
                </c:pt>
                <c:pt idx="276">
                  <c:v>-1.31</c:v>
                </c:pt>
                <c:pt idx="277">
                  <c:v>-1.84</c:v>
                </c:pt>
                <c:pt idx="278">
                  <c:v>-1.84</c:v>
                </c:pt>
                <c:pt idx="279">
                  <c:v>-1.84</c:v>
                </c:pt>
                <c:pt idx="280">
                  <c:v>-1.84</c:v>
                </c:pt>
                <c:pt idx="281">
                  <c:v>-1.31</c:v>
                </c:pt>
                <c:pt idx="282">
                  <c:v>-1.31</c:v>
                </c:pt>
                <c:pt idx="283">
                  <c:v>-1.31</c:v>
                </c:pt>
                <c:pt idx="284">
                  <c:v>-1.31</c:v>
                </c:pt>
                <c:pt idx="285">
                  <c:v>-1.84</c:v>
                </c:pt>
                <c:pt idx="286">
                  <c:v>-1.84</c:v>
                </c:pt>
                <c:pt idx="287">
                  <c:v>-1.84</c:v>
                </c:pt>
                <c:pt idx="288">
                  <c:v>-1.84</c:v>
                </c:pt>
                <c:pt idx="289">
                  <c:v>-1.31</c:v>
                </c:pt>
                <c:pt idx="290">
                  <c:v>-1.31</c:v>
                </c:pt>
                <c:pt idx="291">
                  <c:v>-1.31</c:v>
                </c:pt>
                <c:pt idx="292">
                  <c:v>-1.31</c:v>
                </c:pt>
                <c:pt idx="293">
                  <c:v>-1.84</c:v>
                </c:pt>
                <c:pt idx="294">
                  <c:v>-1.84</c:v>
                </c:pt>
                <c:pt idx="295">
                  <c:v>-1.84</c:v>
                </c:pt>
                <c:pt idx="296">
                  <c:v>-1.84</c:v>
                </c:pt>
                <c:pt idx="297">
                  <c:v>-1.31</c:v>
                </c:pt>
                <c:pt idx="298">
                  <c:v>-1.31</c:v>
                </c:pt>
                <c:pt idx="299">
                  <c:v>-1.31</c:v>
                </c:pt>
                <c:pt idx="300">
                  <c:v>-1.31</c:v>
                </c:pt>
                <c:pt idx="301">
                  <c:v>-1.84</c:v>
                </c:pt>
                <c:pt idx="302">
                  <c:v>-1.84</c:v>
                </c:pt>
                <c:pt idx="303">
                  <c:v>-1.84</c:v>
                </c:pt>
                <c:pt idx="304">
                  <c:v>-1.84</c:v>
                </c:pt>
                <c:pt idx="305">
                  <c:v>-1.31</c:v>
                </c:pt>
                <c:pt idx="306">
                  <c:v>-1.31</c:v>
                </c:pt>
                <c:pt idx="307">
                  <c:v>-1.31</c:v>
                </c:pt>
                <c:pt idx="308">
                  <c:v>-1.31</c:v>
                </c:pt>
                <c:pt idx="309">
                  <c:v>-1.84</c:v>
                </c:pt>
                <c:pt idx="310">
                  <c:v>-1.84</c:v>
                </c:pt>
                <c:pt idx="311">
                  <c:v>-1.84</c:v>
                </c:pt>
                <c:pt idx="312">
                  <c:v>-1.84</c:v>
                </c:pt>
                <c:pt idx="313">
                  <c:v>-1.31</c:v>
                </c:pt>
                <c:pt idx="314">
                  <c:v>-1.31</c:v>
                </c:pt>
                <c:pt idx="315">
                  <c:v>-1.31</c:v>
                </c:pt>
                <c:pt idx="316">
                  <c:v>-1.31</c:v>
                </c:pt>
                <c:pt idx="317">
                  <c:v>-1.84</c:v>
                </c:pt>
                <c:pt idx="318">
                  <c:v>-1.84</c:v>
                </c:pt>
                <c:pt idx="319">
                  <c:v>-1.84</c:v>
                </c:pt>
                <c:pt idx="320">
                  <c:v>-1.84</c:v>
                </c:pt>
                <c:pt idx="321">
                  <c:v>-1.31</c:v>
                </c:pt>
                <c:pt idx="322">
                  <c:v>-1.31</c:v>
                </c:pt>
                <c:pt idx="323">
                  <c:v>-1.31</c:v>
                </c:pt>
                <c:pt idx="324">
                  <c:v>-1.31</c:v>
                </c:pt>
                <c:pt idx="325">
                  <c:v>-1.84</c:v>
                </c:pt>
                <c:pt idx="326">
                  <c:v>-1.84</c:v>
                </c:pt>
                <c:pt idx="327">
                  <c:v>-1.84</c:v>
                </c:pt>
                <c:pt idx="328">
                  <c:v>-1.84</c:v>
                </c:pt>
                <c:pt idx="329">
                  <c:v>-1.31</c:v>
                </c:pt>
                <c:pt idx="330">
                  <c:v>-1.31</c:v>
                </c:pt>
                <c:pt idx="331">
                  <c:v>-1.31</c:v>
                </c:pt>
                <c:pt idx="332">
                  <c:v>-1.31</c:v>
                </c:pt>
                <c:pt idx="333">
                  <c:v>-1.84</c:v>
                </c:pt>
                <c:pt idx="334">
                  <c:v>-1.84</c:v>
                </c:pt>
                <c:pt idx="335">
                  <c:v>-1.84</c:v>
                </c:pt>
                <c:pt idx="336">
                  <c:v>-1.84</c:v>
                </c:pt>
                <c:pt idx="337">
                  <c:v>-1.31</c:v>
                </c:pt>
                <c:pt idx="338">
                  <c:v>-1.31</c:v>
                </c:pt>
                <c:pt idx="339">
                  <c:v>-1.31</c:v>
                </c:pt>
                <c:pt idx="340">
                  <c:v>-1.31</c:v>
                </c:pt>
                <c:pt idx="341">
                  <c:v>-1.84</c:v>
                </c:pt>
                <c:pt idx="342">
                  <c:v>-1.84</c:v>
                </c:pt>
                <c:pt idx="343">
                  <c:v>-1.84</c:v>
                </c:pt>
                <c:pt idx="344">
                  <c:v>-1.84</c:v>
                </c:pt>
                <c:pt idx="345">
                  <c:v>-1.31</c:v>
                </c:pt>
                <c:pt idx="346">
                  <c:v>-1.31</c:v>
                </c:pt>
                <c:pt idx="347">
                  <c:v>-1.31</c:v>
                </c:pt>
                <c:pt idx="348">
                  <c:v>-1.31</c:v>
                </c:pt>
                <c:pt idx="349">
                  <c:v>-1.84</c:v>
                </c:pt>
                <c:pt idx="350">
                  <c:v>-1.84</c:v>
                </c:pt>
                <c:pt idx="351">
                  <c:v>-1.84</c:v>
                </c:pt>
                <c:pt idx="352">
                  <c:v>-1.84</c:v>
                </c:pt>
                <c:pt idx="353">
                  <c:v>-1.31</c:v>
                </c:pt>
                <c:pt idx="354">
                  <c:v>-1.31</c:v>
                </c:pt>
                <c:pt idx="355">
                  <c:v>-1.31</c:v>
                </c:pt>
                <c:pt idx="356">
                  <c:v>-1.31</c:v>
                </c:pt>
                <c:pt idx="357">
                  <c:v>-1.84</c:v>
                </c:pt>
                <c:pt idx="358">
                  <c:v>-1.84</c:v>
                </c:pt>
                <c:pt idx="359">
                  <c:v>-1.84</c:v>
                </c:pt>
                <c:pt idx="360">
                  <c:v>-1.84</c:v>
                </c:pt>
                <c:pt idx="361">
                  <c:v>-1.31</c:v>
                </c:pt>
                <c:pt idx="362">
                  <c:v>-1.31</c:v>
                </c:pt>
                <c:pt idx="363">
                  <c:v>-1.31</c:v>
                </c:pt>
                <c:pt idx="364">
                  <c:v>-1.31</c:v>
                </c:pt>
                <c:pt idx="365">
                  <c:v>-1.84</c:v>
                </c:pt>
                <c:pt idx="366">
                  <c:v>-1.84</c:v>
                </c:pt>
                <c:pt idx="367">
                  <c:v>-1.84</c:v>
                </c:pt>
                <c:pt idx="368">
                  <c:v>-1.84</c:v>
                </c:pt>
                <c:pt idx="369">
                  <c:v>-1.31</c:v>
                </c:pt>
                <c:pt idx="370">
                  <c:v>-1.31</c:v>
                </c:pt>
                <c:pt idx="371">
                  <c:v>-1.31</c:v>
                </c:pt>
                <c:pt idx="372">
                  <c:v>-1.31</c:v>
                </c:pt>
                <c:pt idx="373">
                  <c:v>-1.84</c:v>
                </c:pt>
                <c:pt idx="374">
                  <c:v>-1.84</c:v>
                </c:pt>
                <c:pt idx="375">
                  <c:v>-1.84</c:v>
                </c:pt>
                <c:pt idx="376">
                  <c:v>-1.84</c:v>
                </c:pt>
                <c:pt idx="377">
                  <c:v>-1.31</c:v>
                </c:pt>
                <c:pt idx="378">
                  <c:v>-1.31</c:v>
                </c:pt>
                <c:pt idx="379">
                  <c:v>-1.31</c:v>
                </c:pt>
                <c:pt idx="380">
                  <c:v>-1.31</c:v>
                </c:pt>
                <c:pt idx="381">
                  <c:v>-1.84</c:v>
                </c:pt>
                <c:pt idx="382">
                  <c:v>-1.84</c:v>
                </c:pt>
                <c:pt idx="383">
                  <c:v>-1.84</c:v>
                </c:pt>
                <c:pt idx="384">
                  <c:v>-1.84</c:v>
                </c:pt>
                <c:pt idx="385">
                  <c:v>-1.31</c:v>
                </c:pt>
                <c:pt idx="386">
                  <c:v>-1.31</c:v>
                </c:pt>
                <c:pt idx="387">
                  <c:v>-1.31</c:v>
                </c:pt>
                <c:pt idx="388">
                  <c:v>-1.31</c:v>
                </c:pt>
                <c:pt idx="389">
                  <c:v>-1.84</c:v>
                </c:pt>
                <c:pt idx="390">
                  <c:v>-1.84</c:v>
                </c:pt>
                <c:pt idx="391">
                  <c:v>-1.84</c:v>
                </c:pt>
                <c:pt idx="392">
                  <c:v>-1.84</c:v>
                </c:pt>
                <c:pt idx="393">
                  <c:v>-1.31</c:v>
                </c:pt>
                <c:pt idx="394">
                  <c:v>-1.31</c:v>
                </c:pt>
                <c:pt idx="395">
                  <c:v>-1.31</c:v>
                </c:pt>
                <c:pt idx="396">
                  <c:v>-1.31</c:v>
                </c:pt>
                <c:pt idx="397">
                  <c:v>-1.84</c:v>
                </c:pt>
                <c:pt idx="398">
                  <c:v>-1.84</c:v>
                </c:pt>
                <c:pt idx="399">
                  <c:v>-1.84</c:v>
                </c:pt>
                <c:pt idx="400">
                  <c:v>-1.84</c:v>
                </c:pt>
                <c:pt idx="401">
                  <c:v>-1.31</c:v>
                </c:pt>
                <c:pt idx="402">
                  <c:v>-1.31</c:v>
                </c:pt>
                <c:pt idx="403">
                  <c:v>-1.31</c:v>
                </c:pt>
                <c:pt idx="404">
                  <c:v>-1.31</c:v>
                </c:pt>
                <c:pt idx="405">
                  <c:v>-1.84</c:v>
                </c:pt>
                <c:pt idx="406">
                  <c:v>-1.84</c:v>
                </c:pt>
                <c:pt idx="407">
                  <c:v>-1.84</c:v>
                </c:pt>
                <c:pt idx="408">
                  <c:v>-1.84</c:v>
                </c:pt>
                <c:pt idx="409">
                  <c:v>-1.31</c:v>
                </c:pt>
                <c:pt idx="410">
                  <c:v>-1.31</c:v>
                </c:pt>
                <c:pt idx="411">
                  <c:v>-1.31</c:v>
                </c:pt>
                <c:pt idx="412">
                  <c:v>-1.31</c:v>
                </c:pt>
                <c:pt idx="413">
                  <c:v>-1.84</c:v>
                </c:pt>
                <c:pt idx="414">
                  <c:v>-1.84</c:v>
                </c:pt>
                <c:pt idx="415">
                  <c:v>-1.84</c:v>
                </c:pt>
                <c:pt idx="416">
                  <c:v>-1.84</c:v>
                </c:pt>
                <c:pt idx="417">
                  <c:v>-1.31</c:v>
                </c:pt>
                <c:pt idx="418">
                  <c:v>-1.31</c:v>
                </c:pt>
                <c:pt idx="419">
                  <c:v>-1.31</c:v>
                </c:pt>
                <c:pt idx="420">
                  <c:v>-1.31</c:v>
                </c:pt>
                <c:pt idx="421">
                  <c:v>-1.84</c:v>
                </c:pt>
                <c:pt idx="422">
                  <c:v>-1.84</c:v>
                </c:pt>
                <c:pt idx="423">
                  <c:v>-1.84</c:v>
                </c:pt>
                <c:pt idx="424">
                  <c:v>-1.84</c:v>
                </c:pt>
                <c:pt idx="425">
                  <c:v>-1.31</c:v>
                </c:pt>
                <c:pt idx="426">
                  <c:v>-1.31</c:v>
                </c:pt>
                <c:pt idx="427">
                  <c:v>-1.31</c:v>
                </c:pt>
                <c:pt idx="428">
                  <c:v>-1.31</c:v>
                </c:pt>
                <c:pt idx="429">
                  <c:v>-1.84</c:v>
                </c:pt>
                <c:pt idx="430">
                  <c:v>-1.84</c:v>
                </c:pt>
                <c:pt idx="431">
                  <c:v>-1.84</c:v>
                </c:pt>
                <c:pt idx="432">
                  <c:v>-1.84</c:v>
                </c:pt>
                <c:pt idx="433">
                  <c:v>-1.31</c:v>
                </c:pt>
                <c:pt idx="434">
                  <c:v>-1.31</c:v>
                </c:pt>
                <c:pt idx="435">
                  <c:v>-1.31</c:v>
                </c:pt>
                <c:pt idx="436">
                  <c:v>-1.31</c:v>
                </c:pt>
                <c:pt idx="437">
                  <c:v>-1.84</c:v>
                </c:pt>
                <c:pt idx="438">
                  <c:v>-1.84</c:v>
                </c:pt>
                <c:pt idx="439">
                  <c:v>-1.84</c:v>
                </c:pt>
                <c:pt idx="440">
                  <c:v>-1.84</c:v>
                </c:pt>
                <c:pt idx="441">
                  <c:v>-1.31</c:v>
                </c:pt>
                <c:pt idx="442">
                  <c:v>-1.31</c:v>
                </c:pt>
                <c:pt idx="443">
                  <c:v>-1.31</c:v>
                </c:pt>
                <c:pt idx="444">
                  <c:v>-1.31</c:v>
                </c:pt>
                <c:pt idx="445">
                  <c:v>-1.84</c:v>
                </c:pt>
                <c:pt idx="446">
                  <c:v>-1.84</c:v>
                </c:pt>
                <c:pt idx="447">
                  <c:v>-1.84</c:v>
                </c:pt>
                <c:pt idx="448">
                  <c:v>-1.84</c:v>
                </c:pt>
                <c:pt idx="449">
                  <c:v>-1.31</c:v>
                </c:pt>
                <c:pt idx="450">
                  <c:v>-1.31</c:v>
                </c:pt>
                <c:pt idx="451">
                  <c:v>-1.31</c:v>
                </c:pt>
                <c:pt idx="452">
                  <c:v>-1.31</c:v>
                </c:pt>
                <c:pt idx="453">
                  <c:v>-1.84</c:v>
                </c:pt>
                <c:pt idx="454">
                  <c:v>-1.84</c:v>
                </c:pt>
                <c:pt idx="455">
                  <c:v>-1.84</c:v>
                </c:pt>
                <c:pt idx="456">
                  <c:v>-1.84</c:v>
                </c:pt>
                <c:pt idx="457">
                  <c:v>-1.31</c:v>
                </c:pt>
                <c:pt idx="458">
                  <c:v>-1.31</c:v>
                </c:pt>
                <c:pt idx="459">
                  <c:v>-1.31</c:v>
                </c:pt>
                <c:pt idx="460">
                  <c:v>-1.31</c:v>
                </c:pt>
                <c:pt idx="461">
                  <c:v>-1.84</c:v>
                </c:pt>
                <c:pt idx="462">
                  <c:v>-1.84</c:v>
                </c:pt>
                <c:pt idx="463">
                  <c:v>-1.84</c:v>
                </c:pt>
                <c:pt idx="464">
                  <c:v>-1.84</c:v>
                </c:pt>
                <c:pt idx="465">
                  <c:v>-1.31</c:v>
                </c:pt>
                <c:pt idx="466">
                  <c:v>-1.31</c:v>
                </c:pt>
                <c:pt idx="467">
                  <c:v>-1.31</c:v>
                </c:pt>
                <c:pt idx="468">
                  <c:v>-1.31</c:v>
                </c:pt>
                <c:pt idx="469">
                  <c:v>-1.84</c:v>
                </c:pt>
                <c:pt idx="470">
                  <c:v>-1.84</c:v>
                </c:pt>
                <c:pt idx="471">
                  <c:v>-1.84</c:v>
                </c:pt>
                <c:pt idx="472">
                  <c:v>-1.84</c:v>
                </c:pt>
                <c:pt idx="473">
                  <c:v>-1.31</c:v>
                </c:pt>
                <c:pt idx="474">
                  <c:v>-1.31</c:v>
                </c:pt>
                <c:pt idx="475">
                  <c:v>-1.31</c:v>
                </c:pt>
                <c:pt idx="476">
                  <c:v>-1.31</c:v>
                </c:pt>
                <c:pt idx="477">
                  <c:v>-1.84</c:v>
                </c:pt>
                <c:pt idx="478">
                  <c:v>-1.84</c:v>
                </c:pt>
                <c:pt idx="479">
                  <c:v>-1.84</c:v>
                </c:pt>
                <c:pt idx="480">
                  <c:v>-1.31</c:v>
                </c:pt>
                <c:pt idx="481">
                  <c:v>-1.31</c:v>
                </c:pt>
                <c:pt idx="482">
                  <c:v>-1.31</c:v>
                </c:pt>
                <c:pt idx="483">
                  <c:v>-0.78</c:v>
                </c:pt>
                <c:pt idx="484">
                  <c:v>-0.78</c:v>
                </c:pt>
                <c:pt idx="485">
                  <c:v>-0.78</c:v>
                </c:pt>
                <c:pt idx="486">
                  <c:v>-0.78</c:v>
                </c:pt>
                <c:pt idx="487">
                  <c:v>-1.31</c:v>
                </c:pt>
                <c:pt idx="488">
                  <c:v>-1.31</c:v>
                </c:pt>
                <c:pt idx="489">
                  <c:v>-1.31</c:v>
                </c:pt>
                <c:pt idx="490">
                  <c:v>-1.31</c:v>
                </c:pt>
                <c:pt idx="491">
                  <c:v>-0.78</c:v>
                </c:pt>
                <c:pt idx="492">
                  <c:v>-0.78</c:v>
                </c:pt>
                <c:pt idx="493">
                  <c:v>-0.78</c:v>
                </c:pt>
                <c:pt idx="494">
                  <c:v>-0.78</c:v>
                </c:pt>
                <c:pt idx="495">
                  <c:v>-1.31</c:v>
                </c:pt>
                <c:pt idx="496">
                  <c:v>-1.31</c:v>
                </c:pt>
                <c:pt idx="497">
                  <c:v>-1.31</c:v>
                </c:pt>
                <c:pt idx="498">
                  <c:v>-1.31</c:v>
                </c:pt>
                <c:pt idx="499">
                  <c:v>-0.78</c:v>
                </c:pt>
                <c:pt idx="500">
                  <c:v>-0.78</c:v>
                </c:pt>
                <c:pt idx="501">
                  <c:v>-0.78</c:v>
                </c:pt>
                <c:pt idx="502">
                  <c:v>-0.78</c:v>
                </c:pt>
                <c:pt idx="503">
                  <c:v>-1.31</c:v>
                </c:pt>
                <c:pt idx="504">
                  <c:v>-1.31</c:v>
                </c:pt>
                <c:pt idx="505">
                  <c:v>-1.31</c:v>
                </c:pt>
                <c:pt idx="506">
                  <c:v>-1.31</c:v>
                </c:pt>
                <c:pt idx="507">
                  <c:v>-0.78</c:v>
                </c:pt>
                <c:pt idx="508">
                  <c:v>-0.78</c:v>
                </c:pt>
                <c:pt idx="509">
                  <c:v>-0.78</c:v>
                </c:pt>
                <c:pt idx="510">
                  <c:v>-0.78</c:v>
                </c:pt>
                <c:pt idx="511">
                  <c:v>-1.31</c:v>
                </c:pt>
                <c:pt idx="512">
                  <c:v>-1.31</c:v>
                </c:pt>
                <c:pt idx="513">
                  <c:v>-1.31</c:v>
                </c:pt>
                <c:pt idx="514">
                  <c:v>-1.31</c:v>
                </c:pt>
                <c:pt idx="515">
                  <c:v>-0.78</c:v>
                </c:pt>
                <c:pt idx="516">
                  <c:v>-0.78</c:v>
                </c:pt>
                <c:pt idx="517">
                  <c:v>-0.78</c:v>
                </c:pt>
                <c:pt idx="518">
                  <c:v>-0.78</c:v>
                </c:pt>
                <c:pt idx="519">
                  <c:v>-1.31</c:v>
                </c:pt>
                <c:pt idx="520">
                  <c:v>-1.31</c:v>
                </c:pt>
                <c:pt idx="521">
                  <c:v>-1.31</c:v>
                </c:pt>
                <c:pt idx="522">
                  <c:v>-1.31</c:v>
                </c:pt>
                <c:pt idx="523">
                  <c:v>-0.78</c:v>
                </c:pt>
                <c:pt idx="524">
                  <c:v>-0.78</c:v>
                </c:pt>
                <c:pt idx="525">
                  <c:v>-0.78</c:v>
                </c:pt>
                <c:pt idx="526">
                  <c:v>-0.78</c:v>
                </c:pt>
                <c:pt idx="527">
                  <c:v>-1.31</c:v>
                </c:pt>
                <c:pt idx="528">
                  <c:v>-1.31</c:v>
                </c:pt>
                <c:pt idx="529">
                  <c:v>-1.31</c:v>
                </c:pt>
                <c:pt idx="530">
                  <c:v>-1.31</c:v>
                </c:pt>
                <c:pt idx="531">
                  <c:v>-0.78</c:v>
                </c:pt>
                <c:pt idx="532">
                  <c:v>-0.78</c:v>
                </c:pt>
                <c:pt idx="533">
                  <c:v>-0.78</c:v>
                </c:pt>
                <c:pt idx="534">
                  <c:v>-0.78</c:v>
                </c:pt>
                <c:pt idx="535">
                  <c:v>-1.31</c:v>
                </c:pt>
                <c:pt idx="536">
                  <c:v>-1.31</c:v>
                </c:pt>
                <c:pt idx="537">
                  <c:v>-1.31</c:v>
                </c:pt>
                <c:pt idx="538">
                  <c:v>-1.31</c:v>
                </c:pt>
                <c:pt idx="539">
                  <c:v>-0.78</c:v>
                </c:pt>
                <c:pt idx="540">
                  <c:v>-0.78</c:v>
                </c:pt>
                <c:pt idx="541">
                  <c:v>-0.78</c:v>
                </c:pt>
                <c:pt idx="542">
                  <c:v>-0.78</c:v>
                </c:pt>
                <c:pt idx="543">
                  <c:v>-1.31</c:v>
                </c:pt>
                <c:pt idx="544">
                  <c:v>-1.31</c:v>
                </c:pt>
                <c:pt idx="545">
                  <c:v>-1.31</c:v>
                </c:pt>
                <c:pt idx="546">
                  <c:v>-1.31</c:v>
                </c:pt>
                <c:pt idx="547">
                  <c:v>-0.78</c:v>
                </c:pt>
                <c:pt idx="548">
                  <c:v>-0.78</c:v>
                </c:pt>
                <c:pt idx="549">
                  <c:v>-0.78</c:v>
                </c:pt>
                <c:pt idx="550">
                  <c:v>-0.78</c:v>
                </c:pt>
                <c:pt idx="551">
                  <c:v>-1.31</c:v>
                </c:pt>
                <c:pt idx="552">
                  <c:v>-1.31</c:v>
                </c:pt>
                <c:pt idx="553">
                  <c:v>-1.31</c:v>
                </c:pt>
                <c:pt idx="554">
                  <c:v>-1.31</c:v>
                </c:pt>
                <c:pt idx="555">
                  <c:v>-0.78</c:v>
                </c:pt>
                <c:pt idx="556">
                  <c:v>-0.78</c:v>
                </c:pt>
                <c:pt idx="557">
                  <c:v>-0.78</c:v>
                </c:pt>
                <c:pt idx="558">
                  <c:v>-0.78</c:v>
                </c:pt>
                <c:pt idx="559">
                  <c:v>-1.31</c:v>
                </c:pt>
                <c:pt idx="560">
                  <c:v>-1.31</c:v>
                </c:pt>
                <c:pt idx="561">
                  <c:v>-1.31</c:v>
                </c:pt>
                <c:pt idx="562">
                  <c:v>-1.31</c:v>
                </c:pt>
                <c:pt idx="563">
                  <c:v>-0.78</c:v>
                </c:pt>
                <c:pt idx="564">
                  <c:v>-0.78</c:v>
                </c:pt>
                <c:pt idx="565">
                  <c:v>-0.78</c:v>
                </c:pt>
                <c:pt idx="566">
                  <c:v>-0.78</c:v>
                </c:pt>
                <c:pt idx="567">
                  <c:v>-1.31</c:v>
                </c:pt>
                <c:pt idx="568">
                  <c:v>-1.31</c:v>
                </c:pt>
                <c:pt idx="569">
                  <c:v>-1.31</c:v>
                </c:pt>
                <c:pt idx="570">
                  <c:v>-1.31</c:v>
                </c:pt>
                <c:pt idx="571">
                  <c:v>-0.78</c:v>
                </c:pt>
                <c:pt idx="572">
                  <c:v>-0.78</c:v>
                </c:pt>
                <c:pt idx="573">
                  <c:v>-0.78</c:v>
                </c:pt>
                <c:pt idx="574">
                  <c:v>-0.78</c:v>
                </c:pt>
                <c:pt idx="575">
                  <c:v>-1.31</c:v>
                </c:pt>
                <c:pt idx="576">
                  <c:v>-1.31</c:v>
                </c:pt>
                <c:pt idx="577">
                  <c:v>-1.31</c:v>
                </c:pt>
                <c:pt idx="578">
                  <c:v>-1.31</c:v>
                </c:pt>
                <c:pt idx="579">
                  <c:v>-0.78</c:v>
                </c:pt>
                <c:pt idx="580">
                  <c:v>-0.78</c:v>
                </c:pt>
                <c:pt idx="581">
                  <c:v>-0.78</c:v>
                </c:pt>
                <c:pt idx="582">
                  <c:v>-0.78</c:v>
                </c:pt>
                <c:pt idx="583">
                  <c:v>-1.31</c:v>
                </c:pt>
                <c:pt idx="584">
                  <c:v>-1.31</c:v>
                </c:pt>
                <c:pt idx="585">
                  <c:v>-1.31</c:v>
                </c:pt>
                <c:pt idx="586">
                  <c:v>-1.31</c:v>
                </c:pt>
                <c:pt idx="587">
                  <c:v>-0.78</c:v>
                </c:pt>
                <c:pt idx="588">
                  <c:v>-0.78</c:v>
                </c:pt>
                <c:pt idx="589">
                  <c:v>-0.78</c:v>
                </c:pt>
                <c:pt idx="590">
                  <c:v>-0.78</c:v>
                </c:pt>
                <c:pt idx="591">
                  <c:v>-1.31</c:v>
                </c:pt>
                <c:pt idx="592">
                  <c:v>-1.31</c:v>
                </c:pt>
                <c:pt idx="593">
                  <c:v>-1.31</c:v>
                </c:pt>
                <c:pt idx="594">
                  <c:v>-1.31</c:v>
                </c:pt>
                <c:pt idx="595">
                  <c:v>-0.78</c:v>
                </c:pt>
                <c:pt idx="596">
                  <c:v>-0.78</c:v>
                </c:pt>
                <c:pt idx="597">
                  <c:v>-0.78</c:v>
                </c:pt>
                <c:pt idx="598">
                  <c:v>-0.78</c:v>
                </c:pt>
                <c:pt idx="599">
                  <c:v>-1.31</c:v>
                </c:pt>
                <c:pt idx="600">
                  <c:v>-1.31</c:v>
                </c:pt>
                <c:pt idx="601">
                  <c:v>-1.31</c:v>
                </c:pt>
                <c:pt idx="602">
                  <c:v>-1.31</c:v>
                </c:pt>
                <c:pt idx="603">
                  <c:v>-0.78</c:v>
                </c:pt>
                <c:pt idx="604">
                  <c:v>-0.78</c:v>
                </c:pt>
                <c:pt idx="605">
                  <c:v>-0.78</c:v>
                </c:pt>
                <c:pt idx="606">
                  <c:v>-0.78</c:v>
                </c:pt>
                <c:pt idx="607">
                  <c:v>-1.31</c:v>
                </c:pt>
                <c:pt idx="608">
                  <c:v>-1.31</c:v>
                </c:pt>
                <c:pt idx="609">
                  <c:v>-1.31</c:v>
                </c:pt>
                <c:pt idx="610">
                  <c:v>-1.31</c:v>
                </c:pt>
                <c:pt idx="611">
                  <c:v>-0.78</c:v>
                </c:pt>
                <c:pt idx="612">
                  <c:v>-0.78</c:v>
                </c:pt>
                <c:pt idx="613">
                  <c:v>-0.78</c:v>
                </c:pt>
                <c:pt idx="614">
                  <c:v>-0.78</c:v>
                </c:pt>
                <c:pt idx="615">
                  <c:v>-1.31</c:v>
                </c:pt>
                <c:pt idx="616">
                  <c:v>-1.31</c:v>
                </c:pt>
                <c:pt idx="617">
                  <c:v>-1.31</c:v>
                </c:pt>
                <c:pt idx="618">
                  <c:v>-1.31</c:v>
                </c:pt>
                <c:pt idx="619">
                  <c:v>-0.78</c:v>
                </c:pt>
                <c:pt idx="620">
                  <c:v>-0.78</c:v>
                </c:pt>
                <c:pt idx="621">
                  <c:v>-0.78</c:v>
                </c:pt>
                <c:pt idx="622">
                  <c:v>-0.78</c:v>
                </c:pt>
                <c:pt idx="623">
                  <c:v>-1.31</c:v>
                </c:pt>
                <c:pt idx="624">
                  <c:v>-1.31</c:v>
                </c:pt>
                <c:pt idx="625">
                  <c:v>-1.31</c:v>
                </c:pt>
                <c:pt idx="626">
                  <c:v>-1.31</c:v>
                </c:pt>
                <c:pt idx="627">
                  <c:v>-0.78</c:v>
                </c:pt>
                <c:pt idx="628">
                  <c:v>-0.78</c:v>
                </c:pt>
                <c:pt idx="629">
                  <c:v>-0.78</c:v>
                </c:pt>
                <c:pt idx="630">
                  <c:v>-0.78</c:v>
                </c:pt>
                <c:pt idx="631">
                  <c:v>-1.31</c:v>
                </c:pt>
                <c:pt idx="632">
                  <c:v>-1.31</c:v>
                </c:pt>
                <c:pt idx="633">
                  <c:v>-1.31</c:v>
                </c:pt>
                <c:pt idx="634">
                  <c:v>-1.31</c:v>
                </c:pt>
                <c:pt idx="635">
                  <c:v>-0.78</c:v>
                </c:pt>
                <c:pt idx="636">
                  <c:v>-0.78</c:v>
                </c:pt>
                <c:pt idx="637">
                  <c:v>-0.78</c:v>
                </c:pt>
                <c:pt idx="638">
                  <c:v>-0.78</c:v>
                </c:pt>
                <c:pt idx="639">
                  <c:v>-1.31</c:v>
                </c:pt>
                <c:pt idx="640">
                  <c:v>-1.31</c:v>
                </c:pt>
                <c:pt idx="641">
                  <c:v>-1.31</c:v>
                </c:pt>
                <c:pt idx="642">
                  <c:v>-1.31</c:v>
                </c:pt>
                <c:pt idx="643">
                  <c:v>-0.78</c:v>
                </c:pt>
                <c:pt idx="644">
                  <c:v>-0.78</c:v>
                </c:pt>
                <c:pt idx="645">
                  <c:v>-0.78</c:v>
                </c:pt>
                <c:pt idx="646">
                  <c:v>-0.78</c:v>
                </c:pt>
                <c:pt idx="647">
                  <c:v>-1.31</c:v>
                </c:pt>
                <c:pt idx="648">
                  <c:v>-1.31</c:v>
                </c:pt>
                <c:pt idx="649">
                  <c:v>-1.31</c:v>
                </c:pt>
                <c:pt idx="650">
                  <c:v>-1.31</c:v>
                </c:pt>
                <c:pt idx="651">
                  <c:v>-0.78</c:v>
                </c:pt>
                <c:pt idx="652">
                  <c:v>-0.78</c:v>
                </c:pt>
                <c:pt idx="653">
                  <c:v>-0.78</c:v>
                </c:pt>
                <c:pt idx="654">
                  <c:v>-0.78</c:v>
                </c:pt>
                <c:pt idx="655">
                  <c:v>-1.31</c:v>
                </c:pt>
                <c:pt idx="656">
                  <c:v>-1.31</c:v>
                </c:pt>
                <c:pt idx="657">
                  <c:v>-1.31</c:v>
                </c:pt>
                <c:pt idx="658">
                  <c:v>-1.31</c:v>
                </c:pt>
                <c:pt idx="659">
                  <c:v>-0.78</c:v>
                </c:pt>
                <c:pt idx="660">
                  <c:v>-0.78</c:v>
                </c:pt>
                <c:pt idx="661">
                  <c:v>-0.78</c:v>
                </c:pt>
                <c:pt idx="662">
                  <c:v>-0.78</c:v>
                </c:pt>
                <c:pt idx="663">
                  <c:v>-1.31</c:v>
                </c:pt>
                <c:pt idx="664">
                  <c:v>-1.31</c:v>
                </c:pt>
                <c:pt idx="665">
                  <c:v>-1.31</c:v>
                </c:pt>
                <c:pt idx="666">
                  <c:v>-1.31</c:v>
                </c:pt>
                <c:pt idx="667">
                  <c:v>-0.78</c:v>
                </c:pt>
                <c:pt idx="668">
                  <c:v>-0.78</c:v>
                </c:pt>
                <c:pt idx="669">
                  <c:v>-0.78</c:v>
                </c:pt>
                <c:pt idx="670">
                  <c:v>-0.78</c:v>
                </c:pt>
                <c:pt idx="671">
                  <c:v>-1.31</c:v>
                </c:pt>
                <c:pt idx="672">
                  <c:v>-1.31</c:v>
                </c:pt>
                <c:pt idx="673">
                  <c:v>-1.31</c:v>
                </c:pt>
                <c:pt idx="674">
                  <c:v>-1.31</c:v>
                </c:pt>
                <c:pt idx="675">
                  <c:v>-0.78</c:v>
                </c:pt>
                <c:pt idx="676">
                  <c:v>-0.78</c:v>
                </c:pt>
                <c:pt idx="677">
                  <c:v>-0.78</c:v>
                </c:pt>
                <c:pt idx="678">
                  <c:v>-0.78</c:v>
                </c:pt>
                <c:pt idx="679">
                  <c:v>-1.31</c:v>
                </c:pt>
                <c:pt idx="680">
                  <c:v>-1.31</c:v>
                </c:pt>
                <c:pt idx="681">
                  <c:v>-1.31</c:v>
                </c:pt>
                <c:pt idx="682">
                  <c:v>-1.31</c:v>
                </c:pt>
                <c:pt idx="683">
                  <c:v>-0.78</c:v>
                </c:pt>
                <c:pt idx="684">
                  <c:v>-0.78</c:v>
                </c:pt>
                <c:pt idx="685">
                  <c:v>-0.78</c:v>
                </c:pt>
                <c:pt idx="686">
                  <c:v>-0.78</c:v>
                </c:pt>
                <c:pt idx="687">
                  <c:v>-1.31</c:v>
                </c:pt>
                <c:pt idx="688">
                  <c:v>-1.31</c:v>
                </c:pt>
                <c:pt idx="689">
                  <c:v>-1.31</c:v>
                </c:pt>
                <c:pt idx="690">
                  <c:v>-1.31</c:v>
                </c:pt>
                <c:pt idx="691">
                  <c:v>-0.78</c:v>
                </c:pt>
                <c:pt idx="692">
                  <c:v>-0.78</c:v>
                </c:pt>
                <c:pt idx="693">
                  <c:v>-0.78</c:v>
                </c:pt>
                <c:pt idx="694">
                  <c:v>-0.78</c:v>
                </c:pt>
                <c:pt idx="695">
                  <c:v>-1.31</c:v>
                </c:pt>
                <c:pt idx="696">
                  <c:v>-1.31</c:v>
                </c:pt>
                <c:pt idx="697">
                  <c:v>-1.31</c:v>
                </c:pt>
                <c:pt idx="698">
                  <c:v>-1.31</c:v>
                </c:pt>
                <c:pt idx="699">
                  <c:v>-0.78</c:v>
                </c:pt>
                <c:pt idx="700">
                  <c:v>-0.78</c:v>
                </c:pt>
                <c:pt idx="701">
                  <c:v>-0.78</c:v>
                </c:pt>
                <c:pt idx="702">
                  <c:v>-0.78</c:v>
                </c:pt>
                <c:pt idx="703">
                  <c:v>-1.31</c:v>
                </c:pt>
                <c:pt idx="704">
                  <c:v>-1.31</c:v>
                </c:pt>
                <c:pt idx="705">
                  <c:v>-1.31</c:v>
                </c:pt>
                <c:pt idx="706">
                  <c:v>-1.31</c:v>
                </c:pt>
                <c:pt idx="707">
                  <c:v>-0.78</c:v>
                </c:pt>
                <c:pt idx="708">
                  <c:v>-0.78</c:v>
                </c:pt>
                <c:pt idx="709">
                  <c:v>-0.78</c:v>
                </c:pt>
                <c:pt idx="710">
                  <c:v>-0.78</c:v>
                </c:pt>
                <c:pt idx="711">
                  <c:v>-1.31</c:v>
                </c:pt>
                <c:pt idx="712">
                  <c:v>-1.31</c:v>
                </c:pt>
                <c:pt idx="713">
                  <c:v>-1.31</c:v>
                </c:pt>
                <c:pt idx="714">
                  <c:v>-1.31</c:v>
                </c:pt>
                <c:pt idx="715">
                  <c:v>-0.78</c:v>
                </c:pt>
                <c:pt idx="716">
                  <c:v>-0.78</c:v>
                </c:pt>
                <c:pt idx="717">
                  <c:v>-0.78</c:v>
                </c:pt>
                <c:pt idx="718">
                  <c:v>-0.78</c:v>
                </c:pt>
                <c:pt idx="719">
                  <c:v>-1.31</c:v>
                </c:pt>
                <c:pt idx="720">
                  <c:v>-1.31</c:v>
                </c:pt>
                <c:pt idx="721">
                  <c:v>-1.31</c:v>
                </c:pt>
                <c:pt idx="722">
                  <c:v>-1.31</c:v>
                </c:pt>
                <c:pt idx="723">
                  <c:v>-0.78</c:v>
                </c:pt>
                <c:pt idx="724">
                  <c:v>-0.78</c:v>
                </c:pt>
                <c:pt idx="725">
                  <c:v>-0.78</c:v>
                </c:pt>
                <c:pt idx="726">
                  <c:v>-0.78</c:v>
                </c:pt>
                <c:pt idx="727">
                  <c:v>-1.31</c:v>
                </c:pt>
                <c:pt idx="728">
                  <c:v>-1.31</c:v>
                </c:pt>
                <c:pt idx="729">
                  <c:v>-1.31</c:v>
                </c:pt>
                <c:pt idx="730">
                  <c:v>-1.31</c:v>
                </c:pt>
                <c:pt idx="731">
                  <c:v>-0.78</c:v>
                </c:pt>
                <c:pt idx="732">
                  <c:v>-0.78</c:v>
                </c:pt>
                <c:pt idx="733">
                  <c:v>-0.78</c:v>
                </c:pt>
                <c:pt idx="734">
                  <c:v>-0.78</c:v>
                </c:pt>
                <c:pt idx="735">
                  <c:v>-1.31</c:v>
                </c:pt>
                <c:pt idx="736">
                  <c:v>-1.31</c:v>
                </c:pt>
                <c:pt idx="737">
                  <c:v>-1.31</c:v>
                </c:pt>
                <c:pt idx="738">
                  <c:v>-1.31</c:v>
                </c:pt>
                <c:pt idx="739">
                  <c:v>-0.78</c:v>
                </c:pt>
                <c:pt idx="740">
                  <c:v>-0.78</c:v>
                </c:pt>
                <c:pt idx="741">
                  <c:v>-0.78</c:v>
                </c:pt>
                <c:pt idx="742">
                  <c:v>-0.78</c:v>
                </c:pt>
                <c:pt idx="743">
                  <c:v>-1.31</c:v>
                </c:pt>
                <c:pt idx="744">
                  <c:v>-1.31</c:v>
                </c:pt>
                <c:pt idx="745">
                  <c:v>-1.31</c:v>
                </c:pt>
                <c:pt idx="746">
                  <c:v>-1.31</c:v>
                </c:pt>
                <c:pt idx="747">
                  <c:v>-0.78</c:v>
                </c:pt>
                <c:pt idx="748">
                  <c:v>-0.78</c:v>
                </c:pt>
                <c:pt idx="749">
                  <c:v>-0.78</c:v>
                </c:pt>
                <c:pt idx="750">
                  <c:v>-0.78</c:v>
                </c:pt>
                <c:pt idx="751">
                  <c:v>-1.31</c:v>
                </c:pt>
                <c:pt idx="752">
                  <c:v>-1.31</c:v>
                </c:pt>
                <c:pt idx="753">
                  <c:v>-1.31</c:v>
                </c:pt>
                <c:pt idx="754">
                  <c:v>-1.31</c:v>
                </c:pt>
                <c:pt idx="755">
                  <c:v>-0.78</c:v>
                </c:pt>
                <c:pt idx="756">
                  <c:v>-0.78</c:v>
                </c:pt>
                <c:pt idx="757">
                  <c:v>-0.78</c:v>
                </c:pt>
                <c:pt idx="758">
                  <c:v>-0.78</c:v>
                </c:pt>
                <c:pt idx="759">
                  <c:v>-1.31</c:v>
                </c:pt>
                <c:pt idx="760">
                  <c:v>-1.31</c:v>
                </c:pt>
                <c:pt idx="761">
                  <c:v>-1.31</c:v>
                </c:pt>
                <c:pt idx="762">
                  <c:v>-1.31</c:v>
                </c:pt>
                <c:pt idx="763">
                  <c:v>-0.78</c:v>
                </c:pt>
                <c:pt idx="764">
                  <c:v>-0.78</c:v>
                </c:pt>
                <c:pt idx="765">
                  <c:v>-0.78</c:v>
                </c:pt>
                <c:pt idx="766">
                  <c:v>-0.78</c:v>
                </c:pt>
                <c:pt idx="767">
                  <c:v>-1.31</c:v>
                </c:pt>
                <c:pt idx="768">
                  <c:v>-1.31</c:v>
                </c:pt>
                <c:pt idx="769">
                  <c:v>-1.31</c:v>
                </c:pt>
                <c:pt idx="770">
                  <c:v>-1.31</c:v>
                </c:pt>
                <c:pt idx="771">
                  <c:v>-0.78</c:v>
                </c:pt>
                <c:pt idx="772">
                  <c:v>-0.78</c:v>
                </c:pt>
                <c:pt idx="773">
                  <c:v>-0.78</c:v>
                </c:pt>
                <c:pt idx="774">
                  <c:v>-0.78</c:v>
                </c:pt>
                <c:pt idx="775">
                  <c:v>-1.31</c:v>
                </c:pt>
                <c:pt idx="776">
                  <c:v>-1.31</c:v>
                </c:pt>
                <c:pt idx="777">
                  <c:v>-1.31</c:v>
                </c:pt>
                <c:pt idx="778">
                  <c:v>-1.31</c:v>
                </c:pt>
                <c:pt idx="779">
                  <c:v>-0.78</c:v>
                </c:pt>
                <c:pt idx="780">
                  <c:v>-0.78</c:v>
                </c:pt>
                <c:pt idx="781">
                  <c:v>-0.78</c:v>
                </c:pt>
                <c:pt idx="782">
                  <c:v>-0.78</c:v>
                </c:pt>
                <c:pt idx="783">
                  <c:v>-1.31</c:v>
                </c:pt>
                <c:pt idx="784">
                  <c:v>-1.31</c:v>
                </c:pt>
                <c:pt idx="785">
                  <c:v>-1.31</c:v>
                </c:pt>
                <c:pt idx="786">
                  <c:v>-1.31</c:v>
                </c:pt>
                <c:pt idx="787">
                  <c:v>-0.78</c:v>
                </c:pt>
                <c:pt idx="788">
                  <c:v>-0.78</c:v>
                </c:pt>
                <c:pt idx="789">
                  <c:v>-0.78</c:v>
                </c:pt>
                <c:pt idx="790">
                  <c:v>-0.78</c:v>
                </c:pt>
                <c:pt idx="791">
                  <c:v>-1.31</c:v>
                </c:pt>
                <c:pt idx="792">
                  <c:v>-1.31</c:v>
                </c:pt>
                <c:pt idx="793">
                  <c:v>-1.31</c:v>
                </c:pt>
                <c:pt idx="794">
                  <c:v>-1.31</c:v>
                </c:pt>
                <c:pt idx="795">
                  <c:v>-0.78</c:v>
                </c:pt>
                <c:pt idx="796">
                  <c:v>-0.78</c:v>
                </c:pt>
                <c:pt idx="797">
                  <c:v>-0.78</c:v>
                </c:pt>
                <c:pt idx="798">
                  <c:v>-0.78</c:v>
                </c:pt>
                <c:pt idx="799">
                  <c:v>-1.31</c:v>
                </c:pt>
                <c:pt idx="800">
                  <c:v>-1.31</c:v>
                </c:pt>
                <c:pt idx="801">
                  <c:v>-1.31</c:v>
                </c:pt>
                <c:pt idx="802">
                  <c:v>-1.31</c:v>
                </c:pt>
                <c:pt idx="803">
                  <c:v>-0.78</c:v>
                </c:pt>
                <c:pt idx="804">
                  <c:v>-0.78</c:v>
                </c:pt>
                <c:pt idx="805">
                  <c:v>-0.78</c:v>
                </c:pt>
                <c:pt idx="806">
                  <c:v>-0.78</c:v>
                </c:pt>
                <c:pt idx="807">
                  <c:v>-1.31</c:v>
                </c:pt>
                <c:pt idx="808">
                  <c:v>-1.31</c:v>
                </c:pt>
                <c:pt idx="809">
                  <c:v>-1.31</c:v>
                </c:pt>
                <c:pt idx="810">
                  <c:v>-1.31</c:v>
                </c:pt>
                <c:pt idx="811">
                  <c:v>-0.78</c:v>
                </c:pt>
                <c:pt idx="812">
                  <c:v>-0.78</c:v>
                </c:pt>
                <c:pt idx="813">
                  <c:v>-0.78</c:v>
                </c:pt>
                <c:pt idx="814">
                  <c:v>-0.78</c:v>
                </c:pt>
                <c:pt idx="815">
                  <c:v>-1.31</c:v>
                </c:pt>
                <c:pt idx="816">
                  <c:v>-1.31</c:v>
                </c:pt>
                <c:pt idx="817">
                  <c:v>-1.31</c:v>
                </c:pt>
                <c:pt idx="818">
                  <c:v>-1.31</c:v>
                </c:pt>
                <c:pt idx="819">
                  <c:v>-0.78</c:v>
                </c:pt>
                <c:pt idx="820">
                  <c:v>-0.78</c:v>
                </c:pt>
                <c:pt idx="821">
                  <c:v>-0.78</c:v>
                </c:pt>
                <c:pt idx="822">
                  <c:v>-0.78</c:v>
                </c:pt>
                <c:pt idx="823">
                  <c:v>-1.31</c:v>
                </c:pt>
                <c:pt idx="824">
                  <c:v>-1.31</c:v>
                </c:pt>
                <c:pt idx="825">
                  <c:v>-1.31</c:v>
                </c:pt>
                <c:pt idx="826">
                  <c:v>-1.31</c:v>
                </c:pt>
                <c:pt idx="827">
                  <c:v>-0.78</c:v>
                </c:pt>
                <c:pt idx="828">
                  <c:v>-0.78</c:v>
                </c:pt>
                <c:pt idx="829">
                  <c:v>-0.78</c:v>
                </c:pt>
                <c:pt idx="830">
                  <c:v>-0.78</c:v>
                </c:pt>
                <c:pt idx="831">
                  <c:v>-1.31</c:v>
                </c:pt>
                <c:pt idx="832">
                  <c:v>-1.31</c:v>
                </c:pt>
                <c:pt idx="833">
                  <c:v>-1.31</c:v>
                </c:pt>
                <c:pt idx="834">
                  <c:v>-1.31</c:v>
                </c:pt>
                <c:pt idx="835">
                  <c:v>-0.78</c:v>
                </c:pt>
                <c:pt idx="836">
                  <c:v>-0.78</c:v>
                </c:pt>
                <c:pt idx="837">
                  <c:v>-0.78</c:v>
                </c:pt>
                <c:pt idx="838">
                  <c:v>-0.78</c:v>
                </c:pt>
                <c:pt idx="839">
                  <c:v>-1.31</c:v>
                </c:pt>
                <c:pt idx="840">
                  <c:v>-1.31</c:v>
                </c:pt>
                <c:pt idx="841">
                  <c:v>-1.31</c:v>
                </c:pt>
                <c:pt idx="842">
                  <c:v>-1.31</c:v>
                </c:pt>
                <c:pt idx="843">
                  <c:v>-0.78</c:v>
                </c:pt>
                <c:pt idx="844">
                  <c:v>-0.78</c:v>
                </c:pt>
                <c:pt idx="845">
                  <c:v>-0.78</c:v>
                </c:pt>
                <c:pt idx="846">
                  <c:v>-0.78</c:v>
                </c:pt>
                <c:pt idx="847">
                  <c:v>-1.31</c:v>
                </c:pt>
                <c:pt idx="848">
                  <c:v>-1.31</c:v>
                </c:pt>
                <c:pt idx="849">
                  <c:v>-1.31</c:v>
                </c:pt>
                <c:pt idx="850">
                  <c:v>-1.31</c:v>
                </c:pt>
                <c:pt idx="851">
                  <c:v>-0.78</c:v>
                </c:pt>
                <c:pt idx="852">
                  <c:v>-0.78</c:v>
                </c:pt>
                <c:pt idx="853">
                  <c:v>-0.78</c:v>
                </c:pt>
                <c:pt idx="854">
                  <c:v>-0.78</c:v>
                </c:pt>
                <c:pt idx="855">
                  <c:v>-1.31</c:v>
                </c:pt>
                <c:pt idx="856">
                  <c:v>-1.31</c:v>
                </c:pt>
                <c:pt idx="857">
                  <c:v>-1.31</c:v>
                </c:pt>
                <c:pt idx="858">
                  <c:v>-1.31</c:v>
                </c:pt>
                <c:pt idx="859">
                  <c:v>-0.78</c:v>
                </c:pt>
                <c:pt idx="860">
                  <c:v>-0.78</c:v>
                </c:pt>
                <c:pt idx="861">
                  <c:v>-0.78</c:v>
                </c:pt>
                <c:pt idx="862">
                  <c:v>-0.78</c:v>
                </c:pt>
                <c:pt idx="863">
                  <c:v>-1.31</c:v>
                </c:pt>
                <c:pt idx="864">
                  <c:v>-1.31</c:v>
                </c:pt>
                <c:pt idx="865">
                  <c:v>-1.31</c:v>
                </c:pt>
                <c:pt idx="866">
                  <c:v>-1.31</c:v>
                </c:pt>
                <c:pt idx="867">
                  <c:v>-0.78</c:v>
                </c:pt>
                <c:pt idx="868">
                  <c:v>-0.78</c:v>
                </c:pt>
                <c:pt idx="869">
                  <c:v>-0.78</c:v>
                </c:pt>
                <c:pt idx="870">
                  <c:v>-0.78</c:v>
                </c:pt>
                <c:pt idx="871">
                  <c:v>-1.31</c:v>
                </c:pt>
                <c:pt idx="872">
                  <c:v>-1.31</c:v>
                </c:pt>
                <c:pt idx="873">
                  <c:v>-1.31</c:v>
                </c:pt>
                <c:pt idx="874">
                  <c:v>-1.31</c:v>
                </c:pt>
                <c:pt idx="875">
                  <c:v>-0.78</c:v>
                </c:pt>
                <c:pt idx="876">
                  <c:v>-0.78</c:v>
                </c:pt>
                <c:pt idx="877">
                  <c:v>-0.78</c:v>
                </c:pt>
                <c:pt idx="878">
                  <c:v>-0.78</c:v>
                </c:pt>
                <c:pt idx="879">
                  <c:v>-1.31</c:v>
                </c:pt>
                <c:pt idx="880">
                  <c:v>-1.31</c:v>
                </c:pt>
                <c:pt idx="881">
                  <c:v>-1.31</c:v>
                </c:pt>
                <c:pt idx="882">
                  <c:v>-1.31</c:v>
                </c:pt>
                <c:pt idx="883">
                  <c:v>-0.78</c:v>
                </c:pt>
                <c:pt idx="884">
                  <c:v>-0.78</c:v>
                </c:pt>
                <c:pt idx="885">
                  <c:v>-0.78</c:v>
                </c:pt>
                <c:pt idx="886">
                  <c:v>-0.78</c:v>
                </c:pt>
                <c:pt idx="887">
                  <c:v>-1.31</c:v>
                </c:pt>
                <c:pt idx="888">
                  <c:v>-1.31</c:v>
                </c:pt>
                <c:pt idx="889">
                  <c:v>-1.31</c:v>
                </c:pt>
                <c:pt idx="890">
                  <c:v>-1.31</c:v>
                </c:pt>
                <c:pt idx="891">
                  <c:v>-0.78</c:v>
                </c:pt>
                <c:pt idx="892">
                  <c:v>-0.78</c:v>
                </c:pt>
                <c:pt idx="893">
                  <c:v>-0.78</c:v>
                </c:pt>
                <c:pt idx="894">
                  <c:v>-0.78</c:v>
                </c:pt>
                <c:pt idx="895">
                  <c:v>-1.31</c:v>
                </c:pt>
                <c:pt idx="896">
                  <c:v>-1.31</c:v>
                </c:pt>
                <c:pt idx="897">
                  <c:v>-1.31</c:v>
                </c:pt>
                <c:pt idx="898">
                  <c:v>-1.31</c:v>
                </c:pt>
                <c:pt idx="899">
                  <c:v>-0.78</c:v>
                </c:pt>
                <c:pt idx="900">
                  <c:v>-0.78</c:v>
                </c:pt>
                <c:pt idx="901">
                  <c:v>-0.78</c:v>
                </c:pt>
                <c:pt idx="902">
                  <c:v>-0.78</c:v>
                </c:pt>
                <c:pt idx="903">
                  <c:v>-1.31</c:v>
                </c:pt>
                <c:pt idx="904">
                  <c:v>-1.31</c:v>
                </c:pt>
                <c:pt idx="905">
                  <c:v>-1.31</c:v>
                </c:pt>
                <c:pt idx="906">
                  <c:v>-1.31</c:v>
                </c:pt>
                <c:pt idx="907">
                  <c:v>-0.78</c:v>
                </c:pt>
                <c:pt idx="908">
                  <c:v>-0.78</c:v>
                </c:pt>
                <c:pt idx="909">
                  <c:v>-0.78</c:v>
                </c:pt>
                <c:pt idx="910">
                  <c:v>-0.78</c:v>
                </c:pt>
                <c:pt idx="911">
                  <c:v>-1.31</c:v>
                </c:pt>
                <c:pt idx="912">
                  <c:v>-1.31</c:v>
                </c:pt>
                <c:pt idx="913">
                  <c:v>-1.31</c:v>
                </c:pt>
                <c:pt idx="914">
                  <c:v>-1.31</c:v>
                </c:pt>
                <c:pt idx="915">
                  <c:v>-0.78</c:v>
                </c:pt>
                <c:pt idx="916">
                  <c:v>-0.78</c:v>
                </c:pt>
                <c:pt idx="917">
                  <c:v>-0.78</c:v>
                </c:pt>
                <c:pt idx="918">
                  <c:v>-0.78</c:v>
                </c:pt>
                <c:pt idx="919">
                  <c:v>-1.31</c:v>
                </c:pt>
                <c:pt idx="920">
                  <c:v>-1.31</c:v>
                </c:pt>
                <c:pt idx="921">
                  <c:v>-1.31</c:v>
                </c:pt>
                <c:pt idx="922">
                  <c:v>-1.31</c:v>
                </c:pt>
                <c:pt idx="923">
                  <c:v>-0.78</c:v>
                </c:pt>
                <c:pt idx="924">
                  <c:v>-0.78</c:v>
                </c:pt>
                <c:pt idx="925">
                  <c:v>-0.78</c:v>
                </c:pt>
                <c:pt idx="926">
                  <c:v>-0.78</c:v>
                </c:pt>
                <c:pt idx="927">
                  <c:v>-1.31</c:v>
                </c:pt>
                <c:pt idx="928">
                  <c:v>-1.31</c:v>
                </c:pt>
                <c:pt idx="929">
                  <c:v>-1.31</c:v>
                </c:pt>
                <c:pt idx="930">
                  <c:v>-1.31</c:v>
                </c:pt>
                <c:pt idx="931">
                  <c:v>-0.78</c:v>
                </c:pt>
                <c:pt idx="932">
                  <c:v>-0.78</c:v>
                </c:pt>
                <c:pt idx="933">
                  <c:v>-0.78</c:v>
                </c:pt>
                <c:pt idx="934">
                  <c:v>-0.78</c:v>
                </c:pt>
                <c:pt idx="935">
                  <c:v>-1.31</c:v>
                </c:pt>
                <c:pt idx="936">
                  <c:v>-1.31</c:v>
                </c:pt>
                <c:pt idx="937">
                  <c:v>-1.31</c:v>
                </c:pt>
                <c:pt idx="938">
                  <c:v>-1.31</c:v>
                </c:pt>
                <c:pt idx="939">
                  <c:v>-0.78</c:v>
                </c:pt>
                <c:pt idx="940">
                  <c:v>-0.78</c:v>
                </c:pt>
                <c:pt idx="941">
                  <c:v>-0.78</c:v>
                </c:pt>
                <c:pt idx="942">
                  <c:v>-0.78</c:v>
                </c:pt>
                <c:pt idx="943">
                  <c:v>-1.31</c:v>
                </c:pt>
                <c:pt idx="944">
                  <c:v>-1.31</c:v>
                </c:pt>
                <c:pt idx="945">
                  <c:v>-1.31</c:v>
                </c:pt>
                <c:pt idx="946">
                  <c:v>-1.31</c:v>
                </c:pt>
                <c:pt idx="947">
                  <c:v>-0.78</c:v>
                </c:pt>
                <c:pt idx="948">
                  <c:v>-0.78</c:v>
                </c:pt>
                <c:pt idx="949">
                  <c:v>-0.78</c:v>
                </c:pt>
                <c:pt idx="950">
                  <c:v>-0.78</c:v>
                </c:pt>
                <c:pt idx="951">
                  <c:v>-1.31</c:v>
                </c:pt>
                <c:pt idx="952">
                  <c:v>-1.31</c:v>
                </c:pt>
                <c:pt idx="953">
                  <c:v>-1.31</c:v>
                </c:pt>
                <c:pt idx="954">
                  <c:v>-1.31</c:v>
                </c:pt>
                <c:pt idx="955">
                  <c:v>-0.78</c:v>
                </c:pt>
                <c:pt idx="956">
                  <c:v>-0.78</c:v>
                </c:pt>
                <c:pt idx="957">
                  <c:v>-0.78</c:v>
                </c:pt>
                <c:pt idx="958">
                  <c:v>-0.78</c:v>
                </c:pt>
                <c:pt idx="959">
                  <c:v>-1.31</c:v>
                </c:pt>
                <c:pt idx="960">
                  <c:v>-1.31</c:v>
                </c:pt>
                <c:pt idx="961">
                  <c:v>-1.31</c:v>
                </c:pt>
                <c:pt idx="962">
                  <c:v>-0.78</c:v>
                </c:pt>
                <c:pt idx="963">
                  <c:v>-0.78</c:v>
                </c:pt>
                <c:pt idx="964">
                  <c:v>-0.78</c:v>
                </c:pt>
                <c:pt idx="965">
                  <c:v>-0.25</c:v>
                </c:pt>
                <c:pt idx="966">
                  <c:v>-0.25</c:v>
                </c:pt>
                <c:pt idx="967">
                  <c:v>-0.25</c:v>
                </c:pt>
                <c:pt idx="968">
                  <c:v>-0.25</c:v>
                </c:pt>
                <c:pt idx="969">
                  <c:v>-0.78</c:v>
                </c:pt>
                <c:pt idx="970">
                  <c:v>-0.78</c:v>
                </c:pt>
                <c:pt idx="971">
                  <c:v>-0.78</c:v>
                </c:pt>
                <c:pt idx="972">
                  <c:v>-0.78</c:v>
                </c:pt>
                <c:pt idx="973">
                  <c:v>-0.25</c:v>
                </c:pt>
                <c:pt idx="974">
                  <c:v>-0.25</c:v>
                </c:pt>
                <c:pt idx="975">
                  <c:v>-0.25</c:v>
                </c:pt>
                <c:pt idx="976">
                  <c:v>-0.25</c:v>
                </c:pt>
                <c:pt idx="977">
                  <c:v>-0.78</c:v>
                </c:pt>
                <c:pt idx="978">
                  <c:v>-0.78</c:v>
                </c:pt>
                <c:pt idx="979">
                  <c:v>-0.78</c:v>
                </c:pt>
                <c:pt idx="980">
                  <c:v>-0.78</c:v>
                </c:pt>
                <c:pt idx="981">
                  <c:v>-0.25</c:v>
                </c:pt>
                <c:pt idx="982">
                  <c:v>-0.25</c:v>
                </c:pt>
                <c:pt idx="983">
                  <c:v>-0.25</c:v>
                </c:pt>
                <c:pt idx="984">
                  <c:v>-0.25</c:v>
                </c:pt>
                <c:pt idx="985">
                  <c:v>-0.78</c:v>
                </c:pt>
                <c:pt idx="986">
                  <c:v>-0.78</c:v>
                </c:pt>
                <c:pt idx="987">
                  <c:v>-0.78</c:v>
                </c:pt>
                <c:pt idx="988">
                  <c:v>-0.78</c:v>
                </c:pt>
                <c:pt idx="989">
                  <c:v>-0.25</c:v>
                </c:pt>
                <c:pt idx="990">
                  <c:v>-0.25</c:v>
                </c:pt>
                <c:pt idx="991">
                  <c:v>-0.25</c:v>
                </c:pt>
                <c:pt idx="992">
                  <c:v>-0.25</c:v>
                </c:pt>
                <c:pt idx="993">
                  <c:v>-0.78</c:v>
                </c:pt>
                <c:pt idx="994">
                  <c:v>-0.78</c:v>
                </c:pt>
                <c:pt idx="995">
                  <c:v>-0.78</c:v>
                </c:pt>
                <c:pt idx="996">
                  <c:v>-0.78</c:v>
                </c:pt>
                <c:pt idx="997">
                  <c:v>-0.25</c:v>
                </c:pt>
                <c:pt idx="998">
                  <c:v>-0.25</c:v>
                </c:pt>
                <c:pt idx="999">
                  <c:v>-0.25</c:v>
                </c:pt>
                <c:pt idx="1000">
                  <c:v>-0.25</c:v>
                </c:pt>
                <c:pt idx="1001">
                  <c:v>-0.78</c:v>
                </c:pt>
                <c:pt idx="1002">
                  <c:v>-0.78</c:v>
                </c:pt>
                <c:pt idx="1003">
                  <c:v>-0.78</c:v>
                </c:pt>
                <c:pt idx="1004">
                  <c:v>-0.78</c:v>
                </c:pt>
                <c:pt idx="1005">
                  <c:v>-0.25</c:v>
                </c:pt>
                <c:pt idx="1006">
                  <c:v>-0.25</c:v>
                </c:pt>
                <c:pt idx="1007">
                  <c:v>-0.25</c:v>
                </c:pt>
                <c:pt idx="1008">
                  <c:v>-0.25</c:v>
                </c:pt>
                <c:pt idx="1009">
                  <c:v>-0.78</c:v>
                </c:pt>
                <c:pt idx="1010">
                  <c:v>-0.78</c:v>
                </c:pt>
                <c:pt idx="1011">
                  <c:v>-0.78</c:v>
                </c:pt>
                <c:pt idx="1012">
                  <c:v>-0.78</c:v>
                </c:pt>
                <c:pt idx="1013">
                  <c:v>-0.25</c:v>
                </c:pt>
                <c:pt idx="1014">
                  <c:v>-0.25</c:v>
                </c:pt>
                <c:pt idx="1015">
                  <c:v>-0.25</c:v>
                </c:pt>
                <c:pt idx="1016">
                  <c:v>-0.25</c:v>
                </c:pt>
                <c:pt idx="1017">
                  <c:v>-0.78</c:v>
                </c:pt>
                <c:pt idx="1018">
                  <c:v>-0.78</c:v>
                </c:pt>
                <c:pt idx="1019">
                  <c:v>-0.78</c:v>
                </c:pt>
                <c:pt idx="1020">
                  <c:v>-0.78</c:v>
                </c:pt>
                <c:pt idx="1021">
                  <c:v>-0.25</c:v>
                </c:pt>
                <c:pt idx="1022">
                  <c:v>-0.25</c:v>
                </c:pt>
                <c:pt idx="1023">
                  <c:v>-0.25</c:v>
                </c:pt>
                <c:pt idx="1024">
                  <c:v>-0.25</c:v>
                </c:pt>
                <c:pt idx="1025">
                  <c:v>-0.78</c:v>
                </c:pt>
                <c:pt idx="1026">
                  <c:v>-0.78</c:v>
                </c:pt>
                <c:pt idx="1027">
                  <c:v>-0.78</c:v>
                </c:pt>
                <c:pt idx="1028">
                  <c:v>-0.78</c:v>
                </c:pt>
                <c:pt idx="1029">
                  <c:v>-0.25</c:v>
                </c:pt>
                <c:pt idx="1030">
                  <c:v>-0.25</c:v>
                </c:pt>
                <c:pt idx="1031">
                  <c:v>-0.25</c:v>
                </c:pt>
                <c:pt idx="1032">
                  <c:v>-0.25</c:v>
                </c:pt>
                <c:pt idx="1033">
                  <c:v>-0.78</c:v>
                </c:pt>
                <c:pt idx="1034">
                  <c:v>-0.78</c:v>
                </c:pt>
                <c:pt idx="1035">
                  <c:v>-0.78</c:v>
                </c:pt>
                <c:pt idx="1036">
                  <c:v>-0.78</c:v>
                </c:pt>
                <c:pt idx="1037">
                  <c:v>-0.25</c:v>
                </c:pt>
                <c:pt idx="1038">
                  <c:v>-0.25</c:v>
                </c:pt>
                <c:pt idx="1039">
                  <c:v>-0.25</c:v>
                </c:pt>
                <c:pt idx="1040">
                  <c:v>-0.25</c:v>
                </c:pt>
                <c:pt idx="1041">
                  <c:v>-0.78</c:v>
                </c:pt>
                <c:pt idx="1042">
                  <c:v>-0.78</c:v>
                </c:pt>
                <c:pt idx="1043">
                  <c:v>-0.78</c:v>
                </c:pt>
                <c:pt idx="1044">
                  <c:v>-0.78</c:v>
                </c:pt>
                <c:pt idx="1045">
                  <c:v>-0.25</c:v>
                </c:pt>
                <c:pt idx="1046">
                  <c:v>-0.25</c:v>
                </c:pt>
                <c:pt idx="1047">
                  <c:v>-0.25</c:v>
                </c:pt>
                <c:pt idx="1048">
                  <c:v>-0.25</c:v>
                </c:pt>
                <c:pt idx="1049">
                  <c:v>-0.78</c:v>
                </c:pt>
                <c:pt idx="1050">
                  <c:v>-0.78</c:v>
                </c:pt>
                <c:pt idx="1051">
                  <c:v>-0.78</c:v>
                </c:pt>
                <c:pt idx="1052">
                  <c:v>-0.78</c:v>
                </c:pt>
                <c:pt idx="1053">
                  <c:v>-0.25</c:v>
                </c:pt>
                <c:pt idx="1054">
                  <c:v>-0.25</c:v>
                </c:pt>
                <c:pt idx="1055">
                  <c:v>-0.25</c:v>
                </c:pt>
                <c:pt idx="1056">
                  <c:v>-0.25</c:v>
                </c:pt>
                <c:pt idx="1057">
                  <c:v>-0.78</c:v>
                </c:pt>
                <c:pt idx="1058">
                  <c:v>-0.78</c:v>
                </c:pt>
                <c:pt idx="1059">
                  <c:v>-0.78</c:v>
                </c:pt>
                <c:pt idx="1060">
                  <c:v>-0.78</c:v>
                </c:pt>
                <c:pt idx="1061">
                  <c:v>-0.25</c:v>
                </c:pt>
                <c:pt idx="1062">
                  <c:v>-0.25</c:v>
                </c:pt>
                <c:pt idx="1063">
                  <c:v>-0.25</c:v>
                </c:pt>
                <c:pt idx="1064">
                  <c:v>-0.25</c:v>
                </c:pt>
                <c:pt idx="1065">
                  <c:v>-0.78</c:v>
                </c:pt>
                <c:pt idx="1066">
                  <c:v>-0.78</c:v>
                </c:pt>
                <c:pt idx="1067">
                  <c:v>-0.78</c:v>
                </c:pt>
                <c:pt idx="1068">
                  <c:v>-0.78</c:v>
                </c:pt>
                <c:pt idx="1069">
                  <c:v>-0.25</c:v>
                </c:pt>
                <c:pt idx="1070">
                  <c:v>-0.25</c:v>
                </c:pt>
                <c:pt idx="1071">
                  <c:v>-0.25</c:v>
                </c:pt>
                <c:pt idx="1072">
                  <c:v>-0.25</c:v>
                </c:pt>
                <c:pt idx="1073">
                  <c:v>-0.78</c:v>
                </c:pt>
                <c:pt idx="1074">
                  <c:v>-0.78</c:v>
                </c:pt>
                <c:pt idx="1075">
                  <c:v>-0.78</c:v>
                </c:pt>
                <c:pt idx="1076">
                  <c:v>-0.78</c:v>
                </c:pt>
                <c:pt idx="1077">
                  <c:v>-0.25</c:v>
                </c:pt>
                <c:pt idx="1078">
                  <c:v>-0.25</c:v>
                </c:pt>
                <c:pt idx="1079">
                  <c:v>-0.25</c:v>
                </c:pt>
                <c:pt idx="1080">
                  <c:v>-0.25</c:v>
                </c:pt>
                <c:pt idx="1081">
                  <c:v>-0.78</c:v>
                </c:pt>
                <c:pt idx="1082">
                  <c:v>-0.78</c:v>
                </c:pt>
                <c:pt idx="1083">
                  <c:v>-0.78</c:v>
                </c:pt>
                <c:pt idx="1084">
                  <c:v>-0.78</c:v>
                </c:pt>
                <c:pt idx="1085">
                  <c:v>-0.25</c:v>
                </c:pt>
                <c:pt idx="1086">
                  <c:v>-0.25</c:v>
                </c:pt>
                <c:pt idx="1087">
                  <c:v>-0.25</c:v>
                </c:pt>
                <c:pt idx="1088">
                  <c:v>-0.25</c:v>
                </c:pt>
                <c:pt idx="1089">
                  <c:v>-0.78</c:v>
                </c:pt>
                <c:pt idx="1090">
                  <c:v>-0.78</c:v>
                </c:pt>
                <c:pt idx="1091">
                  <c:v>-0.78</c:v>
                </c:pt>
                <c:pt idx="1092">
                  <c:v>-0.78</c:v>
                </c:pt>
                <c:pt idx="1093">
                  <c:v>-0.25</c:v>
                </c:pt>
                <c:pt idx="1094">
                  <c:v>-0.25</c:v>
                </c:pt>
                <c:pt idx="1095">
                  <c:v>-0.25</c:v>
                </c:pt>
                <c:pt idx="1096">
                  <c:v>-0.25</c:v>
                </c:pt>
                <c:pt idx="1097">
                  <c:v>-0.78</c:v>
                </c:pt>
                <c:pt idx="1098">
                  <c:v>-0.78</c:v>
                </c:pt>
                <c:pt idx="1099">
                  <c:v>-0.78</c:v>
                </c:pt>
                <c:pt idx="1100">
                  <c:v>-0.78</c:v>
                </c:pt>
                <c:pt idx="1101">
                  <c:v>-0.25</c:v>
                </c:pt>
                <c:pt idx="1102">
                  <c:v>-0.25</c:v>
                </c:pt>
                <c:pt idx="1103">
                  <c:v>-0.25</c:v>
                </c:pt>
                <c:pt idx="1104">
                  <c:v>-0.25</c:v>
                </c:pt>
                <c:pt idx="1105">
                  <c:v>-0.78</c:v>
                </c:pt>
                <c:pt idx="1106">
                  <c:v>-0.78</c:v>
                </c:pt>
                <c:pt idx="1107">
                  <c:v>-0.78</c:v>
                </c:pt>
                <c:pt idx="1108">
                  <c:v>-0.78</c:v>
                </c:pt>
                <c:pt idx="1109">
                  <c:v>-0.25</c:v>
                </c:pt>
                <c:pt idx="1110">
                  <c:v>-0.25</c:v>
                </c:pt>
                <c:pt idx="1111">
                  <c:v>-0.25</c:v>
                </c:pt>
                <c:pt idx="1112">
                  <c:v>-0.25</c:v>
                </c:pt>
                <c:pt idx="1113">
                  <c:v>-0.78</c:v>
                </c:pt>
                <c:pt idx="1114">
                  <c:v>-0.78</c:v>
                </c:pt>
                <c:pt idx="1115">
                  <c:v>-0.78</c:v>
                </c:pt>
                <c:pt idx="1116">
                  <c:v>-0.78</c:v>
                </c:pt>
                <c:pt idx="1117">
                  <c:v>-0.25</c:v>
                </c:pt>
                <c:pt idx="1118">
                  <c:v>-0.25</c:v>
                </c:pt>
                <c:pt idx="1119">
                  <c:v>-0.25</c:v>
                </c:pt>
                <c:pt idx="1120">
                  <c:v>-0.25</c:v>
                </c:pt>
                <c:pt idx="1121">
                  <c:v>-0.78</c:v>
                </c:pt>
                <c:pt idx="1122">
                  <c:v>-0.78</c:v>
                </c:pt>
                <c:pt idx="1123">
                  <c:v>-0.78</c:v>
                </c:pt>
                <c:pt idx="1124">
                  <c:v>-0.78</c:v>
                </c:pt>
                <c:pt idx="1125">
                  <c:v>-0.25</c:v>
                </c:pt>
                <c:pt idx="1126">
                  <c:v>-0.25</c:v>
                </c:pt>
                <c:pt idx="1127">
                  <c:v>-0.25</c:v>
                </c:pt>
                <c:pt idx="1128">
                  <c:v>-0.25</c:v>
                </c:pt>
                <c:pt idx="1129">
                  <c:v>-0.78</c:v>
                </c:pt>
                <c:pt idx="1130">
                  <c:v>-0.78</c:v>
                </c:pt>
                <c:pt idx="1131">
                  <c:v>-0.78</c:v>
                </c:pt>
                <c:pt idx="1132">
                  <c:v>-0.78</c:v>
                </c:pt>
                <c:pt idx="1133">
                  <c:v>-0.25</c:v>
                </c:pt>
                <c:pt idx="1134">
                  <c:v>-0.25</c:v>
                </c:pt>
                <c:pt idx="1135">
                  <c:v>-0.25</c:v>
                </c:pt>
                <c:pt idx="1136">
                  <c:v>-0.25</c:v>
                </c:pt>
                <c:pt idx="1137">
                  <c:v>-0.78</c:v>
                </c:pt>
                <c:pt idx="1138">
                  <c:v>-0.78</c:v>
                </c:pt>
                <c:pt idx="1139">
                  <c:v>-0.78</c:v>
                </c:pt>
                <c:pt idx="1140">
                  <c:v>-0.78</c:v>
                </c:pt>
                <c:pt idx="1141">
                  <c:v>-0.25</c:v>
                </c:pt>
                <c:pt idx="1142">
                  <c:v>-0.25</c:v>
                </c:pt>
                <c:pt idx="1143">
                  <c:v>-0.25</c:v>
                </c:pt>
                <c:pt idx="1144">
                  <c:v>-0.25</c:v>
                </c:pt>
                <c:pt idx="1145">
                  <c:v>-0.78</c:v>
                </c:pt>
                <c:pt idx="1146">
                  <c:v>-0.78</c:v>
                </c:pt>
                <c:pt idx="1147">
                  <c:v>-0.78</c:v>
                </c:pt>
                <c:pt idx="1148">
                  <c:v>-0.78</c:v>
                </c:pt>
                <c:pt idx="1149">
                  <c:v>-0.25</c:v>
                </c:pt>
                <c:pt idx="1150">
                  <c:v>-0.25</c:v>
                </c:pt>
                <c:pt idx="1151">
                  <c:v>-0.25</c:v>
                </c:pt>
                <c:pt idx="1152">
                  <c:v>-0.25</c:v>
                </c:pt>
                <c:pt idx="1153">
                  <c:v>-0.78</c:v>
                </c:pt>
                <c:pt idx="1154">
                  <c:v>-0.78</c:v>
                </c:pt>
                <c:pt idx="1155">
                  <c:v>-0.78</c:v>
                </c:pt>
                <c:pt idx="1156">
                  <c:v>-0.78</c:v>
                </c:pt>
                <c:pt idx="1157">
                  <c:v>-0.25</c:v>
                </c:pt>
                <c:pt idx="1158">
                  <c:v>-0.25</c:v>
                </c:pt>
                <c:pt idx="1159">
                  <c:v>-0.25</c:v>
                </c:pt>
                <c:pt idx="1160">
                  <c:v>-0.25</c:v>
                </c:pt>
                <c:pt idx="1161">
                  <c:v>-0.78</c:v>
                </c:pt>
                <c:pt idx="1162">
                  <c:v>-0.78</c:v>
                </c:pt>
                <c:pt idx="1163">
                  <c:v>-0.78</c:v>
                </c:pt>
                <c:pt idx="1164">
                  <c:v>-0.78</c:v>
                </c:pt>
                <c:pt idx="1165">
                  <c:v>-0.25</c:v>
                </c:pt>
                <c:pt idx="1166">
                  <c:v>-0.25</c:v>
                </c:pt>
                <c:pt idx="1167">
                  <c:v>-0.25</c:v>
                </c:pt>
                <c:pt idx="1168">
                  <c:v>-0.25</c:v>
                </c:pt>
                <c:pt idx="1169">
                  <c:v>-0.78</c:v>
                </c:pt>
                <c:pt idx="1170">
                  <c:v>-0.78</c:v>
                </c:pt>
                <c:pt idx="1171">
                  <c:v>-0.78</c:v>
                </c:pt>
                <c:pt idx="1172">
                  <c:v>-0.78</c:v>
                </c:pt>
                <c:pt idx="1173">
                  <c:v>-0.25</c:v>
                </c:pt>
                <c:pt idx="1174">
                  <c:v>-0.25</c:v>
                </c:pt>
                <c:pt idx="1175">
                  <c:v>-0.25</c:v>
                </c:pt>
                <c:pt idx="1176">
                  <c:v>-0.25</c:v>
                </c:pt>
                <c:pt idx="1177">
                  <c:v>-0.78</c:v>
                </c:pt>
                <c:pt idx="1178">
                  <c:v>-0.78</c:v>
                </c:pt>
                <c:pt idx="1179">
                  <c:v>-0.78</c:v>
                </c:pt>
                <c:pt idx="1180">
                  <c:v>-0.78</c:v>
                </c:pt>
                <c:pt idx="1181">
                  <c:v>-0.25</c:v>
                </c:pt>
                <c:pt idx="1182">
                  <c:v>-0.25</c:v>
                </c:pt>
                <c:pt idx="1183">
                  <c:v>-0.25</c:v>
                </c:pt>
                <c:pt idx="1184">
                  <c:v>-0.25</c:v>
                </c:pt>
                <c:pt idx="1185">
                  <c:v>-0.78</c:v>
                </c:pt>
                <c:pt idx="1186">
                  <c:v>-0.78</c:v>
                </c:pt>
                <c:pt idx="1187">
                  <c:v>-0.78</c:v>
                </c:pt>
                <c:pt idx="1188">
                  <c:v>-0.78</c:v>
                </c:pt>
                <c:pt idx="1189">
                  <c:v>-0.25</c:v>
                </c:pt>
                <c:pt idx="1190">
                  <c:v>-0.25</c:v>
                </c:pt>
                <c:pt idx="1191">
                  <c:v>-0.25</c:v>
                </c:pt>
                <c:pt idx="1192">
                  <c:v>-0.25</c:v>
                </c:pt>
                <c:pt idx="1193">
                  <c:v>-0.78</c:v>
                </c:pt>
                <c:pt idx="1194">
                  <c:v>-0.78</c:v>
                </c:pt>
                <c:pt idx="1195">
                  <c:v>-0.78</c:v>
                </c:pt>
                <c:pt idx="1196">
                  <c:v>-0.78</c:v>
                </c:pt>
                <c:pt idx="1197">
                  <c:v>-0.25</c:v>
                </c:pt>
                <c:pt idx="1198">
                  <c:v>-0.25</c:v>
                </c:pt>
                <c:pt idx="1199">
                  <c:v>-0.25</c:v>
                </c:pt>
                <c:pt idx="1200">
                  <c:v>-0.25</c:v>
                </c:pt>
                <c:pt idx="1201">
                  <c:v>-0.78</c:v>
                </c:pt>
                <c:pt idx="1202">
                  <c:v>-0.78</c:v>
                </c:pt>
                <c:pt idx="1203">
                  <c:v>-0.78</c:v>
                </c:pt>
                <c:pt idx="1204">
                  <c:v>-0.78</c:v>
                </c:pt>
                <c:pt idx="1205">
                  <c:v>-0.25</c:v>
                </c:pt>
                <c:pt idx="1206">
                  <c:v>-0.25</c:v>
                </c:pt>
                <c:pt idx="1207">
                  <c:v>-0.25</c:v>
                </c:pt>
                <c:pt idx="1208">
                  <c:v>-0.25</c:v>
                </c:pt>
                <c:pt idx="1209">
                  <c:v>-0.78</c:v>
                </c:pt>
                <c:pt idx="1210">
                  <c:v>-0.78</c:v>
                </c:pt>
                <c:pt idx="1211">
                  <c:v>-0.78</c:v>
                </c:pt>
                <c:pt idx="1212">
                  <c:v>-0.78</c:v>
                </c:pt>
                <c:pt idx="1213">
                  <c:v>-0.25</c:v>
                </c:pt>
                <c:pt idx="1214">
                  <c:v>-0.25</c:v>
                </c:pt>
                <c:pt idx="1215">
                  <c:v>-0.25</c:v>
                </c:pt>
                <c:pt idx="1216">
                  <c:v>-0.25</c:v>
                </c:pt>
                <c:pt idx="1217">
                  <c:v>-0.78</c:v>
                </c:pt>
                <c:pt idx="1218">
                  <c:v>-0.78</c:v>
                </c:pt>
                <c:pt idx="1219">
                  <c:v>-0.78</c:v>
                </c:pt>
                <c:pt idx="1220">
                  <c:v>-0.78</c:v>
                </c:pt>
                <c:pt idx="1221">
                  <c:v>-0.25</c:v>
                </c:pt>
                <c:pt idx="1222">
                  <c:v>-0.25</c:v>
                </c:pt>
                <c:pt idx="1223">
                  <c:v>-0.25</c:v>
                </c:pt>
                <c:pt idx="1224">
                  <c:v>-0.25</c:v>
                </c:pt>
                <c:pt idx="1225">
                  <c:v>-0.78</c:v>
                </c:pt>
                <c:pt idx="1226">
                  <c:v>-0.78</c:v>
                </c:pt>
                <c:pt idx="1227">
                  <c:v>-0.78</c:v>
                </c:pt>
                <c:pt idx="1228">
                  <c:v>-0.78</c:v>
                </c:pt>
                <c:pt idx="1229">
                  <c:v>-0.25</c:v>
                </c:pt>
                <c:pt idx="1230">
                  <c:v>-0.25</c:v>
                </c:pt>
                <c:pt idx="1231">
                  <c:v>-0.25</c:v>
                </c:pt>
                <c:pt idx="1232">
                  <c:v>-0.25</c:v>
                </c:pt>
                <c:pt idx="1233">
                  <c:v>-0.78</c:v>
                </c:pt>
                <c:pt idx="1234">
                  <c:v>-0.78</c:v>
                </c:pt>
                <c:pt idx="1235">
                  <c:v>-0.78</c:v>
                </c:pt>
                <c:pt idx="1236">
                  <c:v>-0.78</c:v>
                </c:pt>
                <c:pt idx="1237">
                  <c:v>-0.25</c:v>
                </c:pt>
                <c:pt idx="1238">
                  <c:v>-0.25</c:v>
                </c:pt>
                <c:pt idx="1239">
                  <c:v>-0.25</c:v>
                </c:pt>
                <c:pt idx="1240">
                  <c:v>-0.25</c:v>
                </c:pt>
                <c:pt idx="1241">
                  <c:v>-0.78</c:v>
                </c:pt>
                <c:pt idx="1242">
                  <c:v>-0.78</c:v>
                </c:pt>
                <c:pt idx="1243">
                  <c:v>-0.78</c:v>
                </c:pt>
                <c:pt idx="1244">
                  <c:v>-0.78</c:v>
                </c:pt>
                <c:pt idx="1245">
                  <c:v>-0.25</c:v>
                </c:pt>
                <c:pt idx="1246">
                  <c:v>-0.25</c:v>
                </c:pt>
                <c:pt idx="1247">
                  <c:v>-0.25</c:v>
                </c:pt>
                <c:pt idx="1248">
                  <c:v>-0.25</c:v>
                </c:pt>
                <c:pt idx="1249">
                  <c:v>-0.78</c:v>
                </c:pt>
                <c:pt idx="1250">
                  <c:v>-0.78</c:v>
                </c:pt>
                <c:pt idx="1251">
                  <c:v>-0.78</c:v>
                </c:pt>
                <c:pt idx="1252">
                  <c:v>-0.78</c:v>
                </c:pt>
                <c:pt idx="1253">
                  <c:v>-0.25</c:v>
                </c:pt>
                <c:pt idx="1254">
                  <c:v>-0.25</c:v>
                </c:pt>
                <c:pt idx="1255">
                  <c:v>-0.25</c:v>
                </c:pt>
                <c:pt idx="1256">
                  <c:v>-0.25</c:v>
                </c:pt>
                <c:pt idx="1257">
                  <c:v>-0.78</c:v>
                </c:pt>
                <c:pt idx="1258">
                  <c:v>-0.78</c:v>
                </c:pt>
                <c:pt idx="1259">
                  <c:v>-0.78</c:v>
                </c:pt>
                <c:pt idx="1260">
                  <c:v>-0.78</c:v>
                </c:pt>
                <c:pt idx="1261">
                  <c:v>-0.25</c:v>
                </c:pt>
                <c:pt idx="1262">
                  <c:v>-0.25</c:v>
                </c:pt>
                <c:pt idx="1263">
                  <c:v>-0.25</c:v>
                </c:pt>
                <c:pt idx="1264">
                  <c:v>-0.25</c:v>
                </c:pt>
                <c:pt idx="1265">
                  <c:v>-0.78</c:v>
                </c:pt>
                <c:pt idx="1266">
                  <c:v>-0.78</c:v>
                </c:pt>
                <c:pt idx="1267">
                  <c:v>-0.78</c:v>
                </c:pt>
                <c:pt idx="1268">
                  <c:v>-0.78</c:v>
                </c:pt>
                <c:pt idx="1269">
                  <c:v>-0.25</c:v>
                </c:pt>
                <c:pt idx="1270">
                  <c:v>-0.25</c:v>
                </c:pt>
                <c:pt idx="1271">
                  <c:v>-0.25</c:v>
                </c:pt>
                <c:pt idx="1272">
                  <c:v>-0.25</c:v>
                </c:pt>
                <c:pt idx="1273">
                  <c:v>-0.78</c:v>
                </c:pt>
                <c:pt idx="1274">
                  <c:v>-0.78</c:v>
                </c:pt>
                <c:pt idx="1275">
                  <c:v>-0.78</c:v>
                </c:pt>
                <c:pt idx="1276">
                  <c:v>-0.78</c:v>
                </c:pt>
                <c:pt idx="1277">
                  <c:v>-0.25</c:v>
                </c:pt>
                <c:pt idx="1278">
                  <c:v>-0.25</c:v>
                </c:pt>
                <c:pt idx="1279">
                  <c:v>-0.25</c:v>
                </c:pt>
                <c:pt idx="1280">
                  <c:v>-0.25</c:v>
                </c:pt>
                <c:pt idx="1281">
                  <c:v>-0.78</c:v>
                </c:pt>
                <c:pt idx="1282">
                  <c:v>-0.78</c:v>
                </c:pt>
                <c:pt idx="1283">
                  <c:v>-0.78</c:v>
                </c:pt>
                <c:pt idx="1284">
                  <c:v>-0.78</c:v>
                </c:pt>
                <c:pt idx="1285">
                  <c:v>-0.25</c:v>
                </c:pt>
                <c:pt idx="1286">
                  <c:v>-0.25</c:v>
                </c:pt>
                <c:pt idx="1287">
                  <c:v>-0.25</c:v>
                </c:pt>
                <c:pt idx="1288">
                  <c:v>-0.25</c:v>
                </c:pt>
                <c:pt idx="1289">
                  <c:v>-0.78</c:v>
                </c:pt>
                <c:pt idx="1290">
                  <c:v>-0.78</c:v>
                </c:pt>
                <c:pt idx="1291">
                  <c:v>-0.78</c:v>
                </c:pt>
                <c:pt idx="1292">
                  <c:v>-0.78</c:v>
                </c:pt>
                <c:pt idx="1293">
                  <c:v>-0.25</c:v>
                </c:pt>
                <c:pt idx="1294">
                  <c:v>-0.25</c:v>
                </c:pt>
                <c:pt idx="1295">
                  <c:v>-0.25</c:v>
                </c:pt>
                <c:pt idx="1296">
                  <c:v>-0.25</c:v>
                </c:pt>
                <c:pt idx="1297">
                  <c:v>-0.78</c:v>
                </c:pt>
                <c:pt idx="1298">
                  <c:v>-0.78</c:v>
                </c:pt>
                <c:pt idx="1299">
                  <c:v>-0.78</c:v>
                </c:pt>
                <c:pt idx="1300">
                  <c:v>-0.78</c:v>
                </c:pt>
                <c:pt idx="1301">
                  <c:v>-0.25</c:v>
                </c:pt>
                <c:pt idx="1302">
                  <c:v>-0.25</c:v>
                </c:pt>
                <c:pt idx="1303">
                  <c:v>-0.25</c:v>
                </c:pt>
                <c:pt idx="1304">
                  <c:v>-0.25</c:v>
                </c:pt>
                <c:pt idx="1305">
                  <c:v>-0.78</c:v>
                </c:pt>
                <c:pt idx="1306">
                  <c:v>-0.78</c:v>
                </c:pt>
                <c:pt idx="1307">
                  <c:v>-0.78</c:v>
                </c:pt>
                <c:pt idx="1308">
                  <c:v>-0.78</c:v>
                </c:pt>
                <c:pt idx="1309">
                  <c:v>-0.25</c:v>
                </c:pt>
                <c:pt idx="1310">
                  <c:v>-0.25</c:v>
                </c:pt>
                <c:pt idx="1311">
                  <c:v>-0.25</c:v>
                </c:pt>
                <c:pt idx="1312">
                  <c:v>-0.25</c:v>
                </c:pt>
                <c:pt idx="1313">
                  <c:v>-0.78</c:v>
                </c:pt>
                <c:pt idx="1314">
                  <c:v>-0.78</c:v>
                </c:pt>
                <c:pt idx="1315">
                  <c:v>-0.78</c:v>
                </c:pt>
                <c:pt idx="1316">
                  <c:v>-0.78</c:v>
                </c:pt>
                <c:pt idx="1317">
                  <c:v>-0.25</c:v>
                </c:pt>
                <c:pt idx="1318">
                  <c:v>-0.25</c:v>
                </c:pt>
                <c:pt idx="1319">
                  <c:v>-0.25</c:v>
                </c:pt>
                <c:pt idx="1320">
                  <c:v>-0.25</c:v>
                </c:pt>
                <c:pt idx="1321">
                  <c:v>-0.78</c:v>
                </c:pt>
                <c:pt idx="1322">
                  <c:v>-0.78</c:v>
                </c:pt>
                <c:pt idx="1323">
                  <c:v>-0.78</c:v>
                </c:pt>
                <c:pt idx="1324">
                  <c:v>-0.78</c:v>
                </c:pt>
                <c:pt idx="1325">
                  <c:v>-0.25</c:v>
                </c:pt>
                <c:pt idx="1326">
                  <c:v>-0.25</c:v>
                </c:pt>
                <c:pt idx="1327">
                  <c:v>-0.25</c:v>
                </c:pt>
                <c:pt idx="1328">
                  <c:v>-0.25</c:v>
                </c:pt>
                <c:pt idx="1329">
                  <c:v>-0.78</c:v>
                </c:pt>
                <c:pt idx="1330">
                  <c:v>-0.78</c:v>
                </c:pt>
                <c:pt idx="1331">
                  <c:v>-0.78</c:v>
                </c:pt>
                <c:pt idx="1332">
                  <c:v>-0.78</c:v>
                </c:pt>
                <c:pt idx="1333">
                  <c:v>-0.25</c:v>
                </c:pt>
                <c:pt idx="1334">
                  <c:v>-0.25</c:v>
                </c:pt>
                <c:pt idx="1335">
                  <c:v>-0.25</c:v>
                </c:pt>
                <c:pt idx="1336">
                  <c:v>-0.25</c:v>
                </c:pt>
                <c:pt idx="1337">
                  <c:v>-0.78</c:v>
                </c:pt>
                <c:pt idx="1338">
                  <c:v>-0.78</c:v>
                </c:pt>
                <c:pt idx="1339">
                  <c:v>-0.78</c:v>
                </c:pt>
                <c:pt idx="1340">
                  <c:v>-0.78</c:v>
                </c:pt>
                <c:pt idx="1341">
                  <c:v>-0.25</c:v>
                </c:pt>
                <c:pt idx="1342">
                  <c:v>-0.25</c:v>
                </c:pt>
                <c:pt idx="1343">
                  <c:v>-0.25</c:v>
                </c:pt>
                <c:pt idx="1344">
                  <c:v>-0.25</c:v>
                </c:pt>
                <c:pt idx="1345">
                  <c:v>-0.78</c:v>
                </c:pt>
                <c:pt idx="1346">
                  <c:v>-0.78</c:v>
                </c:pt>
                <c:pt idx="1347">
                  <c:v>-0.78</c:v>
                </c:pt>
                <c:pt idx="1348">
                  <c:v>-0.78</c:v>
                </c:pt>
                <c:pt idx="1349">
                  <c:v>-0.25</c:v>
                </c:pt>
                <c:pt idx="1350">
                  <c:v>-0.25</c:v>
                </c:pt>
                <c:pt idx="1351">
                  <c:v>-0.25</c:v>
                </c:pt>
                <c:pt idx="1352">
                  <c:v>-0.25</c:v>
                </c:pt>
                <c:pt idx="1353">
                  <c:v>-0.78</c:v>
                </c:pt>
                <c:pt idx="1354">
                  <c:v>-0.78</c:v>
                </c:pt>
                <c:pt idx="1355">
                  <c:v>-0.78</c:v>
                </c:pt>
                <c:pt idx="1356">
                  <c:v>-0.78</c:v>
                </c:pt>
                <c:pt idx="1357">
                  <c:v>-0.25</c:v>
                </c:pt>
                <c:pt idx="1358">
                  <c:v>-0.25</c:v>
                </c:pt>
                <c:pt idx="1359">
                  <c:v>-0.25</c:v>
                </c:pt>
                <c:pt idx="1360">
                  <c:v>-0.25</c:v>
                </c:pt>
                <c:pt idx="1361">
                  <c:v>-0.78</c:v>
                </c:pt>
                <c:pt idx="1362">
                  <c:v>-0.78</c:v>
                </c:pt>
                <c:pt idx="1363">
                  <c:v>-0.78</c:v>
                </c:pt>
                <c:pt idx="1364">
                  <c:v>-0.78</c:v>
                </c:pt>
                <c:pt idx="1365">
                  <c:v>-0.25</c:v>
                </c:pt>
                <c:pt idx="1366">
                  <c:v>-0.25</c:v>
                </c:pt>
                <c:pt idx="1367">
                  <c:v>-0.25</c:v>
                </c:pt>
                <c:pt idx="1368">
                  <c:v>-0.25</c:v>
                </c:pt>
                <c:pt idx="1369">
                  <c:v>-0.78</c:v>
                </c:pt>
                <c:pt idx="1370">
                  <c:v>-0.78</c:v>
                </c:pt>
                <c:pt idx="1371">
                  <c:v>-0.78</c:v>
                </c:pt>
                <c:pt idx="1372">
                  <c:v>-0.78</c:v>
                </c:pt>
                <c:pt idx="1373">
                  <c:v>-0.25</c:v>
                </c:pt>
                <c:pt idx="1374">
                  <c:v>-0.25</c:v>
                </c:pt>
                <c:pt idx="1375">
                  <c:v>-0.25</c:v>
                </c:pt>
                <c:pt idx="1376">
                  <c:v>-0.25</c:v>
                </c:pt>
                <c:pt idx="1377">
                  <c:v>-0.78</c:v>
                </c:pt>
                <c:pt idx="1378">
                  <c:v>-0.78</c:v>
                </c:pt>
                <c:pt idx="1379">
                  <c:v>-0.78</c:v>
                </c:pt>
                <c:pt idx="1380">
                  <c:v>-0.78</c:v>
                </c:pt>
                <c:pt idx="1381">
                  <c:v>-0.25</c:v>
                </c:pt>
                <c:pt idx="1382">
                  <c:v>-0.25</c:v>
                </c:pt>
                <c:pt idx="1383">
                  <c:v>-0.25</c:v>
                </c:pt>
                <c:pt idx="1384">
                  <c:v>-0.25</c:v>
                </c:pt>
                <c:pt idx="1385">
                  <c:v>-0.78</c:v>
                </c:pt>
                <c:pt idx="1386">
                  <c:v>-0.78</c:v>
                </c:pt>
                <c:pt idx="1387">
                  <c:v>-0.78</c:v>
                </c:pt>
                <c:pt idx="1388">
                  <c:v>-0.78</c:v>
                </c:pt>
                <c:pt idx="1389">
                  <c:v>-0.25</c:v>
                </c:pt>
                <c:pt idx="1390">
                  <c:v>-0.25</c:v>
                </c:pt>
                <c:pt idx="1391">
                  <c:v>-0.25</c:v>
                </c:pt>
                <c:pt idx="1392">
                  <c:v>-0.25</c:v>
                </c:pt>
                <c:pt idx="1393">
                  <c:v>-0.78</c:v>
                </c:pt>
                <c:pt idx="1394">
                  <c:v>-0.78</c:v>
                </c:pt>
                <c:pt idx="1395">
                  <c:v>-0.78</c:v>
                </c:pt>
                <c:pt idx="1396">
                  <c:v>-0.78</c:v>
                </c:pt>
                <c:pt idx="1397">
                  <c:v>-0.25</c:v>
                </c:pt>
                <c:pt idx="1398">
                  <c:v>-0.25</c:v>
                </c:pt>
                <c:pt idx="1399">
                  <c:v>-0.25</c:v>
                </c:pt>
                <c:pt idx="1400">
                  <c:v>-0.25</c:v>
                </c:pt>
                <c:pt idx="1401">
                  <c:v>-0.78</c:v>
                </c:pt>
                <c:pt idx="1402">
                  <c:v>-0.78</c:v>
                </c:pt>
                <c:pt idx="1403">
                  <c:v>-0.78</c:v>
                </c:pt>
                <c:pt idx="1404">
                  <c:v>-0.78</c:v>
                </c:pt>
                <c:pt idx="1405">
                  <c:v>-0.25</c:v>
                </c:pt>
                <c:pt idx="1406">
                  <c:v>-0.25</c:v>
                </c:pt>
                <c:pt idx="1407">
                  <c:v>-0.25</c:v>
                </c:pt>
                <c:pt idx="1408">
                  <c:v>-0.25</c:v>
                </c:pt>
                <c:pt idx="1409">
                  <c:v>-0.78</c:v>
                </c:pt>
                <c:pt idx="1410">
                  <c:v>-0.78</c:v>
                </c:pt>
                <c:pt idx="1411">
                  <c:v>-0.78</c:v>
                </c:pt>
                <c:pt idx="1412">
                  <c:v>-0.78</c:v>
                </c:pt>
                <c:pt idx="1413">
                  <c:v>-0.25</c:v>
                </c:pt>
                <c:pt idx="1414">
                  <c:v>-0.25</c:v>
                </c:pt>
                <c:pt idx="1415">
                  <c:v>-0.25</c:v>
                </c:pt>
                <c:pt idx="1416">
                  <c:v>-0.25</c:v>
                </c:pt>
                <c:pt idx="1417">
                  <c:v>-0.78</c:v>
                </c:pt>
                <c:pt idx="1418">
                  <c:v>-0.78</c:v>
                </c:pt>
                <c:pt idx="1419">
                  <c:v>-0.78</c:v>
                </c:pt>
                <c:pt idx="1420">
                  <c:v>-0.78</c:v>
                </c:pt>
                <c:pt idx="1421">
                  <c:v>-0.25</c:v>
                </c:pt>
                <c:pt idx="1422">
                  <c:v>-0.25</c:v>
                </c:pt>
                <c:pt idx="1423">
                  <c:v>-0.25</c:v>
                </c:pt>
                <c:pt idx="1424">
                  <c:v>-0.25</c:v>
                </c:pt>
                <c:pt idx="1425">
                  <c:v>-0.78</c:v>
                </c:pt>
                <c:pt idx="1426">
                  <c:v>-0.78</c:v>
                </c:pt>
                <c:pt idx="1427">
                  <c:v>-0.78</c:v>
                </c:pt>
                <c:pt idx="1428">
                  <c:v>-0.78</c:v>
                </c:pt>
                <c:pt idx="1429">
                  <c:v>-0.25</c:v>
                </c:pt>
                <c:pt idx="1430">
                  <c:v>-0.25</c:v>
                </c:pt>
                <c:pt idx="1431">
                  <c:v>-0.25</c:v>
                </c:pt>
                <c:pt idx="1432">
                  <c:v>-0.25</c:v>
                </c:pt>
                <c:pt idx="1433">
                  <c:v>-0.78</c:v>
                </c:pt>
                <c:pt idx="1434">
                  <c:v>-0.78</c:v>
                </c:pt>
                <c:pt idx="1435">
                  <c:v>-0.78</c:v>
                </c:pt>
                <c:pt idx="1436">
                  <c:v>-0.78</c:v>
                </c:pt>
                <c:pt idx="1437">
                  <c:v>-0.25</c:v>
                </c:pt>
                <c:pt idx="1438">
                  <c:v>-0.25</c:v>
                </c:pt>
                <c:pt idx="1439">
                  <c:v>-0.25</c:v>
                </c:pt>
                <c:pt idx="1440">
                  <c:v>-0.25</c:v>
                </c:pt>
                <c:pt idx="1441">
                  <c:v>-0.78</c:v>
                </c:pt>
                <c:pt idx="1442">
                  <c:v>-0.78</c:v>
                </c:pt>
                <c:pt idx="1443">
                  <c:v>-0.78</c:v>
                </c:pt>
                <c:pt idx="1444">
                  <c:v>0.24999999999999978</c:v>
                </c:pt>
                <c:pt idx="1445">
                  <c:v>0.24999999999999978</c:v>
                </c:pt>
                <c:pt idx="1446">
                  <c:v>0.24999999999999978</c:v>
                </c:pt>
                <c:pt idx="1447">
                  <c:v>0.7799999999999998</c:v>
                </c:pt>
                <c:pt idx="1448">
                  <c:v>0.7799999999999998</c:v>
                </c:pt>
                <c:pt idx="1449">
                  <c:v>0.7799999999999998</c:v>
                </c:pt>
                <c:pt idx="1450">
                  <c:v>0.7799999999999998</c:v>
                </c:pt>
                <c:pt idx="1451">
                  <c:v>0.24999999999999978</c:v>
                </c:pt>
                <c:pt idx="1452">
                  <c:v>0.24999999999999978</c:v>
                </c:pt>
                <c:pt idx="1453">
                  <c:v>0.24999999999999978</c:v>
                </c:pt>
                <c:pt idx="1454">
                  <c:v>0.24999999999999978</c:v>
                </c:pt>
                <c:pt idx="1455">
                  <c:v>0.7799999999999998</c:v>
                </c:pt>
                <c:pt idx="1456">
                  <c:v>0.7799999999999998</c:v>
                </c:pt>
                <c:pt idx="1457">
                  <c:v>0.7799999999999998</c:v>
                </c:pt>
                <c:pt idx="1458">
                  <c:v>0.7799999999999998</c:v>
                </c:pt>
                <c:pt idx="1459">
                  <c:v>0.24999999999999978</c:v>
                </c:pt>
                <c:pt idx="1460">
                  <c:v>0.24999999999999978</c:v>
                </c:pt>
                <c:pt idx="1461">
                  <c:v>0.24999999999999978</c:v>
                </c:pt>
                <c:pt idx="1462">
                  <c:v>0.24999999999999978</c:v>
                </c:pt>
                <c:pt idx="1463">
                  <c:v>0.7799999999999998</c:v>
                </c:pt>
                <c:pt idx="1464">
                  <c:v>0.7799999999999998</c:v>
                </c:pt>
                <c:pt idx="1465">
                  <c:v>0.7799999999999998</c:v>
                </c:pt>
                <c:pt idx="1466">
                  <c:v>0.7799999999999998</c:v>
                </c:pt>
                <c:pt idx="1467">
                  <c:v>0.24999999999999978</c:v>
                </c:pt>
                <c:pt idx="1468">
                  <c:v>0.24999999999999978</c:v>
                </c:pt>
                <c:pt idx="1469">
                  <c:v>0.24999999999999978</c:v>
                </c:pt>
                <c:pt idx="1470">
                  <c:v>0.24999999999999978</c:v>
                </c:pt>
                <c:pt idx="1471">
                  <c:v>0.7799999999999998</c:v>
                </c:pt>
                <c:pt idx="1472">
                  <c:v>0.7799999999999998</c:v>
                </c:pt>
                <c:pt idx="1473">
                  <c:v>0.7799999999999998</c:v>
                </c:pt>
                <c:pt idx="1474">
                  <c:v>0.7799999999999998</c:v>
                </c:pt>
                <c:pt idx="1475">
                  <c:v>0.24999999999999978</c:v>
                </c:pt>
                <c:pt idx="1476">
                  <c:v>0.24999999999999978</c:v>
                </c:pt>
                <c:pt idx="1477">
                  <c:v>0.24999999999999978</c:v>
                </c:pt>
                <c:pt idx="1478">
                  <c:v>0.24999999999999978</c:v>
                </c:pt>
                <c:pt idx="1479">
                  <c:v>0.7799999999999998</c:v>
                </c:pt>
                <c:pt idx="1480">
                  <c:v>0.7799999999999998</c:v>
                </c:pt>
                <c:pt idx="1481">
                  <c:v>0.7799999999999998</c:v>
                </c:pt>
                <c:pt idx="1482">
                  <c:v>0.7799999999999998</c:v>
                </c:pt>
                <c:pt idx="1483">
                  <c:v>0.24999999999999978</c:v>
                </c:pt>
                <c:pt idx="1484">
                  <c:v>0.24999999999999978</c:v>
                </c:pt>
                <c:pt idx="1485">
                  <c:v>0.24999999999999978</c:v>
                </c:pt>
                <c:pt idx="1486">
                  <c:v>0.24999999999999978</c:v>
                </c:pt>
                <c:pt idx="1487">
                  <c:v>0.7799999999999998</c:v>
                </c:pt>
                <c:pt idx="1488">
                  <c:v>0.7799999999999998</c:v>
                </c:pt>
                <c:pt idx="1489">
                  <c:v>0.7799999999999998</c:v>
                </c:pt>
                <c:pt idx="1490">
                  <c:v>0.7799999999999998</c:v>
                </c:pt>
                <c:pt idx="1491">
                  <c:v>0.24999999999999978</c:v>
                </c:pt>
                <c:pt idx="1492">
                  <c:v>0.24999999999999978</c:v>
                </c:pt>
                <c:pt idx="1493">
                  <c:v>0.24999999999999978</c:v>
                </c:pt>
                <c:pt idx="1494">
                  <c:v>0.24999999999999978</c:v>
                </c:pt>
                <c:pt idx="1495">
                  <c:v>0.7799999999999998</c:v>
                </c:pt>
                <c:pt idx="1496">
                  <c:v>0.7799999999999998</c:v>
                </c:pt>
                <c:pt idx="1497">
                  <c:v>0.7799999999999998</c:v>
                </c:pt>
                <c:pt idx="1498">
                  <c:v>0.7799999999999998</c:v>
                </c:pt>
                <c:pt idx="1499">
                  <c:v>0.24999999999999978</c:v>
                </c:pt>
                <c:pt idx="1500">
                  <c:v>0.24999999999999978</c:v>
                </c:pt>
                <c:pt idx="1501">
                  <c:v>0.24999999999999978</c:v>
                </c:pt>
                <c:pt idx="1502">
                  <c:v>0.24999999999999978</c:v>
                </c:pt>
                <c:pt idx="1503">
                  <c:v>0.7799999999999998</c:v>
                </c:pt>
                <c:pt idx="1504">
                  <c:v>0.7799999999999998</c:v>
                </c:pt>
                <c:pt idx="1505">
                  <c:v>0.7799999999999998</c:v>
                </c:pt>
                <c:pt idx="1506">
                  <c:v>0.7799999999999998</c:v>
                </c:pt>
                <c:pt idx="1507">
                  <c:v>0.24999999999999978</c:v>
                </c:pt>
                <c:pt idx="1508">
                  <c:v>0.24999999999999978</c:v>
                </c:pt>
                <c:pt idx="1509">
                  <c:v>0.24999999999999978</c:v>
                </c:pt>
                <c:pt idx="1510">
                  <c:v>0.24999999999999978</c:v>
                </c:pt>
                <c:pt idx="1511">
                  <c:v>0.7799999999999998</c:v>
                </c:pt>
                <c:pt idx="1512">
                  <c:v>0.7799999999999998</c:v>
                </c:pt>
                <c:pt idx="1513">
                  <c:v>0.7799999999999998</c:v>
                </c:pt>
                <c:pt idx="1514">
                  <c:v>0.7799999999999998</c:v>
                </c:pt>
                <c:pt idx="1515">
                  <c:v>0.24999999999999978</c:v>
                </c:pt>
                <c:pt idx="1516">
                  <c:v>0.24999999999999978</c:v>
                </c:pt>
                <c:pt idx="1517">
                  <c:v>0.24999999999999978</c:v>
                </c:pt>
                <c:pt idx="1518">
                  <c:v>0.24999999999999978</c:v>
                </c:pt>
                <c:pt idx="1519">
                  <c:v>0.7799999999999998</c:v>
                </c:pt>
                <c:pt idx="1520">
                  <c:v>0.7799999999999998</c:v>
                </c:pt>
                <c:pt idx="1521">
                  <c:v>0.7799999999999998</c:v>
                </c:pt>
                <c:pt idx="1522">
                  <c:v>0.7799999999999998</c:v>
                </c:pt>
                <c:pt idx="1523">
                  <c:v>0.24999999999999978</c:v>
                </c:pt>
                <c:pt idx="1524">
                  <c:v>0.24999999999999978</c:v>
                </c:pt>
                <c:pt idx="1525">
                  <c:v>0.24999999999999978</c:v>
                </c:pt>
                <c:pt idx="1526">
                  <c:v>0.24999999999999978</c:v>
                </c:pt>
                <c:pt idx="1527">
                  <c:v>0.7799999999999998</c:v>
                </c:pt>
                <c:pt idx="1528">
                  <c:v>0.7799999999999998</c:v>
                </c:pt>
                <c:pt idx="1529">
                  <c:v>0.7799999999999998</c:v>
                </c:pt>
                <c:pt idx="1530">
                  <c:v>0.7799999999999998</c:v>
                </c:pt>
                <c:pt idx="1531">
                  <c:v>0.24999999999999978</c:v>
                </c:pt>
                <c:pt idx="1532">
                  <c:v>0.24999999999999978</c:v>
                </c:pt>
                <c:pt idx="1533">
                  <c:v>0.24999999999999978</c:v>
                </c:pt>
                <c:pt idx="1534">
                  <c:v>0.24999999999999978</c:v>
                </c:pt>
                <c:pt idx="1535">
                  <c:v>0.7799999999999998</c:v>
                </c:pt>
                <c:pt idx="1536">
                  <c:v>0.7799999999999998</c:v>
                </c:pt>
                <c:pt idx="1537">
                  <c:v>0.7799999999999998</c:v>
                </c:pt>
                <c:pt idx="1538">
                  <c:v>0.7799999999999998</c:v>
                </c:pt>
                <c:pt idx="1539">
                  <c:v>0.24999999999999978</c:v>
                </c:pt>
                <c:pt idx="1540">
                  <c:v>0.24999999999999978</c:v>
                </c:pt>
                <c:pt idx="1541">
                  <c:v>0.24999999999999978</c:v>
                </c:pt>
                <c:pt idx="1542">
                  <c:v>0.24999999999999978</c:v>
                </c:pt>
                <c:pt idx="1543">
                  <c:v>0.7799999999999998</c:v>
                </c:pt>
                <c:pt idx="1544">
                  <c:v>0.7799999999999998</c:v>
                </c:pt>
                <c:pt idx="1545">
                  <c:v>0.7799999999999998</c:v>
                </c:pt>
                <c:pt idx="1546">
                  <c:v>0.7799999999999998</c:v>
                </c:pt>
                <c:pt idx="1547">
                  <c:v>0.24999999999999978</c:v>
                </c:pt>
                <c:pt idx="1548">
                  <c:v>0.24999999999999978</c:v>
                </c:pt>
                <c:pt idx="1549">
                  <c:v>0.24999999999999978</c:v>
                </c:pt>
                <c:pt idx="1550">
                  <c:v>0.24999999999999978</c:v>
                </c:pt>
                <c:pt idx="1551">
                  <c:v>0.7799999999999998</c:v>
                </c:pt>
                <c:pt idx="1552">
                  <c:v>0.7799999999999998</c:v>
                </c:pt>
                <c:pt idx="1553">
                  <c:v>0.7799999999999998</c:v>
                </c:pt>
                <c:pt idx="1554">
                  <c:v>0.7799999999999998</c:v>
                </c:pt>
                <c:pt idx="1555">
                  <c:v>0.24999999999999978</c:v>
                </c:pt>
                <c:pt idx="1556">
                  <c:v>0.24999999999999978</c:v>
                </c:pt>
                <c:pt idx="1557">
                  <c:v>0.24999999999999978</c:v>
                </c:pt>
                <c:pt idx="1558">
                  <c:v>0.24999999999999978</c:v>
                </c:pt>
                <c:pt idx="1559">
                  <c:v>0.7799999999999998</c:v>
                </c:pt>
                <c:pt idx="1560">
                  <c:v>0.7799999999999998</c:v>
                </c:pt>
                <c:pt idx="1561">
                  <c:v>0.7799999999999998</c:v>
                </c:pt>
                <c:pt idx="1562">
                  <c:v>0.7799999999999998</c:v>
                </c:pt>
                <c:pt idx="1563">
                  <c:v>0.24999999999999978</c:v>
                </c:pt>
                <c:pt idx="1564">
                  <c:v>0.24999999999999978</c:v>
                </c:pt>
                <c:pt idx="1565">
                  <c:v>0.24999999999999978</c:v>
                </c:pt>
                <c:pt idx="1566">
                  <c:v>0.24999999999999978</c:v>
                </c:pt>
                <c:pt idx="1567">
                  <c:v>0.7799999999999998</c:v>
                </c:pt>
                <c:pt idx="1568">
                  <c:v>0.7799999999999998</c:v>
                </c:pt>
                <c:pt idx="1569">
                  <c:v>0.7799999999999998</c:v>
                </c:pt>
                <c:pt idx="1570">
                  <c:v>0.7799999999999998</c:v>
                </c:pt>
                <c:pt idx="1571">
                  <c:v>0.24999999999999978</c:v>
                </c:pt>
                <c:pt idx="1572">
                  <c:v>0.24999999999999978</c:v>
                </c:pt>
                <c:pt idx="1573">
                  <c:v>0.24999999999999978</c:v>
                </c:pt>
                <c:pt idx="1574">
                  <c:v>0.24999999999999978</c:v>
                </c:pt>
                <c:pt idx="1575">
                  <c:v>0.7799999999999998</c:v>
                </c:pt>
                <c:pt idx="1576">
                  <c:v>0.7799999999999998</c:v>
                </c:pt>
                <c:pt idx="1577">
                  <c:v>0.7799999999999998</c:v>
                </c:pt>
                <c:pt idx="1578">
                  <c:v>0.7799999999999998</c:v>
                </c:pt>
                <c:pt idx="1579">
                  <c:v>0.24999999999999978</c:v>
                </c:pt>
                <c:pt idx="1580">
                  <c:v>0.24999999999999978</c:v>
                </c:pt>
                <c:pt idx="1581">
                  <c:v>0.24999999999999978</c:v>
                </c:pt>
                <c:pt idx="1582">
                  <c:v>0.24999999999999978</c:v>
                </c:pt>
                <c:pt idx="1583">
                  <c:v>0.7799999999999998</c:v>
                </c:pt>
                <c:pt idx="1584">
                  <c:v>0.7799999999999998</c:v>
                </c:pt>
                <c:pt idx="1585">
                  <c:v>0.7799999999999998</c:v>
                </c:pt>
                <c:pt idx="1586">
                  <c:v>0.7799999999999998</c:v>
                </c:pt>
                <c:pt idx="1587">
                  <c:v>0.24999999999999978</c:v>
                </c:pt>
                <c:pt idx="1588">
                  <c:v>0.24999999999999978</c:v>
                </c:pt>
                <c:pt idx="1589">
                  <c:v>0.24999999999999978</c:v>
                </c:pt>
                <c:pt idx="1590">
                  <c:v>0.24999999999999978</c:v>
                </c:pt>
                <c:pt idx="1591">
                  <c:v>0.7799999999999998</c:v>
                </c:pt>
                <c:pt idx="1592">
                  <c:v>0.7799999999999998</c:v>
                </c:pt>
                <c:pt idx="1593">
                  <c:v>0.7799999999999998</c:v>
                </c:pt>
                <c:pt idx="1594">
                  <c:v>0.7799999999999998</c:v>
                </c:pt>
                <c:pt idx="1595">
                  <c:v>0.24999999999999978</c:v>
                </c:pt>
                <c:pt idx="1596">
                  <c:v>0.24999999999999978</c:v>
                </c:pt>
                <c:pt idx="1597">
                  <c:v>0.24999999999999978</c:v>
                </c:pt>
                <c:pt idx="1598">
                  <c:v>0.24999999999999978</c:v>
                </c:pt>
                <c:pt idx="1599">
                  <c:v>0.7799999999999998</c:v>
                </c:pt>
                <c:pt idx="1600">
                  <c:v>0.7799999999999998</c:v>
                </c:pt>
                <c:pt idx="1601">
                  <c:v>0.7799999999999998</c:v>
                </c:pt>
                <c:pt idx="1602">
                  <c:v>0.7799999999999998</c:v>
                </c:pt>
                <c:pt idx="1603">
                  <c:v>0.24999999999999978</c:v>
                </c:pt>
                <c:pt idx="1604">
                  <c:v>0.24999999999999978</c:v>
                </c:pt>
                <c:pt idx="1605">
                  <c:v>0.24999999999999978</c:v>
                </c:pt>
                <c:pt idx="1606">
                  <c:v>0.24999999999999978</c:v>
                </c:pt>
                <c:pt idx="1607">
                  <c:v>0.7799999999999998</c:v>
                </c:pt>
                <c:pt idx="1608">
                  <c:v>0.7799999999999998</c:v>
                </c:pt>
                <c:pt idx="1609">
                  <c:v>0.7799999999999998</c:v>
                </c:pt>
                <c:pt idx="1610">
                  <c:v>0.7799999999999998</c:v>
                </c:pt>
                <c:pt idx="1611">
                  <c:v>0.24999999999999978</c:v>
                </c:pt>
                <c:pt idx="1612">
                  <c:v>0.24999999999999978</c:v>
                </c:pt>
                <c:pt idx="1613">
                  <c:v>0.24999999999999978</c:v>
                </c:pt>
                <c:pt idx="1614">
                  <c:v>0.24999999999999978</c:v>
                </c:pt>
                <c:pt idx="1615">
                  <c:v>0.7799999999999998</c:v>
                </c:pt>
                <c:pt idx="1616">
                  <c:v>0.7799999999999998</c:v>
                </c:pt>
                <c:pt idx="1617">
                  <c:v>0.7799999999999998</c:v>
                </c:pt>
                <c:pt idx="1618">
                  <c:v>0.7799999999999998</c:v>
                </c:pt>
                <c:pt idx="1619">
                  <c:v>0.24999999999999978</c:v>
                </c:pt>
                <c:pt idx="1620">
                  <c:v>0.24999999999999978</c:v>
                </c:pt>
                <c:pt idx="1621">
                  <c:v>0.24999999999999978</c:v>
                </c:pt>
                <c:pt idx="1622">
                  <c:v>0.24999999999999978</c:v>
                </c:pt>
                <c:pt idx="1623">
                  <c:v>0.7799999999999998</c:v>
                </c:pt>
                <c:pt idx="1624">
                  <c:v>0.7799999999999998</c:v>
                </c:pt>
                <c:pt idx="1625">
                  <c:v>0.7799999999999998</c:v>
                </c:pt>
                <c:pt idx="1626">
                  <c:v>0.7799999999999998</c:v>
                </c:pt>
                <c:pt idx="1627">
                  <c:v>0.24999999999999978</c:v>
                </c:pt>
                <c:pt idx="1628">
                  <c:v>0.24999999999999978</c:v>
                </c:pt>
                <c:pt idx="1629">
                  <c:v>0.24999999999999978</c:v>
                </c:pt>
                <c:pt idx="1630">
                  <c:v>0.24999999999999978</c:v>
                </c:pt>
                <c:pt idx="1631">
                  <c:v>0.7799999999999998</c:v>
                </c:pt>
                <c:pt idx="1632">
                  <c:v>0.7799999999999998</c:v>
                </c:pt>
                <c:pt idx="1633">
                  <c:v>0.7799999999999998</c:v>
                </c:pt>
                <c:pt idx="1634">
                  <c:v>0.7799999999999998</c:v>
                </c:pt>
                <c:pt idx="1635">
                  <c:v>0.24999999999999978</c:v>
                </c:pt>
                <c:pt idx="1636">
                  <c:v>0.24999999999999978</c:v>
                </c:pt>
                <c:pt idx="1637">
                  <c:v>0.24999999999999978</c:v>
                </c:pt>
                <c:pt idx="1638">
                  <c:v>0.24999999999999978</c:v>
                </c:pt>
                <c:pt idx="1639">
                  <c:v>0.7799999999999998</c:v>
                </c:pt>
                <c:pt idx="1640">
                  <c:v>0.7799999999999998</c:v>
                </c:pt>
                <c:pt idx="1641">
                  <c:v>0.7799999999999998</c:v>
                </c:pt>
                <c:pt idx="1642">
                  <c:v>0.7799999999999998</c:v>
                </c:pt>
                <c:pt idx="1643">
                  <c:v>0.24999999999999978</c:v>
                </c:pt>
                <c:pt idx="1644">
                  <c:v>0.24999999999999978</c:v>
                </c:pt>
                <c:pt idx="1645">
                  <c:v>0.24999999999999978</c:v>
                </c:pt>
                <c:pt idx="1646">
                  <c:v>0.24999999999999978</c:v>
                </c:pt>
                <c:pt idx="1647">
                  <c:v>0.7799999999999998</c:v>
                </c:pt>
                <c:pt idx="1648">
                  <c:v>0.7799999999999998</c:v>
                </c:pt>
                <c:pt idx="1649">
                  <c:v>0.7799999999999998</c:v>
                </c:pt>
                <c:pt idx="1650">
                  <c:v>0.7799999999999998</c:v>
                </c:pt>
                <c:pt idx="1651">
                  <c:v>0.24999999999999978</c:v>
                </c:pt>
                <c:pt idx="1652">
                  <c:v>0.24999999999999978</c:v>
                </c:pt>
                <c:pt idx="1653">
                  <c:v>0.24999999999999978</c:v>
                </c:pt>
                <c:pt idx="1654">
                  <c:v>0.24999999999999978</c:v>
                </c:pt>
                <c:pt idx="1655">
                  <c:v>0.7799999999999998</c:v>
                </c:pt>
                <c:pt idx="1656">
                  <c:v>0.7799999999999998</c:v>
                </c:pt>
                <c:pt idx="1657">
                  <c:v>0.7799999999999998</c:v>
                </c:pt>
                <c:pt idx="1658">
                  <c:v>0.7799999999999998</c:v>
                </c:pt>
                <c:pt idx="1659">
                  <c:v>0.24999999999999978</c:v>
                </c:pt>
                <c:pt idx="1660">
                  <c:v>0.24999999999999978</c:v>
                </c:pt>
                <c:pt idx="1661">
                  <c:v>0.24999999999999978</c:v>
                </c:pt>
                <c:pt idx="1662">
                  <c:v>0.24999999999999978</c:v>
                </c:pt>
                <c:pt idx="1663">
                  <c:v>0.7799999999999998</c:v>
                </c:pt>
                <c:pt idx="1664">
                  <c:v>0.7799999999999998</c:v>
                </c:pt>
                <c:pt idx="1665">
                  <c:v>0.7799999999999998</c:v>
                </c:pt>
                <c:pt idx="1666">
                  <c:v>0.7799999999999998</c:v>
                </c:pt>
                <c:pt idx="1667">
                  <c:v>0.24999999999999978</c:v>
                </c:pt>
                <c:pt idx="1668">
                  <c:v>0.24999999999999978</c:v>
                </c:pt>
                <c:pt idx="1669">
                  <c:v>0.24999999999999978</c:v>
                </c:pt>
                <c:pt idx="1670">
                  <c:v>0.24999999999999978</c:v>
                </c:pt>
                <c:pt idx="1671">
                  <c:v>0.7799999999999998</c:v>
                </c:pt>
                <c:pt idx="1672">
                  <c:v>0.7799999999999998</c:v>
                </c:pt>
                <c:pt idx="1673">
                  <c:v>0.7799999999999998</c:v>
                </c:pt>
                <c:pt idx="1674">
                  <c:v>0.7799999999999998</c:v>
                </c:pt>
                <c:pt idx="1675">
                  <c:v>0.24999999999999978</c:v>
                </c:pt>
                <c:pt idx="1676">
                  <c:v>0.24999999999999978</c:v>
                </c:pt>
                <c:pt idx="1677">
                  <c:v>0.24999999999999978</c:v>
                </c:pt>
                <c:pt idx="1678">
                  <c:v>0.24999999999999978</c:v>
                </c:pt>
                <c:pt idx="1679">
                  <c:v>0.7799999999999998</c:v>
                </c:pt>
                <c:pt idx="1680">
                  <c:v>0.7799999999999998</c:v>
                </c:pt>
                <c:pt idx="1681">
                  <c:v>0.7799999999999998</c:v>
                </c:pt>
                <c:pt idx="1682">
                  <c:v>0.7799999999999998</c:v>
                </c:pt>
                <c:pt idx="1683">
                  <c:v>0.24999999999999978</c:v>
                </c:pt>
                <c:pt idx="1684">
                  <c:v>0.24999999999999978</c:v>
                </c:pt>
                <c:pt idx="1685">
                  <c:v>0.24999999999999978</c:v>
                </c:pt>
                <c:pt idx="1686">
                  <c:v>0.24999999999999978</c:v>
                </c:pt>
                <c:pt idx="1687">
                  <c:v>0.7799999999999998</c:v>
                </c:pt>
                <c:pt idx="1688">
                  <c:v>0.7799999999999998</c:v>
                </c:pt>
                <c:pt idx="1689">
                  <c:v>0.7799999999999998</c:v>
                </c:pt>
                <c:pt idx="1690">
                  <c:v>0.7799999999999998</c:v>
                </c:pt>
                <c:pt idx="1691">
                  <c:v>0.24999999999999978</c:v>
                </c:pt>
                <c:pt idx="1692">
                  <c:v>0.24999999999999978</c:v>
                </c:pt>
                <c:pt idx="1693">
                  <c:v>0.24999999999999978</c:v>
                </c:pt>
                <c:pt idx="1694">
                  <c:v>0.24999999999999978</c:v>
                </c:pt>
                <c:pt idx="1695">
                  <c:v>0.7799999999999998</c:v>
                </c:pt>
                <c:pt idx="1696">
                  <c:v>0.7799999999999998</c:v>
                </c:pt>
                <c:pt idx="1697">
                  <c:v>0.7799999999999998</c:v>
                </c:pt>
                <c:pt idx="1698">
                  <c:v>0.7799999999999998</c:v>
                </c:pt>
                <c:pt idx="1699">
                  <c:v>0.24999999999999978</c:v>
                </c:pt>
                <c:pt idx="1700">
                  <c:v>0.24999999999999978</c:v>
                </c:pt>
                <c:pt idx="1701">
                  <c:v>0.24999999999999978</c:v>
                </c:pt>
                <c:pt idx="1702">
                  <c:v>0.24999999999999978</c:v>
                </c:pt>
                <c:pt idx="1703">
                  <c:v>0.7799999999999998</c:v>
                </c:pt>
                <c:pt idx="1704">
                  <c:v>0.7799999999999998</c:v>
                </c:pt>
                <c:pt idx="1705">
                  <c:v>0.7799999999999998</c:v>
                </c:pt>
                <c:pt idx="1706">
                  <c:v>0.7799999999999998</c:v>
                </c:pt>
                <c:pt idx="1707">
                  <c:v>0.24999999999999978</c:v>
                </c:pt>
                <c:pt idx="1708">
                  <c:v>0.24999999999999978</c:v>
                </c:pt>
                <c:pt idx="1709">
                  <c:v>0.24999999999999978</c:v>
                </c:pt>
                <c:pt idx="1710">
                  <c:v>0.24999999999999978</c:v>
                </c:pt>
                <c:pt idx="1711">
                  <c:v>0.7799999999999998</c:v>
                </c:pt>
                <c:pt idx="1712">
                  <c:v>0.7799999999999998</c:v>
                </c:pt>
                <c:pt idx="1713">
                  <c:v>0.7799999999999998</c:v>
                </c:pt>
                <c:pt idx="1714">
                  <c:v>0.7799999999999998</c:v>
                </c:pt>
                <c:pt idx="1715">
                  <c:v>0.24999999999999978</c:v>
                </c:pt>
                <c:pt idx="1716">
                  <c:v>0.24999999999999978</c:v>
                </c:pt>
                <c:pt idx="1717">
                  <c:v>0.24999999999999978</c:v>
                </c:pt>
                <c:pt idx="1718">
                  <c:v>0.24999999999999978</c:v>
                </c:pt>
                <c:pt idx="1719">
                  <c:v>0.7799999999999998</c:v>
                </c:pt>
                <c:pt idx="1720">
                  <c:v>0.7799999999999998</c:v>
                </c:pt>
                <c:pt idx="1721">
                  <c:v>0.7799999999999998</c:v>
                </c:pt>
                <c:pt idx="1722">
                  <c:v>0.7799999999999998</c:v>
                </c:pt>
                <c:pt idx="1723">
                  <c:v>0.24999999999999978</c:v>
                </c:pt>
                <c:pt idx="1724">
                  <c:v>0.24999999999999978</c:v>
                </c:pt>
                <c:pt idx="1725">
                  <c:v>0.24999999999999978</c:v>
                </c:pt>
                <c:pt idx="1726">
                  <c:v>0.24999999999999978</c:v>
                </c:pt>
                <c:pt idx="1727">
                  <c:v>0.7799999999999998</c:v>
                </c:pt>
                <c:pt idx="1728">
                  <c:v>0.7799999999999998</c:v>
                </c:pt>
                <c:pt idx="1729">
                  <c:v>0.7799999999999998</c:v>
                </c:pt>
                <c:pt idx="1730">
                  <c:v>0.7799999999999998</c:v>
                </c:pt>
                <c:pt idx="1731">
                  <c:v>0.24999999999999978</c:v>
                </c:pt>
                <c:pt idx="1732">
                  <c:v>0.24999999999999978</c:v>
                </c:pt>
                <c:pt idx="1733">
                  <c:v>0.24999999999999978</c:v>
                </c:pt>
                <c:pt idx="1734">
                  <c:v>0.24999999999999978</c:v>
                </c:pt>
                <c:pt idx="1735">
                  <c:v>0.7799999999999998</c:v>
                </c:pt>
                <c:pt idx="1736">
                  <c:v>0.7799999999999998</c:v>
                </c:pt>
                <c:pt idx="1737">
                  <c:v>0.7799999999999998</c:v>
                </c:pt>
                <c:pt idx="1738">
                  <c:v>0.7799999999999998</c:v>
                </c:pt>
                <c:pt idx="1739">
                  <c:v>0.24999999999999978</c:v>
                </c:pt>
                <c:pt idx="1740">
                  <c:v>0.24999999999999978</c:v>
                </c:pt>
                <c:pt idx="1741">
                  <c:v>0.24999999999999978</c:v>
                </c:pt>
                <c:pt idx="1742">
                  <c:v>0.24999999999999978</c:v>
                </c:pt>
                <c:pt idx="1743">
                  <c:v>0.7799999999999998</c:v>
                </c:pt>
                <c:pt idx="1744">
                  <c:v>0.7799999999999998</c:v>
                </c:pt>
                <c:pt idx="1745">
                  <c:v>0.7799999999999998</c:v>
                </c:pt>
                <c:pt idx="1746">
                  <c:v>0.7799999999999998</c:v>
                </c:pt>
                <c:pt idx="1747">
                  <c:v>0.24999999999999978</c:v>
                </c:pt>
                <c:pt idx="1748">
                  <c:v>0.24999999999999978</c:v>
                </c:pt>
                <c:pt idx="1749">
                  <c:v>0.24999999999999978</c:v>
                </c:pt>
                <c:pt idx="1750">
                  <c:v>0.24999999999999978</c:v>
                </c:pt>
                <c:pt idx="1751">
                  <c:v>0.7799999999999998</c:v>
                </c:pt>
                <c:pt idx="1752">
                  <c:v>0.7799999999999998</c:v>
                </c:pt>
                <c:pt idx="1753">
                  <c:v>0.7799999999999998</c:v>
                </c:pt>
                <c:pt idx="1754">
                  <c:v>0.7799999999999998</c:v>
                </c:pt>
                <c:pt idx="1755">
                  <c:v>0.24999999999999978</c:v>
                </c:pt>
                <c:pt idx="1756">
                  <c:v>0.24999999999999978</c:v>
                </c:pt>
                <c:pt idx="1757">
                  <c:v>0.24999999999999978</c:v>
                </c:pt>
                <c:pt idx="1758">
                  <c:v>0.24999999999999978</c:v>
                </c:pt>
                <c:pt idx="1759">
                  <c:v>0.7799999999999998</c:v>
                </c:pt>
                <c:pt idx="1760">
                  <c:v>0.7799999999999998</c:v>
                </c:pt>
                <c:pt idx="1761">
                  <c:v>0.7799999999999998</c:v>
                </c:pt>
                <c:pt idx="1762">
                  <c:v>0.7799999999999998</c:v>
                </c:pt>
                <c:pt idx="1763">
                  <c:v>0.24999999999999978</c:v>
                </c:pt>
                <c:pt idx="1764">
                  <c:v>0.24999999999999978</c:v>
                </c:pt>
                <c:pt idx="1765">
                  <c:v>0.24999999999999978</c:v>
                </c:pt>
                <c:pt idx="1766">
                  <c:v>0.24999999999999978</c:v>
                </c:pt>
                <c:pt idx="1767">
                  <c:v>0.7799999999999998</c:v>
                </c:pt>
                <c:pt idx="1768">
                  <c:v>0.7799999999999998</c:v>
                </c:pt>
                <c:pt idx="1769">
                  <c:v>0.7799999999999998</c:v>
                </c:pt>
                <c:pt idx="1770">
                  <c:v>0.7799999999999998</c:v>
                </c:pt>
                <c:pt idx="1771">
                  <c:v>0.24999999999999978</c:v>
                </c:pt>
                <c:pt idx="1772">
                  <c:v>0.24999999999999978</c:v>
                </c:pt>
                <c:pt idx="1773">
                  <c:v>0.24999999999999978</c:v>
                </c:pt>
                <c:pt idx="1774">
                  <c:v>0.24999999999999978</c:v>
                </c:pt>
                <c:pt idx="1775">
                  <c:v>0.7799999999999998</c:v>
                </c:pt>
                <c:pt idx="1776">
                  <c:v>0.7799999999999998</c:v>
                </c:pt>
                <c:pt idx="1777">
                  <c:v>0.7799999999999998</c:v>
                </c:pt>
                <c:pt idx="1778">
                  <c:v>0.7799999999999998</c:v>
                </c:pt>
                <c:pt idx="1779">
                  <c:v>0.24999999999999978</c:v>
                </c:pt>
                <c:pt idx="1780">
                  <c:v>0.24999999999999978</c:v>
                </c:pt>
                <c:pt idx="1781">
                  <c:v>0.24999999999999978</c:v>
                </c:pt>
                <c:pt idx="1782">
                  <c:v>0.24999999999999978</c:v>
                </c:pt>
                <c:pt idx="1783">
                  <c:v>0.7799999999999998</c:v>
                </c:pt>
                <c:pt idx="1784">
                  <c:v>0.7799999999999998</c:v>
                </c:pt>
                <c:pt idx="1785">
                  <c:v>0.7799999999999998</c:v>
                </c:pt>
                <c:pt idx="1786">
                  <c:v>0.7799999999999998</c:v>
                </c:pt>
                <c:pt idx="1787">
                  <c:v>0.24999999999999978</c:v>
                </c:pt>
                <c:pt idx="1788">
                  <c:v>0.24999999999999978</c:v>
                </c:pt>
                <c:pt idx="1789">
                  <c:v>0.24999999999999978</c:v>
                </c:pt>
                <c:pt idx="1790">
                  <c:v>0.24999999999999978</c:v>
                </c:pt>
                <c:pt idx="1791">
                  <c:v>0.7799999999999998</c:v>
                </c:pt>
                <c:pt idx="1792">
                  <c:v>0.7799999999999998</c:v>
                </c:pt>
                <c:pt idx="1793">
                  <c:v>0.7799999999999998</c:v>
                </c:pt>
                <c:pt idx="1794">
                  <c:v>0.7799999999999998</c:v>
                </c:pt>
                <c:pt idx="1795">
                  <c:v>0.24999999999999978</c:v>
                </c:pt>
                <c:pt idx="1796">
                  <c:v>0.24999999999999978</c:v>
                </c:pt>
                <c:pt idx="1797">
                  <c:v>0.24999999999999978</c:v>
                </c:pt>
                <c:pt idx="1798">
                  <c:v>0.24999999999999978</c:v>
                </c:pt>
                <c:pt idx="1799">
                  <c:v>0.7799999999999998</c:v>
                </c:pt>
                <c:pt idx="1800">
                  <c:v>0.7799999999999998</c:v>
                </c:pt>
                <c:pt idx="1801">
                  <c:v>0.7799999999999998</c:v>
                </c:pt>
                <c:pt idx="1802">
                  <c:v>0.7799999999999998</c:v>
                </c:pt>
                <c:pt idx="1803">
                  <c:v>0.24999999999999978</c:v>
                </c:pt>
                <c:pt idx="1804">
                  <c:v>0.24999999999999978</c:v>
                </c:pt>
                <c:pt idx="1805">
                  <c:v>0.24999999999999978</c:v>
                </c:pt>
                <c:pt idx="1806">
                  <c:v>0.24999999999999978</c:v>
                </c:pt>
                <c:pt idx="1807">
                  <c:v>0.7799999999999998</c:v>
                </c:pt>
                <c:pt idx="1808">
                  <c:v>0.7799999999999998</c:v>
                </c:pt>
                <c:pt idx="1809">
                  <c:v>0.7799999999999998</c:v>
                </c:pt>
                <c:pt idx="1810">
                  <c:v>0.7799999999999998</c:v>
                </c:pt>
                <c:pt idx="1811">
                  <c:v>0.24999999999999978</c:v>
                </c:pt>
                <c:pt idx="1812">
                  <c:v>0.24999999999999978</c:v>
                </c:pt>
                <c:pt idx="1813">
                  <c:v>0.24999999999999978</c:v>
                </c:pt>
                <c:pt idx="1814">
                  <c:v>0.24999999999999978</c:v>
                </c:pt>
                <c:pt idx="1815">
                  <c:v>0.7799999999999998</c:v>
                </c:pt>
                <c:pt idx="1816">
                  <c:v>0.7799999999999998</c:v>
                </c:pt>
                <c:pt idx="1817">
                  <c:v>0.7799999999999998</c:v>
                </c:pt>
                <c:pt idx="1818">
                  <c:v>0.7799999999999998</c:v>
                </c:pt>
                <c:pt idx="1819">
                  <c:v>0.24999999999999978</c:v>
                </c:pt>
                <c:pt idx="1820">
                  <c:v>0.24999999999999978</c:v>
                </c:pt>
                <c:pt idx="1821">
                  <c:v>0.24999999999999978</c:v>
                </c:pt>
                <c:pt idx="1822">
                  <c:v>0.24999999999999978</c:v>
                </c:pt>
                <c:pt idx="1823">
                  <c:v>0.7799999999999998</c:v>
                </c:pt>
                <c:pt idx="1824">
                  <c:v>0.7799999999999998</c:v>
                </c:pt>
                <c:pt idx="1825">
                  <c:v>0.7799999999999998</c:v>
                </c:pt>
                <c:pt idx="1826">
                  <c:v>0.7799999999999998</c:v>
                </c:pt>
                <c:pt idx="1827">
                  <c:v>0.24999999999999978</c:v>
                </c:pt>
                <c:pt idx="1828">
                  <c:v>0.24999999999999978</c:v>
                </c:pt>
                <c:pt idx="1829">
                  <c:v>0.24999999999999978</c:v>
                </c:pt>
                <c:pt idx="1830">
                  <c:v>0.24999999999999978</c:v>
                </c:pt>
                <c:pt idx="1831">
                  <c:v>0.7799999999999998</c:v>
                </c:pt>
                <c:pt idx="1832">
                  <c:v>0.7799999999999998</c:v>
                </c:pt>
                <c:pt idx="1833">
                  <c:v>0.7799999999999998</c:v>
                </c:pt>
                <c:pt idx="1834">
                  <c:v>0.7799999999999998</c:v>
                </c:pt>
                <c:pt idx="1835">
                  <c:v>0.24999999999999978</c:v>
                </c:pt>
                <c:pt idx="1836">
                  <c:v>0.24999999999999978</c:v>
                </c:pt>
                <c:pt idx="1837">
                  <c:v>0.24999999999999978</c:v>
                </c:pt>
                <c:pt idx="1838">
                  <c:v>0.24999999999999978</c:v>
                </c:pt>
                <c:pt idx="1839">
                  <c:v>0.7799999999999998</c:v>
                </c:pt>
                <c:pt idx="1840">
                  <c:v>0.7799999999999998</c:v>
                </c:pt>
                <c:pt idx="1841">
                  <c:v>0.7799999999999998</c:v>
                </c:pt>
                <c:pt idx="1842">
                  <c:v>0.7799999999999998</c:v>
                </c:pt>
                <c:pt idx="1843">
                  <c:v>0.24999999999999978</c:v>
                </c:pt>
                <c:pt idx="1844">
                  <c:v>0.24999999999999978</c:v>
                </c:pt>
                <c:pt idx="1845">
                  <c:v>0.24999999999999978</c:v>
                </c:pt>
                <c:pt idx="1846">
                  <c:v>0.24999999999999978</c:v>
                </c:pt>
                <c:pt idx="1847">
                  <c:v>0.7799999999999998</c:v>
                </c:pt>
                <c:pt idx="1848">
                  <c:v>0.7799999999999998</c:v>
                </c:pt>
                <c:pt idx="1849">
                  <c:v>0.7799999999999998</c:v>
                </c:pt>
                <c:pt idx="1850">
                  <c:v>0.7799999999999998</c:v>
                </c:pt>
                <c:pt idx="1851">
                  <c:v>0.24999999999999978</c:v>
                </c:pt>
                <c:pt idx="1852">
                  <c:v>0.24999999999999978</c:v>
                </c:pt>
                <c:pt idx="1853">
                  <c:v>0.24999999999999978</c:v>
                </c:pt>
                <c:pt idx="1854">
                  <c:v>0.24999999999999978</c:v>
                </c:pt>
                <c:pt idx="1855">
                  <c:v>0.7799999999999998</c:v>
                </c:pt>
                <c:pt idx="1856">
                  <c:v>0.7799999999999998</c:v>
                </c:pt>
                <c:pt idx="1857">
                  <c:v>0.7799999999999998</c:v>
                </c:pt>
                <c:pt idx="1858">
                  <c:v>0.7799999999999998</c:v>
                </c:pt>
                <c:pt idx="1859">
                  <c:v>0.24999999999999978</c:v>
                </c:pt>
                <c:pt idx="1860">
                  <c:v>0.24999999999999978</c:v>
                </c:pt>
                <c:pt idx="1861">
                  <c:v>0.24999999999999978</c:v>
                </c:pt>
                <c:pt idx="1862">
                  <c:v>0.24999999999999978</c:v>
                </c:pt>
                <c:pt idx="1863">
                  <c:v>0.7799999999999998</c:v>
                </c:pt>
                <c:pt idx="1864">
                  <c:v>0.7799999999999998</c:v>
                </c:pt>
                <c:pt idx="1865">
                  <c:v>0.7799999999999998</c:v>
                </c:pt>
                <c:pt idx="1866">
                  <c:v>0.7799999999999998</c:v>
                </c:pt>
                <c:pt idx="1867">
                  <c:v>0.24999999999999978</c:v>
                </c:pt>
                <c:pt idx="1868">
                  <c:v>0.24999999999999978</c:v>
                </c:pt>
                <c:pt idx="1869">
                  <c:v>0.24999999999999978</c:v>
                </c:pt>
                <c:pt idx="1870">
                  <c:v>0.24999999999999978</c:v>
                </c:pt>
                <c:pt idx="1871">
                  <c:v>0.7799999999999998</c:v>
                </c:pt>
                <c:pt idx="1872">
                  <c:v>0.7799999999999998</c:v>
                </c:pt>
                <c:pt idx="1873">
                  <c:v>0.7799999999999998</c:v>
                </c:pt>
                <c:pt idx="1874">
                  <c:v>0.7799999999999998</c:v>
                </c:pt>
                <c:pt idx="1875">
                  <c:v>0.24999999999999978</c:v>
                </c:pt>
                <c:pt idx="1876">
                  <c:v>0.24999999999999978</c:v>
                </c:pt>
                <c:pt idx="1877">
                  <c:v>0.24999999999999978</c:v>
                </c:pt>
                <c:pt idx="1878">
                  <c:v>0.24999999999999978</c:v>
                </c:pt>
                <c:pt idx="1879">
                  <c:v>0.7799999999999998</c:v>
                </c:pt>
                <c:pt idx="1880">
                  <c:v>0.7799999999999998</c:v>
                </c:pt>
                <c:pt idx="1881">
                  <c:v>0.7799999999999998</c:v>
                </c:pt>
                <c:pt idx="1882">
                  <c:v>0.7799999999999998</c:v>
                </c:pt>
                <c:pt idx="1883">
                  <c:v>0.24999999999999978</c:v>
                </c:pt>
                <c:pt idx="1884">
                  <c:v>0.24999999999999978</c:v>
                </c:pt>
                <c:pt idx="1885">
                  <c:v>0.24999999999999978</c:v>
                </c:pt>
                <c:pt idx="1886">
                  <c:v>0.24999999999999978</c:v>
                </c:pt>
                <c:pt idx="1887">
                  <c:v>0.7799999999999998</c:v>
                </c:pt>
                <c:pt idx="1888">
                  <c:v>0.7799999999999998</c:v>
                </c:pt>
                <c:pt idx="1889">
                  <c:v>0.7799999999999998</c:v>
                </c:pt>
                <c:pt idx="1890">
                  <c:v>0.7799999999999998</c:v>
                </c:pt>
                <c:pt idx="1891">
                  <c:v>0.24999999999999978</c:v>
                </c:pt>
                <c:pt idx="1892">
                  <c:v>0.24999999999999978</c:v>
                </c:pt>
                <c:pt idx="1893">
                  <c:v>0.24999999999999978</c:v>
                </c:pt>
                <c:pt idx="1894">
                  <c:v>0.24999999999999978</c:v>
                </c:pt>
                <c:pt idx="1895">
                  <c:v>0.7799999999999998</c:v>
                </c:pt>
                <c:pt idx="1896">
                  <c:v>0.7799999999999998</c:v>
                </c:pt>
                <c:pt idx="1897">
                  <c:v>0.7799999999999998</c:v>
                </c:pt>
                <c:pt idx="1898">
                  <c:v>0.7799999999999998</c:v>
                </c:pt>
                <c:pt idx="1899">
                  <c:v>0.24999999999999978</c:v>
                </c:pt>
                <c:pt idx="1900">
                  <c:v>0.24999999999999978</c:v>
                </c:pt>
                <c:pt idx="1901">
                  <c:v>0.24999999999999978</c:v>
                </c:pt>
                <c:pt idx="1902">
                  <c:v>0.24999999999999978</c:v>
                </c:pt>
                <c:pt idx="1903">
                  <c:v>0.7799999999999998</c:v>
                </c:pt>
                <c:pt idx="1904">
                  <c:v>0.7799999999999998</c:v>
                </c:pt>
                <c:pt idx="1905">
                  <c:v>0.7799999999999998</c:v>
                </c:pt>
                <c:pt idx="1906">
                  <c:v>0.7799999999999998</c:v>
                </c:pt>
                <c:pt idx="1907">
                  <c:v>0.24999999999999978</c:v>
                </c:pt>
                <c:pt idx="1908">
                  <c:v>0.24999999999999978</c:v>
                </c:pt>
                <c:pt idx="1909">
                  <c:v>0.24999999999999978</c:v>
                </c:pt>
                <c:pt idx="1910">
                  <c:v>0.24999999999999978</c:v>
                </c:pt>
                <c:pt idx="1911">
                  <c:v>0.7799999999999998</c:v>
                </c:pt>
                <c:pt idx="1912">
                  <c:v>0.7799999999999998</c:v>
                </c:pt>
                <c:pt idx="1913">
                  <c:v>0.7799999999999998</c:v>
                </c:pt>
                <c:pt idx="1914">
                  <c:v>0.7799999999999998</c:v>
                </c:pt>
                <c:pt idx="1915">
                  <c:v>0.24999999999999978</c:v>
                </c:pt>
                <c:pt idx="1916">
                  <c:v>0.24999999999999978</c:v>
                </c:pt>
                <c:pt idx="1917">
                  <c:v>0.24999999999999978</c:v>
                </c:pt>
                <c:pt idx="1918">
                  <c:v>0.24999999999999978</c:v>
                </c:pt>
                <c:pt idx="1919">
                  <c:v>0.7799999999999998</c:v>
                </c:pt>
                <c:pt idx="1920">
                  <c:v>0.7799999999999998</c:v>
                </c:pt>
                <c:pt idx="1921">
                  <c:v>0.7799999999999998</c:v>
                </c:pt>
                <c:pt idx="1922">
                  <c:v>0.7799999999999998</c:v>
                </c:pt>
                <c:pt idx="1923">
                  <c:v>0.24999999999999978</c:v>
                </c:pt>
                <c:pt idx="1924">
                  <c:v>0.24999999999999978</c:v>
                </c:pt>
                <c:pt idx="1925">
                  <c:v>0.24999999999999978</c:v>
                </c:pt>
                <c:pt idx="1926">
                  <c:v>0.78</c:v>
                </c:pt>
                <c:pt idx="1927">
                  <c:v>0.78</c:v>
                </c:pt>
                <c:pt idx="1928">
                  <c:v>0.78</c:v>
                </c:pt>
                <c:pt idx="1929">
                  <c:v>1.31</c:v>
                </c:pt>
                <c:pt idx="1930">
                  <c:v>1.31</c:v>
                </c:pt>
                <c:pt idx="1931">
                  <c:v>1.31</c:v>
                </c:pt>
                <c:pt idx="1932">
                  <c:v>1.31</c:v>
                </c:pt>
                <c:pt idx="1933">
                  <c:v>0.78</c:v>
                </c:pt>
                <c:pt idx="1934">
                  <c:v>0.78</c:v>
                </c:pt>
                <c:pt idx="1935">
                  <c:v>0.78</c:v>
                </c:pt>
                <c:pt idx="1936">
                  <c:v>0.78</c:v>
                </c:pt>
                <c:pt idx="1937">
                  <c:v>1.31</c:v>
                </c:pt>
                <c:pt idx="1938">
                  <c:v>1.31</c:v>
                </c:pt>
                <c:pt idx="1939">
                  <c:v>1.31</c:v>
                </c:pt>
                <c:pt idx="1940">
                  <c:v>1.31</c:v>
                </c:pt>
                <c:pt idx="1941">
                  <c:v>0.78</c:v>
                </c:pt>
                <c:pt idx="1942">
                  <c:v>0.78</c:v>
                </c:pt>
                <c:pt idx="1943">
                  <c:v>0.78</c:v>
                </c:pt>
                <c:pt idx="1944">
                  <c:v>0.78</c:v>
                </c:pt>
                <c:pt idx="1945">
                  <c:v>1.31</c:v>
                </c:pt>
                <c:pt idx="1946">
                  <c:v>1.31</c:v>
                </c:pt>
                <c:pt idx="1947">
                  <c:v>1.31</c:v>
                </c:pt>
                <c:pt idx="1948">
                  <c:v>1.31</c:v>
                </c:pt>
                <c:pt idx="1949">
                  <c:v>0.78</c:v>
                </c:pt>
                <c:pt idx="1950">
                  <c:v>0.78</c:v>
                </c:pt>
                <c:pt idx="1951">
                  <c:v>0.78</c:v>
                </c:pt>
                <c:pt idx="1952">
                  <c:v>0.78</c:v>
                </c:pt>
                <c:pt idx="1953">
                  <c:v>1.31</c:v>
                </c:pt>
                <c:pt idx="1954">
                  <c:v>1.31</c:v>
                </c:pt>
                <c:pt idx="1955">
                  <c:v>1.31</c:v>
                </c:pt>
                <c:pt idx="1956">
                  <c:v>1.31</c:v>
                </c:pt>
                <c:pt idx="1957">
                  <c:v>0.78</c:v>
                </c:pt>
                <c:pt idx="1958">
                  <c:v>0.78</c:v>
                </c:pt>
                <c:pt idx="1959">
                  <c:v>0.78</c:v>
                </c:pt>
                <c:pt idx="1960">
                  <c:v>0.78</c:v>
                </c:pt>
                <c:pt idx="1961">
                  <c:v>1.31</c:v>
                </c:pt>
                <c:pt idx="1962">
                  <c:v>1.31</c:v>
                </c:pt>
                <c:pt idx="1963">
                  <c:v>1.31</c:v>
                </c:pt>
                <c:pt idx="1964">
                  <c:v>1.31</c:v>
                </c:pt>
                <c:pt idx="1965">
                  <c:v>0.78</c:v>
                </c:pt>
                <c:pt idx="1966">
                  <c:v>0.78</c:v>
                </c:pt>
                <c:pt idx="1967">
                  <c:v>0.78</c:v>
                </c:pt>
                <c:pt idx="1968">
                  <c:v>0.78</c:v>
                </c:pt>
                <c:pt idx="1969">
                  <c:v>1.31</c:v>
                </c:pt>
                <c:pt idx="1970">
                  <c:v>1.31</c:v>
                </c:pt>
                <c:pt idx="1971">
                  <c:v>1.31</c:v>
                </c:pt>
                <c:pt idx="1972">
                  <c:v>1.31</c:v>
                </c:pt>
                <c:pt idx="1973">
                  <c:v>0.78</c:v>
                </c:pt>
                <c:pt idx="1974">
                  <c:v>0.78</c:v>
                </c:pt>
                <c:pt idx="1975">
                  <c:v>0.78</c:v>
                </c:pt>
                <c:pt idx="1976">
                  <c:v>0.78</c:v>
                </c:pt>
                <c:pt idx="1977">
                  <c:v>1.31</c:v>
                </c:pt>
                <c:pt idx="1978">
                  <c:v>1.31</c:v>
                </c:pt>
                <c:pt idx="1979">
                  <c:v>1.31</c:v>
                </c:pt>
                <c:pt idx="1980">
                  <c:v>1.31</c:v>
                </c:pt>
                <c:pt idx="1981">
                  <c:v>0.78</c:v>
                </c:pt>
                <c:pt idx="1982">
                  <c:v>0.78</c:v>
                </c:pt>
                <c:pt idx="1983">
                  <c:v>0.78</c:v>
                </c:pt>
                <c:pt idx="1984">
                  <c:v>0.78</c:v>
                </c:pt>
                <c:pt idx="1985">
                  <c:v>1.31</c:v>
                </c:pt>
                <c:pt idx="1986">
                  <c:v>1.31</c:v>
                </c:pt>
                <c:pt idx="1987">
                  <c:v>1.31</c:v>
                </c:pt>
                <c:pt idx="1988">
                  <c:v>1.31</c:v>
                </c:pt>
                <c:pt idx="1989">
                  <c:v>0.78</c:v>
                </c:pt>
                <c:pt idx="1990">
                  <c:v>0.78</c:v>
                </c:pt>
                <c:pt idx="1991">
                  <c:v>0.78</c:v>
                </c:pt>
                <c:pt idx="1992">
                  <c:v>0.78</c:v>
                </c:pt>
                <c:pt idx="1993">
                  <c:v>1.31</c:v>
                </c:pt>
                <c:pt idx="1994">
                  <c:v>1.31</c:v>
                </c:pt>
                <c:pt idx="1995">
                  <c:v>1.31</c:v>
                </c:pt>
                <c:pt idx="1996">
                  <c:v>1.31</c:v>
                </c:pt>
                <c:pt idx="1997">
                  <c:v>0.78</c:v>
                </c:pt>
                <c:pt idx="1998">
                  <c:v>0.78</c:v>
                </c:pt>
                <c:pt idx="1999">
                  <c:v>0.78</c:v>
                </c:pt>
                <c:pt idx="2000">
                  <c:v>0.78</c:v>
                </c:pt>
                <c:pt idx="2001">
                  <c:v>1.31</c:v>
                </c:pt>
                <c:pt idx="2002">
                  <c:v>1.31</c:v>
                </c:pt>
                <c:pt idx="2003">
                  <c:v>1.31</c:v>
                </c:pt>
                <c:pt idx="2004">
                  <c:v>1.31</c:v>
                </c:pt>
                <c:pt idx="2005">
                  <c:v>0.78</c:v>
                </c:pt>
                <c:pt idx="2006">
                  <c:v>0.78</c:v>
                </c:pt>
                <c:pt idx="2007">
                  <c:v>0.78</c:v>
                </c:pt>
                <c:pt idx="2008">
                  <c:v>0.78</c:v>
                </c:pt>
                <c:pt idx="2009">
                  <c:v>1.31</c:v>
                </c:pt>
                <c:pt idx="2010">
                  <c:v>1.31</c:v>
                </c:pt>
                <c:pt idx="2011">
                  <c:v>1.31</c:v>
                </c:pt>
                <c:pt idx="2012">
                  <c:v>1.31</c:v>
                </c:pt>
                <c:pt idx="2013">
                  <c:v>0.78</c:v>
                </c:pt>
                <c:pt idx="2014">
                  <c:v>0.78</c:v>
                </c:pt>
                <c:pt idx="2015">
                  <c:v>0.78</c:v>
                </c:pt>
                <c:pt idx="2016">
                  <c:v>0.78</c:v>
                </c:pt>
                <c:pt idx="2017">
                  <c:v>1.31</c:v>
                </c:pt>
                <c:pt idx="2018">
                  <c:v>1.31</c:v>
                </c:pt>
                <c:pt idx="2019">
                  <c:v>1.31</c:v>
                </c:pt>
                <c:pt idx="2020">
                  <c:v>1.31</c:v>
                </c:pt>
                <c:pt idx="2021">
                  <c:v>0.78</c:v>
                </c:pt>
                <c:pt idx="2022">
                  <c:v>0.78</c:v>
                </c:pt>
                <c:pt idx="2023">
                  <c:v>0.78</c:v>
                </c:pt>
                <c:pt idx="2024">
                  <c:v>0.78</c:v>
                </c:pt>
                <c:pt idx="2025">
                  <c:v>1.31</c:v>
                </c:pt>
                <c:pt idx="2026">
                  <c:v>1.31</c:v>
                </c:pt>
                <c:pt idx="2027">
                  <c:v>1.31</c:v>
                </c:pt>
                <c:pt idx="2028">
                  <c:v>1.31</c:v>
                </c:pt>
                <c:pt idx="2029">
                  <c:v>0.78</c:v>
                </c:pt>
                <c:pt idx="2030">
                  <c:v>0.78</c:v>
                </c:pt>
                <c:pt idx="2031">
                  <c:v>0.78</c:v>
                </c:pt>
                <c:pt idx="2032">
                  <c:v>0.78</c:v>
                </c:pt>
                <c:pt idx="2033">
                  <c:v>1.31</c:v>
                </c:pt>
                <c:pt idx="2034">
                  <c:v>1.31</c:v>
                </c:pt>
                <c:pt idx="2035">
                  <c:v>1.31</c:v>
                </c:pt>
                <c:pt idx="2036">
                  <c:v>1.31</c:v>
                </c:pt>
                <c:pt idx="2037">
                  <c:v>0.78</c:v>
                </c:pt>
                <c:pt idx="2038">
                  <c:v>0.78</c:v>
                </c:pt>
                <c:pt idx="2039">
                  <c:v>0.78</c:v>
                </c:pt>
                <c:pt idx="2040">
                  <c:v>0.78</c:v>
                </c:pt>
                <c:pt idx="2041">
                  <c:v>1.31</c:v>
                </c:pt>
                <c:pt idx="2042">
                  <c:v>1.31</c:v>
                </c:pt>
                <c:pt idx="2043">
                  <c:v>1.31</c:v>
                </c:pt>
                <c:pt idx="2044">
                  <c:v>1.31</c:v>
                </c:pt>
                <c:pt idx="2045">
                  <c:v>0.78</c:v>
                </c:pt>
                <c:pt idx="2046">
                  <c:v>0.78</c:v>
                </c:pt>
                <c:pt idx="2047">
                  <c:v>0.78</c:v>
                </c:pt>
                <c:pt idx="2048">
                  <c:v>0.78</c:v>
                </c:pt>
                <c:pt idx="2049">
                  <c:v>1.31</c:v>
                </c:pt>
                <c:pt idx="2050">
                  <c:v>1.31</c:v>
                </c:pt>
                <c:pt idx="2051">
                  <c:v>1.31</c:v>
                </c:pt>
                <c:pt idx="2052">
                  <c:v>1.31</c:v>
                </c:pt>
                <c:pt idx="2053">
                  <c:v>0.78</c:v>
                </c:pt>
                <c:pt idx="2054">
                  <c:v>0.78</c:v>
                </c:pt>
                <c:pt idx="2055">
                  <c:v>0.78</c:v>
                </c:pt>
                <c:pt idx="2056">
                  <c:v>0.78</c:v>
                </c:pt>
                <c:pt idx="2057">
                  <c:v>1.31</c:v>
                </c:pt>
                <c:pt idx="2058">
                  <c:v>1.31</c:v>
                </c:pt>
                <c:pt idx="2059">
                  <c:v>1.31</c:v>
                </c:pt>
                <c:pt idx="2060">
                  <c:v>1.31</c:v>
                </c:pt>
                <c:pt idx="2061">
                  <c:v>0.78</c:v>
                </c:pt>
                <c:pt idx="2062">
                  <c:v>0.78</c:v>
                </c:pt>
                <c:pt idx="2063">
                  <c:v>0.78</c:v>
                </c:pt>
                <c:pt idx="2064">
                  <c:v>0.78</c:v>
                </c:pt>
                <c:pt idx="2065">
                  <c:v>1.31</c:v>
                </c:pt>
                <c:pt idx="2066">
                  <c:v>1.31</c:v>
                </c:pt>
                <c:pt idx="2067">
                  <c:v>1.31</c:v>
                </c:pt>
                <c:pt idx="2068">
                  <c:v>1.31</c:v>
                </c:pt>
                <c:pt idx="2069">
                  <c:v>0.78</c:v>
                </c:pt>
                <c:pt idx="2070">
                  <c:v>0.78</c:v>
                </c:pt>
                <c:pt idx="2071">
                  <c:v>0.78</c:v>
                </c:pt>
                <c:pt idx="2072">
                  <c:v>0.78</c:v>
                </c:pt>
                <c:pt idx="2073">
                  <c:v>1.31</c:v>
                </c:pt>
                <c:pt idx="2074">
                  <c:v>1.31</c:v>
                </c:pt>
                <c:pt idx="2075">
                  <c:v>1.31</c:v>
                </c:pt>
                <c:pt idx="2076">
                  <c:v>1.31</c:v>
                </c:pt>
                <c:pt idx="2077">
                  <c:v>0.78</c:v>
                </c:pt>
                <c:pt idx="2078">
                  <c:v>0.78</c:v>
                </c:pt>
                <c:pt idx="2079">
                  <c:v>0.78</c:v>
                </c:pt>
                <c:pt idx="2080">
                  <c:v>0.78</c:v>
                </c:pt>
                <c:pt idx="2081">
                  <c:v>1.31</c:v>
                </c:pt>
                <c:pt idx="2082">
                  <c:v>1.31</c:v>
                </c:pt>
                <c:pt idx="2083">
                  <c:v>1.31</c:v>
                </c:pt>
                <c:pt idx="2084">
                  <c:v>1.31</c:v>
                </c:pt>
                <c:pt idx="2085">
                  <c:v>0.78</c:v>
                </c:pt>
                <c:pt idx="2086">
                  <c:v>0.78</c:v>
                </c:pt>
                <c:pt idx="2087">
                  <c:v>0.78</c:v>
                </c:pt>
                <c:pt idx="2088">
                  <c:v>0.78</c:v>
                </c:pt>
                <c:pt idx="2089">
                  <c:v>1.31</c:v>
                </c:pt>
                <c:pt idx="2090">
                  <c:v>1.31</c:v>
                </c:pt>
                <c:pt idx="2091">
                  <c:v>1.31</c:v>
                </c:pt>
                <c:pt idx="2092">
                  <c:v>1.31</c:v>
                </c:pt>
                <c:pt idx="2093">
                  <c:v>0.78</c:v>
                </c:pt>
                <c:pt idx="2094">
                  <c:v>0.78</c:v>
                </c:pt>
                <c:pt idx="2095">
                  <c:v>0.78</c:v>
                </c:pt>
                <c:pt idx="2096">
                  <c:v>0.78</c:v>
                </c:pt>
                <c:pt idx="2097">
                  <c:v>1.31</c:v>
                </c:pt>
                <c:pt idx="2098">
                  <c:v>1.31</c:v>
                </c:pt>
                <c:pt idx="2099">
                  <c:v>1.31</c:v>
                </c:pt>
                <c:pt idx="2100">
                  <c:v>1.31</c:v>
                </c:pt>
                <c:pt idx="2101">
                  <c:v>0.78</c:v>
                </c:pt>
                <c:pt idx="2102">
                  <c:v>0.78</c:v>
                </c:pt>
                <c:pt idx="2103">
                  <c:v>0.78</c:v>
                </c:pt>
                <c:pt idx="2104">
                  <c:v>0.78</c:v>
                </c:pt>
                <c:pt idx="2105">
                  <c:v>1.31</c:v>
                </c:pt>
                <c:pt idx="2106">
                  <c:v>1.31</c:v>
                </c:pt>
                <c:pt idx="2107">
                  <c:v>1.31</c:v>
                </c:pt>
                <c:pt idx="2108">
                  <c:v>1.31</c:v>
                </c:pt>
                <c:pt idx="2109">
                  <c:v>0.78</c:v>
                </c:pt>
                <c:pt idx="2110">
                  <c:v>0.78</c:v>
                </c:pt>
                <c:pt idx="2111">
                  <c:v>0.78</c:v>
                </c:pt>
                <c:pt idx="2112">
                  <c:v>0.78</c:v>
                </c:pt>
                <c:pt idx="2113">
                  <c:v>1.31</c:v>
                </c:pt>
                <c:pt idx="2114">
                  <c:v>1.31</c:v>
                </c:pt>
                <c:pt idx="2115">
                  <c:v>1.31</c:v>
                </c:pt>
                <c:pt idx="2116">
                  <c:v>1.31</c:v>
                </c:pt>
                <c:pt idx="2117">
                  <c:v>0.78</c:v>
                </c:pt>
                <c:pt idx="2118">
                  <c:v>0.78</c:v>
                </c:pt>
                <c:pt idx="2119">
                  <c:v>0.78</c:v>
                </c:pt>
                <c:pt idx="2120">
                  <c:v>0.78</c:v>
                </c:pt>
                <c:pt idx="2121">
                  <c:v>1.31</c:v>
                </c:pt>
                <c:pt idx="2122">
                  <c:v>1.31</c:v>
                </c:pt>
                <c:pt idx="2123">
                  <c:v>1.31</c:v>
                </c:pt>
                <c:pt idx="2124">
                  <c:v>1.31</c:v>
                </c:pt>
                <c:pt idx="2125">
                  <c:v>0.78</c:v>
                </c:pt>
                <c:pt idx="2126">
                  <c:v>0.78</c:v>
                </c:pt>
                <c:pt idx="2127">
                  <c:v>0.78</c:v>
                </c:pt>
                <c:pt idx="2128">
                  <c:v>0.78</c:v>
                </c:pt>
                <c:pt idx="2129">
                  <c:v>1.31</c:v>
                </c:pt>
                <c:pt idx="2130">
                  <c:v>1.31</c:v>
                </c:pt>
                <c:pt idx="2131">
                  <c:v>1.31</c:v>
                </c:pt>
                <c:pt idx="2132">
                  <c:v>1.31</c:v>
                </c:pt>
                <c:pt idx="2133">
                  <c:v>0.78</c:v>
                </c:pt>
                <c:pt idx="2134">
                  <c:v>0.78</c:v>
                </c:pt>
                <c:pt idx="2135">
                  <c:v>0.78</c:v>
                </c:pt>
                <c:pt idx="2136">
                  <c:v>0.78</c:v>
                </c:pt>
                <c:pt idx="2137">
                  <c:v>1.31</c:v>
                </c:pt>
                <c:pt idx="2138">
                  <c:v>1.31</c:v>
                </c:pt>
                <c:pt idx="2139">
                  <c:v>1.31</c:v>
                </c:pt>
                <c:pt idx="2140">
                  <c:v>1.31</c:v>
                </c:pt>
                <c:pt idx="2141">
                  <c:v>0.78</c:v>
                </c:pt>
                <c:pt idx="2142">
                  <c:v>0.78</c:v>
                </c:pt>
                <c:pt idx="2143">
                  <c:v>0.78</c:v>
                </c:pt>
                <c:pt idx="2144">
                  <c:v>0.78</c:v>
                </c:pt>
                <c:pt idx="2145">
                  <c:v>1.31</c:v>
                </c:pt>
                <c:pt idx="2146">
                  <c:v>1.31</c:v>
                </c:pt>
                <c:pt idx="2147">
                  <c:v>1.31</c:v>
                </c:pt>
                <c:pt idx="2148">
                  <c:v>1.31</c:v>
                </c:pt>
                <c:pt idx="2149">
                  <c:v>0.78</c:v>
                </c:pt>
                <c:pt idx="2150">
                  <c:v>0.78</c:v>
                </c:pt>
                <c:pt idx="2151">
                  <c:v>0.78</c:v>
                </c:pt>
                <c:pt idx="2152">
                  <c:v>0.78</c:v>
                </c:pt>
                <c:pt idx="2153">
                  <c:v>1.31</c:v>
                </c:pt>
                <c:pt idx="2154">
                  <c:v>1.31</c:v>
                </c:pt>
                <c:pt idx="2155">
                  <c:v>1.31</c:v>
                </c:pt>
                <c:pt idx="2156">
                  <c:v>1.31</c:v>
                </c:pt>
                <c:pt idx="2157">
                  <c:v>0.78</c:v>
                </c:pt>
                <c:pt idx="2158">
                  <c:v>0.78</c:v>
                </c:pt>
                <c:pt idx="2159">
                  <c:v>0.78</c:v>
                </c:pt>
                <c:pt idx="2160">
                  <c:v>0.78</c:v>
                </c:pt>
                <c:pt idx="2161">
                  <c:v>1.31</c:v>
                </c:pt>
                <c:pt idx="2162">
                  <c:v>1.31</c:v>
                </c:pt>
                <c:pt idx="2163">
                  <c:v>1.31</c:v>
                </c:pt>
                <c:pt idx="2164">
                  <c:v>1.31</c:v>
                </c:pt>
                <c:pt idx="2165">
                  <c:v>0.78</c:v>
                </c:pt>
                <c:pt idx="2166">
                  <c:v>0.78</c:v>
                </c:pt>
                <c:pt idx="2167">
                  <c:v>0.78</c:v>
                </c:pt>
                <c:pt idx="2168">
                  <c:v>0.78</c:v>
                </c:pt>
                <c:pt idx="2169">
                  <c:v>1.31</c:v>
                </c:pt>
                <c:pt idx="2170">
                  <c:v>1.31</c:v>
                </c:pt>
                <c:pt idx="2171">
                  <c:v>1.31</c:v>
                </c:pt>
                <c:pt idx="2172">
                  <c:v>1.31</c:v>
                </c:pt>
                <c:pt idx="2173">
                  <c:v>0.78</c:v>
                </c:pt>
                <c:pt idx="2174">
                  <c:v>0.78</c:v>
                </c:pt>
                <c:pt idx="2175">
                  <c:v>0.78</c:v>
                </c:pt>
                <c:pt idx="2176">
                  <c:v>0.78</c:v>
                </c:pt>
                <c:pt idx="2177">
                  <c:v>1.31</c:v>
                </c:pt>
                <c:pt idx="2178">
                  <c:v>1.31</c:v>
                </c:pt>
                <c:pt idx="2179">
                  <c:v>1.31</c:v>
                </c:pt>
                <c:pt idx="2180">
                  <c:v>1.31</c:v>
                </c:pt>
                <c:pt idx="2181">
                  <c:v>0.78</c:v>
                </c:pt>
                <c:pt idx="2182">
                  <c:v>0.78</c:v>
                </c:pt>
                <c:pt idx="2183">
                  <c:v>0.78</c:v>
                </c:pt>
                <c:pt idx="2184">
                  <c:v>0.78</c:v>
                </c:pt>
                <c:pt idx="2185">
                  <c:v>1.31</c:v>
                </c:pt>
                <c:pt idx="2186">
                  <c:v>1.31</c:v>
                </c:pt>
                <c:pt idx="2187">
                  <c:v>1.31</c:v>
                </c:pt>
                <c:pt idx="2188">
                  <c:v>1.31</c:v>
                </c:pt>
                <c:pt idx="2189">
                  <c:v>0.78</c:v>
                </c:pt>
                <c:pt idx="2190">
                  <c:v>0.78</c:v>
                </c:pt>
                <c:pt idx="2191">
                  <c:v>0.78</c:v>
                </c:pt>
                <c:pt idx="2192">
                  <c:v>0.78</c:v>
                </c:pt>
                <c:pt idx="2193">
                  <c:v>1.31</c:v>
                </c:pt>
                <c:pt idx="2194">
                  <c:v>1.31</c:v>
                </c:pt>
                <c:pt idx="2195">
                  <c:v>1.31</c:v>
                </c:pt>
                <c:pt idx="2196">
                  <c:v>1.31</c:v>
                </c:pt>
                <c:pt idx="2197">
                  <c:v>0.78</c:v>
                </c:pt>
                <c:pt idx="2198">
                  <c:v>0.78</c:v>
                </c:pt>
                <c:pt idx="2199">
                  <c:v>0.78</c:v>
                </c:pt>
                <c:pt idx="2200">
                  <c:v>0.78</c:v>
                </c:pt>
                <c:pt idx="2201">
                  <c:v>1.31</c:v>
                </c:pt>
                <c:pt idx="2202">
                  <c:v>1.31</c:v>
                </c:pt>
                <c:pt idx="2203">
                  <c:v>1.31</c:v>
                </c:pt>
                <c:pt idx="2204">
                  <c:v>1.31</c:v>
                </c:pt>
                <c:pt idx="2205">
                  <c:v>0.78</c:v>
                </c:pt>
                <c:pt idx="2206">
                  <c:v>0.78</c:v>
                </c:pt>
                <c:pt idx="2207">
                  <c:v>0.78</c:v>
                </c:pt>
                <c:pt idx="2208">
                  <c:v>0.78</c:v>
                </c:pt>
                <c:pt idx="2209">
                  <c:v>1.31</c:v>
                </c:pt>
                <c:pt idx="2210">
                  <c:v>1.31</c:v>
                </c:pt>
                <c:pt idx="2211">
                  <c:v>1.31</c:v>
                </c:pt>
                <c:pt idx="2212">
                  <c:v>1.31</c:v>
                </c:pt>
                <c:pt idx="2213">
                  <c:v>0.78</c:v>
                </c:pt>
                <c:pt idx="2214">
                  <c:v>0.78</c:v>
                </c:pt>
                <c:pt idx="2215">
                  <c:v>0.78</c:v>
                </c:pt>
                <c:pt idx="2216">
                  <c:v>0.78</c:v>
                </c:pt>
                <c:pt idx="2217">
                  <c:v>1.31</c:v>
                </c:pt>
                <c:pt idx="2218">
                  <c:v>1.31</c:v>
                </c:pt>
                <c:pt idx="2219">
                  <c:v>1.31</c:v>
                </c:pt>
                <c:pt idx="2220">
                  <c:v>1.31</c:v>
                </c:pt>
                <c:pt idx="2221">
                  <c:v>0.78</c:v>
                </c:pt>
                <c:pt idx="2222">
                  <c:v>0.78</c:v>
                </c:pt>
                <c:pt idx="2223">
                  <c:v>0.78</c:v>
                </c:pt>
                <c:pt idx="2224">
                  <c:v>0.78</c:v>
                </c:pt>
                <c:pt idx="2225">
                  <c:v>1.31</c:v>
                </c:pt>
                <c:pt idx="2226">
                  <c:v>1.31</c:v>
                </c:pt>
                <c:pt idx="2227">
                  <c:v>1.31</c:v>
                </c:pt>
                <c:pt idx="2228">
                  <c:v>1.31</c:v>
                </c:pt>
                <c:pt idx="2229">
                  <c:v>0.78</c:v>
                </c:pt>
                <c:pt idx="2230">
                  <c:v>0.78</c:v>
                </c:pt>
                <c:pt idx="2231">
                  <c:v>0.78</c:v>
                </c:pt>
                <c:pt idx="2232">
                  <c:v>0.78</c:v>
                </c:pt>
                <c:pt idx="2233">
                  <c:v>1.31</c:v>
                </c:pt>
                <c:pt idx="2234">
                  <c:v>1.31</c:v>
                </c:pt>
                <c:pt idx="2235">
                  <c:v>1.31</c:v>
                </c:pt>
                <c:pt idx="2236">
                  <c:v>1.31</c:v>
                </c:pt>
                <c:pt idx="2237">
                  <c:v>0.78</c:v>
                </c:pt>
                <c:pt idx="2238">
                  <c:v>0.78</c:v>
                </c:pt>
                <c:pt idx="2239">
                  <c:v>0.78</c:v>
                </c:pt>
                <c:pt idx="2240">
                  <c:v>0.78</c:v>
                </c:pt>
                <c:pt idx="2241">
                  <c:v>1.31</c:v>
                </c:pt>
                <c:pt idx="2242">
                  <c:v>1.31</c:v>
                </c:pt>
                <c:pt idx="2243">
                  <c:v>1.31</c:v>
                </c:pt>
                <c:pt idx="2244">
                  <c:v>1.31</c:v>
                </c:pt>
                <c:pt idx="2245">
                  <c:v>0.78</c:v>
                </c:pt>
                <c:pt idx="2246">
                  <c:v>0.78</c:v>
                </c:pt>
                <c:pt idx="2247">
                  <c:v>0.78</c:v>
                </c:pt>
                <c:pt idx="2248">
                  <c:v>0.78</c:v>
                </c:pt>
                <c:pt idx="2249">
                  <c:v>1.31</c:v>
                </c:pt>
                <c:pt idx="2250">
                  <c:v>1.31</c:v>
                </c:pt>
                <c:pt idx="2251">
                  <c:v>1.31</c:v>
                </c:pt>
                <c:pt idx="2252">
                  <c:v>1.31</c:v>
                </c:pt>
                <c:pt idx="2253">
                  <c:v>0.78</c:v>
                </c:pt>
                <c:pt idx="2254">
                  <c:v>0.78</c:v>
                </c:pt>
                <c:pt idx="2255">
                  <c:v>0.78</c:v>
                </c:pt>
                <c:pt idx="2256">
                  <c:v>0.78</c:v>
                </c:pt>
                <c:pt idx="2257">
                  <c:v>1.31</c:v>
                </c:pt>
                <c:pt idx="2258">
                  <c:v>1.31</c:v>
                </c:pt>
                <c:pt idx="2259">
                  <c:v>1.31</c:v>
                </c:pt>
                <c:pt idx="2260">
                  <c:v>1.31</c:v>
                </c:pt>
                <c:pt idx="2261">
                  <c:v>0.78</c:v>
                </c:pt>
                <c:pt idx="2262">
                  <c:v>0.78</c:v>
                </c:pt>
                <c:pt idx="2263">
                  <c:v>0.78</c:v>
                </c:pt>
                <c:pt idx="2264">
                  <c:v>0.78</c:v>
                </c:pt>
                <c:pt idx="2265">
                  <c:v>1.31</c:v>
                </c:pt>
                <c:pt idx="2266">
                  <c:v>1.31</c:v>
                </c:pt>
                <c:pt idx="2267">
                  <c:v>1.31</c:v>
                </c:pt>
                <c:pt idx="2268">
                  <c:v>1.31</c:v>
                </c:pt>
                <c:pt idx="2269">
                  <c:v>0.78</c:v>
                </c:pt>
                <c:pt idx="2270">
                  <c:v>0.78</c:v>
                </c:pt>
                <c:pt idx="2271">
                  <c:v>0.78</c:v>
                </c:pt>
                <c:pt idx="2272">
                  <c:v>0.78</c:v>
                </c:pt>
                <c:pt idx="2273">
                  <c:v>1.31</c:v>
                </c:pt>
                <c:pt idx="2274">
                  <c:v>1.31</c:v>
                </c:pt>
                <c:pt idx="2275">
                  <c:v>1.31</c:v>
                </c:pt>
                <c:pt idx="2276">
                  <c:v>1.31</c:v>
                </c:pt>
                <c:pt idx="2277">
                  <c:v>0.78</c:v>
                </c:pt>
                <c:pt idx="2278">
                  <c:v>0.78</c:v>
                </c:pt>
                <c:pt idx="2279">
                  <c:v>0.78</c:v>
                </c:pt>
                <c:pt idx="2280">
                  <c:v>0.78</c:v>
                </c:pt>
                <c:pt idx="2281">
                  <c:v>1.31</c:v>
                </c:pt>
                <c:pt idx="2282">
                  <c:v>1.31</c:v>
                </c:pt>
                <c:pt idx="2283">
                  <c:v>1.31</c:v>
                </c:pt>
                <c:pt idx="2284">
                  <c:v>1.31</c:v>
                </c:pt>
                <c:pt idx="2285">
                  <c:v>0.78</c:v>
                </c:pt>
                <c:pt idx="2286">
                  <c:v>0.78</c:v>
                </c:pt>
                <c:pt idx="2287">
                  <c:v>0.78</c:v>
                </c:pt>
                <c:pt idx="2288">
                  <c:v>0.78</c:v>
                </c:pt>
                <c:pt idx="2289">
                  <c:v>1.31</c:v>
                </c:pt>
                <c:pt idx="2290">
                  <c:v>1.31</c:v>
                </c:pt>
                <c:pt idx="2291">
                  <c:v>1.31</c:v>
                </c:pt>
                <c:pt idx="2292">
                  <c:v>1.31</c:v>
                </c:pt>
                <c:pt idx="2293">
                  <c:v>0.78</c:v>
                </c:pt>
                <c:pt idx="2294">
                  <c:v>0.78</c:v>
                </c:pt>
                <c:pt idx="2295">
                  <c:v>0.78</c:v>
                </c:pt>
                <c:pt idx="2296">
                  <c:v>0.78</c:v>
                </c:pt>
                <c:pt idx="2297">
                  <c:v>1.31</c:v>
                </c:pt>
                <c:pt idx="2298">
                  <c:v>1.31</c:v>
                </c:pt>
                <c:pt idx="2299">
                  <c:v>1.31</c:v>
                </c:pt>
                <c:pt idx="2300">
                  <c:v>1.31</c:v>
                </c:pt>
                <c:pt idx="2301">
                  <c:v>0.78</c:v>
                </c:pt>
                <c:pt idx="2302">
                  <c:v>0.78</c:v>
                </c:pt>
                <c:pt idx="2303">
                  <c:v>0.78</c:v>
                </c:pt>
                <c:pt idx="2304">
                  <c:v>0.78</c:v>
                </c:pt>
                <c:pt idx="2305">
                  <c:v>1.31</c:v>
                </c:pt>
                <c:pt idx="2306">
                  <c:v>1.31</c:v>
                </c:pt>
                <c:pt idx="2307">
                  <c:v>1.31</c:v>
                </c:pt>
                <c:pt idx="2308">
                  <c:v>1.31</c:v>
                </c:pt>
                <c:pt idx="2309">
                  <c:v>0.78</c:v>
                </c:pt>
                <c:pt idx="2310">
                  <c:v>0.78</c:v>
                </c:pt>
                <c:pt idx="2311">
                  <c:v>0.78</c:v>
                </c:pt>
                <c:pt idx="2312">
                  <c:v>0.78</c:v>
                </c:pt>
                <c:pt idx="2313">
                  <c:v>1.31</c:v>
                </c:pt>
                <c:pt idx="2314">
                  <c:v>1.31</c:v>
                </c:pt>
                <c:pt idx="2315">
                  <c:v>1.31</c:v>
                </c:pt>
                <c:pt idx="2316">
                  <c:v>1.31</c:v>
                </c:pt>
                <c:pt idx="2317">
                  <c:v>0.78</c:v>
                </c:pt>
                <c:pt idx="2318">
                  <c:v>0.78</c:v>
                </c:pt>
                <c:pt idx="2319">
                  <c:v>0.78</c:v>
                </c:pt>
                <c:pt idx="2320">
                  <c:v>0.78</c:v>
                </c:pt>
                <c:pt idx="2321">
                  <c:v>1.31</c:v>
                </c:pt>
                <c:pt idx="2322">
                  <c:v>1.31</c:v>
                </c:pt>
                <c:pt idx="2323">
                  <c:v>1.31</c:v>
                </c:pt>
                <c:pt idx="2324">
                  <c:v>1.31</c:v>
                </c:pt>
                <c:pt idx="2325">
                  <c:v>0.78</c:v>
                </c:pt>
                <c:pt idx="2326">
                  <c:v>0.78</c:v>
                </c:pt>
                <c:pt idx="2327">
                  <c:v>0.78</c:v>
                </c:pt>
                <c:pt idx="2328">
                  <c:v>0.78</c:v>
                </c:pt>
                <c:pt idx="2329">
                  <c:v>1.31</c:v>
                </c:pt>
                <c:pt idx="2330">
                  <c:v>1.31</c:v>
                </c:pt>
                <c:pt idx="2331">
                  <c:v>1.31</c:v>
                </c:pt>
                <c:pt idx="2332">
                  <c:v>1.31</c:v>
                </c:pt>
                <c:pt idx="2333">
                  <c:v>0.78</c:v>
                </c:pt>
                <c:pt idx="2334">
                  <c:v>0.78</c:v>
                </c:pt>
                <c:pt idx="2335">
                  <c:v>0.78</c:v>
                </c:pt>
                <c:pt idx="2336">
                  <c:v>0.78</c:v>
                </c:pt>
                <c:pt idx="2337">
                  <c:v>1.31</c:v>
                </c:pt>
                <c:pt idx="2338">
                  <c:v>1.31</c:v>
                </c:pt>
                <c:pt idx="2339">
                  <c:v>1.31</c:v>
                </c:pt>
                <c:pt idx="2340">
                  <c:v>1.31</c:v>
                </c:pt>
                <c:pt idx="2341">
                  <c:v>0.78</c:v>
                </c:pt>
                <c:pt idx="2342">
                  <c:v>0.78</c:v>
                </c:pt>
                <c:pt idx="2343">
                  <c:v>0.78</c:v>
                </c:pt>
                <c:pt idx="2344">
                  <c:v>0.78</c:v>
                </c:pt>
                <c:pt idx="2345">
                  <c:v>1.31</c:v>
                </c:pt>
                <c:pt idx="2346">
                  <c:v>1.31</c:v>
                </c:pt>
                <c:pt idx="2347">
                  <c:v>1.31</c:v>
                </c:pt>
                <c:pt idx="2348">
                  <c:v>1.31</c:v>
                </c:pt>
                <c:pt idx="2349">
                  <c:v>0.78</c:v>
                </c:pt>
                <c:pt idx="2350">
                  <c:v>0.78</c:v>
                </c:pt>
                <c:pt idx="2351">
                  <c:v>0.78</c:v>
                </c:pt>
                <c:pt idx="2352">
                  <c:v>0.78</c:v>
                </c:pt>
                <c:pt idx="2353">
                  <c:v>1.31</c:v>
                </c:pt>
                <c:pt idx="2354">
                  <c:v>1.31</c:v>
                </c:pt>
                <c:pt idx="2355">
                  <c:v>1.31</c:v>
                </c:pt>
                <c:pt idx="2356">
                  <c:v>1.31</c:v>
                </c:pt>
                <c:pt idx="2357">
                  <c:v>0.78</c:v>
                </c:pt>
                <c:pt idx="2358">
                  <c:v>0.78</c:v>
                </c:pt>
                <c:pt idx="2359">
                  <c:v>0.78</c:v>
                </c:pt>
                <c:pt idx="2360">
                  <c:v>0.78</c:v>
                </c:pt>
                <c:pt idx="2361">
                  <c:v>1.31</c:v>
                </c:pt>
                <c:pt idx="2362">
                  <c:v>1.31</c:v>
                </c:pt>
                <c:pt idx="2363">
                  <c:v>1.31</c:v>
                </c:pt>
                <c:pt idx="2364">
                  <c:v>1.31</c:v>
                </c:pt>
                <c:pt idx="2365">
                  <c:v>0.78</c:v>
                </c:pt>
                <c:pt idx="2366">
                  <c:v>0.78</c:v>
                </c:pt>
                <c:pt idx="2367">
                  <c:v>0.78</c:v>
                </c:pt>
                <c:pt idx="2368">
                  <c:v>0.78</c:v>
                </c:pt>
                <c:pt idx="2369">
                  <c:v>1.31</c:v>
                </c:pt>
                <c:pt idx="2370">
                  <c:v>1.31</c:v>
                </c:pt>
                <c:pt idx="2371">
                  <c:v>1.31</c:v>
                </c:pt>
                <c:pt idx="2372">
                  <c:v>1.31</c:v>
                </c:pt>
                <c:pt idx="2373">
                  <c:v>0.78</c:v>
                </c:pt>
                <c:pt idx="2374">
                  <c:v>0.78</c:v>
                </c:pt>
                <c:pt idx="2375">
                  <c:v>0.78</c:v>
                </c:pt>
                <c:pt idx="2376">
                  <c:v>0.78</c:v>
                </c:pt>
                <c:pt idx="2377">
                  <c:v>1.31</c:v>
                </c:pt>
                <c:pt idx="2378">
                  <c:v>1.31</c:v>
                </c:pt>
                <c:pt idx="2379">
                  <c:v>1.31</c:v>
                </c:pt>
                <c:pt idx="2380">
                  <c:v>1.31</c:v>
                </c:pt>
                <c:pt idx="2381">
                  <c:v>0.78</c:v>
                </c:pt>
                <c:pt idx="2382">
                  <c:v>0.78</c:v>
                </c:pt>
                <c:pt idx="2383">
                  <c:v>0.78</c:v>
                </c:pt>
                <c:pt idx="2384">
                  <c:v>0.78</c:v>
                </c:pt>
                <c:pt idx="2385">
                  <c:v>1.31</c:v>
                </c:pt>
                <c:pt idx="2386">
                  <c:v>1.31</c:v>
                </c:pt>
                <c:pt idx="2387">
                  <c:v>1.31</c:v>
                </c:pt>
                <c:pt idx="2388">
                  <c:v>1.31</c:v>
                </c:pt>
                <c:pt idx="2389">
                  <c:v>0.78</c:v>
                </c:pt>
                <c:pt idx="2390">
                  <c:v>0.78</c:v>
                </c:pt>
                <c:pt idx="2391">
                  <c:v>0.78</c:v>
                </c:pt>
                <c:pt idx="2392">
                  <c:v>0.78</c:v>
                </c:pt>
                <c:pt idx="2393">
                  <c:v>1.31</c:v>
                </c:pt>
                <c:pt idx="2394">
                  <c:v>1.31</c:v>
                </c:pt>
                <c:pt idx="2395">
                  <c:v>1.31</c:v>
                </c:pt>
                <c:pt idx="2396">
                  <c:v>1.31</c:v>
                </c:pt>
                <c:pt idx="2397">
                  <c:v>0.78</c:v>
                </c:pt>
                <c:pt idx="2398">
                  <c:v>0.78</c:v>
                </c:pt>
                <c:pt idx="2399">
                  <c:v>0.78</c:v>
                </c:pt>
                <c:pt idx="2400">
                  <c:v>0.78</c:v>
                </c:pt>
                <c:pt idx="2401">
                  <c:v>1.31</c:v>
                </c:pt>
                <c:pt idx="2402">
                  <c:v>1.31</c:v>
                </c:pt>
                <c:pt idx="2403">
                  <c:v>1.31</c:v>
                </c:pt>
                <c:pt idx="2404">
                  <c:v>1.31</c:v>
                </c:pt>
                <c:pt idx="2405">
                  <c:v>0.78</c:v>
                </c:pt>
                <c:pt idx="2406">
                  <c:v>0.78</c:v>
                </c:pt>
                <c:pt idx="2407">
                  <c:v>0.78</c:v>
                </c:pt>
                <c:pt idx="2408">
                  <c:v>1.3100000000000003</c:v>
                </c:pt>
                <c:pt idx="2409">
                  <c:v>1.3100000000000003</c:v>
                </c:pt>
                <c:pt idx="2410">
                  <c:v>1.3100000000000003</c:v>
                </c:pt>
                <c:pt idx="2411">
                  <c:v>1.8400000000000003</c:v>
                </c:pt>
                <c:pt idx="2412">
                  <c:v>1.8400000000000003</c:v>
                </c:pt>
                <c:pt idx="2413">
                  <c:v>1.8400000000000003</c:v>
                </c:pt>
                <c:pt idx="2414">
                  <c:v>1.8400000000000003</c:v>
                </c:pt>
                <c:pt idx="2415">
                  <c:v>1.3100000000000003</c:v>
                </c:pt>
                <c:pt idx="2416">
                  <c:v>1.3100000000000003</c:v>
                </c:pt>
                <c:pt idx="2417">
                  <c:v>1.3100000000000003</c:v>
                </c:pt>
                <c:pt idx="2418">
                  <c:v>1.3100000000000003</c:v>
                </c:pt>
                <c:pt idx="2419">
                  <c:v>1.8400000000000003</c:v>
                </c:pt>
                <c:pt idx="2420">
                  <c:v>1.8400000000000003</c:v>
                </c:pt>
                <c:pt idx="2421">
                  <c:v>1.8400000000000003</c:v>
                </c:pt>
                <c:pt idx="2422">
                  <c:v>1.8400000000000003</c:v>
                </c:pt>
                <c:pt idx="2423">
                  <c:v>1.3100000000000003</c:v>
                </c:pt>
                <c:pt idx="2424">
                  <c:v>1.3100000000000003</c:v>
                </c:pt>
                <c:pt idx="2425">
                  <c:v>1.3100000000000003</c:v>
                </c:pt>
                <c:pt idx="2426">
                  <c:v>1.3100000000000003</c:v>
                </c:pt>
                <c:pt idx="2427">
                  <c:v>1.8400000000000003</c:v>
                </c:pt>
                <c:pt idx="2428">
                  <c:v>1.8400000000000003</c:v>
                </c:pt>
                <c:pt idx="2429">
                  <c:v>1.8400000000000003</c:v>
                </c:pt>
                <c:pt idx="2430">
                  <c:v>1.8400000000000003</c:v>
                </c:pt>
                <c:pt idx="2431">
                  <c:v>1.3100000000000003</c:v>
                </c:pt>
                <c:pt idx="2432">
                  <c:v>1.3100000000000003</c:v>
                </c:pt>
                <c:pt idx="2433">
                  <c:v>1.3100000000000003</c:v>
                </c:pt>
                <c:pt idx="2434">
                  <c:v>1.3100000000000003</c:v>
                </c:pt>
                <c:pt idx="2435">
                  <c:v>1.8400000000000003</c:v>
                </c:pt>
                <c:pt idx="2436">
                  <c:v>1.8400000000000003</c:v>
                </c:pt>
                <c:pt idx="2437">
                  <c:v>1.8400000000000003</c:v>
                </c:pt>
                <c:pt idx="2438">
                  <c:v>1.8400000000000003</c:v>
                </c:pt>
                <c:pt idx="2439">
                  <c:v>1.3100000000000003</c:v>
                </c:pt>
                <c:pt idx="2440">
                  <c:v>1.3100000000000003</c:v>
                </c:pt>
                <c:pt idx="2441">
                  <c:v>1.3100000000000003</c:v>
                </c:pt>
                <c:pt idx="2442">
                  <c:v>1.3100000000000003</c:v>
                </c:pt>
                <c:pt idx="2443">
                  <c:v>1.8400000000000003</c:v>
                </c:pt>
                <c:pt idx="2444">
                  <c:v>1.8400000000000003</c:v>
                </c:pt>
                <c:pt idx="2445">
                  <c:v>1.8400000000000003</c:v>
                </c:pt>
                <c:pt idx="2446">
                  <c:v>1.8400000000000003</c:v>
                </c:pt>
                <c:pt idx="2447">
                  <c:v>1.3100000000000003</c:v>
                </c:pt>
                <c:pt idx="2448">
                  <c:v>1.3100000000000003</c:v>
                </c:pt>
                <c:pt idx="2449">
                  <c:v>1.3100000000000003</c:v>
                </c:pt>
                <c:pt idx="2450">
                  <c:v>1.3100000000000003</c:v>
                </c:pt>
                <c:pt idx="2451">
                  <c:v>1.8400000000000003</c:v>
                </c:pt>
                <c:pt idx="2452">
                  <c:v>1.8400000000000003</c:v>
                </c:pt>
                <c:pt idx="2453">
                  <c:v>1.8400000000000003</c:v>
                </c:pt>
                <c:pt idx="2454">
                  <c:v>1.8400000000000003</c:v>
                </c:pt>
                <c:pt idx="2455">
                  <c:v>1.3100000000000003</c:v>
                </c:pt>
                <c:pt idx="2456">
                  <c:v>1.3100000000000003</c:v>
                </c:pt>
                <c:pt idx="2457">
                  <c:v>1.3100000000000003</c:v>
                </c:pt>
                <c:pt idx="2458">
                  <c:v>1.3100000000000003</c:v>
                </c:pt>
                <c:pt idx="2459">
                  <c:v>1.8400000000000003</c:v>
                </c:pt>
                <c:pt idx="2460">
                  <c:v>1.8400000000000003</c:v>
                </c:pt>
                <c:pt idx="2461">
                  <c:v>1.8400000000000003</c:v>
                </c:pt>
                <c:pt idx="2462">
                  <c:v>1.8400000000000003</c:v>
                </c:pt>
                <c:pt idx="2463">
                  <c:v>1.3100000000000003</c:v>
                </c:pt>
                <c:pt idx="2464">
                  <c:v>1.3100000000000003</c:v>
                </c:pt>
                <c:pt idx="2465">
                  <c:v>1.3100000000000003</c:v>
                </c:pt>
                <c:pt idx="2466">
                  <c:v>1.3100000000000003</c:v>
                </c:pt>
                <c:pt idx="2467">
                  <c:v>1.8400000000000003</c:v>
                </c:pt>
                <c:pt idx="2468">
                  <c:v>1.8400000000000003</c:v>
                </c:pt>
                <c:pt idx="2469">
                  <c:v>1.8400000000000003</c:v>
                </c:pt>
                <c:pt idx="2470">
                  <c:v>1.8400000000000003</c:v>
                </c:pt>
                <c:pt idx="2471">
                  <c:v>1.3100000000000003</c:v>
                </c:pt>
                <c:pt idx="2472">
                  <c:v>1.3100000000000003</c:v>
                </c:pt>
                <c:pt idx="2473">
                  <c:v>1.3100000000000003</c:v>
                </c:pt>
                <c:pt idx="2474">
                  <c:v>1.3100000000000003</c:v>
                </c:pt>
                <c:pt idx="2475">
                  <c:v>1.8400000000000003</c:v>
                </c:pt>
                <c:pt idx="2476">
                  <c:v>1.8400000000000003</c:v>
                </c:pt>
                <c:pt idx="2477">
                  <c:v>1.8400000000000003</c:v>
                </c:pt>
                <c:pt idx="2478">
                  <c:v>1.8400000000000003</c:v>
                </c:pt>
                <c:pt idx="2479">
                  <c:v>1.3100000000000003</c:v>
                </c:pt>
                <c:pt idx="2480">
                  <c:v>1.3100000000000003</c:v>
                </c:pt>
                <c:pt idx="2481">
                  <c:v>1.3100000000000003</c:v>
                </c:pt>
                <c:pt idx="2482">
                  <c:v>1.3100000000000003</c:v>
                </c:pt>
                <c:pt idx="2483">
                  <c:v>1.8400000000000003</c:v>
                </c:pt>
                <c:pt idx="2484">
                  <c:v>1.8400000000000003</c:v>
                </c:pt>
                <c:pt idx="2485">
                  <c:v>1.8400000000000003</c:v>
                </c:pt>
                <c:pt idx="2486">
                  <c:v>1.8400000000000003</c:v>
                </c:pt>
                <c:pt idx="2487">
                  <c:v>1.3100000000000003</c:v>
                </c:pt>
                <c:pt idx="2488">
                  <c:v>1.3100000000000003</c:v>
                </c:pt>
                <c:pt idx="2489">
                  <c:v>1.3100000000000003</c:v>
                </c:pt>
                <c:pt idx="2490">
                  <c:v>1.3100000000000003</c:v>
                </c:pt>
                <c:pt idx="2491">
                  <c:v>1.8400000000000003</c:v>
                </c:pt>
                <c:pt idx="2492">
                  <c:v>1.8400000000000003</c:v>
                </c:pt>
                <c:pt idx="2493">
                  <c:v>1.8400000000000003</c:v>
                </c:pt>
                <c:pt idx="2494">
                  <c:v>1.8400000000000003</c:v>
                </c:pt>
                <c:pt idx="2495">
                  <c:v>1.3100000000000003</c:v>
                </c:pt>
                <c:pt idx="2496">
                  <c:v>1.3100000000000003</c:v>
                </c:pt>
                <c:pt idx="2497">
                  <c:v>1.3100000000000003</c:v>
                </c:pt>
                <c:pt idx="2498">
                  <c:v>1.3100000000000003</c:v>
                </c:pt>
                <c:pt idx="2499">
                  <c:v>1.8400000000000003</c:v>
                </c:pt>
                <c:pt idx="2500">
                  <c:v>1.8400000000000003</c:v>
                </c:pt>
                <c:pt idx="2501">
                  <c:v>1.8400000000000003</c:v>
                </c:pt>
                <c:pt idx="2502">
                  <c:v>1.8400000000000003</c:v>
                </c:pt>
                <c:pt idx="2503">
                  <c:v>1.3100000000000003</c:v>
                </c:pt>
                <c:pt idx="2504">
                  <c:v>1.3100000000000003</c:v>
                </c:pt>
                <c:pt idx="2505">
                  <c:v>1.3100000000000003</c:v>
                </c:pt>
                <c:pt idx="2506">
                  <c:v>1.3100000000000003</c:v>
                </c:pt>
                <c:pt idx="2507">
                  <c:v>1.8400000000000003</c:v>
                </c:pt>
                <c:pt idx="2508">
                  <c:v>1.8400000000000003</c:v>
                </c:pt>
                <c:pt idx="2509">
                  <c:v>1.8400000000000003</c:v>
                </c:pt>
                <c:pt idx="2510">
                  <c:v>1.8400000000000003</c:v>
                </c:pt>
                <c:pt idx="2511">
                  <c:v>1.3100000000000003</c:v>
                </c:pt>
                <c:pt idx="2512">
                  <c:v>1.3100000000000003</c:v>
                </c:pt>
                <c:pt idx="2513">
                  <c:v>1.3100000000000003</c:v>
                </c:pt>
                <c:pt idx="2514">
                  <c:v>1.3100000000000003</c:v>
                </c:pt>
                <c:pt idx="2515">
                  <c:v>1.8400000000000003</c:v>
                </c:pt>
                <c:pt idx="2516">
                  <c:v>1.8400000000000003</c:v>
                </c:pt>
                <c:pt idx="2517">
                  <c:v>1.8400000000000003</c:v>
                </c:pt>
                <c:pt idx="2518">
                  <c:v>1.8400000000000003</c:v>
                </c:pt>
                <c:pt idx="2519">
                  <c:v>1.3100000000000003</c:v>
                </c:pt>
                <c:pt idx="2520">
                  <c:v>1.3100000000000003</c:v>
                </c:pt>
                <c:pt idx="2521">
                  <c:v>1.3100000000000003</c:v>
                </c:pt>
                <c:pt idx="2522">
                  <c:v>1.3100000000000003</c:v>
                </c:pt>
                <c:pt idx="2523">
                  <c:v>1.8400000000000003</c:v>
                </c:pt>
                <c:pt idx="2524">
                  <c:v>1.8400000000000003</c:v>
                </c:pt>
                <c:pt idx="2525">
                  <c:v>1.8400000000000003</c:v>
                </c:pt>
                <c:pt idx="2526">
                  <c:v>1.8400000000000003</c:v>
                </c:pt>
                <c:pt idx="2527">
                  <c:v>1.3100000000000003</c:v>
                </c:pt>
                <c:pt idx="2528">
                  <c:v>1.3100000000000003</c:v>
                </c:pt>
                <c:pt idx="2529">
                  <c:v>1.3100000000000003</c:v>
                </c:pt>
                <c:pt idx="2530">
                  <c:v>1.3100000000000003</c:v>
                </c:pt>
                <c:pt idx="2531">
                  <c:v>1.8400000000000003</c:v>
                </c:pt>
                <c:pt idx="2532">
                  <c:v>1.8400000000000003</c:v>
                </c:pt>
                <c:pt idx="2533">
                  <c:v>1.8400000000000003</c:v>
                </c:pt>
                <c:pt idx="2534">
                  <c:v>1.8400000000000003</c:v>
                </c:pt>
                <c:pt idx="2535">
                  <c:v>1.3100000000000003</c:v>
                </c:pt>
                <c:pt idx="2536">
                  <c:v>1.3100000000000003</c:v>
                </c:pt>
                <c:pt idx="2537">
                  <c:v>1.3100000000000003</c:v>
                </c:pt>
                <c:pt idx="2538">
                  <c:v>1.3100000000000003</c:v>
                </c:pt>
                <c:pt idx="2539">
                  <c:v>1.8400000000000003</c:v>
                </c:pt>
                <c:pt idx="2540">
                  <c:v>1.8400000000000003</c:v>
                </c:pt>
                <c:pt idx="2541">
                  <c:v>1.8400000000000003</c:v>
                </c:pt>
                <c:pt idx="2542">
                  <c:v>1.8400000000000003</c:v>
                </c:pt>
                <c:pt idx="2543">
                  <c:v>1.3100000000000003</c:v>
                </c:pt>
                <c:pt idx="2544">
                  <c:v>1.3100000000000003</c:v>
                </c:pt>
                <c:pt idx="2545">
                  <c:v>1.3100000000000003</c:v>
                </c:pt>
                <c:pt idx="2546">
                  <c:v>1.3100000000000003</c:v>
                </c:pt>
                <c:pt idx="2547">
                  <c:v>1.8400000000000003</c:v>
                </c:pt>
                <c:pt idx="2548">
                  <c:v>1.8400000000000003</c:v>
                </c:pt>
                <c:pt idx="2549">
                  <c:v>1.8400000000000003</c:v>
                </c:pt>
                <c:pt idx="2550">
                  <c:v>1.8400000000000003</c:v>
                </c:pt>
                <c:pt idx="2551">
                  <c:v>1.3100000000000003</c:v>
                </c:pt>
                <c:pt idx="2552">
                  <c:v>1.3100000000000003</c:v>
                </c:pt>
                <c:pt idx="2553">
                  <c:v>1.3100000000000003</c:v>
                </c:pt>
                <c:pt idx="2554">
                  <c:v>1.3100000000000003</c:v>
                </c:pt>
                <c:pt idx="2555">
                  <c:v>1.8400000000000003</c:v>
                </c:pt>
                <c:pt idx="2556">
                  <c:v>1.8400000000000003</c:v>
                </c:pt>
                <c:pt idx="2557">
                  <c:v>1.8400000000000003</c:v>
                </c:pt>
                <c:pt idx="2558">
                  <c:v>1.8400000000000003</c:v>
                </c:pt>
                <c:pt idx="2559">
                  <c:v>1.3100000000000003</c:v>
                </c:pt>
                <c:pt idx="2560">
                  <c:v>1.3100000000000003</c:v>
                </c:pt>
                <c:pt idx="2561">
                  <c:v>1.3100000000000003</c:v>
                </c:pt>
                <c:pt idx="2562">
                  <c:v>1.3100000000000003</c:v>
                </c:pt>
                <c:pt idx="2563">
                  <c:v>1.8400000000000003</c:v>
                </c:pt>
                <c:pt idx="2564">
                  <c:v>1.8400000000000003</c:v>
                </c:pt>
                <c:pt idx="2565">
                  <c:v>1.8400000000000003</c:v>
                </c:pt>
                <c:pt idx="2566">
                  <c:v>1.8400000000000003</c:v>
                </c:pt>
                <c:pt idx="2567">
                  <c:v>1.3100000000000003</c:v>
                </c:pt>
                <c:pt idx="2568">
                  <c:v>1.3100000000000003</c:v>
                </c:pt>
                <c:pt idx="2569">
                  <c:v>1.3100000000000003</c:v>
                </c:pt>
                <c:pt idx="2570">
                  <c:v>1.3100000000000003</c:v>
                </c:pt>
                <c:pt idx="2571">
                  <c:v>1.8400000000000003</c:v>
                </c:pt>
                <c:pt idx="2572">
                  <c:v>1.8400000000000003</c:v>
                </c:pt>
                <c:pt idx="2573">
                  <c:v>1.8400000000000003</c:v>
                </c:pt>
                <c:pt idx="2574">
                  <c:v>1.8400000000000003</c:v>
                </c:pt>
                <c:pt idx="2575">
                  <c:v>1.3100000000000003</c:v>
                </c:pt>
                <c:pt idx="2576">
                  <c:v>1.3100000000000003</c:v>
                </c:pt>
                <c:pt idx="2577">
                  <c:v>1.3100000000000003</c:v>
                </c:pt>
                <c:pt idx="2578">
                  <c:v>1.3100000000000003</c:v>
                </c:pt>
                <c:pt idx="2579">
                  <c:v>1.8400000000000003</c:v>
                </c:pt>
                <c:pt idx="2580">
                  <c:v>1.8400000000000003</c:v>
                </c:pt>
                <c:pt idx="2581">
                  <c:v>1.8400000000000003</c:v>
                </c:pt>
                <c:pt idx="2582">
                  <c:v>1.8400000000000003</c:v>
                </c:pt>
                <c:pt idx="2583">
                  <c:v>1.3100000000000003</c:v>
                </c:pt>
                <c:pt idx="2584">
                  <c:v>1.3100000000000003</c:v>
                </c:pt>
                <c:pt idx="2585">
                  <c:v>1.3100000000000003</c:v>
                </c:pt>
                <c:pt idx="2586">
                  <c:v>1.3100000000000003</c:v>
                </c:pt>
                <c:pt idx="2587">
                  <c:v>1.8400000000000003</c:v>
                </c:pt>
                <c:pt idx="2588">
                  <c:v>1.8400000000000003</c:v>
                </c:pt>
                <c:pt idx="2589">
                  <c:v>1.8400000000000003</c:v>
                </c:pt>
                <c:pt idx="2590">
                  <c:v>1.8400000000000003</c:v>
                </c:pt>
                <c:pt idx="2591">
                  <c:v>1.3100000000000003</c:v>
                </c:pt>
                <c:pt idx="2592">
                  <c:v>1.3100000000000003</c:v>
                </c:pt>
                <c:pt idx="2593">
                  <c:v>1.3100000000000003</c:v>
                </c:pt>
                <c:pt idx="2594">
                  <c:v>1.3100000000000003</c:v>
                </c:pt>
                <c:pt idx="2595">
                  <c:v>1.8400000000000003</c:v>
                </c:pt>
                <c:pt idx="2596">
                  <c:v>1.8400000000000003</c:v>
                </c:pt>
                <c:pt idx="2597">
                  <c:v>1.8400000000000003</c:v>
                </c:pt>
                <c:pt idx="2598">
                  <c:v>1.8400000000000003</c:v>
                </c:pt>
                <c:pt idx="2599">
                  <c:v>1.3100000000000003</c:v>
                </c:pt>
                <c:pt idx="2600">
                  <c:v>1.3100000000000003</c:v>
                </c:pt>
                <c:pt idx="2601">
                  <c:v>1.3100000000000003</c:v>
                </c:pt>
                <c:pt idx="2602">
                  <c:v>1.3100000000000003</c:v>
                </c:pt>
                <c:pt idx="2603">
                  <c:v>1.8400000000000003</c:v>
                </c:pt>
                <c:pt idx="2604">
                  <c:v>1.8400000000000003</c:v>
                </c:pt>
                <c:pt idx="2605">
                  <c:v>1.8400000000000003</c:v>
                </c:pt>
                <c:pt idx="2606">
                  <c:v>1.8400000000000003</c:v>
                </c:pt>
                <c:pt idx="2607">
                  <c:v>1.3100000000000003</c:v>
                </c:pt>
                <c:pt idx="2608">
                  <c:v>1.3100000000000003</c:v>
                </c:pt>
                <c:pt idx="2609">
                  <c:v>1.3100000000000003</c:v>
                </c:pt>
                <c:pt idx="2610">
                  <c:v>1.3100000000000003</c:v>
                </c:pt>
                <c:pt idx="2611">
                  <c:v>1.8400000000000003</c:v>
                </c:pt>
                <c:pt idx="2612">
                  <c:v>1.8400000000000003</c:v>
                </c:pt>
                <c:pt idx="2613">
                  <c:v>1.8400000000000003</c:v>
                </c:pt>
                <c:pt idx="2614">
                  <c:v>1.8400000000000003</c:v>
                </c:pt>
                <c:pt idx="2615">
                  <c:v>1.3100000000000003</c:v>
                </c:pt>
                <c:pt idx="2616">
                  <c:v>1.3100000000000003</c:v>
                </c:pt>
                <c:pt idx="2617">
                  <c:v>1.3100000000000003</c:v>
                </c:pt>
                <c:pt idx="2618">
                  <c:v>1.3100000000000003</c:v>
                </c:pt>
                <c:pt idx="2619">
                  <c:v>1.8400000000000003</c:v>
                </c:pt>
                <c:pt idx="2620">
                  <c:v>1.8400000000000003</c:v>
                </c:pt>
                <c:pt idx="2621">
                  <c:v>1.8400000000000003</c:v>
                </c:pt>
                <c:pt idx="2622">
                  <c:v>1.8400000000000003</c:v>
                </c:pt>
                <c:pt idx="2623">
                  <c:v>1.3100000000000003</c:v>
                </c:pt>
                <c:pt idx="2624">
                  <c:v>1.3100000000000003</c:v>
                </c:pt>
                <c:pt idx="2625">
                  <c:v>1.3100000000000003</c:v>
                </c:pt>
                <c:pt idx="2626">
                  <c:v>1.3100000000000003</c:v>
                </c:pt>
                <c:pt idx="2627">
                  <c:v>1.8400000000000003</c:v>
                </c:pt>
                <c:pt idx="2628">
                  <c:v>1.8400000000000003</c:v>
                </c:pt>
                <c:pt idx="2629">
                  <c:v>1.8400000000000003</c:v>
                </c:pt>
                <c:pt idx="2630">
                  <c:v>1.8400000000000003</c:v>
                </c:pt>
                <c:pt idx="2631">
                  <c:v>1.3100000000000003</c:v>
                </c:pt>
                <c:pt idx="2632">
                  <c:v>1.3100000000000003</c:v>
                </c:pt>
                <c:pt idx="2633">
                  <c:v>1.3100000000000003</c:v>
                </c:pt>
                <c:pt idx="2634">
                  <c:v>1.3100000000000003</c:v>
                </c:pt>
                <c:pt idx="2635">
                  <c:v>1.8400000000000003</c:v>
                </c:pt>
                <c:pt idx="2636">
                  <c:v>1.8400000000000003</c:v>
                </c:pt>
                <c:pt idx="2637">
                  <c:v>1.8400000000000003</c:v>
                </c:pt>
                <c:pt idx="2638">
                  <c:v>1.8400000000000003</c:v>
                </c:pt>
                <c:pt idx="2639">
                  <c:v>1.3100000000000003</c:v>
                </c:pt>
                <c:pt idx="2640">
                  <c:v>1.3100000000000003</c:v>
                </c:pt>
                <c:pt idx="2641">
                  <c:v>1.3100000000000003</c:v>
                </c:pt>
                <c:pt idx="2642">
                  <c:v>1.3100000000000003</c:v>
                </c:pt>
                <c:pt idx="2643">
                  <c:v>1.8400000000000003</c:v>
                </c:pt>
                <c:pt idx="2644">
                  <c:v>1.8400000000000003</c:v>
                </c:pt>
                <c:pt idx="2645">
                  <c:v>1.8400000000000003</c:v>
                </c:pt>
                <c:pt idx="2646">
                  <c:v>1.8400000000000003</c:v>
                </c:pt>
                <c:pt idx="2647">
                  <c:v>1.3100000000000003</c:v>
                </c:pt>
                <c:pt idx="2648">
                  <c:v>1.3100000000000003</c:v>
                </c:pt>
                <c:pt idx="2649">
                  <c:v>1.3100000000000003</c:v>
                </c:pt>
                <c:pt idx="2650">
                  <c:v>1.3100000000000003</c:v>
                </c:pt>
                <c:pt idx="2651">
                  <c:v>1.8400000000000003</c:v>
                </c:pt>
                <c:pt idx="2652">
                  <c:v>1.8400000000000003</c:v>
                </c:pt>
                <c:pt idx="2653">
                  <c:v>1.8400000000000003</c:v>
                </c:pt>
                <c:pt idx="2654">
                  <c:v>1.8400000000000003</c:v>
                </c:pt>
                <c:pt idx="2655">
                  <c:v>1.3100000000000003</c:v>
                </c:pt>
                <c:pt idx="2656">
                  <c:v>1.3100000000000003</c:v>
                </c:pt>
                <c:pt idx="2657">
                  <c:v>1.3100000000000003</c:v>
                </c:pt>
                <c:pt idx="2658">
                  <c:v>1.3100000000000003</c:v>
                </c:pt>
                <c:pt idx="2659">
                  <c:v>1.8400000000000003</c:v>
                </c:pt>
                <c:pt idx="2660">
                  <c:v>1.8400000000000003</c:v>
                </c:pt>
                <c:pt idx="2661">
                  <c:v>1.8400000000000003</c:v>
                </c:pt>
                <c:pt idx="2662">
                  <c:v>1.8400000000000003</c:v>
                </c:pt>
                <c:pt idx="2663">
                  <c:v>1.3100000000000003</c:v>
                </c:pt>
                <c:pt idx="2664">
                  <c:v>1.3100000000000003</c:v>
                </c:pt>
                <c:pt idx="2665">
                  <c:v>1.3100000000000003</c:v>
                </c:pt>
                <c:pt idx="2666">
                  <c:v>1.3100000000000003</c:v>
                </c:pt>
                <c:pt idx="2667">
                  <c:v>1.8400000000000003</c:v>
                </c:pt>
                <c:pt idx="2668">
                  <c:v>1.8400000000000003</c:v>
                </c:pt>
                <c:pt idx="2669">
                  <c:v>1.8400000000000003</c:v>
                </c:pt>
                <c:pt idx="2670">
                  <c:v>1.8400000000000003</c:v>
                </c:pt>
                <c:pt idx="2671">
                  <c:v>1.3100000000000003</c:v>
                </c:pt>
                <c:pt idx="2672">
                  <c:v>1.3100000000000003</c:v>
                </c:pt>
                <c:pt idx="2673">
                  <c:v>1.3100000000000003</c:v>
                </c:pt>
                <c:pt idx="2674">
                  <c:v>1.3100000000000003</c:v>
                </c:pt>
                <c:pt idx="2675">
                  <c:v>1.8400000000000003</c:v>
                </c:pt>
                <c:pt idx="2676">
                  <c:v>1.8400000000000003</c:v>
                </c:pt>
                <c:pt idx="2677">
                  <c:v>1.8400000000000003</c:v>
                </c:pt>
                <c:pt idx="2678">
                  <c:v>1.8400000000000003</c:v>
                </c:pt>
                <c:pt idx="2679">
                  <c:v>1.3100000000000003</c:v>
                </c:pt>
                <c:pt idx="2680">
                  <c:v>1.3100000000000003</c:v>
                </c:pt>
                <c:pt idx="2681">
                  <c:v>1.3100000000000003</c:v>
                </c:pt>
                <c:pt idx="2682">
                  <c:v>1.3100000000000003</c:v>
                </c:pt>
                <c:pt idx="2683">
                  <c:v>1.8400000000000003</c:v>
                </c:pt>
                <c:pt idx="2684">
                  <c:v>1.8400000000000003</c:v>
                </c:pt>
                <c:pt idx="2685">
                  <c:v>1.8400000000000003</c:v>
                </c:pt>
                <c:pt idx="2686">
                  <c:v>1.8400000000000003</c:v>
                </c:pt>
                <c:pt idx="2687">
                  <c:v>1.3100000000000003</c:v>
                </c:pt>
                <c:pt idx="2688">
                  <c:v>1.3100000000000003</c:v>
                </c:pt>
                <c:pt idx="2689">
                  <c:v>1.3100000000000003</c:v>
                </c:pt>
                <c:pt idx="2690">
                  <c:v>1.3100000000000003</c:v>
                </c:pt>
                <c:pt idx="2691">
                  <c:v>1.8400000000000003</c:v>
                </c:pt>
                <c:pt idx="2692">
                  <c:v>1.8400000000000003</c:v>
                </c:pt>
                <c:pt idx="2693">
                  <c:v>1.8400000000000003</c:v>
                </c:pt>
                <c:pt idx="2694">
                  <c:v>1.8400000000000003</c:v>
                </c:pt>
                <c:pt idx="2695">
                  <c:v>1.3100000000000003</c:v>
                </c:pt>
                <c:pt idx="2696">
                  <c:v>1.3100000000000003</c:v>
                </c:pt>
                <c:pt idx="2697">
                  <c:v>1.3100000000000003</c:v>
                </c:pt>
                <c:pt idx="2698">
                  <c:v>1.3100000000000003</c:v>
                </c:pt>
                <c:pt idx="2699">
                  <c:v>1.8400000000000003</c:v>
                </c:pt>
                <c:pt idx="2700">
                  <c:v>1.8400000000000003</c:v>
                </c:pt>
                <c:pt idx="2701">
                  <c:v>1.8400000000000003</c:v>
                </c:pt>
                <c:pt idx="2702">
                  <c:v>1.8400000000000003</c:v>
                </c:pt>
                <c:pt idx="2703">
                  <c:v>1.3100000000000003</c:v>
                </c:pt>
                <c:pt idx="2704">
                  <c:v>1.3100000000000003</c:v>
                </c:pt>
                <c:pt idx="2705">
                  <c:v>1.3100000000000003</c:v>
                </c:pt>
                <c:pt idx="2706">
                  <c:v>1.3100000000000003</c:v>
                </c:pt>
                <c:pt idx="2707">
                  <c:v>1.8400000000000003</c:v>
                </c:pt>
                <c:pt idx="2708">
                  <c:v>1.8400000000000003</c:v>
                </c:pt>
                <c:pt idx="2709">
                  <c:v>1.8400000000000003</c:v>
                </c:pt>
                <c:pt idx="2710">
                  <c:v>1.8400000000000003</c:v>
                </c:pt>
                <c:pt idx="2711">
                  <c:v>1.3100000000000003</c:v>
                </c:pt>
                <c:pt idx="2712">
                  <c:v>1.3100000000000003</c:v>
                </c:pt>
                <c:pt idx="2713">
                  <c:v>1.3100000000000003</c:v>
                </c:pt>
                <c:pt idx="2714">
                  <c:v>1.3100000000000003</c:v>
                </c:pt>
                <c:pt idx="2715">
                  <c:v>1.8400000000000003</c:v>
                </c:pt>
                <c:pt idx="2716">
                  <c:v>1.8400000000000003</c:v>
                </c:pt>
                <c:pt idx="2717">
                  <c:v>1.8400000000000003</c:v>
                </c:pt>
                <c:pt idx="2718">
                  <c:v>1.8400000000000003</c:v>
                </c:pt>
                <c:pt idx="2719">
                  <c:v>1.3100000000000003</c:v>
                </c:pt>
                <c:pt idx="2720">
                  <c:v>1.3100000000000003</c:v>
                </c:pt>
                <c:pt idx="2721">
                  <c:v>1.3100000000000003</c:v>
                </c:pt>
                <c:pt idx="2722">
                  <c:v>1.3100000000000003</c:v>
                </c:pt>
                <c:pt idx="2723">
                  <c:v>1.8400000000000003</c:v>
                </c:pt>
                <c:pt idx="2724">
                  <c:v>1.8400000000000003</c:v>
                </c:pt>
                <c:pt idx="2725">
                  <c:v>1.8400000000000003</c:v>
                </c:pt>
                <c:pt idx="2726">
                  <c:v>1.8400000000000003</c:v>
                </c:pt>
                <c:pt idx="2727">
                  <c:v>1.3100000000000003</c:v>
                </c:pt>
                <c:pt idx="2728">
                  <c:v>1.3100000000000003</c:v>
                </c:pt>
                <c:pt idx="2729">
                  <c:v>1.3100000000000003</c:v>
                </c:pt>
                <c:pt idx="2730">
                  <c:v>1.3100000000000003</c:v>
                </c:pt>
                <c:pt idx="2731">
                  <c:v>1.8400000000000003</c:v>
                </c:pt>
                <c:pt idx="2732">
                  <c:v>1.8400000000000003</c:v>
                </c:pt>
                <c:pt idx="2733">
                  <c:v>1.8400000000000003</c:v>
                </c:pt>
                <c:pt idx="2734">
                  <c:v>1.8400000000000003</c:v>
                </c:pt>
                <c:pt idx="2735">
                  <c:v>1.3100000000000003</c:v>
                </c:pt>
                <c:pt idx="2736">
                  <c:v>1.3100000000000003</c:v>
                </c:pt>
                <c:pt idx="2737">
                  <c:v>1.3100000000000003</c:v>
                </c:pt>
                <c:pt idx="2738">
                  <c:v>1.3100000000000003</c:v>
                </c:pt>
                <c:pt idx="2739">
                  <c:v>1.8400000000000003</c:v>
                </c:pt>
                <c:pt idx="2740">
                  <c:v>1.8400000000000003</c:v>
                </c:pt>
                <c:pt idx="2741">
                  <c:v>1.8400000000000003</c:v>
                </c:pt>
                <c:pt idx="2742">
                  <c:v>1.8400000000000003</c:v>
                </c:pt>
                <c:pt idx="2743">
                  <c:v>1.3100000000000003</c:v>
                </c:pt>
                <c:pt idx="2744">
                  <c:v>1.3100000000000003</c:v>
                </c:pt>
                <c:pt idx="2745">
                  <c:v>1.3100000000000003</c:v>
                </c:pt>
                <c:pt idx="2746">
                  <c:v>1.3100000000000003</c:v>
                </c:pt>
                <c:pt idx="2747">
                  <c:v>1.8400000000000003</c:v>
                </c:pt>
                <c:pt idx="2748">
                  <c:v>1.8400000000000003</c:v>
                </c:pt>
                <c:pt idx="2749">
                  <c:v>1.8400000000000003</c:v>
                </c:pt>
                <c:pt idx="2750">
                  <c:v>1.8400000000000003</c:v>
                </c:pt>
                <c:pt idx="2751">
                  <c:v>1.3100000000000003</c:v>
                </c:pt>
                <c:pt idx="2752">
                  <c:v>1.3100000000000003</c:v>
                </c:pt>
                <c:pt idx="2753">
                  <c:v>1.3100000000000003</c:v>
                </c:pt>
                <c:pt idx="2754">
                  <c:v>1.3100000000000003</c:v>
                </c:pt>
                <c:pt idx="2755">
                  <c:v>1.8400000000000003</c:v>
                </c:pt>
                <c:pt idx="2756">
                  <c:v>1.8400000000000003</c:v>
                </c:pt>
                <c:pt idx="2757">
                  <c:v>1.8400000000000003</c:v>
                </c:pt>
                <c:pt idx="2758">
                  <c:v>1.8400000000000003</c:v>
                </c:pt>
                <c:pt idx="2759">
                  <c:v>1.3100000000000003</c:v>
                </c:pt>
                <c:pt idx="2760">
                  <c:v>1.3100000000000003</c:v>
                </c:pt>
                <c:pt idx="2761">
                  <c:v>1.3100000000000003</c:v>
                </c:pt>
                <c:pt idx="2762">
                  <c:v>1.3100000000000003</c:v>
                </c:pt>
                <c:pt idx="2763">
                  <c:v>1.8400000000000003</c:v>
                </c:pt>
                <c:pt idx="2764">
                  <c:v>1.8400000000000003</c:v>
                </c:pt>
                <c:pt idx="2765">
                  <c:v>1.8400000000000003</c:v>
                </c:pt>
                <c:pt idx="2766">
                  <c:v>1.8400000000000003</c:v>
                </c:pt>
                <c:pt idx="2767">
                  <c:v>1.3100000000000003</c:v>
                </c:pt>
                <c:pt idx="2768">
                  <c:v>1.3100000000000003</c:v>
                </c:pt>
                <c:pt idx="2769">
                  <c:v>1.3100000000000003</c:v>
                </c:pt>
                <c:pt idx="2770">
                  <c:v>1.3100000000000003</c:v>
                </c:pt>
                <c:pt idx="2771">
                  <c:v>1.8400000000000003</c:v>
                </c:pt>
                <c:pt idx="2772">
                  <c:v>1.8400000000000003</c:v>
                </c:pt>
                <c:pt idx="2773">
                  <c:v>1.8400000000000003</c:v>
                </c:pt>
                <c:pt idx="2774">
                  <c:v>1.8400000000000003</c:v>
                </c:pt>
                <c:pt idx="2775">
                  <c:v>1.3100000000000003</c:v>
                </c:pt>
                <c:pt idx="2776">
                  <c:v>1.3100000000000003</c:v>
                </c:pt>
                <c:pt idx="2777">
                  <c:v>1.3100000000000003</c:v>
                </c:pt>
                <c:pt idx="2778">
                  <c:v>1.3100000000000003</c:v>
                </c:pt>
                <c:pt idx="2779">
                  <c:v>1.8400000000000003</c:v>
                </c:pt>
                <c:pt idx="2780">
                  <c:v>1.8400000000000003</c:v>
                </c:pt>
                <c:pt idx="2781">
                  <c:v>1.8400000000000003</c:v>
                </c:pt>
                <c:pt idx="2782">
                  <c:v>1.8400000000000003</c:v>
                </c:pt>
                <c:pt idx="2783">
                  <c:v>1.3100000000000003</c:v>
                </c:pt>
                <c:pt idx="2784">
                  <c:v>1.3100000000000003</c:v>
                </c:pt>
                <c:pt idx="2785">
                  <c:v>1.3100000000000003</c:v>
                </c:pt>
                <c:pt idx="2786">
                  <c:v>1.3100000000000003</c:v>
                </c:pt>
                <c:pt idx="2787">
                  <c:v>1.8400000000000003</c:v>
                </c:pt>
                <c:pt idx="2788">
                  <c:v>1.8400000000000003</c:v>
                </c:pt>
                <c:pt idx="2789">
                  <c:v>1.8400000000000003</c:v>
                </c:pt>
                <c:pt idx="2790">
                  <c:v>1.8400000000000003</c:v>
                </c:pt>
                <c:pt idx="2791">
                  <c:v>1.3100000000000003</c:v>
                </c:pt>
                <c:pt idx="2792">
                  <c:v>1.3100000000000003</c:v>
                </c:pt>
                <c:pt idx="2793">
                  <c:v>1.3100000000000003</c:v>
                </c:pt>
                <c:pt idx="2794">
                  <c:v>1.3100000000000003</c:v>
                </c:pt>
                <c:pt idx="2795">
                  <c:v>1.8400000000000003</c:v>
                </c:pt>
                <c:pt idx="2796">
                  <c:v>1.8400000000000003</c:v>
                </c:pt>
                <c:pt idx="2797">
                  <c:v>1.8400000000000003</c:v>
                </c:pt>
                <c:pt idx="2798">
                  <c:v>1.8400000000000003</c:v>
                </c:pt>
                <c:pt idx="2799">
                  <c:v>1.3100000000000003</c:v>
                </c:pt>
                <c:pt idx="2800">
                  <c:v>1.3100000000000003</c:v>
                </c:pt>
                <c:pt idx="2801">
                  <c:v>1.3100000000000003</c:v>
                </c:pt>
                <c:pt idx="2802">
                  <c:v>1.3100000000000003</c:v>
                </c:pt>
                <c:pt idx="2803">
                  <c:v>1.8400000000000003</c:v>
                </c:pt>
                <c:pt idx="2804">
                  <c:v>1.8400000000000003</c:v>
                </c:pt>
                <c:pt idx="2805">
                  <c:v>1.8400000000000003</c:v>
                </c:pt>
                <c:pt idx="2806">
                  <c:v>1.8400000000000003</c:v>
                </c:pt>
                <c:pt idx="2807">
                  <c:v>1.3100000000000003</c:v>
                </c:pt>
                <c:pt idx="2808">
                  <c:v>1.3100000000000003</c:v>
                </c:pt>
                <c:pt idx="2809">
                  <c:v>1.3100000000000003</c:v>
                </c:pt>
                <c:pt idx="2810">
                  <c:v>1.3100000000000003</c:v>
                </c:pt>
                <c:pt idx="2811">
                  <c:v>1.8400000000000003</c:v>
                </c:pt>
                <c:pt idx="2812">
                  <c:v>1.8400000000000003</c:v>
                </c:pt>
                <c:pt idx="2813">
                  <c:v>1.8400000000000003</c:v>
                </c:pt>
                <c:pt idx="2814">
                  <c:v>1.8400000000000003</c:v>
                </c:pt>
                <c:pt idx="2815">
                  <c:v>1.3100000000000003</c:v>
                </c:pt>
                <c:pt idx="2816">
                  <c:v>1.3100000000000003</c:v>
                </c:pt>
                <c:pt idx="2817">
                  <c:v>1.3100000000000003</c:v>
                </c:pt>
                <c:pt idx="2818">
                  <c:v>1.3100000000000003</c:v>
                </c:pt>
                <c:pt idx="2819">
                  <c:v>1.8400000000000003</c:v>
                </c:pt>
                <c:pt idx="2820">
                  <c:v>1.8400000000000003</c:v>
                </c:pt>
                <c:pt idx="2821">
                  <c:v>1.8400000000000003</c:v>
                </c:pt>
                <c:pt idx="2822">
                  <c:v>1.8400000000000003</c:v>
                </c:pt>
                <c:pt idx="2823">
                  <c:v>1.3100000000000003</c:v>
                </c:pt>
                <c:pt idx="2824">
                  <c:v>1.3100000000000003</c:v>
                </c:pt>
                <c:pt idx="2825">
                  <c:v>1.3100000000000003</c:v>
                </c:pt>
                <c:pt idx="2826">
                  <c:v>1.3100000000000003</c:v>
                </c:pt>
                <c:pt idx="2827">
                  <c:v>1.8400000000000003</c:v>
                </c:pt>
                <c:pt idx="2828">
                  <c:v>1.8400000000000003</c:v>
                </c:pt>
                <c:pt idx="2829">
                  <c:v>1.8400000000000003</c:v>
                </c:pt>
                <c:pt idx="2830">
                  <c:v>1.8400000000000003</c:v>
                </c:pt>
                <c:pt idx="2831">
                  <c:v>1.3100000000000003</c:v>
                </c:pt>
                <c:pt idx="2832">
                  <c:v>1.3100000000000003</c:v>
                </c:pt>
                <c:pt idx="2833">
                  <c:v>1.3100000000000003</c:v>
                </c:pt>
                <c:pt idx="2834">
                  <c:v>1.3100000000000003</c:v>
                </c:pt>
                <c:pt idx="2835">
                  <c:v>1.8400000000000003</c:v>
                </c:pt>
                <c:pt idx="2836">
                  <c:v>1.8400000000000003</c:v>
                </c:pt>
                <c:pt idx="2837">
                  <c:v>1.8400000000000003</c:v>
                </c:pt>
                <c:pt idx="2838">
                  <c:v>1.8400000000000003</c:v>
                </c:pt>
                <c:pt idx="2839">
                  <c:v>1.3100000000000003</c:v>
                </c:pt>
                <c:pt idx="2840">
                  <c:v>1.3100000000000003</c:v>
                </c:pt>
                <c:pt idx="2841">
                  <c:v>1.3100000000000003</c:v>
                </c:pt>
                <c:pt idx="2842">
                  <c:v>1.3100000000000003</c:v>
                </c:pt>
                <c:pt idx="2843">
                  <c:v>1.8400000000000003</c:v>
                </c:pt>
                <c:pt idx="2844">
                  <c:v>1.8400000000000003</c:v>
                </c:pt>
                <c:pt idx="2845">
                  <c:v>1.8400000000000003</c:v>
                </c:pt>
                <c:pt idx="2846">
                  <c:v>1.8400000000000003</c:v>
                </c:pt>
                <c:pt idx="2847">
                  <c:v>1.3100000000000003</c:v>
                </c:pt>
                <c:pt idx="2848">
                  <c:v>1.3100000000000003</c:v>
                </c:pt>
                <c:pt idx="2849">
                  <c:v>1.3100000000000003</c:v>
                </c:pt>
                <c:pt idx="2850">
                  <c:v>1.3100000000000003</c:v>
                </c:pt>
                <c:pt idx="2851">
                  <c:v>1.8400000000000003</c:v>
                </c:pt>
                <c:pt idx="2852">
                  <c:v>1.8400000000000003</c:v>
                </c:pt>
                <c:pt idx="2853">
                  <c:v>1.8400000000000003</c:v>
                </c:pt>
                <c:pt idx="2854">
                  <c:v>1.8400000000000003</c:v>
                </c:pt>
                <c:pt idx="2855">
                  <c:v>1.3100000000000003</c:v>
                </c:pt>
                <c:pt idx="2856">
                  <c:v>1.3100000000000003</c:v>
                </c:pt>
                <c:pt idx="2857">
                  <c:v>1.3100000000000003</c:v>
                </c:pt>
                <c:pt idx="2858">
                  <c:v>1.3100000000000003</c:v>
                </c:pt>
                <c:pt idx="2859">
                  <c:v>1.8400000000000003</c:v>
                </c:pt>
                <c:pt idx="2860">
                  <c:v>1.8400000000000003</c:v>
                </c:pt>
                <c:pt idx="2861">
                  <c:v>1.8400000000000003</c:v>
                </c:pt>
                <c:pt idx="2862">
                  <c:v>1.8400000000000003</c:v>
                </c:pt>
                <c:pt idx="2863">
                  <c:v>1.3100000000000003</c:v>
                </c:pt>
                <c:pt idx="2864">
                  <c:v>1.3100000000000003</c:v>
                </c:pt>
                <c:pt idx="2865">
                  <c:v>1.3100000000000003</c:v>
                </c:pt>
                <c:pt idx="2866">
                  <c:v>1.3100000000000003</c:v>
                </c:pt>
                <c:pt idx="2867">
                  <c:v>1.8400000000000003</c:v>
                </c:pt>
                <c:pt idx="2868">
                  <c:v>1.8400000000000003</c:v>
                </c:pt>
                <c:pt idx="2869">
                  <c:v>1.8400000000000003</c:v>
                </c:pt>
                <c:pt idx="2870">
                  <c:v>1.8400000000000003</c:v>
                </c:pt>
                <c:pt idx="2871">
                  <c:v>1.3100000000000003</c:v>
                </c:pt>
                <c:pt idx="2872">
                  <c:v>1.3100000000000003</c:v>
                </c:pt>
                <c:pt idx="2873">
                  <c:v>1.3100000000000003</c:v>
                </c:pt>
                <c:pt idx="2874">
                  <c:v>1.3100000000000003</c:v>
                </c:pt>
                <c:pt idx="2875">
                  <c:v>1.8400000000000003</c:v>
                </c:pt>
                <c:pt idx="2876">
                  <c:v>1.8400000000000003</c:v>
                </c:pt>
                <c:pt idx="2877">
                  <c:v>1.8400000000000003</c:v>
                </c:pt>
                <c:pt idx="2878">
                  <c:v>1.8400000000000003</c:v>
                </c:pt>
                <c:pt idx="2879">
                  <c:v>1.3100000000000003</c:v>
                </c:pt>
                <c:pt idx="2880">
                  <c:v>1.3100000000000003</c:v>
                </c:pt>
                <c:pt idx="2881">
                  <c:v>1.3100000000000003</c:v>
                </c:pt>
                <c:pt idx="2882">
                  <c:v>1.3100000000000003</c:v>
                </c:pt>
                <c:pt idx="2883">
                  <c:v>1.8400000000000003</c:v>
                </c:pt>
                <c:pt idx="2884">
                  <c:v>1.8400000000000003</c:v>
                </c:pt>
                <c:pt idx="2885">
                  <c:v>1.8400000000000003</c:v>
                </c:pt>
                <c:pt idx="2886">
                  <c:v>1.8400000000000003</c:v>
                </c:pt>
                <c:pt idx="2887">
                  <c:v>1.3100000000000003</c:v>
                </c:pt>
                <c:pt idx="2888">
                  <c:v>1.3100000000000003</c:v>
                </c:pt>
                <c:pt idx="2889">
                  <c:v>1.3100000000000003</c:v>
                </c:pt>
                <c:pt idx="2890">
                  <c:v>1.3100000000000003</c:v>
                </c:pt>
                <c:pt idx="2891">
                  <c:v>1.3100000000000003</c:v>
                </c:pt>
                <c:pt idx="2892">
                  <c:v>1.3100000000000003</c:v>
                </c:pt>
                <c:pt idx="2893">
                  <c:v>1.8400000000000003</c:v>
                </c:pt>
                <c:pt idx="2894">
                  <c:v>1.8400000000000003</c:v>
                </c:pt>
                <c:pt idx="2895">
                  <c:v>1.8400000000000003</c:v>
                </c:pt>
                <c:pt idx="2896">
                  <c:v>1.8400000000000003</c:v>
                </c:pt>
                <c:pt idx="2897">
                  <c:v>1.3100000000000003</c:v>
                </c:pt>
                <c:pt idx="2898">
                  <c:v>1.3100000000000003</c:v>
                </c:pt>
                <c:pt idx="2899">
                  <c:v>1.3100000000000003</c:v>
                </c:pt>
                <c:pt idx="2900">
                  <c:v>1.3100000000000003</c:v>
                </c:pt>
                <c:pt idx="2901">
                  <c:v>1.8400000000000003</c:v>
                </c:pt>
                <c:pt idx="2902">
                  <c:v>1.8400000000000003</c:v>
                </c:pt>
                <c:pt idx="2903">
                  <c:v>1.8400000000000003</c:v>
                </c:pt>
                <c:pt idx="2904">
                  <c:v>1.8400000000000003</c:v>
                </c:pt>
                <c:pt idx="2905">
                  <c:v>1.3100000000000003</c:v>
                </c:pt>
                <c:pt idx="2906">
                  <c:v>1.3100000000000003</c:v>
                </c:pt>
                <c:pt idx="2907">
                  <c:v>1.3100000000000003</c:v>
                </c:pt>
                <c:pt idx="2908">
                  <c:v>1.3100000000000003</c:v>
                </c:pt>
                <c:pt idx="2909">
                  <c:v>1.8400000000000003</c:v>
                </c:pt>
                <c:pt idx="2910">
                  <c:v>1.8400000000000003</c:v>
                </c:pt>
                <c:pt idx="2911">
                  <c:v>1.8400000000000003</c:v>
                </c:pt>
                <c:pt idx="2912">
                  <c:v>1.8400000000000003</c:v>
                </c:pt>
                <c:pt idx="2913">
                  <c:v>1.3100000000000003</c:v>
                </c:pt>
                <c:pt idx="2914">
                  <c:v>1.3100000000000003</c:v>
                </c:pt>
                <c:pt idx="2915">
                  <c:v>1.3100000000000003</c:v>
                </c:pt>
                <c:pt idx="2916">
                  <c:v>1.3100000000000003</c:v>
                </c:pt>
                <c:pt idx="2917">
                  <c:v>1.8400000000000003</c:v>
                </c:pt>
                <c:pt idx="2918">
                  <c:v>1.8400000000000003</c:v>
                </c:pt>
                <c:pt idx="2919">
                  <c:v>1.8400000000000003</c:v>
                </c:pt>
                <c:pt idx="2920">
                  <c:v>1.8400000000000003</c:v>
                </c:pt>
                <c:pt idx="2921">
                  <c:v>1.3100000000000003</c:v>
                </c:pt>
                <c:pt idx="2922">
                  <c:v>1.3100000000000003</c:v>
                </c:pt>
                <c:pt idx="2923">
                  <c:v>1.3100000000000003</c:v>
                </c:pt>
                <c:pt idx="2924">
                  <c:v>1.3100000000000003</c:v>
                </c:pt>
                <c:pt idx="2925">
                  <c:v>1.8400000000000003</c:v>
                </c:pt>
                <c:pt idx="2926">
                  <c:v>1.8400000000000003</c:v>
                </c:pt>
                <c:pt idx="2927">
                  <c:v>1.8400000000000003</c:v>
                </c:pt>
                <c:pt idx="2928">
                  <c:v>1.8400000000000003</c:v>
                </c:pt>
                <c:pt idx="2929">
                  <c:v>1.3100000000000003</c:v>
                </c:pt>
                <c:pt idx="2930">
                  <c:v>1.3100000000000003</c:v>
                </c:pt>
                <c:pt idx="2931">
                  <c:v>1.3100000000000003</c:v>
                </c:pt>
                <c:pt idx="2932">
                  <c:v>1.3100000000000003</c:v>
                </c:pt>
                <c:pt idx="2933">
                  <c:v>1.8400000000000003</c:v>
                </c:pt>
                <c:pt idx="2934">
                  <c:v>1.8400000000000003</c:v>
                </c:pt>
                <c:pt idx="2935">
                  <c:v>1.8400000000000003</c:v>
                </c:pt>
                <c:pt idx="2936">
                  <c:v>1.8400000000000003</c:v>
                </c:pt>
                <c:pt idx="2937">
                  <c:v>1.3100000000000003</c:v>
                </c:pt>
                <c:pt idx="2938">
                  <c:v>1.3100000000000003</c:v>
                </c:pt>
                <c:pt idx="2939">
                  <c:v>1.3100000000000003</c:v>
                </c:pt>
                <c:pt idx="2940">
                  <c:v>1.3100000000000003</c:v>
                </c:pt>
                <c:pt idx="2941">
                  <c:v>1.8400000000000003</c:v>
                </c:pt>
                <c:pt idx="2942">
                  <c:v>1.8400000000000003</c:v>
                </c:pt>
                <c:pt idx="2943">
                  <c:v>1.8400000000000003</c:v>
                </c:pt>
                <c:pt idx="2944">
                  <c:v>1.8400000000000003</c:v>
                </c:pt>
                <c:pt idx="2945">
                  <c:v>1.3100000000000003</c:v>
                </c:pt>
                <c:pt idx="2946">
                  <c:v>1.3100000000000003</c:v>
                </c:pt>
                <c:pt idx="2947">
                  <c:v>1.3100000000000003</c:v>
                </c:pt>
                <c:pt idx="2948">
                  <c:v>1.3100000000000003</c:v>
                </c:pt>
                <c:pt idx="2949">
                  <c:v>1.8400000000000003</c:v>
                </c:pt>
                <c:pt idx="2950">
                  <c:v>1.8400000000000003</c:v>
                </c:pt>
                <c:pt idx="2951">
                  <c:v>1.8400000000000003</c:v>
                </c:pt>
                <c:pt idx="2952">
                  <c:v>1.8400000000000003</c:v>
                </c:pt>
                <c:pt idx="2953">
                  <c:v>1.3100000000000003</c:v>
                </c:pt>
                <c:pt idx="2954">
                  <c:v>1.3100000000000003</c:v>
                </c:pt>
                <c:pt idx="2955">
                  <c:v>1.3100000000000003</c:v>
                </c:pt>
                <c:pt idx="2956">
                  <c:v>1.3100000000000003</c:v>
                </c:pt>
                <c:pt idx="2957">
                  <c:v>1.8400000000000003</c:v>
                </c:pt>
                <c:pt idx="2958">
                  <c:v>1.8400000000000003</c:v>
                </c:pt>
                <c:pt idx="2959">
                  <c:v>1.8400000000000003</c:v>
                </c:pt>
                <c:pt idx="2960">
                  <c:v>1.8400000000000003</c:v>
                </c:pt>
                <c:pt idx="2961">
                  <c:v>1.3100000000000003</c:v>
                </c:pt>
                <c:pt idx="2962">
                  <c:v>1.3100000000000003</c:v>
                </c:pt>
                <c:pt idx="2963">
                  <c:v>1.3100000000000003</c:v>
                </c:pt>
                <c:pt idx="2964">
                  <c:v>1.3100000000000003</c:v>
                </c:pt>
                <c:pt idx="2965">
                  <c:v>1.8400000000000003</c:v>
                </c:pt>
                <c:pt idx="2966">
                  <c:v>1.8400000000000003</c:v>
                </c:pt>
                <c:pt idx="2967">
                  <c:v>1.8400000000000003</c:v>
                </c:pt>
                <c:pt idx="2968">
                  <c:v>1.8400000000000003</c:v>
                </c:pt>
                <c:pt idx="2969">
                  <c:v>1.3100000000000003</c:v>
                </c:pt>
                <c:pt idx="2970">
                  <c:v>1.3100000000000003</c:v>
                </c:pt>
                <c:pt idx="2971">
                  <c:v>1.3100000000000003</c:v>
                </c:pt>
                <c:pt idx="2972">
                  <c:v>1.3100000000000003</c:v>
                </c:pt>
                <c:pt idx="2973">
                  <c:v>1.8400000000000003</c:v>
                </c:pt>
                <c:pt idx="2974">
                  <c:v>1.8400000000000003</c:v>
                </c:pt>
                <c:pt idx="2975">
                  <c:v>1.8400000000000003</c:v>
                </c:pt>
                <c:pt idx="2976">
                  <c:v>1.8400000000000003</c:v>
                </c:pt>
                <c:pt idx="2977">
                  <c:v>1.3100000000000003</c:v>
                </c:pt>
                <c:pt idx="2978">
                  <c:v>1.3100000000000003</c:v>
                </c:pt>
                <c:pt idx="2979">
                  <c:v>1.3100000000000003</c:v>
                </c:pt>
                <c:pt idx="2980">
                  <c:v>1.3100000000000003</c:v>
                </c:pt>
                <c:pt idx="2981">
                  <c:v>1.8400000000000003</c:v>
                </c:pt>
                <c:pt idx="2982">
                  <c:v>1.8400000000000003</c:v>
                </c:pt>
                <c:pt idx="2983">
                  <c:v>1.8400000000000003</c:v>
                </c:pt>
                <c:pt idx="2984">
                  <c:v>1.8400000000000003</c:v>
                </c:pt>
                <c:pt idx="2985">
                  <c:v>1.3100000000000003</c:v>
                </c:pt>
                <c:pt idx="2986">
                  <c:v>1.3100000000000003</c:v>
                </c:pt>
                <c:pt idx="2987">
                  <c:v>1.3100000000000003</c:v>
                </c:pt>
                <c:pt idx="2988">
                  <c:v>1.3100000000000003</c:v>
                </c:pt>
                <c:pt idx="2989">
                  <c:v>1.8400000000000003</c:v>
                </c:pt>
                <c:pt idx="2990">
                  <c:v>1.8400000000000003</c:v>
                </c:pt>
                <c:pt idx="2991">
                  <c:v>1.8400000000000003</c:v>
                </c:pt>
                <c:pt idx="2992">
                  <c:v>1.8400000000000003</c:v>
                </c:pt>
                <c:pt idx="2993">
                  <c:v>1.3100000000000003</c:v>
                </c:pt>
                <c:pt idx="2994">
                  <c:v>1.3100000000000003</c:v>
                </c:pt>
                <c:pt idx="2995">
                  <c:v>1.3100000000000003</c:v>
                </c:pt>
                <c:pt idx="2996">
                  <c:v>1.3100000000000003</c:v>
                </c:pt>
                <c:pt idx="2997">
                  <c:v>1.8400000000000003</c:v>
                </c:pt>
                <c:pt idx="2998">
                  <c:v>1.8400000000000003</c:v>
                </c:pt>
                <c:pt idx="2999">
                  <c:v>1.8400000000000003</c:v>
                </c:pt>
                <c:pt idx="3000">
                  <c:v>1.8400000000000003</c:v>
                </c:pt>
                <c:pt idx="3001">
                  <c:v>1.3100000000000003</c:v>
                </c:pt>
                <c:pt idx="3002">
                  <c:v>1.3100000000000003</c:v>
                </c:pt>
                <c:pt idx="3003">
                  <c:v>1.3100000000000003</c:v>
                </c:pt>
                <c:pt idx="3004">
                  <c:v>1.3100000000000003</c:v>
                </c:pt>
                <c:pt idx="3005">
                  <c:v>1.8400000000000003</c:v>
                </c:pt>
                <c:pt idx="3006">
                  <c:v>1.8400000000000003</c:v>
                </c:pt>
                <c:pt idx="3007">
                  <c:v>1.8400000000000003</c:v>
                </c:pt>
                <c:pt idx="3008">
                  <c:v>1.8400000000000003</c:v>
                </c:pt>
                <c:pt idx="3009">
                  <c:v>1.3100000000000003</c:v>
                </c:pt>
                <c:pt idx="3010">
                  <c:v>1.3100000000000003</c:v>
                </c:pt>
                <c:pt idx="3011">
                  <c:v>1.3100000000000003</c:v>
                </c:pt>
                <c:pt idx="3012">
                  <c:v>1.3100000000000003</c:v>
                </c:pt>
                <c:pt idx="3013">
                  <c:v>1.8400000000000003</c:v>
                </c:pt>
                <c:pt idx="3014">
                  <c:v>1.8400000000000003</c:v>
                </c:pt>
                <c:pt idx="3015">
                  <c:v>1.8400000000000003</c:v>
                </c:pt>
                <c:pt idx="3016">
                  <c:v>1.8400000000000003</c:v>
                </c:pt>
                <c:pt idx="3017">
                  <c:v>1.3100000000000003</c:v>
                </c:pt>
                <c:pt idx="3018">
                  <c:v>1.3100000000000003</c:v>
                </c:pt>
                <c:pt idx="3019">
                  <c:v>1.3100000000000003</c:v>
                </c:pt>
                <c:pt idx="3020">
                  <c:v>1.3100000000000003</c:v>
                </c:pt>
                <c:pt idx="3021">
                  <c:v>1.8400000000000003</c:v>
                </c:pt>
                <c:pt idx="3022">
                  <c:v>1.8400000000000003</c:v>
                </c:pt>
                <c:pt idx="3023">
                  <c:v>1.8400000000000003</c:v>
                </c:pt>
                <c:pt idx="3024">
                  <c:v>1.8400000000000003</c:v>
                </c:pt>
                <c:pt idx="3025">
                  <c:v>1.3100000000000003</c:v>
                </c:pt>
                <c:pt idx="3026">
                  <c:v>1.3100000000000003</c:v>
                </c:pt>
                <c:pt idx="3027">
                  <c:v>1.3100000000000003</c:v>
                </c:pt>
                <c:pt idx="3028">
                  <c:v>1.3100000000000003</c:v>
                </c:pt>
                <c:pt idx="3029">
                  <c:v>1.8400000000000003</c:v>
                </c:pt>
                <c:pt idx="3030">
                  <c:v>1.8400000000000003</c:v>
                </c:pt>
                <c:pt idx="3031">
                  <c:v>1.8400000000000003</c:v>
                </c:pt>
                <c:pt idx="3032">
                  <c:v>1.8400000000000003</c:v>
                </c:pt>
                <c:pt idx="3033">
                  <c:v>1.3100000000000003</c:v>
                </c:pt>
                <c:pt idx="3034">
                  <c:v>1.3100000000000003</c:v>
                </c:pt>
                <c:pt idx="3035">
                  <c:v>1.3100000000000003</c:v>
                </c:pt>
                <c:pt idx="3036">
                  <c:v>1.3100000000000003</c:v>
                </c:pt>
                <c:pt idx="3037">
                  <c:v>1.8400000000000003</c:v>
                </c:pt>
                <c:pt idx="3038">
                  <c:v>1.8400000000000003</c:v>
                </c:pt>
                <c:pt idx="3039">
                  <c:v>1.8400000000000003</c:v>
                </c:pt>
                <c:pt idx="3040">
                  <c:v>1.8400000000000003</c:v>
                </c:pt>
                <c:pt idx="3041">
                  <c:v>1.3100000000000003</c:v>
                </c:pt>
                <c:pt idx="3042">
                  <c:v>1.3100000000000003</c:v>
                </c:pt>
                <c:pt idx="3043">
                  <c:v>1.3100000000000003</c:v>
                </c:pt>
                <c:pt idx="3044">
                  <c:v>1.3100000000000003</c:v>
                </c:pt>
                <c:pt idx="3045">
                  <c:v>1.8400000000000003</c:v>
                </c:pt>
                <c:pt idx="3046">
                  <c:v>1.8400000000000003</c:v>
                </c:pt>
                <c:pt idx="3047">
                  <c:v>1.8400000000000003</c:v>
                </c:pt>
                <c:pt idx="3048">
                  <c:v>1.8400000000000003</c:v>
                </c:pt>
                <c:pt idx="3049">
                  <c:v>1.3100000000000003</c:v>
                </c:pt>
                <c:pt idx="3050">
                  <c:v>1.3100000000000003</c:v>
                </c:pt>
                <c:pt idx="3051">
                  <c:v>1.3100000000000003</c:v>
                </c:pt>
                <c:pt idx="3052">
                  <c:v>1.3100000000000003</c:v>
                </c:pt>
                <c:pt idx="3053">
                  <c:v>1.8400000000000003</c:v>
                </c:pt>
                <c:pt idx="3054">
                  <c:v>1.8400000000000003</c:v>
                </c:pt>
                <c:pt idx="3055">
                  <c:v>1.8400000000000003</c:v>
                </c:pt>
                <c:pt idx="3056">
                  <c:v>1.8400000000000003</c:v>
                </c:pt>
                <c:pt idx="3057">
                  <c:v>1.3100000000000003</c:v>
                </c:pt>
                <c:pt idx="3058">
                  <c:v>1.3100000000000003</c:v>
                </c:pt>
                <c:pt idx="3059">
                  <c:v>1.3100000000000003</c:v>
                </c:pt>
                <c:pt idx="3060">
                  <c:v>1.3100000000000003</c:v>
                </c:pt>
                <c:pt idx="3061">
                  <c:v>1.8400000000000003</c:v>
                </c:pt>
                <c:pt idx="3062">
                  <c:v>1.8400000000000003</c:v>
                </c:pt>
                <c:pt idx="3063">
                  <c:v>1.8400000000000003</c:v>
                </c:pt>
                <c:pt idx="3064">
                  <c:v>1.8400000000000003</c:v>
                </c:pt>
                <c:pt idx="3065">
                  <c:v>1.3100000000000003</c:v>
                </c:pt>
                <c:pt idx="3066">
                  <c:v>1.3100000000000003</c:v>
                </c:pt>
                <c:pt idx="3067">
                  <c:v>1.3100000000000003</c:v>
                </c:pt>
                <c:pt idx="3068">
                  <c:v>1.3100000000000003</c:v>
                </c:pt>
                <c:pt idx="3069">
                  <c:v>1.8400000000000003</c:v>
                </c:pt>
                <c:pt idx="3070">
                  <c:v>1.8400000000000003</c:v>
                </c:pt>
                <c:pt idx="3071">
                  <c:v>1.8400000000000003</c:v>
                </c:pt>
                <c:pt idx="3072">
                  <c:v>1.8400000000000003</c:v>
                </c:pt>
                <c:pt idx="3073">
                  <c:v>1.3100000000000003</c:v>
                </c:pt>
                <c:pt idx="3074">
                  <c:v>1.3100000000000003</c:v>
                </c:pt>
                <c:pt idx="3075">
                  <c:v>1.3100000000000003</c:v>
                </c:pt>
                <c:pt idx="3076">
                  <c:v>1.3100000000000003</c:v>
                </c:pt>
                <c:pt idx="3077">
                  <c:v>1.8400000000000003</c:v>
                </c:pt>
                <c:pt idx="3078">
                  <c:v>1.8400000000000003</c:v>
                </c:pt>
                <c:pt idx="3079">
                  <c:v>1.8400000000000003</c:v>
                </c:pt>
                <c:pt idx="3080">
                  <c:v>1.8400000000000003</c:v>
                </c:pt>
                <c:pt idx="3081">
                  <c:v>1.3100000000000003</c:v>
                </c:pt>
                <c:pt idx="3082">
                  <c:v>1.3100000000000003</c:v>
                </c:pt>
                <c:pt idx="3083">
                  <c:v>1.3100000000000003</c:v>
                </c:pt>
                <c:pt idx="3084">
                  <c:v>1.3100000000000003</c:v>
                </c:pt>
                <c:pt idx="3085">
                  <c:v>1.8400000000000003</c:v>
                </c:pt>
                <c:pt idx="3086">
                  <c:v>1.8400000000000003</c:v>
                </c:pt>
                <c:pt idx="3087">
                  <c:v>1.8400000000000003</c:v>
                </c:pt>
                <c:pt idx="3088">
                  <c:v>1.8400000000000003</c:v>
                </c:pt>
                <c:pt idx="3089">
                  <c:v>1.3100000000000003</c:v>
                </c:pt>
                <c:pt idx="3090">
                  <c:v>1.3100000000000003</c:v>
                </c:pt>
                <c:pt idx="3091">
                  <c:v>1.3100000000000003</c:v>
                </c:pt>
                <c:pt idx="3092">
                  <c:v>1.3100000000000003</c:v>
                </c:pt>
                <c:pt idx="3093">
                  <c:v>1.8400000000000003</c:v>
                </c:pt>
                <c:pt idx="3094">
                  <c:v>1.8400000000000003</c:v>
                </c:pt>
                <c:pt idx="3095">
                  <c:v>1.8400000000000003</c:v>
                </c:pt>
                <c:pt idx="3096">
                  <c:v>1.8400000000000003</c:v>
                </c:pt>
                <c:pt idx="3097">
                  <c:v>1.3100000000000003</c:v>
                </c:pt>
                <c:pt idx="3098">
                  <c:v>1.3100000000000003</c:v>
                </c:pt>
                <c:pt idx="3099">
                  <c:v>1.3100000000000003</c:v>
                </c:pt>
                <c:pt idx="3100">
                  <c:v>1.3100000000000003</c:v>
                </c:pt>
                <c:pt idx="3101">
                  <c:v>1.8400000000000003</c:v>
                </c:pt>
                <c:pt idx="3102">
                  <c:v>1.8400000000000003</c:v>
                </c:pt>
                <c:pt idx="3103">
                  <c:v>1.8400000000000003</c:v>
                </c:pt>
                <c:pt idx="3104">
                  <c:v>1.8400000000000003</c:v>
                </c:pt>
                <c:pt idx="3105">
                  <c:v>1.3100000000000003</c:v>
                </c:pt>
                <c:pt idx="3106">
                  <c:v>1.3100000000000003</c:v>
                </c:pt>
                <c:pt idx="3107">
                  <c:v>1.3100000000000003</c:v>
                </c:pt>
                <c:pt idx="3108">
                  <c:v>1.3100000000000003</c:v>
                </c:pt>
                <c:pt idx="3109">
                  <c:v>1.8400000000000003</c:v>
                </c:pt>
                <c:pt idx="3110">
                  <c:v>1.8400000000000003</c:v>
                </c:pt>
                <c:pt idx="3111">
                  <c:v>1.8400000000000003</c:v>
                </c:pt>
                <c:pt idx="3112">
                  <c:v>1.8400000000000003</c:v>
                </c:pt>
                <c:pt idx="3113">
                  <c:v>1.3100000000000003</c:v>
                </c:pt>
                <c:pt idx="3114">
                  <c:v>1.3100000000000003</c:v>
                </c:pt>
                <c:pt idx="3115">
                  <c:v>1.3100000000000003</c:v>
                </c:pt>
                <c:pt idx="3116">
                  <c:v>1.3100000000000003</c:v>
                </c:pt>
                <c:pt idx="3117">
                  <c:v>1.8400000000000003</c:v>
                </c:pt>
                <c:pt idx="3118">
                  <c:v>1.8400000000000003</c:v>
                </c:pt>
                <c:pt idx="3119">
                  <c:v>1.8400000000000003</c:v>
                </c:pt>
                <c:pt idx="3120">
                  <c:v>1.8400000000000003</c:v>
                </c:pt>
                <c:pt idx="3121">
                  <c:v>1.3100000000000003</c:v>
                </c:pt>
                <c:pt idx="3122">
                  <c:v>1.3100000000000003</c:v>
                </c:pt>
                <c:pt idx="3123">
                  <c:v>1.3100000000000003</c:v>
                </c:pt>
                <c:pt idx="3124">
                  <c:v>1.3100000000000003</c:v>
                </c:pt>
                <c:pt idx="3125">
                  <c:v>1.8400000000000003</c:v>
                </c:pt>
                <c:pt idx="3126">
                  <c:v>1.8400000000000003</c:v>
                </c:pt>
                <c:pt idx="3127">
                  <c:v>1.8400000000000003</c:v>
                </c:pt>
                <c:pt idx="3128">
                  <c:v>1.8400000000000003</c:v>
                </c:pt>
                <c:pt idx="3129">
                  <c:v>1.3100000000000003</c:v>
                </c:pt>
                <c:pt idx="3130">
                  <c:v>1.3100000000000003</c:v>
                </c:pt>
                <c:pt idx="3131">
                  <c:v>1.3100000000000003</c:v>
                </c:pt>
                <c:pt idx="3132">
                  <c:v>1.3100000000000003</c:v>
                </c:pt>
                <c:pt idx="3133">
                  <c:v>1.8400000000000003</c:v>
                </c:pt>
                <c:pt idx="3134">
                  <c:v>1.8400000000000003</c:v>
                </c:pt>
                <c:pt idx="3135">
                  <c:v>1.8400000000000003</c:v>
                </c:pt>
                <c:pt idx="3136">
                  <c:v>1.8400000000000003</c:v>
                </c:pt>
                <c:pt idx="3137">
                  <c:v>1.3100000000000003</c:v>
                </c:pt>
                <c:pt idx="3138">
                  <c:v>1.3100000000000003</c:v>
                </c:pt>
                <c:pt idx="3139">
                  <c:v>1.3100000000000003</c:v>
                </c:pt>
                <c:pt idx="3140">
                  <c:v>1.3100000000000003</c:v>
                </c:pt>
                <c:pt idx="3141">
                  <c:v>1.8400000000000003</c:v>
                </c:pt>
                <c:pt idx="3142">
                  <c:v>1.8400000000000003</c:v>
                </c:pt>
                <c:pt idx="3143">
                  <c:v>1.8400000000000003</c:v>
                </c:pt>
                <c:pt idx="3144">
                  <c:v>1.8400000000000003</c:v>
                </c:pt>
                <c:pt idx="3145">
                  <c:v>1.3100000000000003</c:v>
                </c:pt>
                <c:pt idx="3146">
                  <c:v>1.3100000000000003</c:v>
                </c:pt>
                <c:pt idx="3147">
                  <c:v>1.3100000000000003</c:v>
                </c:pt>
                <c:pt idx="3148">
                  <c:v>1.3100000000000003</c:v>
                </c:pt>
                <c:pt idx="3149">
                  <c:v>1.8400000000000003</c:v>
                </c:pt>
                <c:pt idx="3150">
                  <c:v>1.8400000000000003</c:v>
                </c:pt>
                <c:pt idx="3151">
                  <c:v>1.8400000000000003</c:v>
                </c:pt>
                <c:pt idx="3152">
                  <c:v>1.8400000000000003</c:v>
                </c:pt>
                <c:pt idx="3153">
                  <c:v>1.3100000000000003</c:v>
                </c:pt>
                <c:pt idx="3154">
                  <c:v>1.3100000000000003</c:v>
                </c:pt>
                <c:pt idx="3155">
                  <c:v>1.3100000000000003</c:v>
                </c:pt>
                <c:pt idx="3156">
                  <c:v>1.3100000000000003</c:v>
                </c:pt>
                <c:pt idx="3157">
                  <c:v>1.8400000000000003</c:v>
                </c:pt>
                <c:pt idx="3158">
                  <c:v>1.8400000000000003</c:v>
                </c:pt>
                <c:pt idx="3159">
                  <c:v>1.8400000000000003</c:v>
                </c:pt>
                <c:pt idx="3160">
                  <c:v>1.8400000000000003</c:v>
                </c:pt>
                <c:pt idx="3161">
                  <c:v>1.3100000000000003</c:v>
                </c:pt>
                <c:pt idx="3162">
                  <c:v>1.3100000000000003</c:v>
                </c:pt>
                <c:pt idx="3163">
                  <c:v>1.3100000000000003</c:v>
                </c:pt>
                <c:pt idx="3164">
                  <c:v>1.3100000000000003</c:v>
                </c:pt>
                <c:pt idx="3165">
                  <c:v>1.8400000000000003</c:v>
                </c:pt>
                <c:pt idx="3166">
                  <c:v>1.8400000000000003</c:v>
                </c:pt>
                <c:pt idx="3167">
                  <c:v>1.8400000000000003</c:v>
                </c:pt>
                <c:pt idx="3168">
                  <c:v>1.8400000000000003</c:v>
                </c:pt>
                <c:pt idx="3169">
                  <c:v>1.3100000000000003</c:v>
                </c:pt>
                <c:pt idx="3170">
                  <c:v>1.3100000000000003</c:v>
                </c:pt>
                <c:pt idx="3171">
                  <c:v>1.3100000000000003</c:v>
                </c:pt>
                <c:pt idx="3172">
                  <c:v>1.3100000000000003</c:v>
                </c:pt>
                <c:pt idx="3173">
                  <c:v>1.8400000000000003</c:v>
                </c:pt>
                <c:pt idx="3174">
                  <c:v>1.8400000000000003</c:v>
                </c:pt>
                <c:pt idx="3175">
                  <c:v>1.8400000000000003</c:v>
                </c:pt>
                <c:pt idx="3176">
                  <c:v>1.8400000000000003</c:v>
                </c:pt>
                <c:pt idx="3177">
                  <c:v>1.3100000000000003</c:v>
                </c:pt>
                <c:pt idx="3178">
                  <c:v>1.3100000000000003</c:v>
                </c:pt>
                <c:pt idx="3179">
                  <c:v>1.3100000000000003</c:v>
                </c:pt>
                <c:pt idx="3180">
                  <c:v>1.3100000000000003</c:v>
                </c:pt>
                <c:pt idx="3181">
                  <c:v>1.8400000000000003</c:v>
                </c:pt>
                <c:pt idx="3182">
                  <c:v>1.8400000000000003</c:v>
                </c:pt>
                <c:pt idx="3183">
                  <c:v>1.8400000000000003</c:v>
                </c:pt>
                <c:pt idx="3184">
                  <c:v>1.8400000000000003</c:v>
                </c:pt>
                <c:pt idx="3185">
                  <c:v>1.3100000000000003</c:v>
                </c:pt>
                <c:pt idx="3186">
                  <c:v>1.3100000000000003</c:v>
                </c:pt>
                <c:pt idx="3187">
                  <c:v>1.3100000000000003</c:v>
                </c:pt>
                <c:pt idx="3188">
                  <c:v>1.3100000000000003</c:v>
                </c:pt>
                <c:pt idx="3189">
                  <c:v>1.8400000000000003</c:v>
                </c:pt>
                <c:pt idx="3190">
                  <c:v>1.8400000000000003</c:v>
                </c:pt>
                <c:pt idx="3191">
                  <c:v>1.8400000000000003</c:v>
                </c:pt>
                <c:pt idx="3192">
                  <c:v>1.8400000000000003</c:v>
                </c:pt>
                <c:pt idx="3193">
                  <c:v>1.3100000000000003</c:v>
                </c:pt>
                <c:pt idx="3194">
                  <c:v>1.3100000000000003</c:v>
                </c:pt>
                <c:pt idx="3195">
                  <c:v>1.3100000000000003</c:v>
                </c:pt>
                <c:pt idx="3196">
                  <c:v>1.3100000000000003</c:v>
                </c:pt>
                <c:pt idx="3197">
                  <c:v>1.8400000000000003</c:v>
                </c:pt>
                <c:pt idx="3198">
                  <c:v>1.8400000000000003</c:v>
                </c:pt>
                <c:pt idx="3199">
                  <c:v>1.8400000000000003</c:v>
                </c:pt>
                <c:pt idx="3200">
                  <c:v>1.8400000000000003</c:v>
                </c:pt>
                <c:pt idx="3201">
                  <c:v>1.3100000000000003</c:v>
                </c:pt>
                <c:pt idx="3202">
                  <c:v>1.3100000000000003</c:v>
                </c:pt>
                <c:pt idx="3203">
                  <c:v>1.3100000000000003</c:v>
                </c:pt>
                <c:pt idx="3204">
                  <c:v>1.3100000000000003</c:v>
                </c:pt>
                <c:pt idx="3205">
                  <c:v>1.8400000000000003</c:v>
                </c:pt>
                <c:pt idx="3206">
                  <c:v>1.8400000000000003</c:v>
                </c:pt>
                <c:pt idx="3207">
                  <c:v>1.8400000000000003</c:v>
                </c:pt>
                <c:pt idx="3208">
                  <c:v>1.8400000000000003</c:v>
                </c:pt>
                <c:pt idx="3209">
                  <c:v>1.3100000000000003</c:v>
                </c:pt>
                <c:pt idx="3210">
                  <c:v>1.3100000000000003</c:v>
                </c:pt>
                <c:pt idx="3211">
                  <c:v>1.3100000000000003</c:v>
                </c:pt>
                <c:pt idx="3212">
                  <c:v>1.3100000000000003</c:v>
                </c:pt>
                <c:pt idx="3213">
                  <c:v>1.8400000000000003</c:v>
                </c:pt>
                <c:pt idx="3214">
                  <c:v>1.8400000000000003</c:v>
                </c:pt>
                <c:pt idx="3215">
                  <c:v>1.8400000000000003</c:v>
                </c:pt>
                <c:pt idx="3216">
                  <c:v>1.8400000000000003</c:v>
                </c:pt>
                <c:pt idx="3217">
                  <c:v>1.3100000000000003</c:v>
                </c:pt>
                <c:pt idx="3218">
                  <c:v>1.3100000000000003</c:v>
                </c:pt>
                <c:pt idx="3219">
                  <c:v>1.3100000000000003</c:v>
                </c:pt>
                <c:pt idx="3220">
                  <c:v>1.3100000000000003</c:v>
                </c:pt>
                <c:pt idx="3221">
                  <c:v>1.8400000000000003</c:v>
                </c:pt>
                <c:pt idx="3222">
                  <c:v>1.8400000000000003</c:v>
                </c:pt>
                <c:pt idx="3223">
                  <c:v>1.8400000000000003</c:v>
                </c:pt>
                <c:pt idx="3224">
                  <c:v>1.8400000000000003</c:v>
                </c:pt>
                <c:pt idx="3225">
                  <c:v>1.3100000000000003</c:v>
                </c:pt>
                <c:pt idx="3226">
                  <c:v>1.3100000000000003</c:v>
                </c:pt>
                <c:pt idx="3227">
                  <c:v>1.3100000000000003</c:v>
                </c:pt>
                <c:pt idx="3228">
                  <c:v>1.3100000000000003</c:v>
                </c:pt>
                <c:pt idx="3229">
                  <c:v>1.8400000000000003</c:v>
                </c:pt>
                <c:pt idx="3230">
                  <c:v>1.8400000000000003</c:v>
                </c:pt>
                <c:pt idx="3231">
                  <c:v>1.8400000000000003</c:v>
                </c:pt>
                <c:pt idx="3232">
                  <c:v>1.8400000000000003</c:v>
                </c:pt>
                <c:pt idx="3233">
                  <c:v>1.3100000000000003</c:v>
                </c:pt>
                <c:pt idx="3234">
                  <c:v>1.3100000000000003</c:v>
                </c:pt>
                <c:pt idx="3235">
                  <c:v>1.3100000000000003</c:v>
                </c:pt>
                <c:pt idx="3236">
                  <c:v>1.3100000000000003</c:v>
                </c:pt>
                <c:pt idx="3237">
                  <c:v>1.8400000000000003</c:v>
                </c:pt>
                <c:pt idx="3238">
                  <c:v>1.8400000000000003</c:v>
                </c:pt>
                <c:pt idx="3239">
                  <c:v>1.8400000000000003</c:v>
                </c:pt>
                <c:pt idx="3240">
                  <c:v>1.8400000000000003</c:v>
                </c:pt>
                <c:pt idx="3241">
                  <c:v>1.3100000000000003</c:v>
                </c:pt>
                <c:pt idx="3242">
                  <c:v>1.3100000000000003</c:v>
                </c:pt>
                <c:pt idx="3243">
                  <c:v>1.3100000000000003</c:v>
                </c:pt>
                <c:pt idx="3244">
                  <c:v>1.3100000000000003</c:v>
                </c:pt>
                <c:pt idx="3245">
                  <c:v>1.8400000000000003</c:v>
                </c:pt>
                <c:pt idx="3246">
                  <c:v>1.8400000000000003</c:v>
                </c:pt>
                <c:pt idx="3247">
                  <c:v>1.8400000000000003</c:v>
                </c:pt>
                <c:pt idx="3248">
                  <c:v>1.8400000000000003</c:v>
                </c:pt>
                <c:pt idx="3249">
                  <c:v>1.3100000000000003</c:v>
                </c:pt>
                <c:pt idx="3250">
                  <c:v>1.3100000000000003</c:v>
                </c:pt>
                <c:pt idx="3251">
                  <c:v>1.3100000000000003</c:v>
                </c:pt>
                <c:pt idx="3252">
                  <c:v>1.3100000000000003</c:v>
                </c:pt>
                <c:pt idx="3253">
                  <c:v>1.8400000000000003</c:v>
                </c:pt>
                <c:pt idx="3254">
                  <c:v>1.8400000000000003</c:v>
                </c:pt>
                <c:pt idx="3255">
                  <c:v>1.8400000000000003</c:v>
                </c:pt>
                <c:pt idx="3256">
                  <c:v>1.8400000000000003</c:v>
                </c:pt>
                <c:pt idx="3257">
                  <c:v>1.3100000000000003</c:v>
                </c:pt>
                <c:pt idx="3258">
                  <c:v>1.3100000000000003</c:v>
                </c:pt>
                <c:pt idx="3259">
                  <c:v>1.3100000000000003</c:v>
                </c:pt>
                <c:pt idx="3260">
                  <c:v>1.3100000000000003</c:v>
                </c:pt>
                <c:pt idx="3261">
                  <c:v>1.8400000000000003</c:v>
                </c:pt>
                <c:pt idx="3262">
                  <c:v>1.8400000000000003</c:v>
                </c:pt>
                <c:pt idx="3263">
                  <c:v>1.8400000000000003</c:v>
                </c:pt>
                <c:pt idx="3264">
                  <c:v>1.8400000000000003</c:v>
                </c:pt>
                <c:pt idx="3265">
                  <c:v>1.3100000000000003</c:v>
                </c:pt>
                <c:pt idx="3266">
                  <c:v>1.3100000000000003</c:v>
                </c:pt>
                <c:pt idx="3267">
                  <c:v>1.3100000000000003</c:v>
                </c:pt>
                <c:pt idx="3268">
                  <c:v>1.3100000000000003</c:v>
                </c:pt>
                <c:pt idx="3269">
                  <c:v>1.8400000000000003</c:v>
                </c:pt>
                <c:pt idx="3270">
                  <c:v>1.8400000000000003</c:v>
                </c:pt>
                <c:pt idx="3271">
                  <c:v>1.8400000000000003</c:v>
                </c:pt>
                <c:pt idx="3272">
                  <c:v>1.8400000000000003</c:v>
                </c:pt>
                <c:pt idx="3273">
                  <c:v>1.3100000000000003</c:v>
                </c:pt>
                <c:pt idx="3274">
                  <c:v>1.3100000000000003</c:v>
                </c:pt>
                <c:pt idx="3275">
                  <c:v>1.3100000000000003</c:v>
                </c:pt>
                <c:pt idx="3276">
                  <c:v>1.3100000000000003</c:v>
                </c:pt>
                <c:pt idx="3277">
                  <c:v>1.8400000000000003</c:v>
                </c:pt>
                <c:pt idx="3278">
                  <c:v>1.8400000000000003</c:v>
                </c:pt>
                <c:pt idx="3279">
                  <c:v>1.8400000000000003</c:v>
                </c:pt>
                <c:pt idx="3280">
                  <c:v>1.8400000000000003</c:v>
                </c:pt>
                <c:pt idx="3281">
                  <c:v>1.3100000000000003</c:v>
                </c:pt>
                <c:pt idx="3282">
                  <c:v>1.3100000000000003</c:v>
                </c:pt>
                <c:pt idx="3283">
                  <c:v>1.3100000000000003</c:v>
                </c:pt>
                <c:pt idx="3284">
                  <c:v>1.3100000000000003</c:v>
                </c:pt>
                <c:pt idx="3285">
                  <c:v>1.8400000000000003</c:v>
                </c:pt>
                <c:pt idx="3286">
                  <c:v>1.8400000000000003</c:v>
                </c:pt>
                <c:pt idx="3287">
                  <c:v>1.8400000000000003</c:v>
                </c:pt>
                <c:pt idx="3288">
                  <c:v>1.8400000000000003</c:v>
                </c:pt>
                <c:pt idx="3289">
                  <c:v>1.3100000000000003</c:v>
                </c:pt>
                <c:pt idx="3290">
                  <c:v>1.3100000000000003</c:v>
                </c:pt>
                <c:pt idx="3291">
                  <c:v>1.3100000000000003</c:v>
                </c:pt>
                <c:pt idx="3292">
                  <c:v>1.3100000000000003</c:v>
                </c:pt>
                <c:pt idx="3293">
                  <c:v>1.8400000000000003</c:v>
                </c:pt>
                <c:pt idx="3294">
                  <c:v>1.8400000000000003</c:v>
                </c:pt>
                <c:pt idx="3295">
                  <c:v>1.8400000000000003</c:v>
                </c:pt>
                <c:pt idx="3296">
                  <c:v>1.8400000000000003</c:v>
                </c:pt>
                <c:pt idx="3297">
                  <c:v>1.3100000000000003</c:v>
                </c:pt>
                <c:pt idx="3298">
                  <c:v>1.3100000000000003</c:v>
                </c:pt>
                <c:pt idx="3299">
                  <c:v>1.3100000000000003</c:v>
                </c:pt>
                <c:pt idx="3300">
                  <c:v>1.3100000000000003</c:v>
                </c:pt>
                <c:pt idx="3301">
                  <c:v>1.8400000000000003</c:v>
                </c:pt>
                <c:pt idx="3302">
                  <c:v>1.8400000000000003</c:v>
                </c:pt>
                <c:pt idx="3303">
                  <c:v>1.8400000000000003</c:v>
                </c:pt>
                <c:pt idx="3304">
                  <c:v>1.8400000000000003</c:v>
                </c:pt>
                <c:pt idx="3305">
                  <c:v>1.3100000000000003</c:v>
                </c:pt>
                <c:pt idx="3306">
                  <c:v>1.3100000000000003</c:v>
                </c:pt>
                <c:pt idx="3307">
                  <c:v>1.3100000000000003</c:v>
                </c:pt>
                <c:pt idx="3308">
                  <c:v>1.3100000000000003</c:v>
                </c:pt>
                <c:pt idx="3309">
                  <c:v>1.8400000000000003</c:v>
                </c:pt>
                <c:pt idx="3310">
                  <c:v>1.8400000000000003</c:v>
                </c:pt>
                <c:pt idx="3311">
                  <c:v>1.8400000000000003</c:v>
                </c:pt>
                <c:pt idx="3312">
                  <c:v>1.8400000000000003</c:v>
                </c:pt>
                <c:pt idx="3313">
                  <c:v>1.3100000000000003</c:v>
                </c:pt>
                <c:pt idx="3314">
                  <c:v>1.3100000000000003</c:v>
                </c:pt>
                <c:pt idx="3315">
                  <c:v>1.3100000000000003</c:v>
                </c:pt>
                <c:pt idx="3316">
                  <c:v>1.3100000000000003</c:v>
                </c:pt>
                <c:pt idx="3317">
                  <c:v>1.8400000000000003</c:v>
                </c:pt>
                <c:pt idx="3318">
                  <c:v>1.8400000000000003</c:v>
                </c:pt>
                <c:pt idx="3319">
                  <c:v>1.8400000000000003</c:v>
                </c:pt>
                <c:pt idx="3320">
                  <c:v>1.8400000000000003</c:v>
                </c:pt>
                <c:pt idx="3321">
                  <c:v>1.3100000000000003</c:v>
                </c:pt>
                <c:pt idx="3322">
                  <c:v>1.3100000000000003</c:v>
                </c:pt>
                <c:pt idx="3323">
                  <c:v>1.3100000000000003</c:v>
                </c:pt>
                <c:pt idx="3324">
                  <c:v>1.3100000000000003</c:v>
                </c:pt>
                <c:pt idx="3325">
                  <c:v>1.8400000000000003</c:v>
                </c:pt>
                <c:pt idx="3326">
                  <c:v>1.8400000000000003</c:v>
                </c:pt>
                <c:pt idx="3327">
                  <c:v>1.8400000000000003</c:v>
                </c:pt>
                <c:pt idx="3328">
                  <c:v>1.8400000000000003</c:v>
                </c:pt>
                <c:pt idx="3329">
                  <c:v>1.3100000000000003</c:v>
                </c:pt>
                <c:pt idx="3330">
                  <c:v>1.3100000000000003</c:v>
                </c:pt>
                <c:pt idx="3331">
                  <c:v>1.3100000000000003</c:v>
                </c:pt>
                <c:pt idx="3332">
                  <c:v>1.3100000000000003</c:v>
                </c:pt>
                <c:pt idx="3333">
                  <c:v>1.8400000000000003</c:v>
                </c:pt>
                <c:pt idx="3334">
                  <c:v>1.8400000000000003</c:v>
                </c:pt>
                <c:pt idx="3335">
                  <c:v>1.8400000000000003</c:v>
                </c:pt>
                <c:pt idx="3336">
                  <c:v>1.8400000000000003</c:v>
                </c:pt>
                <c:pt idx="3337">
                  <c:v>1.3100000000000003</c:v>
                </c:pt>
                <c:pt idx="3338">
                  <c:v>1.3100000000000003</c:v>
                </c:pt>
                <c:pt idx="3339">
                  <c:v>1.3100000000000003</c:v>
                </c:pt>
                <c:pt idx="3340">
                  <c:v>1.3100000000000003</c:v>
                </c:pt>
                <c:pt idx="3341">
                  <c:v>1.8400000000000003</c:v>
                </c:pt>
                <c:pt idx="3342">
                  <c:v>1.8400000000000003</c:v>
                </c:pt>
                <c:pt idx="3343">
                  <c:v>1.8400000000000003</c:v>
                </c:pt>
                <c:pt idx="3344">
                  <c:v>1.8400000000000003</c:v>
                </c:pt>
                <c:pt idx="3345">
                  <c:v>1.3100000000000003</c:v>
                </c:pt>
                <c:pt idx="3346">
                  <c:v>1.3100000000000003</c:v>
                </c:pt>
                <c:pt idx="3347">
                  <c:v>1.3100000000000003</c:v>
                </c:pt>
                <c:pt idx="3348">
                  <c:v>1.3100000000000003</c:v>
                </c:pt>
                <c:pt idx="3349">
                  <c:v>1.8400000000000003</c:v>
                </c:pt>
                <c:pt idx="3350">
                  <c:v>1.8400000000000003</c:v>
                </c:pt>
                <c:pt idx="3351">
                  <c:v>1.8400000000000003</c:v>
                </c:pt>
                <c:pt idx="3352">
                  <c:v>1.8400000000000003</c:v>
                </c:pt>
                <c:pt idx="3353">
                  <c:v>1.3100000000000003</c:v>
                </c:pt>
                <c:pt idx="3354">
                  <c:v>1.3100000000000003</c:v>
                </c:pt>
                <c:pt idx="3355">
                  <c:v>1.3100000000000003</c:v>
                </c:pt>
                <c:pt idx="3356">
                  <c:v>1.3100000000000003</c:v>
                </c:pt>
                <c:pt idx="3357">
                  <c:v>1.8400000000000003</c:v>
                </c:pt>
                <c:pt idx="3358">
                  <c:v>1.8400000000000003</c:v>
                </c:pt>
                <c:pt idx="3359">
                  <c:v>1.8400000000000003</c:v>
                </c:pt>
                <c:pt idx="3360">
                  <c:v>1.8400000000000003</c:v>
                </c:pt>
                <c:pt idx="3361">
                  <c:v>1.3100000000000003</c:v>
                </c:pt>
                <c:pt idx="3362">
                  <c:v>1.3100000000000003</c:v>
                </c:pt>
                <c:pt idx="3363">
                  <c:v>1.3100000000000003</c:v>
                </c:pt>
                <c:pt idx="3364">
                  <c:v>1.3100000000000003</c:v>
                </c:pt>
                <c:pt idx="3365">
                  <c:v>1.8400000000000003</c:v>
                </c:pt>
                <c:pt idx="3366">
                  <c:v>1.8400000000000003</c:v>
                </c:pt>
                <c:pt idx="3367">
                  <c:v>1.8400000000000003</c:v>
                </c:pt>
                <c:pt idx="3368">
                  <c:v>1.8400000000000003</c:v>
                </c:pt>
                <c:pt idx="3369">
                  <c:v>1.3100000000000003</c:v>
                </c:pt>
                <c:pt idx="3370">
                  <c:v>1.3100000000000003</c:v>
                </c:pt>
                <c:pt idx="3371">
                  <c:v>1.3100000000000003</c:v>
                </c:pt>
                <c:pt idx="3372">
                  <c:v>1.3100000000000003</c:v>
                </c:pt>
                <c:pt idx="3373">
                  <c:v>1.3100000000000003</c:v>
                </c:pt>
                <c:pt idx="3374">
                  <c:v>1.3100000000000003</c:v>
                </c:pt>
                <c:pt idx="3375">
                  <c:v>1.8400000000000003</c:v>
                </c:pt>
                <c:pt idx="3376">
                  <c:v>1.8400000000000003</c:v>
                </c:pt>
                <c:pt idx="3377">
                  <c:v>1.8400000000000003</c:v>
                </c:pt>
                <c:pt idx="3378">
                  <c:v>1.8400000000000003</c:v>
                </c:pt>
                <c:pt idx="3379">
                  <c:v>1.3100000000000003</c:v>
                </c:pt>
                <c:pt idx="3380">
                  <c:v>1.3100000000000003</c:v>
                </c:pt>
                <c:pt idx="3381">
                  <c:v>1.3100000000000003</c:v>
                </c:pt>
                <c:pt idx="3382">
                  <c:v>1.3100000000000003</c:v>
                </c:pt>
                <c:pt idx="3383">
                  <c:v>1.8400000000000003</c:v>
                </c:pt>
                <c:pt idx="3384">
                  <c:v>1.8400000000000003</c:v>
                </c:pt>
                <c:pt idx="3385">
                  <c:v>1.8400000000000003</c:v>
                </c:pt>
                <c:pt idx="3386">
                  <c:v>1.8400000000000003</c:v>
                </c:pt>
                <c:pt idx="3387">
                  <c:v>1.3100000000000003</c:v>
                </c:pt>
                <c:pt idx="3388">
                  <c:v>1.3100000000000003</c:v>
                </c:pt>
                <c:pt idx="3389">
                  <c:v>1.3100000000000003</c:v>
                </c:pt>
                <c:pt idx="3390">
                  <c:v>1.3100000000000003</c:v>
                </c:pt>
                <c:pt idx="3391">
                  <c:v>1.8400000000000003</c:v>
                </c:pt>
                <c:pt idx="3392">
                  <c:v>1.8400000000000003</c:v>
                </c:pt>
                <c:pt idx="3393">
                  <c:v>1.8400000000000003</c:v>
                </c:pt>
                <c:pt idx="3394">
                  <c:v>1.8400000000000003</c:v>
                </c:pt>
                <c:pt idx="3395">
                  <c:v>1.3100000000000003</c:v>
                </c:pt>
                <c:pt idx="3396">
                  <c:v>1.3100000000000003</c:v>
                </c:pt>
                <c:pt idx="3397">
                  <c:v>1.3100000000000003</c:v>
                </c:pt>
                <c:pt idx="3398">
                  <c:v>1.3100000000000003</c:v>
                </c:pt>
                <c:pt idx="3399">
                  <c:v>1.8400000000000003</c:v>
                </c:pt>
                <c:pt idx="3400">
                  <c:v>1.8400000000000003</c:v>
                </c:pt>
                <c:pt idx="3401">
                  <c:v>1.8400000000000003</c:v>
                </c:pt>
                <c:pt idx="3402">
                  <c:v>1.8400000000000003</c:v>
                </c:pt>
                <c:pt idx="3403">
                  <c:v>1.3100000000000003</c:v>
                </c:pt>
                <c:pt idx="3404">
                  <c:v>1.3100000000000003</c:v>
                </c:pt>
                <c:pt idx="3405">
                  <c:v>1.3100000000000003</c:v>
                </c:pt>
                <c:pt idx="3406">
                  <c:v>1.3100000000000003</c:v>
                </c:pt>
                <c:pt idx="3407">
                  <c:v>1.8400000000000003</c:v>
                </c:pt>
                <c:pt idx="3408">
                  <c:v>1.8400000000000003</c:v>
                </c:pt>
                <c:pt idx="3409">
                  <c:v>1.8400000000000003</c:v>
                </c:pt>
                <c:pt idx="3410">
                  <c:v>1.8400000000000003</c:v>
                </c:pt>
                <c:pt idx="3411">
                  <c:v>1.3100000000000003</c:v>
                </c:pt>
                <c:pt idx="3412">
                  <c:v>1.3100000000000003</c:v>
                </c:pt>
                <c:pt idx="3413">
                  <c:v>1.3100000000000003</c:v>
                </c:pt>
                <c:pt idx="3414">
                  <c:v>1.3100000000000003</c:v>
                </c:pt>
                <c:pt idx="3415">
                  <c:v>1.8400000000000003</c:v>
                </c:pt>
                <c:pt idx="3416">
                  <c:v>1.8400000000000003</c:v>
                </c:pt>
                <c:pt idx="3417">
                  <c:v>1.8400000000000003</c:v>
                </c:pt>
                <c:pt idx="3418">
                  <c:v>1.8400000000000003</c:v>
                </c:pt>
                <c:pt idx="3419">
                  <c:v>1.3100000000000003</c:v>
                </c:pt>
                <c:pt idx="3420">
                  <c:v>1.3100000000000003</c:v>
                </c:pt>
                <c:pt idx="3421">
                  <c:v>1.3100000000000003</c:v>
                </c:pt>
                <c:pt idx="3422">
                  <c:v>1.3100000000000003</c:v>
                </c:pt>
                <c:pt idx="3423">
                  <c:v>1.8400000000000003</c:v>
                </c:pt>
                <c:pt idx="3424">
                  <c:v>1.8400000000000003</c:v>
                </c:pt>
                <c:pt idx="3425">
                  <c:v>1.8400000000000003</c:v>
                </c:pt>
                <c:pt idx="3426">
                  <c:v>1.8400000000000003</c:v>
                </c:pt>
                <c:pt idx="3427">
                  <c:v>1.3100000000000003</c:v>
                </c:pt>
                <c:pt idx="3428">
                  <c:v>1.3100000000000003</c:v>
                </c:pt>
                <c:pt idx="3429">
                  <c:v>1.3100000000000003</c:v>
                </c:pt>
                <c:pt idx="3430">
                  <c:v>1.3100000000000003</c:v>
                </c:pt>
                <c:pt idx="3431">
                  <c:v>1.8400000000000003</c:v>
                </c:pt>
                <c:pt idx="3432">
                  <c:v>1.8400000000000003</c:v>
                </c:pt>
                <c:pt idx="3433">
                  <c:v>1.8400000000000003</c:v>
                </c:pt>
                <c:pt idx="3434">
                  <c:v>1.8400000000000003</c:v>
                </c:pt>
                <c:pt idx="3435">
                  <c:v>1.3100000000000003</c:v>
                </c:pt>
                <c:pt idx="3436">
                  <c:v>1.3100000000000003</c:v>
                </c:pt>
                <c:pt idx="3437">
                  <c:v>1.3100000000000003</c:v>
                </c:pt>
                <c:pt idx="3438">
                  <c:v>1.3100000000000003</c:v>
                </c:pt>
                <c:pt idx="3439">
                  <c:v>1.8400000000000003</c:v>
                </c:pt>
                <c:pt idx="3440">
                  <c:v>1.8400000000000003</c:v>
                </c:pt>
                <c:pt idx="3441">
                  <c:v>1.8400000000000003</c:v>
                </c:pt>
                <c:pt idx="3442">
                  <c:v>1.8400000000000003</c:v>
                </c:pt>
                <c:pt idx="3443">
                  <c:v>1.3100000000000003</c:v>
                </c:pt>
                <c:pt idx="3444">
                  <c:v>1.3100000000000003</c:v>
                </c:pt>
                <c:pt idx="3445">
                  <c:v>1.3100000000000003</c:v>
                </c:pt>
                <c:pt idx="3446">
                  <c:v>1.3100000000000003</c:v>
                </c:pt>
                <c:pt idx="3447">
                  <c:v>1.8400000000000003</c:v>
                </c:pt>
                <c:pt idx="3448">
                  <c:v>1.8400000000000003</c:v>
                </c:pt>
                <c:pt idx="3449">
                  <c:v>1.8400000000000003</c:v>
                </c:pt>
                <c:pt idx="3450">
                  <c:v>1.8400000000000003</c:v>
                </c:pt>
                <c:pt idx="3451">
                  <c:v>1.3100000000000003</c:v>
                </c:pt>
                <c:pt idx="3452">
                  <c:v>1.3100000000000003</c:v>
                </c:pt>
                <c:pt idx="3453">
                  <c:v>1.3100000000000003</c:v>
                </c:pt>
                <c:pt idx="3454">
                  <c:v>1.3100000000000003</c:v>
                </c:pt>
                <c:pt idx="3455">
                  <c:v>1.8400000000000003</c:v>
                </c:pt>
                <c:pt idx="3456">
                  <c:v>1.8400000000000003</c:v>
                </c:pt>
                <c:pt idx="3457">
                  <c:v>1.8400000000000003</c:v>
                </c:pt>
                <c:pt idx="3458">
                  <c:v>1.8400000000000003</c:v>
                </c:pt>
                <c:pt idx="3459">
                  <c:v>1.3100000000000003</c:v>
                </c:pt>
                <c:pt idx="3460">
                  <c:v>1.3100000000000003</c:v>
                </c:pt>
                <c:pt idx="3461">
                  <c:v>1.3100000000000003</c:v>
                </c:pt>
                <c:pt idx="3462">
                  <c:v>1.3100000000000003</c:v>
                </c:pt>
                <c:pt idx="3463">
                  <c:v>1.8400000000000003</c:v>
                </c:pt>
                <c:pt idx="3464">
                  <c:v>1.8400000000000003</c:v>
                </c:pt>
                <c:pt idx="3465">
                  <c:v>1.8400000000000003</c:v>
                </c:pt>
                <c:pt idx="3466">
                  <c:v>1.8400000000000003</c:v>
                </c:pt>
                <c:pt idx="3467">
                  <c:v>1.3100000000000003</c:v>
                </c:pt>
                <c:pt idx="3468">
                  <c:v>1.3100000000000003</c:v>
                </c:pt>
                <c:pt idx="3469">
                  <c:v>1.3100000000000003</c:v>
                </c:pt>
                <c:pt idx="3470">
                  <c:v>1.3100000000000003</c:v>
                </c:pt>
                <c:pt idx="3471">
                  <c:v>1.8400000000000003</c:v>
                </c:pt>
                <c:pt idx="3472">
                  <c:v>1.8400000000000003</c:v>
                </c:pt>
                <c:pt idx="3473">
                  <c:v>1.8400000000000003</c:v>
                </c:pt>
                <c:pt idx="3474">
                  <c:v>1.8400000000000003</c:v>
                </c:pt>
                <c:pt idx="3475">
                  <c:v>1.3100000000000003</c:v>
                </c:pt>
                <c:pt idx="3476">
                  <c:v>1.3100000000000003</c:v>
                </c:pt>
                <c:pt idx="3477">
                  <c:v>1.3100000000000003</c:v>
                </c:pt>
                <c:pt idx="3478">
                  <c:v>1.3100000000000003</c:v>
                </c:pt>
                <c:pt idx="3479">
                  <c:v>1.8400000000000003</c:v>
                </c:pt>
                <c:pt idx="3480">
                  <c:v>1.8400000000000003</c:v>
                </c:pt>
                <c:pt idx="3481">
                  <c:v>1.8400000000000003</c:v>
                </c:pt>
                <c:pt idx="3482">
                  <c:v>1.8400000000000003</c:v>
                </c:pt>
                <c:pt idx="3483">
                  <c:v>1.3100000000000003</c:v>
                </c:pt>
                <c:pt idx="3484">
                  <c:v>1.3100000000000003</c:v>
                </c:pt>
                <c:pt idx="3485">
                  <c:v>1.3100000000000003</c:v>
                </c:pt>
                <c:pt idx="3486">
                  <c:v>1.3100000000000003</c:v>
                </c:pt>
                <c:pt idx="3487">
                  <c:v>1.8400000000000003</c:v>
                </c:pt>
                <c:pt idx="3488">
                  <c:v>1.8400000000000003</c:v>
                </c:pt>
                <c:pt idx="3489">
                  <c:v>1.8400000000000003</c:v>
                </c:pt>
                <c:pt idx="3490">
                  <c:v>1.8400000000000003</c:v>
                </c:pt>
                <c:pt idx="3491">
                  <c:v>1.3100000000000003</c:v>
                </c:pt>
                <c:pt idx="3492">
                  <c:v>1.3100000000000003</c:v>
                </c:pt>
                <c:pt idx="3493">
                  <c:v>1.3100000000000003</c:v>
                </c:pt>
                <c:pt idx="3494">
                  <c:v>1.3100000000000003</c:v>
                </c:pt>
                <c:pt idx="3495">
                  <c:v>1.8400000000000003</c:v>
                </c:pt>
                <c:pt idx="3496">
                  <c:v>1.8400000000000003</c:v>
                </c:pt>
                <c:pt idx="3497">
                  <c:v>1.8400000000000003</c:v>
                </c:pt>
                <c:pt idx="3498">
                  <c:v>1.8400000000000003</c:v>
                </c:pt>
                <c:pt idx="3499">
                  <c:v>1.3100000000000003</c:v>
                </c:pt>
                <c:pt idx="3500">
                  <c:v>1.3100000000000003</c:v>
                </c:pt>
                <c:pt idx="3501">
                  <c:v>1.3100000000000003</c:v>
                </c:pt>
                <c:pt idx="3502">
                  <c:v>1.3100000000000003</c:v>
                </c:pt>
                <c:pt idx="3503">
                  <c:v>1.8400000000000003</c:v>
                </c:pt>
                <c:pt idx="3504">
                  <c:v>1.8400000000000003</c:v>
                </c:pt>
                <c:pt idx="3505">
                  <c:v>1.8400000000000003</c:v>
                </c:pt>
                <c:pt idx="3506">
                  <c:v>1.8400000000000003</c:v>
                </c:pt>
                <c:pt idx="3507">
                  <c:v>1.3100000000000003</c:v>
                </c:pt>
                <c:pt idx="3508">
                  <c:v>1.3100000000000003</c:v>
                </c:pt>
                <c:pt idx="3509">
                  <c:v>1.3100000000000003</c:v>
                </c:pt>
                <c:pt idx="3510">
                  <c:v>1.3100000000000003</c:v>
                </c:pt>
                <c:pt idx="3511">
                  <c:v>1.8400000000000003</c:v>
                </c:pt>
                <c:pt idx="3512">
                  <c:v>1.8400000000000003</c:v>
                </c:pt>
                <c:pt idx="3513">
                  <c:v>1.8400000000000003</c:v>
                </c:pt>
                <c:pt idx="3514">
                  <c:v>1.8400000000000003</c:v>
                </c:pt>
                <c:pt idx="3515">
                  <c:v>1.3100000000000003</c:v>
                </c:pt>
                <c:pt idx="3516">
                  <c:v>1.3100000000000003</c:v>
                </c:pt>
                <c:pt idx="3517">
                  <c:v>1.3100000000000003</c:v>
                </c:pt>
                <c:pt idx="3518">
                  <c:v>1.3100000000000003</c:v>
                </c:pt>
                <c:pt idx="3519">
                  <c:v>1.8400000000000003</c:v>
                </c:pt>
                <c:pt idx="3520">
                  <c:v>1.8400000000000003</c:v>
                </c:pt>
                <c:pt idx="3521">
                  <c:v>1.8400000000000003</c:v>
                </c:pt>
                <c:pt idx="3522">
                  <c:v>1.8400000000000003</c:v>
                </c:pt>
                <c:pt idx="3523">
                  <c:v>1.3100000000000003</c:v>
                </c:pt>
                <c:pt idx="3524">
                  <c:v>1.3100000000000003</c:v>
                </c:pt>
                <c:pt idx="3525">
                  <c:v>1.3100000000000003</c:v>
                </c:pt>
                <c:pt idx="3526">
                  <c:v>1.3100000000000003</c:v>
                </c:pt>
                <c:pt idx="3527">
                  <c:v>1.8400000000000003</c:v>
                </c:pt>
                <c:pt idx="3528">
                  <c:v>1.8400000000000003</c:v>
                </c:pt>
                <c:pt idx="3529">
                  <c:v>1.8400000000000003</c:v>
                </c:pt>
                <c:pt idx="3530">
                  <c:v>1.8400000000000003</c:v>
                </c:pt>
                <c:pt idx="3531">
                  <c:v>1.3100000000000003</c:v>
                </c:pt>
                <c:pt idx="3532">
                  <c:v>1.3100000000000003</c:v>
                </c:pt>
                <c:pt idx="3533">
                  <c:v>1.3100000000000003</c:v>
                </c:pt>
                <c:pt idx="3534">
                  <c:v>1.3100000000000003</c:v>
                </c:pt>
                <c:pt idx="3535">
                  <c:v>1.8400000000000003</c:v>
                </c:pt>
                <c:pt idx="3536">
                  <c:v>1.8400000000000003</c:v>
                </c:pt>
                <c:pt idx="3537">
                  <c:v>1.8400000000000003</c:v>
                </c:pt>
                <c:pt idx="3538">
                  <c:v>1.8400000000000003</c:v>
                </c:pt>
                <c:pt idx="3539">
                  <c:v>1.3100000000000003</c:v>
                </c:pt>
                <c:pt idx="3540">
                  <c:v>1.3100000000000003</c:v>
                </c:pt>
                <c:pt idx="3541">
                  <c:v>1.3100000000000003</c:v>
                </c:pt>
                <c:pt idx="3542">
                  <c:v>1.3100000000000003</c:v>
                </c:pt>
                <c:pt idx="3543">
                  <c:v>1.8400000000000003</c:v>
                </c:pt>
                <c:pt idx="3544">
                  <c:v>1.8400000000000003</c:v>
                </c:pt>
                <c:pt idx="3545">
                  <c:v>1.8400000000000003</c:v>
                </c:pt>
                <c:pt idx="3546">
                  <c:v>1.8400000000000003</c:v>
                </c:pt>
                <c:pt idx="3547">
                  <c:v>1.3100000000000003</c:v>
                </c:pt>
                <c:pt idx="3548">
                  <c:v>1.3100000000000003</c:v>
                </c:pt>
                <c:pt idx="3549">
                  <c:v>1.3100000000000003</c:v>
                </c:pt>
                <c:pt idx="3550">
                  <c:v>1.3100000000000003</c:v>
                </c:pt>
                <c:pt idx="3551">
                  <c:v>1.8400000000000003</c:v>
                </c:pt>
                <c:pt idx="3552">
                  <c:v>1.8400000000000003</c:v>
                </c:pt>
                <c:pt idx="3553">
                  <c:v>1.8400000000000003</c:v>
                </c:pt>
                <c:pt idx="3554">
                  <c:v>1.8400000000000003</c:v>
                </c:pt>
                <c:pt idx="3555">
                  <c:v>1.3100000000000003</c:v>
                </c:pt>
                <c:pt idx="3556">
                  <c:v>1.3100000000000003</c:v>
                </c:pt>
                <c:pt idx="3557">
                  <c:v>1.3100000000000003</c:v>
                </c:pt>
                <c:pt idx="3558">
                  <c:v>1.3100000000000003</c:v>
                </c:pt>
                <c:pt idx="3559">
                  <c:v>1.8400000000000003</c:v>
                </c:pt>
                <c:pt idx="3560">
                  <c:v>1.8400000000000003</c:v>
                </c:pt>
                <c:pt idx="3561">
                  <c:v>1.8400000000000003</c:v>
                </c:pt>
                <c:pt idx="3562">
                  <c:v>1.8400000000000003</c:v>
                </c:pt>
                <c:pt idx="3563">
                  <c:v>1.3100000000000003</c:v>
                </c:pt>
                <c:pt idx="3564">
                  <c:v>1.3100000000000003</c:v>
                </c:pt>
                <c:pt idx="3565">
                  <c:v>1.3100000000000003</c:v>
                </c:pt>
                <c:pt idx="3566">
                  <c:v>1.3100000000000003</c:v>
                </c:pt>
                <c:pt idx="3567">
                  <c:v>1.8400000000000003</c:v>
                </c:pt>
                <c:pt idx="3568">
                  <c:v>1.8400000000000003</c:v>
                </c:pt>
                <c:pt idx="3569">
                  <c:v>1.8400000000000003</c:v>
                </c:pt>
                <c:pt idx="3570">
                  <c:v>1.8400000000000003</c:v>
                </c:pt>
                <c:pt idx="3571">
                  <c:v>1.3100000000000003</c:v>
                </c:pt>
                <c:pt idx="3572">
                  <c:v>1.3100000000000003</c:v>
                </c:pt>
                <c:pt idx="3573">
                  <c:v>1.3100000000000003</c:v>
                </c:pt>
                <c:pt idx="3574">
                  <c:v>1.3100000000000003</c:v>
                </c:pt>
                <c:pt idx="3575">
                  <c:v>1.8400000000000003</c:v>
                </c:pt>
                <c:pt idx="3576">
                  <c:v>1.8400000000000003</c:v>
                </c:pt>
                <c:pt idx="3577">
                  <c:v>1.8400000000000003</c:v>
                </c:pt>
                <c:pt idx="3578">
                  <c:v>1.8400000000000003</c:v>
                </c:pt>
                <c:pt idx="3579">
                  <c:v>1.3100000000000003</c:v>
                </c:pt>
                <c:pt idx="3580">
                  <c:v>1.3100000000000003</c:v>
                </c:pt>
                <c:pt idx="3581">
                  <c:v>1.3100000000000003</c:v>
                </c:pt>
                <c:pt idx="3582">
                  <c:v>1.3100000000000003</c:v>
                </c:pt>
                <c:pt idx="3583">
                  <c:v>1.8400000000000003</c:v>
                </c:pt>
                <c:pt idx="3584">
                  <c:v>1.8400000000000003</c:v>
                </c:pt>
                <c:pt idx="3585">
                  <c:v>1.8400000000000003</c:v>
                </c:pt>
                <c:pt idx="3586">
                  <c:v>1.8400000000000003</c:v>
                </c:pt>
                <c:pt idx="3587">
                  <c:v>1.3100000000000003</c:v>
                </c:pt>
                <c:pt idx="3588">
                  <c:v>1.3100000000000003</c:v>
                </c:pt>
                <c:pt idx="3589">
                  <c:v>1.3100000000000003</c:v>
                </c:pt>
                <c:pt idx="3590">
                  <c:v>1.3100000000000003</c:v>
                </c:pt>
                <c:pt idx="3591">
                  <c:v>1.8400000000000003</c:v>
                </c:pt>
                <c:pt idx="3592">
                  <c:v>1.8400000000000003</c:v>
                </c:pt>
                <c:pt idx="3593">
                  <c:v>1.8400000000000003</c:v>
                </c:pt>
                <c:pt idx="3594">
                  <c:v>1.8400000000000003</c:v>
                </c:pt>
                <c:pt idx="3595">
                  <c:v>1.3100000000000003</c:v>
                </c:pt>
                <c:pt idx="3596">
                  <c:v>1.3100000000000003</c:v>
                </c:pt>
                <c:pt idx="3597">
                  <c:v>1.3100000000000003</c:v>
                </c:pt>
                <c:pt idx="3598">
                  <c:v>1.3100000000000003</c:v>
                </c:pt>
                <c:pt idx="3599">
                  <c:v>1.8400000000000003</c:v>
                </c:pt>
                <c:pt idx="3600">
                  <c:v>1.8400000000000003</c:v>
                </c:pt>
                <c:pt idx="3601">
                  <c:v>1.8400000000000003</c:v>
                </c:pt>
                <c:pt idx="3602">
                  <c:v>1.8400000000000003</c:v>
                </c:pt>
                <c:pt idx="3603">
                  <c:v>1.3100000000000003</c:v>
                </c:pt>
                <c:pt idx="3604">
                  <c:v>1.3100000000000003</c:v>
                </c:pt>
                <c:pt idx="3605">
                  <c:v>1.3100000000000003</c:v>
                </c:pt>
                <c:pt idx="3606">
                  <c:v>1.3100000000000003</c:v>
                </c:pt>
                <c:pt idx="3607">
                  <c:v>1.8400000000000003</c:v>
                </c:pt>
                <c:pt idx="3608">
                  <c:v>1.8400000000000003</c:v>
                </c:pt>
                <c:pt idx="3609">
                  <c:v>1.8400000000000003</c:v>
                </c:pt>
                <c:pt idx="3610">
                  <c:v>1.8400000000000003</c:v>
                </c:pt>
                <c:pt idx="3611">
                  <c:v>1.3100000000000003</c:v>
                </c:pt>
                <c:pt idx="3612">
                  <c:v>1.3100000000000003</c:v>
                </c:pt>
                <c:pt idx="3613">
                  <c:v>1.3100000000000003</c:v>
                </c:pt>
                <c:pt idx="3614">
                  <c:v>1.3100000000000003</c:v>
                </c:pt>
                <c:pt idx="3615">
                  <c:v>1.8400000000000003</c:v>
                </c:pt>
                <c:pt idx="3616">
                  <c:v>1.8400000000000003</c:v>
                </c:pt>
                <c:pt idx="3617">
                  <c:v>1.8400000000000003</c:v>
                </c:pt>
                <c:pt idx="3618">
                  <c:v>1.8400000000000003</c:v>
                </c:pt>
                <c:pt idx="3619">
                  <c:v>1.3100000000000003</c:v>
                </c:pt>
                <c:pt idx="3620">
                  <c:v>1.3100000000000003</c:v>
                </c:pt>
                <c:pt idx="3621">
                  <c:v>1.3100000000000003</c:v>
                </c:pt>
                <c:pt idx="3622">
                  <c:v>1.3100000000000003</c:v>
                </c:pt>
                <c:pt idx="3623">
                  <c:v>1.8400000000000003</c:v>
                </c:pt>
                <c:pt idx="3624">
                  <c:v>1.8400000000000003</c:v>
                </c:pt>
                <c:pt idx="3625">
                  <c:v>1.8400000000000003</c:v>
                </c:pt>
                <c:pt idx="3626">
                  <c:v>1.8400000000000003</c:v>
                </c:pt>
                <c:pt idx="3627">
                  <c:v>1.3100000000000003</c:v>
                </c:pt>
                <c:pt idx="3628">
                  <c:v>1.3100000000000003</c:v>
                </c:pt>
                <c:pt idx="3629">
                  <c:v>1.3100000000000003</c:v>
                </c:pt>
                <c:pt idx="3630">
                  <c:v>1.3100000000000003</c:v>
                </c:pt>
                <c:pt idx="3631">
                  <c:v>1.8400000000000003</c:v>
                </c:pt>
                <c:pt idx="3632">
                  <c:v>1.8400000000000003</c:v>
                </c:pt>
                <c:pt idx="3633">
                  <c:v>1.8400000000000003</c:v>
                </c:pt>
                <c:pt idx="3634">
                  <c:v>1.8400000000000003</c:v>
                </c:pt>
                <c:pt idx="3635">
                  <c:v>1.3100000000000003</c:v>
                </c:pt>
                <c:pt idx="3636">
                  <c:v>1.3100000000000003</c:v>
                </c:pt>
                <c:pt idx="3637">
                  <c:v>1.3100000000000003</c:v>
                </c:pt>
                <c:pt idx="3638">
                  <c:v>1.3100000000000003</c:v>
                </c:pt>
                <c:pt idx="3639">
                  <c:v>1.8400000000000003</c:v>
                </c:pt>
                <c:pt idx="3640">
                  <c:v>1.8400000000000003</c:v>
                </c:pt>
                <c:pt idx="3641">
                  <c:v>1.8400000000000003</c:v>
                </c:pt>
                <c:pt idx="3642">
                  <c:v>1.8400000000000003</c:v>
                </c:pt>
                <c:pt idx="3643">
                  <c:v>1.3100000000000003</c:v>
                </c:pt>
                <c:pt idx="3644">
                  <c:v>1.3100000000000003</c:v>
                </c:pt>
                <c:pt idx="3645">
                  <c:v>1.3100000000000003</c:v>
                </c:pt>
                <c:pt idx="3646">
                  <c:v>1.3100000000000003</c:v>
                </c:pt>
                <c:pt idx="3647">
                  <c:v>1.8400000000000003</c:v>
                </c:pt>
                <c:pt idx="3648">
                  <c:v>1.8400000000000003</c:v>
                </c:pt>
                <c:pt idx="3649">
                  <c:v>1.8400000000000003</c:v>
                </c:pt>
                <c:pt idx="3650">
                  <c:v>1.8400000000000003</c:v>
                </c:pt>
                <c:pt idx="3651">
                  <c:v>1.3100000000000003</c:v>
                </c:pt>
                <c:pt idx="3652">
                  <c:v>1.3100000000000003</c:v>
                </c:pt>
                <c:pt idx="3653">
                  <c:v>1.3100000000000003</c:v>
                </c:pt>
                <c:pt idx="3654">
                  <c:v>1.3100000000000003</c:v>
                </c:pt>
                <c:pt idx="3655">
                  <c:v>1.8400000000000003</c:v>
                </c:pt>
                <c:pt idx="3656">
                  <c:v>1.8400000000000003</c:v>
                </c:pt>
                <c:pt idx="3657">
                  <c:v>1.8400000000000003</c:v>
                </c:pt>
                <c:pt idx="3658">
                  <c:v>1.8400000000000003</c:v>
                </c:pt>
                <c:pt idx="3659">
                  <c:v>1.3100000000000003</c:v>
                </c:pt>
                <c:pt idx="3660">
                  <c:v>1.3100000000000003</c:v>
                </c:pt>
                <c:pt idx="3661">
                  <c:v>1.3100000000000003</c:v>
                </c:pt>
                <c:pt idx="3662">
                  <c:v>1.3100000000000003</c:v>
                </c:pt>
                <c:pt idx="3663">
                  <c:v>1.8400000000000003</c:v>
                </c:pt>
                <c:pt idx="3664">
                  <c:v>1.8400000000000003</c:v>
                </c:pt>
                <c:pt idx="3665">
                  <c:v>1.8400000000000003</c:v>
                </c:pt>
                <c:pt idx="3666">
                  <c:v>1.8400000000000003</c:v>
                </c:pt>
                <c:pt idx="3667">
                  <c:v>1.3100000000000003</c:v>
                </c:pt>
                <c:pt idx="3668">
                  <c:v>1.3100000000000003</c:v>
                </c:pt>
                <c:pt idx="3669">
                  <c:v>1.3100000000000003</c:v>
                </c:pt>
                <c:pt idx="3670">
                  <c:v>1.3100000000000003</c:v>
                </c:pt>
                <c:pt idx="3671">
                  <c:v>1.8400000000000003</c:v>
                </c:pt>
                <c:pt idx="3672">
                  <c:v>1.8400000000000003</c:v>
                </c:pt>
                <c:pt idx="3673">
                  <c:v>1.8400000000000003</c:v>
                </c:pt>
                <c:pt idx="3674">
                  <c:v>1.8400000000000003</c:v>
                </c:pt>
                <c:pt idx="3675">
                  <c:v>1.3100000000000003</c:v>
                </c:pt>
                <c:pt idx="3676">
                  <c:v>1.3100000000000003</c:v>
                </c:pt>
                <c:pt idx="3677">
                  <c:v>1.3100000000000003</c:v>
                </c:pt>
                <c:pt idx="3678">
                  <c:v>1.3100000000000003</c:v>
                </c:pt>
                <c:pt idx="3679">
                  <c:v>1.8400000000000003</c:v>
                </c:pt>
                <c:pt idx="3680">
                  <c:v>1.8400000000000003</c:v>
                </c:pt>
                <c:pt idx="3681">
                  <c:v>1.8400000000000003</c:v>
                </c:pt>
                <c:pt idx="3682">
                  <c:v>1.8400000000000003</c:v>
                </c:pt>
                <c:pt idx="3683">
                  <c:v>1.3100000000000003</c:v>
                </c:pt>
                <c:pt idx="3684">
                  <c:v>1.3100000000000003</c:v>
                </c:pt>
                <c:pt idx="3685">
                  <c:v>1.3100000000000003</c:v>
                </c:pt>
                <c:pt idx="3686">
                  <c:v>1.3100000000000003</c:v>
                </c:pt>
                <c:pt idx="3687">
                  <c:v>1.8400000000000003</c:v>
                </c:pt>
                <c:pt idx="3688">
                  <c:v>1.8400000000000003</c:v>
                </c:pt>
                <c:pt idx="3689">
                  <c:v>1.8400000000000003</c:v>
                </c:pt>
                <c:pt idx="3690">
                  <c:v>1.8400000000000003</c:v>
                </c:pt>
                <c:pt idx="3691">
                  <c:v>1.3100000000000003</c:v>
                </c:pt>
                <c:pt idx="3692">
                  <c:v>1.3100000000000003</c:v>
                </c:pt>
                <c:pt idx="3693">
                  <c:v>1.3100000000000003</c:v>
                </c:pt>
                <c:pt idx="3694">
                  <c:v>1.3100000000000003</c:v>
                </c:pt>
                <c:pt idx="3695">
                  <c:v>1.8400000000000003</c:v>
                </c:pt>
                <c:pt idx="3696">
                  <c:v>1.8400000000000003</c:v>
                </c:pt>
                <c:pt idx="3697">
                  <c:v>1.8400000000000003</c:v>
                </c:pt>
                <c:pt idx="3698">
                  <c:v>1.8400000000000003</c:v>
                </c:pt>
                <c:pt idx="3699">
                  <c:v>1.3100000000000003</c:v>
                </c:pt>
                <c:pt idx="3700">
                  <c:v>1.3100000000000003</c:v>
                </c:pt>
                <c:pt idx="3701">
                  <c:v>1.3100000000000003</c:v>
                </c:pt>
                <c:pt idx="3702">
                  <c:v>1.3100000000000003</c:v>
                </c:pt>
                <c:pt idx="3703">
                  <c:v>1.8400000000000003</c:v>
                </c:pt>
                <c:pt idx="3704">
                  <c:v>1.8400000000000003</c:v>
                </c:pt>
                <c:pt idx="3705">
                  <c:v>1.8400000000000003</c:v>
                </c:pt>
                <c:pt idx="3706">
                  <c:v>1.8400000000000003</c:v>
                </c:pt>
                <c:pt idx="3707">
                  <c:v>1.3100000000000003</c:v>
                </c:pt>
                <c:pt idx="3708">
                  <c:v>1.3100000000000003</c:v>
                </c:pt>
                <c:pt idx="3709">
                  <c:v>1.3100000000000003</c:v>
                </c:pt>
                <c:pt idx="3710">
                  <c:v>1.3100000000000003</c:v>
                </c:pt>
                <c:pt idx="3711">
                  <c:v>1.8400000000000003</c:v>
                </c:pt>
                <c:pt idx="3712">
                  <c:v>1.8400000000000003</c:v>
                </c:pt>
                <c:pt idx="3713">
                  <c:v>1.8400000000000003</c:v>
                </c:pt>
                <c:pt idx="3714">
                  <c:v>1.8400000000000003</c:v>
                </c:pt>
                <c:pt idx="3715">
                  <c:v>1.3100000000000003</c:v>
                </c:pt>
                <c:pt idx="3716">
                  <c:v>1.3100000000000003</c:v>
                </c:pt>
                <c:pt idx="3717">
                  <c:v>1.3100000000000003</c:v>
                </c:pt>
                <c:pt idx="3718">
                  <c:v>1.3100000000000003</c:v>
                </c:pt>
                <c:pt idx="3719">
                  <c:v>1.8400000000000003</c:v>
                </c:pt>
                <c:pt idx="3720">
                  <c:v>1.8400000000000003</c:v>
                </c:pt>
                <c:pt idx="3721">
                  <c:v>1.8400000000000003</c:v>
                </c:pt>
                <c:pt idx="3722">
                  <c:v>1.8400000000000003</c:v>
                </c:pt>
                <c:pt idx="3723">
                  <c:v>1.3100000000000003</c:v>
                </c:pt>
                <c:pt idx="3724">
                  <c:v>1.3100000000000003</c:v>
                </c:pt>
                <c:pt idx="3725">
                  <c:v>1.3100000000000003</c:v>
                </c:pt>
                <c:pt idx="3726">
                  <c:v>1.3100000000000003</c:v>
                </c:pt>
                <c:pt idx="3727">
                  <c:v>1.8400000000000003</c:v>
                </c:pt>
                <c:pt idx="3728">
                  <c:v>1.8400000000000003</c:v>
                </c:pt>
                <c:pt idx="3729">
                  <c:v>1.8400000000000003</c:v>
                </c:pt>
                <c:pt idx="3730">
                  <c:v>1.8400000000000003</c:v>
                </c:pt>
                <c:pt idx="3731">
                  <c:v>1.3100000000000003</c:v>
                </c:pt>
                <c:pt idx="3732">
                  <c:v>1.3100000000000003</c:v>
                </c:pt>
                <c:pt idx="3733">
                  <c:v>1.3100000000000003</c:v>
                </c:pt>
                <c:pt idx="3734">
                  <c:v>1.3100000000000003</c:v>
                </c:pt>
                <c:pt idx="3735">
                  <c:v>1.8400000000000003</c:v>
                </c:pt>
                <c:pt idx="3736">
                  <c:v>1.8400000000000003</c:v>
                </c:pt>
                <c:pt idx="3737">
                  <c:v>1.8400000000000003</c:v>
                </c:pt>
                <c:pt idx="3738">
                  <c:v>1.8400000000000003</c:v>
                </c:pt>
                <c:pt idx="3739">
                  <c:v>1.3100000000000003</c:v>
                </c:pt>
                <c:pt idx="3740">
                  <c:v>1.3100000000000003</c:v>
                </c:pt>
                <c:pt idx="3741">
                  <c:v>1.3100000000000003</c:v>
                </c:pt>
                <c:pt idx="3742">
                  <c:v>1.3100000000000003</c:v>
                </c:pt>
                <c:pt idx="3743">
                  <c:v>1.8400000000000003</c:v>
                </c:pt>
                <c:pt idx="3744">
                  <c:v>1.8400000000000003</c:v>
                </c:pt>
                <c:pt idx="3745">
                  <c:v>1.8400000000000003</c:v>
                </c:pt>
                <c:pt idx="3746">
                  <c:v>1.8400000000000003</c:v>
                </c:pt>
                <c:pt idx="3747">
                  <c:v>1.3100000000000003</c:v>
                </c:pt>
                <c:pt idx="3748">
                  <c:v>1.3100000000000003</c:v>
                </c:pt>
                <c:pt idx="3749">
                  <c:v>1.3100000000000003</c:v>
                </c:pt>
                <c:pt idx="3750">
                  <c:v>1.3100000000000003</c:v>
                </c:pt>
                <c:pt idx="3751">
                  <c:v>1.8400000000000003</c:v>
                </c:pt>
                <c:pt idx="3752">
                  <c:v>1.8400000000000003</c:v>
                </c:pt>
                <c:pt idx="3753">
                  <c:v>1.8400000000000003</c:v>
                </c:pt>
                <c:pt idx="3754">
                  <c:v>1.8400000000000003</c:v>
                </c:pt>
                <c:pt idx="3755">
                  <c:v>1.3100000000000003</c:v>
                </c:pt>
                <c:pt idx="3756">
                  <c:v>1.3100000000000003</c:v>
                </c:pt>
                <c:pt idx="3757">
                  <c:v>1.3100000000000003</c:v>
                </c:pt>
                <c:pt idx="3758">
                  <c:v>1.3100000000000003</c:v>
                </c:pt>
                <c:pt idx="3759">
                  <c:v>1.8400000000000003</c:v>
                </c:pt>
                <c:pt idx="3760">
                  <c:v>1.8400000000000003</c:v>
                </c:pt>
                <c:pt idx="3761">
                  <c:v>1.8400000000000003</c:v>
                </c:pt>
                <c:pt idx="3762">
                  <c:v>1.8400000000000003</c:v>
                </c:pt>
                <c:pt idx="3763">
                  <c:v>1.3100000000000003</c:v>
                </c:pt>
                <c:pt idx="3764">
                  <c:v>1.3100000000000003</c:v>
                </c:pt>
                <c:pt idx="3765">
                  <c:v>1.3100000000000003</c:v>
                </c:pt>
                <c:pt idx="3766">
                  <c:v>1.3100000000000003</c:v>
                </c:pt>
                <c:pt idx="3767">
                  <c:v>1.8400000000000003</c:v>
                </c:pt>
                <c:pt idx="3768">
                  <c:v>1.8400000000000003</c:v>
                </c:pt>
                <c:pt idx="3769">
                  <c:v>1.8400000000000003</c:v>
                </c:pt>
                <c:pt idx="3770">
                  <c:v>1.8400000000000003</c:v>
                </c:pt>
                <c:pt idx="3771">
                  <c:v>1.3100000000000003</c:v>
                </c:pt>
                <c:pt idx="3772">
                  <c:v>1.3100000000000003</c:v>
                </c:pt>
                <c:pt idx="3773">
                  <c:v>1.3100000000000003</c:v>
                </c:pt>
                <c:pt idx="3774">
                  <c:v>1.3100000000000003</c:v>
                </c:pt>
                <c:pt idx="3775">
                  <c:v>1.8400000000000003</c:v>
                </c:pt>
                <c:pt idx="3776">
                  <c:v>1.8400000000000003</c:v>
                </c:pt>
                <c:pt idx="3777">
                  <c:v>1.8400000000000003</c:v>
                </c:pt>
                <c:pt idx="3778">
                  <c:v>1.8400000000000003</c:v>
                </c:pt>
                <c:pt idx="3779">
                  <c:v>1.3100000000000003</c:v>
                </c:pt>
                <c:pt idx="3780">
                  <c:v>1.3100000000000003</c:v>
                </c:pt>
                <c:pt idx="3781">
                  <c:v>1.3100000000000003</c:v>
                </c:pt>
                <c:pt idx="3782">
                  <c:v>1.3100000000000003</c:v>
                </c:pt>
                <c:pt idx="3783">
                  <c:v>1.8400000000000003</c:v>
                </c:pt>
                <c:pt idx="3784">
                  <c:v>1.8400000000000003</c:v>
                </c:pt>
                <c:pt idx="3785">
                  <c:v>1.8400000000000003</c:v>
                </c:pt>
                <c:pt idx="3786">
                  <c:v>1.8400000000000003</c:v>
                </c:pt>
                <c:pt idx="3787">
                  <c:v>1.3100000000000003</c:v>
                </c:pt>
                <c:pt idx="3788">
                  <c:v>1.3100000000000003</c:v>
                </c:pt>
                <c:pt idx="3789">
                  <c:v>1.3100000000000003</c:v>
                </c:pt>
                <c:pt idx="3790">
                  <c:v>1.3100000000000003</c:v>
                </c:pt>
                <c:pt idx="3791">
                  <c:v>1.8400000000000003</c:v>
                </c:pt>
                <c:pt idx="3792">
                  <c:v>1.8400000000000003</c:v>
                </c:pt>
                <c:pt idx="3793">
                  <c:v>1.8400000000000003</c:v>
                </c:pt>
                <c:pt idx="3794">
                  <c:v>1.8400000000000003</c:v>
                </c:pt>
                <c:pt idx="3795">
                  <c:v>1.3100000000000003</c:v>
                </c:pt>
                <c:pt idx="3796">
                  <c:v>1.3100000000000003</c:v>
                </c:pt>
                <c:pt idx="3797">
                  <c:v>1.3100000000000003</c:v>
                </c:pt>
                <c:pt idx="3798">
                  <c:v>1.3100000000000003</c:v>
                </c:pt>
                <c:pt idx="3799">
                  <c:v>1.8400000000000003</c:v>
                </c:pt>
                <c:pt idx="3800">
                  <c:v>1.8400000000000003</c:v>
                </c:pt>
                <c:pt idx="3801">
                  <c:v>1.8400000000000003</c:v>
                </c:pt>
                <c:pt idx="3802">
                  <c:v>1.8400000000000003</c:v>
                </c:pt>
                <c:pt idx="3803">
                  <c:v>1.3100000000000003</c:v>
                </c:pt>
                <c:pt idx="3804">
                  <c:v>1.3100000000000003</c:v>
                </c:pt>
                <c:pt idx="3805">
                  <c:v>1.3100000000000003</c:v>
                </c:pt>
                <c:pt idx="3806">
                  <c:v>1.3100000000000003</c:v>
                </c:pt>
                <c:pt idx="3807">
                  <c:v>1.8400000000000003</c:v>
                </c:pt>
                <c:pt idx="3808">
                  <c:v>1.8400000000000003</c:v>
                </c:pt>
                <c:pt idx="3809">
                  <c:v>1.8400000000000003</c:v>
                </c:pt>
                <c:pt idx="3810">
                  <c:v>1.8400000000000003</c:v>
                </c:pt>
                <c:pt idx="3811">
                  <c:v>1.3100000000000003</c:v>
                </c:pt>
                <c:pt idx="3812">
                  <c:v>1.3100000000000003</c:v>
                </c:pt>
                <c:pt idx="3813">
                  <c:v>1.3100000000000003</c:v>
                </c:pt>
                <c:pt idx="3814">
                  <c:v>1.3100000000000003</c:v>
                </c:pt>
                <c:pt idx="3815">
                  <c:v>1.8400000000000003</c:v>
                </c:pt>
                <c:pt idx="3816">
                  <c:v>1.8400000000000003</c:v>
                </c:pt>
                <c:pt idx="3817">
                  <c:v>1.8400000000000003</c:v>
                </c:pt>
                <c:pt idx="3818">
                  <c:v>1.8400000000000003</c:v>
                </c:pt>
                <c:pt idx="3819">
                  <c:v>1.3100000000000003</c:v>
                </c:pt>
                <c:pt idx="3820">
                  <c:v>1.3100000000000003</c:v>
                </c:pt>
                <c:pt idx="3821">
                  <c:v>1.3100000000000003</c:v>
                </c:pt>
                <c:pt idx="3822">
                  <c:v>1.3100000000000003</c:v>
                </c:pt>
                <c:pt idx="3823">
                  <c:v>1.8400000000000003</c:v>
                </c:pt>
                <c:pt idx="3824">
                  <c:v>1.8400000000000003</c:v>
                </c:pt>
                <c:pt idx="3825">
                  <c:v>1.8400000000000003</c:v>
                </c:pt>
                <c:pt idx="3826">
                  <c:v>1.8400000000000003</c:v>
                </c:pt>
                <c:pt idx="3827">
                  <c:v>1.3100000000000003</c:v>
                </c:pt>
                <c:pt idx="3828">
                  <c:v>1.3100000000000003</c:v>
                </c:pt>
                <c:pt idx="3829">
                  <c:v>1.3100000000000003</c:v>
                </c:pt>
                <c:pt idx="3830">
                  <c:v>1.3100000000000003</c:v>
                </c:pt>
                <c:pt idx="3831">
                  <c:v>1.8400000000000003</c:v>
                </c:pt>
                <c:pt idx="3832">
                  <c:v>1.8400000000000003</c:v>
                </c:pt>
                <c:pt idx="3833">
                  <c:v>1.8400000000000003</c:v>
                </c:pt>
                <c:pt idx="3834">
                  <c:v>1.8400000000000003</c:v>
                </c:pt>
                <c:pt idx="3835">
                  <c:v>1.3100000000000003</c:v>
                </c:pt>
                <c:pt idx="3836">
                  <c:v>1.3100000000000003</c:v>
                </c:pt>
                <c:pt idx="3837">
                  <c:v>1.3100000000000003</c:v>
                </c:pt>
                <c:pt idx="3838">
                  <c:v>1.3100000000000003</c:v>
                </c:pt>
                <c:pt idx="3839">
                  <c:v>1.8400000000000003</c:v>
                </c:pt>
                <c:pt idx="3840">
                  <c:v>1.8400000000000003</c:v>
                </c:pt>
                <c:pt idx="3841">
                  <c:v>1.8400000000000003</c:v>
                </c:pt>
                <c:pt idx="3842">
                  <c:v>1.8400000000000003</c:v>
                </c:pt>
                <c:pt idx="3843">
                  <c:v>1.3100000000000003</c:v>
                </c:pt>
                <c:pt idx="3844">
                  <c:v>1.3100000000000003</c:v>
                </c:pt>
                <c:pt idx="3845">
                  <c:v>1.3100000000000003</c:v>
                </c:pt>
                <c:pt idx="3846">
                  <c:v>1.3100000000000003</c:v>
                </c:pt>
                <c:pt idx="3847">
                  <c:v>1.8400000000000003</c:v>
                </c:pt>
                <c:pt idx="3848">
                  <c:v>1.8400000000000003</c:v>
                </c:pt>
                <c:pt idx="3849">
                  <c:v>1.8400000000000003</c:v>
                </c:pt>
                <c:pt idx="3850">
                  <c:v>1.8400000000000003</c:v>
                </c:pt>
                <c:pt idx="3851">
                  <c:v>1.3100000000000003</c:v>
                </c:pt>
                <c:pt idx="3852">
                  <c:v>1.3100000000000003</c:v>
                </c:pt>
                <c:pt idx="3853">
                  <c:v>1.3100000000000003</c:v>
                </c:pt>
                <c:pt idx="3854">
                  <c:v>1.3100000000000003</c:v>
                </c:pt>
                <c:pt idx="3855">
                  <c:v>1.3100000000000003</c:v>
                </c:pt>
                <c:pt idx="3856">
                  <c:v>1.3100000000000003</c:v>
                </c:pt>
                <c:pt idx="3857">
                  <c:v>1.8400000000000003</c:v>
                </c:pt>
                <c:pt idx="3858">
                  <c:v>1.8400000000000003</c:v>
                </c:pt>
                <c:pt idx="3859">
                  <c:v>1.8400000000000003</c:v>
                </c:pt>
                <c:pt idx="3860">
                  <c:v>1.8400000000000003</c:v>
                </c:pt>
                <c:pt idx="3861">
                  <c:v>1.3100000000000003</c:v>
                </c:pt>
                <c:pt idx="3862">
                  <c:v>1.3100000000000003</c:v>
                </c:pt>
                <c:pt idx="3863">
                  <c:v>1.3100000000000003</c:v>
                </c:pt>
                <c:pt idx="3864">
                  <c:v>1.3100000000000003</c:v>
                </c:pt>
                <c:pt idx="3865">
                  <c:v>1.8400000000000003</c:v>
                </c:pt>
                <c:pt idx="3866">
                  <c:v>1.8400000000000003</c:v>
                </c:pt>
                <c:pt idx="3867">
                  <c:v>1.8400000000000003</c:v>
                </c:pt>
                <c:pt idx="3868">
                  <c:v>1.8400000000000003</c:v>
                </c:pt>
                <c:pt idx="3869">
                  <c:v>1.3100000000000003</c:v>
                </c:pt>
                <c:pt idx="3870">
                  <c:v>1.3100000000000003</c:v>
                </c:pt>
                <c:pt idx="3871">
                  <c:v>1.3100000000000003</c:v>
                </c:pt>
                <c:pt idx="3872">
                  <c:v>1.3100000000000003</c:v>
                </c:pt>
                <c:pt idx="3873">
                  <c:v>1.8400000000000003</c:v>
                </c:pt>
                <c:pt idx="3874">
                  <c:v>1.8400000000000003</c:v>
                </c:pt>
                <c:pt idx="3875">
                  <c:v>1.8400000000000003</c:v>
                </c:pt>
                <c:pt idx="3876">
                  <c:v>1.8400000000000003</c:v>
                </c:pt>
                <c:pt idx="3877">
                  <c:v>1.3100000000000003</c:v>
                </c:pt>
                <c:pt idx="3878">
                  <c:v>1.3100000000000003</c:v>
                </c:pt>
                <c:pt idx="3879">
                  <c:v>1.3100000000000003</c:v>
                </c:pt>
                <c:pt idx="3880">
                  <c:v>1.3100000000000003</c:v>
                </c:pt>
                <c:pt idx="3881">
                  <c:v>1.8400000000000003</c:v>
                </c:pt>
                <c:pt idx="3882">
                  <c:v>1.8400000000000003</c:v>
                </c:pt>
                <c:pt idx="3883">
                  <c:v>1.8400000000000003</c:v>
                </c:pt>
                <c:pt idx="3884">
                  <c:v>1.8400000000000003</c:v>
                </c:pt>
                <c:pt idx="3885">
                  <c:v>1.3100000000000003</c:v>
                </c:pt>
                <c:pt idx="3886">
                  <c:v>1.3100000000000003</c:v>
                </c:pt>
                <c:pt idx="3887">
                  <c:v>1.3100000000000003</c:v>
                </c:pt>
                <c:pt idx="3888">
                  <c:v>1.3100000000000003</c:v>
                </c:pt>
                <c:pt idx="3889">
                  <c:v>1.8400000000000003</c:v>
                </c:pt>
                <c:pt idx="3890">
                  <c:v>1.8400000000000003</c:v>
                </c:pt>
                <c:pt idx="3891">
                  <c:v>1.8400000000000003</c:v>
                </c:pt>
                <c:pt idx="3892">
                  <c:v>1.8400000000000003</c:v>
                </c:pt>
                <c:pt idx="3893">
                  <c:v>1.3100000000000003</c:v>
                </c:pt>
                <c:pt idx="3894">
                  <c:v>1.3100000000000003</c:v>
                </c:pt>
                <c:pt idx="3895">
                  <c:v>1.3100000000000003</c:v>
                </c:pt>
                <c:pt idx="3896">
                  <c:v>1.3100000000000003</c:v>
                </c:pt>
                <c:pt idx="3897">
                  <c:v>1.8400000000000003</c:v>
                </c:pt>
                <c:pt idx="3898">
                  <c:v>1.8400000000000003</c:v>
                </c:pt>
                <c:pt idx="3899">
                  <c:v>1.8400000000000003</c:v>
                </c:pt>
                <c:pt idx="3900">
                  <c:v>1.8400000000000003</c:v>
                </c:pt>
                <c:pt idx="3901">
                  <c:v>1.3100000000000003</c:v>
                </c:pt>
                <c:pt idx="3902">
                  <c:v>1.3100000000000003</c:v>
                </c:pt>
                <c:pt idx="3903">
                  <c:v>1.3100000000000003</c:v>
                </c:pt>
                <c:pt idx="3904">
                  <c:v>1.3100000000000003</c:v>
                </c:pt>
                <c:pt idx="3905">
                  <c:v>1.8400000000000003</c:v>
                </c:pt>
                <c:pt idx="3906">
                  <c:v>1.8400000000000003</c:v>
                </c:pt>
                <c:pt idx="3907">
                  <c:v>1.8400000000000003</c:v>
                </c:pt>
                <c:pt idx="3908">
                  <c:v>1.8400000000000003</c:v>
                </c:pt>
                <c:pt idx="3909">
                  <c:v>1.3100000000000003</c:v>
                </c:pt>
                <c:pt idx="3910">
                  <c:v>1.3100000000000003</c:v>
                </c:pt>
                <c:pt idx="3911">
                  <c:v>1.3100000000000003</c:v>
                </c:pt>
                <c:pt idx="3912">
                  <c:v>1.3100000000000003</c:v>
                </c:pt>
                <c:pt idx="3913">
                  <c:v>1.8400000000000003</c:v>
                </c:pt>
                <c:pt idx="3914">
                  <c:v>1.8400000000000003</c:v>
                </c:pt>
                <c:pt idx="3915">
                  <c:v>1.8400000000000003</c:v>
                </c:pt>
                <c:pt idx="3916">
                  <c:v>1.8400000000000003</c:v>
                </c:pt>
                <c:pt idx="3917">
                  <c:v>1.3100000000000003</c:v>
                </c:pt>
                <c:pt idx="3918">
                  <c:v>1.3100000000000003</c:v>
                </c:pt>
                <c:pt idx="3919">
                  <c:v>1.3100000000000003</c:v>
                </c:pt>
                <c:pt idx="3920">
                  <c:v>1.3100000000000003</c:v>
                </c:pt>
                <c:pt idx="3921">
                  <c:v>1.8400000000000003</c:v>
                </c:pt>
                <c:pt idx="3922">
                  <c:v>1.8400000000000003</c:v>
                </c:pt>
                <c:pt idx="3923">
                  <c:v>1.8400000000000003</c:v>
                </c:pt>
                <c:pt idx="3924">
                  <c:v>1.8400000000000003</c:v>
                </c:pt>
                <c:pt idx="3925">
                  <c:v>1.3100000000000003</c:v>
                </c:pt>
                <c:pt idx="3926">
                  <c:v>1.3100000000000003</c:v>
                </c:pt>
                <c:pt idx="3927">
                  <c:v>1.3100000000000003</c:v>
                </c:pt>
                <c:pt idx="3928">
                  <c:v>1.3100000000000003</c:v>
                </c:pt>
                <c:pt idx="3929">
                  <c:v>1.8400000000000003</c:v>
                </c:pt>
                <c:pt idx="3930">
                  <c:v>1.8400000000000003</c:v>
                </c:pt>
                <c:pt idx="3931">
                  <c:v>1.8400000000000003</c:v>
                </c:pt>
                <c:pt idx="3932">
                  <c:v>1.8400000000000003</c:v>
                </c:pt>
                <c:pt idx="3933">
                  <c:v>1.3100000000000003</c:v>
                </c:pt>
                <c:pt idx="3934">
                  <c:v>1.3100000000000003</c:v>
                </c:pt>
                <c:pt idx="3935">
                  <c:v>1.3100000000000003</c:v>
                </c:pt>
                <c:pt idx="3936">
                  <c:v>1.3100000000000003</c:v>
                </c:pt>
                <c:pt idx="3937">
                  <c:v>1.8400000000000003</c:v>
                </c:pt>
                <c:pt idx="3938">
                  <c:v>1.8400000000000003</c:v>
                </c:pt>
                <c:pt idx="3939">
                  <c:v>1.8400000000000003</c:v>
                </c:pt>
                <c:pt idx="3940">
                  <c:v>1.8400000000000003</c:v>
                </c:pt>
                <c:pt idx="3941">
                  <c:v>1.3100000000000003</c:v>
                </c:pt>
                <c:pt idx="3942">
                  <c:v>1.3100000000000003</c:v>
                </c:pt>
                <c:pt idx="3943">
                  <c:v>1.3100000000000003</c:v>
                </c:pt>
                <c:pt idx="3944">
                  <c:v>1.3100000000000003</c:v>
                </c:pt>
                <c:pt idx="3945">
                  <c:v>1.8400000000000003</c:v>
                </c:pt>
                <c:pt idx="3946">
                  <c:v>1.8400000000000003</c:v>
                </c:pt>
                <c:pt idx="3947">
                  <c:v>1.8400000000000003</c:v>
                </c:pt>
                <c:pt idx="3948">
                  <c:v>1.8400000000000003</c:v>
                </c:pt>
                <c:pt idx="3949">
                  <c:v>1.3100000000000003</c:v>
                </c:pt>
                <c:pt idx="3950">
                  <c:v>1.3100000000000003</c:v>
                </c:pt>
                <c:pt idx="3951">
                  <c:v>1.3100000000000003</c:v>
                </c:pt>
                <c:pt idx="3952">
                  <c:v>1.3100000000000003</c:v>
                </c:pt>
                <c:pt idx="3953">
                  <c:v>1.8400000000000003</c:v>
                </c:pt>
                <c:pt idx="3954">
                  <c:v>1.8400000000000003</c:v>
                </c:pt>
                <c:pt idx="3955">
                  <c:v>1.8400000000000003</c:v>
                </c:pt>
                <c:pt idx="3956">
                  <c:v>1.8400000000000003</c:v>
                </c:pt>
                <c:pt idx="3957">
                  <c:v>1.3100000000000003</c:v>
                </c:pt>
                <c:pt idx="3958">
                  <c:v>1.3100000000000003</c:v>
                </c:pt>
                <c:pt idx="3959">
                  <c:v>1.3100000000000003</c:v>
                </c:pt>
                <c:pt idx="3960">
                  <c:v>1.3100000000000003</c:v>
                </c:pt>
                <c:pt idx="3961">
                  <c:v>1.8400000000000003</c:v>
                </c:pt>
                <c:pt idx="3962">
                  <c:v>1.8400000000000003</c:v>
                </c:pt>
                <c:pt idx="3963">
                  <c:v>1.8400000000000003</c:v>
                </c:pt>
                <c:pt idx="3964">
                  <c:v>1.8400000000000003</c:v>
                </c:pt>
                <c:pt idx="3965">
                  <c:v>1.3100000000000003</c:v>
                </c:pt>
                <c:pt idx="3966">
                  <c:v>1.3100000000000003</c:v>
                </c:pt>
                <c:pt idx="3967">
                  <c:v>1.3100000000000003</c:v>
                </c:pt>
                <c:pt idx="3968">
                  <c:v>1.3100000000000003</c:v>
                </c:pt>
                <c:pt idx="3969">
                  <c:v>1.8400000000000003</c:v>
                </c:pt>
                <c:pt idx="3970">
                  <c:v>1.8400000000000003</c:v>
                </c:pt>
                <c:pt idx="3971">
                  <c:v>1.8400000000000003</c:v>
                </c:pt>
                <c:pt idx="3972">
                  <c:v>1.8400000000000003</c:v>
                </c:pt>
                <c:pt idx="3973">
                  <c:v>1.3100000000000003</c:v>
                </c:pt>
                <c:pt idx="3974">
                  <c:v>1.3100000000000003</c:v>
                </c:pt>
                <c:pt idx="3975">
                  <c:v>1.3100000000000003</c:v>
                </c:pt>
                <c:pt idx="3976">
                  <c:v>1.3100000000000003</c:v>
                </c:pt>
                <c:pt idx="3977">
                  <c:v>1.8400000000000003</c:v>
                </c:pt>
                <c:pt idx="3978">
                  <c:v>1.8400000000000003</c:v>
                </c:pt>
                <c:pt idx="3979">
                  <c:v>1.8400000000000003</c:v>
                </c:pt>
                <c:pt idx="3980">
                  <c:v>1.8400000000000003</c:v>
                </c:pt>
                <c:pt idx="3981">
                  <c:v>1.3100000000000003</c:v>
                </c:pt>
                <c:pt idx="3982">
                  <c:v>1.3100000000000003</c:v>
                </c:pt>
                <c:pt idx="3983">
                  <c:v>1.3100000000000003</c:v>
                </c:pt>
                <c:pt idx="3984">
                  <c:v>1.3100000000000003</c:v>
                </c:pt>
                <c:pt idx="3985">
                  <c:v>1.8400000000000003</c:v>
                </c:pt>
                <c:pt idx="3986">
                  <c:v>1.8400000000000003</c:v>
                </c:pt>
                <c:pt idx="3987">
                  <c:v>1.8400000000000003</c:v>
                </c:pt>
                <c:pt idx="3988">
                  <c:v>1.8400000000000003</c:v>
                </c:pt>
                <c:pt idx="3989">
                  <c:v>1.3100000000000003</c:v>
                </c:pt>
                <c:pt idx="3990">
                  <c:v>1.3100000000000003</c:v>
                </c:pt>
                <c:pt idx="3991">
                  <c:v>1.3100000000000003</c:v>
                </c:pt>
                <c:pt idx="3992">
                  <c:v>1.3100000000000003</c:v>
                </c:pt>
                <c:pt idx="3993">
                  <c:v>1.8400000000000003</c:v>
                </c:pt>
                <c:pt idx="3994">
                  <c:v>1.8400000000000003</c:v>
                </c:pt>
                <c:pt idx="3995">
                  <c:v>1.8400000000000003</c:v>
                </c:pt>
                <c:pt idx="3996">
                  <c:v>1.8400000000000003</c:v>
                </c:pt>
                <c:pt idx="3997">
                  <c:v>1.3100000000000003</c:v>
                </c:pt>
                <c:pt idx="3998">
                  <c:v>1.3100000000000003</c:v>
                </c:pt>
                <c:pt idx="3999">
                  <c:v>1.3100000000000003</c:v>
                </c:pt>
                <c:pt idx="4000">
                  <c:v>1.3100000000000003</c:v>
                </c:pt>
                <c:pt idx="4001">
                  <c:v>1.8400000000000003</c:v>
                </c:pt>
                <c:pt idx="4002">
                  <c:v>1.8400000000000003</c:v>
                </c:pt>
                <c:pt idx="4003">
                  <c:v>1.8400000000000003</c:v>
                </c:pt>
                <c:pt idx="4004">
                  <c:v>1.8400000000000003</c:v>
                </c:pt>
                <c:pt idx="4005">
                  <c:v>1.3100000000000003</c:v>
                </c:pt>
                <c:pt idx="4006">
                  <c:v>1.3100000000000003</c:v>
                </c:pt>
                <c:pt idx="4007">
                  <c:v>1.3100000000000003</c:v>
                </c:pt>
                <c:pt idx="4008">
                  <c:v>1.3100000000000003</c:v>
                </c:pt>
                <c:pt idx="4009">
                  <c:v>1.8400000000000003</c:v>
                </c:pt>
                <c:pt idx="4010">
                  <c:v>1.8400000000000003</c:v>
                </c:pt>
                <c:pt idx="4011">
                  <c:v>1.8400000000000003</c:v>
                </c:pt>
                <c:pt idx="4012">
                  <c:v>1.8400000000000003</c:v>
                </c:pt>
                <c:pt idx="4013">
                  <c:v>1.3100000000000003</c:v>
                </c:pt>
                <c:pt idx="4014">
                  <c:v>1.3100000000000003</c:v>
                </c:pt>
                <c:pt idx="4015">
                  <c:v>1.3100000000000003</c:v>
                </c:pt>
                <c:pt idx="4016">
                  <c:v>1.3100000000000003</c:v>
                </c:pt>
                <c:pt idx="4017">
                  <c:v>1.8400000000000003</c:v>
                </c:pt>
                <c:pt idx="4018">
                  <c:v>1.8400000000000003</c:v>
                </c:pt>
                <c:pt idx="4019">
                  <c:v>1.8400000000000003</c:v>
                </c:pt>
                <c:pt idx="4020">
                  <c:v>1.8400000000000003</c:v>
                </c:pt>
                <c:pt idx="4021">
                  <c:v>1.3100000000000003</c:v>
                </c:pt>
                <c:pt idx="4022">
                  <c:v>1.3100000000000003</c:v>
                </c:pt>
                <c:pt idx="4023">
                  <c:v>1.3100000000000003</c:v>
                </c:pt>
                <c:pt idx="4024">
                  <c:v>1.3100000000000003</c:v>
                </c:pt>
                <c:pt idx="4025">
                  <c:v>1.8400000000000003</c:v>
                </c:pt>
                <c:pt idx="4026">
                  <c:v>1.8400000000000003</c:v>
                </c:pt>
                <c:pt idx="4027">
                  <c:v>1.8400000000000003</c:v>
                </c:pt>
                <c:pt idx="4028">
                  <c:v>1.8400000000000003</c:v>
                </c:pt>
                <c:pt idx="4029">
                  <c:v>1.3100000000000003</c:v>
                </c:pt>
                <c:pt idx="4030">
                  <c:v>1.3100000000000003</c:v>
                </c:pt>
                <c:pt idx="4031">
                  <c:v>1.3100000000000003</c:v>
                </c:pt>
                <c:pt idx="4032">
                  <c:v>1.3100000000000003</c:v>
                </c:pt>
                <c:pt idx="4033">
                  <c:v>1.8400000000000003</c:v>
                </c:pt>
                <c:pt idx="4034">
                  <c:v>1.8400000000000003</c:v>
                </c:pt>
                <c:pt idx="4035">
                  <c:v>1.8400000000000003</c:v>
                </c:pt>
                <c:pt idx="4036">
                  <c:v>1.8400000000000003</c:v>
                </c:pt>
                <c:pt idx="4037">
                  <c:v>1.3100000000000003</c:v>
                </c:pt>
                <c:pt idx="4038">
                  <c:v>1.3100000000000003</c:v>
                </c:pt>
                <c:pt idx="4039">
                  <c:v>1.3100000000000003</c:v>
                </c:pt>
                <c:pt idx="4040">
                  <c:v>1.3100000000000003</c:v>
                </c:pt>
                <c:pt idx="4041">
                  <c:v>1.8400000000000003</c:v>
                </c:pt>
                <c:pt idx="4042">
                  <c:v>1.8400000000000003</c:v>
                </c:pt>
                <c:pt idx="4043">
                  <c:v>1.8400000000000003</c:v>
                </c:pt>
                <c:pt idx="4044">
                  <c:v>1.8400000000000003</c:v>
                </c:pt>
                <c:pt idx="4045">
                  <c:v>1.3100000000000003</c:v>
                </c:pt>
                <c:pt idx="4046">
                  <c:v>1.3100000000000003</c:v>
                </c:pt>
                <c:pt idx="4047">
                  <c:v>1.3100000000000003</c:v>
                </c:pt>
                <c:pt idx="4048">
                  <c:v>1.3100000000000003</c:v>
                </c:pt>
                <c:pt idx="4049">
                  <c:v>1.8400000000000003</c:v>
                </c:pt>
                <c:pt idx="4050">
                  <c:v>1.8400000000000003</c:v>
                </c:pt>
                <c:pt idx="4051">
                  <c:v>1.8400000000000003</c:v>
                </c:pt>
                <c:pt idx="4052">
                  <c:v>1.8400000000000003</c:v>
                </c:pt>
                <c:pt idx="4053">
                  <c:v>1.3100000000000003</c:v>
                </c:pt>
                <c:pt idx="4054">
                  <c:v>1.3100000000000003</c:v>
                </c:pt>
                <c:pt idx="4055">
                  <c:v>1.3100000000000003</c:v>
                </c:pt>
                <c:pt idx="4056">
                  <c:v>1.3100000000000003</c:v>
                </c:pt>
                <c:pt idx="4057">
                  <c:v>1.8400000000000003</c:v>
                </c:pt>
                <c:pt idx="4058">
                  <c:v>1.8400000000000003</c:v>
                </c:pt>
                <c:pt idx="4059">
                  <c:v>1.8400000000000003</c:v>
                </c:pt>
                <c:pt idx="4060">
                  <c:v>1.8400000000000003</c:v>
                </c:pt>
                <c:pt idx="4061">
                  <c:v>1.3100000000000003</c:v>
                </c:pt>
                <c:pt idx="4062">
                  <c:v>1.3100000000000003</c:v>
                </c:pt>
                <c:pt idx="4063">
                  <c:v>1.3100000000000003</c:v>
                </c:pt>
                <c:pt idx="4064">
                  <c:v>1.3100000000000003</c:v>
                </c:pt>
                <c:pt idx="4065">
                  <c:v>1.8400000000000003</c:v>
                </c:pt>
                <c:pt idx="4066">
                  <c:v>1.8400000000000003</c:v>
                </c:pt>
                <c:pt idx="4067">
                  <c:v>1.8400000000000003</c:v>
                </c:pt>
                <c:pt idx="4068">
                  <c:v>1.8400000000000003</c:v>
                </c:pt>
                <c:pt idx="4069">
                  <c:v>1.3100000000000003</c:v>
                </c:pt>
                <c:pt idx="4070">
                  <c:v>1.3100000000000003</c:v>
                </c:pt>
                <c:pt idx="4071">
                  <c:v>1.3100000000000003</c:v>
                </c:pt>
                <c:pt idx="4072">
                  <c:v>1.3100000000000003</c:v>
                </c:pt>
                <c:pt idx="4073">
                  <c:v>1.8400000000000003</c:v>
                </c:pt>
                <c:pt idx="4074">
                  <c:v>1.8400000000000003</c:v>
                </c:pt>
                <c:pt idx="4075">
                  <c:v>1.8400000000000003</c:v>
                </c:pt>
                <c:pt idx="4076">
                  <c:v>1.8400000000000003</c:v>
                </c:pt>
                <c:pt idx="4077">
                  <c:v>1.3100000000000003</c:v>
                </c:pt>
                <c:pt idx="4078">
                  <c:v>1.3100000000000003</c:v>
                </c:pt>
                <c:pt idx="4079">
                  <c:v>1.3100000000000003</c:v>
                </c:pt>
                <c:pt idx="4080">
                  <c:v>1.3100000000000003</c:v>
                </c:pt>
                <c:pt idx="4081">
                  <c:v>1.8400000000000003</c:v>
                </c:pt>
                <c:pt idx="4082">
                  <c:v>1.8400000000000003</c:v>
                </c:pt>
                <c:pt idx="4083">
                  <c:v>1.8400000000000003</c:v>
                </c:pt>
                <c:pt idx="4084">
                  <c:v>1.8400000000000003</c:v>
                </c:pt>
                <c:pt idx="4085">
                  <c:v>1.3100000000000003</c:v>
                </c:pt>
                <c:pt idx="4086">
                  <c:v>1.3100000000000003</c:v>
                </c:pt>
                <c:pt idx="4087">
                  <c:v>1.3100000000000003</c:v>
                </c:pt>
                <c:pt idx="4088">
                  <c:v>1.3100000000000003</c:v>
                </c:pt>
                <c:pt idx="4089">
                  <c:v>1.8400000000000003</c:v>
                </c:pt>
                <c:pt idx="4090">
                  <c:v>1.8400000000000003</c:v>
                </c:pt>
                <c:pt idx="4091">
                  <c:v>1.8400000000000003</c:v>
                </c:pt>
                <c:pt idx="4092">
                  <c:v>1.8400000000000003</c:v>
                </c:pt>
                <c:pt idx="4093">
                  <c:v>1.3100000000000003</c:v>
                </c:pt>
                <c:pt idx="4094">
                  <c:v>1.3100000000000003</c:v>
                </c:pt>
                <c:pt idx="4095">
                  <c:v>1.3100000000000003</c:v>
                </c:pt>
                <c:pt idx="4096">
                  <c:v>1.3100000000000003</c:v>
                </c:pt>
                <c:pt idx="4097">
                  <c:v>1.8400000000000003</c:v>
                </c:pt>
                <c:pt idx="4098">
                  <c:v>1.8400000000000003</c:v>
                </c:pt>
                <c:pt idx="4099">
                  <c:v>1.8400000000000003</c:v>
                </c:pt>
                <c:pt idx="4100">
                  <c:v>1.8400000000000003</c:v>
                </c:pt>
                <c:pt idx="4101">
                  <c:v>1.3100000000000003</c:v>
                </c:pt>
                <c:pt idx="4102">
                  <c:v>1.3100000000000003</c:v>
                </c:pt>
                <c:pt idx="4103">
                  <c:v>1.3100000000000003</c:v>
                </c:pt>
                <c:pt idx="4104">
                  <c:v>1.3100000000000003</c:v>
                </c:pt>
                <c:pt idx="4105">
                  <c:v>1.8400000000000003</c:v>
                </c:pt>
                <c:pt idx="4106">
                  <c:v>1.8400000000000003</c:v>
                </c:pt>
                <c:pt idx="4107">
                  <c:v>1.8400000000000003</c:v>
                </c:pt>
                <c:pt idx="4108">
                  <c:v>1.8400000000000003</c:v>
                </c:pt>
                <c:pt idx="4109">
                  <c:v>1.3100000000000003</c:v>
                </c:pt>
                <c:pt idx="4110">
                  <c:v>1.3100000000000003</c:v>
                </c:pt>
                <c:pt idx="4111">
                  <c:v>1.3100000000000003</c:v>
                </c:pt>
                <c:pt idx="4112">
                  <c:v>1.3100000000000003</c:v>
                </c:pt>
                <c:pt idx="4113">
                  <c:v>1.8400000000000003</c:v>
                </c:pt>
                <c:pt idx="4114">
                  <c:v>1.8400000000000003</c:v>
                </c:pt>
                <c:pt idx="4115">
                  <c:v>1.8400000000000003</c:v>
                </c:pt>
                <c:pt idx="4116">
                  <c:v>1.8400000000000003</c:v>
                </c:pt>
                <c:pt idx="4117">
                  <c:v>1.3100000000000003</c:v>
                </c:pt>
                <c:pt idx="4118">
                  <c:v>1.3100000000000003</c:v>
                </c:pt>
                <c:pt idx="4119">
                  <c:v>1.3100000000000003</c:v>
                </c:pt>
                <c:pt idx="4120">
                  <c:v>1.3100000000000003</c:v>
                </c:pt>
                <c:pt idx="4121">
                  <c:v>1.8400000000000003</c:v>
                </c:pt>
                <c:pt idx="4122">
                  <c:v>1.8400000000000003</c:v>
                </c:pt>
                <c:pt idx="4123">
                  <c:v>1.8400000000000003</c:v>
                </c:pt>
                <c:pt idx="4124">
                  <c:v>1.8400000000000003</c:v>
                </c:pt>
                <c:pt idx="4125">
                  <c:v>1.3100000000000003</c:v>
                </c:pt>
                <c:pt idx="4126">
                  <c:v>1.3100000000000003</c:v>
                </c:pt>
                <c:pt idx="4127">
                  <c:v>1.3100000000000003</c:v>
                </c:pt>
                <c:pt idx="4128">
                  <c:v>1.3100000000000003</c:v>
                </c:pt>
                <c:pt idx="4129">
                  <c:v>1.8400000000000003</c:v>
                </c:pt>
                <c:pt idx="4130">
                  <c:v>1.8400000000000003</c:v>
                </c:pt>
                <c:pt idx="4131">
                  <c:v>1.8400000000000003</c:v>
                </c:pt>
                <c:pt idx="4132">
                  <c:v>1.8400000000000003</c:v>
                </c:pt>
                <c:pt idx="4133">
                  <c:v>1.3100000000000003</c:v>
                </c:pt>
                <c:pt idx="4134">
                  <c:v>1.3100000000000003</c:v>
                </c:pt>
                <c:pt idx="4135">
                  <c:v>1.3100000000000003</c:v>
                </c:pt>
                <c:pt idx="4136">
                  <c:v>1.3100000000000003</c:v>
                </c:pt>
                <c:pt idx="4137">
                  <c:v>1.8400000000000003</c:v>
                </c:pt>
                <c:pt idx="4138">
                  <c:v>1.8400000000000003</c:v>
                </c:pt>
                <c:pt idx="4139">
                  <c:v>1.8400000000000003</c:v>
                </c:pt>
                <c:pt idx="4140">
                  <c:v>1.8400000000000003</c:v>
                </c:pt>
                <c:pt idx="4141">
                  <c:v>1.3100000000000003</c:v>
                </c:pt>
                <c:pt idx="4142">
                  <c:v>1.3100000000000003</c:v>
                </c:pt>
                <c:pt idx="4143">
                  <c:v>1.3100000000000003</c:v>
                </c:pt>
                <c:pt idx="4144">
                  <c:v>1.3100000000000003</c:v>
                </c:pt>
                <c:pt idx="4145">
                  <c:v>1.8400000000000003</c:v>
                </c:pt>
                <c:pt idx="4146">
                  <c:v>1.8400000000000003</c:v>
                </c:pt>
                <c:pt idx="4147">
                  <c:v>1.8400000000000003</c:v>
                </c:pt>
                <c:pt idx="4148">
                  <c:v>1.8400000000000003</c:v>
                </c:pt>
                <c:pt idx="4149">
                  <c:v>1.3100000000000003</c:v>
                </c:pt>
                <c:pt idx="4150">
                  <c:v>1.3100000000000003</c:v>
                </c:pt>
                <c:pt idx="4151">
                  <c:v>1.3100000000000003</c:v>
                </c:pt>
                <c:pt idx="4152">
                  <c:v>1.3100000000000003</c:v>
                </c:pt>
                <c:pt idx="4153">
                  <c:v>1.8400000000000003</c:v>
                </c:pt>
                <c:pt idx="4154">
                  <c:v>1.8400000000000003</c:v>
                </c:pt>
                <c:pt idx="4155">
                  <c:v>1.8400000000000003</c:v>
                </c:pt>
                <c:pt idx="4156">
                  <c:v>1.8400000000000003</c:v>
                </c:pt>
                <c:pt idx="4157">
                  <c:v>1.3100000000000003</c:v>
                </c:pt>
                <c:pt idx="4158">
                  <c:v>1.3100000000000003</c:v>
                </c:pt>
                <c:pt idx="4159">
                  <c:v>1.3100000000000003</c:v>
                </c:pt>
                <c:pt idx="4160">
                  <c:v>1.3100000000000003</c:v>
                </c:pt>
                <c:pt idx="4161">
                  <c:v>1.8400000000000003</c:v>
                </c:pt>
                <c:pt idx="4162">
                  <c:v>1.8400000000000003</c:v>
                </c:pt>
                <c:pt idx="4163">
                  <c:v>1.8400000000000003</c:v>
                </c:pt>
                <c:pt idx="4164">
                  <c:v>1.8400000000000003</c:v>
                </c:pt>
                <c:pt idx="4165">
                  <c:v>1.3100000000000003</c:v>
                </c:pt>
                <c:pt idx="4166">
                  <c:v>1.3100000000000003</c:v>
                </c:pt>
                <c:pt idx="4167">
                  <c:v>1.3100000000000003</c:v>
                </c:pt>
                <c:pt idx="4168">
                  <c:v>1.3100000000000003</c:v>
                </c:pt>
                <c:pt idx="4169">
                  <c:v>1.8400000000000003</c:v>
                </c:pt>
                <c:pt idx="4170">
                  <c:v>1.8400000000000003</c:v>
                </c:pt>
                <c:pt idx="4171">
                  <c:v>1.8400000000000003</c:v>
                </c:pt>
                <c:pt idx="4172">
                  <c:v>1.8400000000000003</c:v>
                </c:pt>
                <c:pt idx="4173">
                  <c:v>1.3100000000000003</c:v>
                </c:pt>
                <c:pt idx="4174">
                  <c:v>1.3100000000000003</c:v>
                </c:pt>
                <c:pt idx="4175">
                  <c:v>1.3100000000000003</c:v>
                </c:pt>
                <c:pt idx="4176">
                  <c:v>1.3100000000000003</c:v>
                </c:pt>
                <c:pt idx="4177">
                  <c:v>1.8400000000000003</c:v>
                </c:pt>
                <c:pt idx="4178">
                  <c:v>1.8400000000000003</c:v>
                </c:pt>
                <c:pt idx="4179">
                  <c:v>1.8400000000000003</c:v>
                </c:pt>
                <c:pt idx="4180">
                  <c:v>1.8400000000000003</c:v>
                </c:pt>
                <c:pt idx="4181">
                  <c:v>1.3100000000000003</c:v>
                </c:pt>
                <c:pt idx="4182">
                  <c:v>1.3100000000000003</c:v>
                </c:pt>
                <c:pt idx="4183">
                  <c:v>1.3100000000000003</c:v>
                </c:pt>
                <c:pt idx="4184">
                  <c:v>1.3100000000000003</c:v>
                </c:pt>
                <c:pt idx="4185">
                  <c:v>1.8400000000000003</c:v>
                </c:pt>
                <c:pt idx="4186">
                  <c:v>1.8400000000000003</c:v>
                </c:pt>
                <c:pt idx="4187">
                  <c:v>1.8400000000000003</c:v>
                </c:pt>
                <c:pt idx="4188">
                  <c:v>1.8400000000000003</c:v>
                </c:pt>
                <c:pt idx="4189">
                  <c:v>1.3100000000000003</c:v>
                </c:pt>
                <c:pt idx="4190">
                  <c:v>1.3100000000000003</c:v>
                </c:pt>
                <c:pt idx="4191">
                  <c:v>1.3100000000000003</c:v>
                </c:pt>
                <c:pt idx="4192">
                  <c:v>1.3100000000000003</c:v>
                </c:pt>
                <c:pt idx="4193">
                  <c:v>1.8400000000000003</c:v>
                </c:pt>
                <c:pt idx="4194">
                  <c:v>1.8400000000000003</c:v>
                </c:pt>
                <c:pt idx="4195">
                  <c:v>1.8400000000000003</c:v>
                </c:pt>
                <c:pt idx="4196">
                  <c:v>1.8400000000000003</c:v>
                </c:pt>
                <c:pt idx="4197">
                  <c:v>1.3100000000000003</c:v>
                </c:pt>
                <c:pt idx="4198">
                  <c:v>1.3100000000000003</c:v>
                </c:pt>
                <c:pt idx="4199">
                  <c:v>1.3100000000000003</c:v>
                </c:pt>
                <c:pt idx="4200">
                  <c:v>1.3100000000000003</c:v>
                </c:pt>
                <c:pt idx="4201">
                  <c:v>1.8400000000000003</c:v>
                </c:pt>
                <c:pt idx="4202">
                  <c:v>1.8400000000000003</c:v>
                </c:pt>
                <c:pt idx="4203">
                  <c:v>1.8400000000000003</c:v>
                </c:pt>
                <c:pt idx="4204">
                  <c:v>1.8400000000000003</c:v>
                </c:pt>
                <c:pt idx="4205">
                  <c:v>1.3100000000000003</c:v>
                </c:pt>
                <c:pt idx="4206">
                  <c:v>1.3100000000000003</c:v>
                </c:pt>
                <c:pt idx="4207">
                  <c:v>1.3100000000000003</c:v>
                </c:pt>
                <c:pt idx="4208">
                  <c:v>1.3100000000000003</c:v>
                </c:pt>
                <c:pt idx="4209">
                  <c:v>1.8400000000000003</c:v>
                </c:pt>
                <c:pt idx="4210">
                  <c:v>1.8400000000000003</c:v>
                </c:pt>
                <c:pt idx="4211">
                  <c:v>1.8400000000000003</c:v>
                </c:pt>
                <c:pt idx="4212">
                  <c:v>1.8400000000000003</c:v>
                </c:pt>
                <c:pt idx="4213">
                  <c:v>1.3100000000000003</c:v>
                </c:pt>
                <c:pt idx="4214">
                  <c:v>1.3100000000000003</c:v>
                </c:pt>
                <c:pt idx="4215">
                  <c:v>1.3100000000000003</c:v>
                </c:pt>
                <c:pt idx="4216">
                  <c:v>1.3100000000000003</c:v>
                </c:pt>
                <c:pt idx="4217">
                  <c:v>1.8400000000000003</c:v>
                </c:pt>
                <c:pt idx="4218">
                  <c:v>1.8400000000000003</c:v>
                </c:pt>
                <c:pt idx="4219">
                  <c:v>1.8400000000000003</c:v>
                </c:pt>
                <c:pt idx="4220">
                  <c:v>1.8400000000000003</c:v>
                </c:pt>
                <c:pt idx="4221">
                  <c:v>1.3100000000000003</c:v>
                </c:pt>
                <c:pt idx="4222">
                  <c:v>1.3100000000000003</c:v>
                </c:pt>
                <c:pt idx="4223">
                  <c:v>1.3100000000000003</c:v>
                </c:pt>
                <c:pt idx="4224">
                  <c:v>1.3100000000000003</c:v>
                </c:pt>
                <c:pt idx="4225">
                  <c:v>1.8400000000000003</c:v>
                </c:pt>
                <c:pt idx="4226">
                  <c:v>1.8400000000000003</c:v>
                </c:pt>
                <c:pt idx="4227">
                  <c:v>1.8400000000000003</c:v>
                </c:pt>
                <c:pt idx="4228">
                  <c:v>1.8400000000000003</c:v>
                </c:pt>
                <c:pt idx="4229">
                  <c:v>1.3100000000000003</c:v>
                </c:pt>
                <c:pt idx="4230">
                  <c:v>1.3100000000000003</c:v>
                </c:pt>
                <c:pt idx="4231">
                  <c:v>1.3100000000000003</c:v>
                </c:pt>
                <c:pt idx="4232">
                  <c:v>1.3100000000000003</c:v>
                </c:pt>
                <c:pt idx="4233">
                  <c:v>1.8400000000000003</c:v>
                </c:pt>
                <c:pt idx="4234">
                  <c:v>1.8400000000000003</c:v>
                </c:pt>
                <c:pt idx="4235">
                  <c:v>1.8400000000000003</c:v>
                </c:pt>
                <c:pt idx="4236">
                  <c:v>1.8400000000000003</c:v>
                </c:pt>
                <c:pt idx="4237">
                  <c:v>1.3100000000000003</c:v>
                </c:pt>
                <c:pt idx="4238">
                  <c:v>1.3100000000000003</c:v>
                </c:pt>
                <c:pt idx="4239">
                  <c:v>1.3100000000000003</c:v>
                </c:pt>
                <c:pt idx="4240">
                  <c:v>1.3100000000000003</c:v>
                </c:pt>
                <c:pt idx="4241">
                  <c:v>1.8400000000000003</c:v>
                </c:pt>
                <c:pt idx="4242">
                  <c:v>1.8400000000000003</c:v>
                </c:pt>
                <c:pt idx="4243">
                  <c:v>1.8400000000000003</c:v>
                </c:pt>
                <c:pt idx="4244">
                  <c:v>1.8400000000000003</c:v>
                </c:pt>
                <c:pt idx="4245">
                  <c:v>1.3100000000000003</c:v>
                </c:pt>
                <c:pt idx="4246">
                  <c:v>1.3100000000000003</c:v>
                </c:pt>
                <c:pt idx="4247">
                  <c:v>1.3100000000000003</c:v>
                </c:pt>
                <c:pt idx="4248">
                  <c:v>1.3100000000000003</c:v>
                </c:pt>
                <c:pt idx="4249">
                  <c:v>1.8400000000000003</c:v>
                </c:pt>
                <c:pt idx="4250">
                  <c:v>1.8400000000000003</c:v>
                </c:pt>
                <c:pt idx="4251">
                  <c:v>1.8400000000000003</c:v>
                </c:pt>
                <c:pt idx="4252">
                  <c:v>1.8400000000000003</c:v>
                </c:pt>
                <c:pt idx="4253">
                  <c:v>1.3100000000000003</c:v>
                </c:pt>
                <c:pt idx="4254">
                  <c:v>1.3100000000000003</c:v>
                </c:pt>
                <c:pt idx="4255">
                  <c:v>1.3100000000000003</c:v>
                </c:pt>
                <c:pt idx="4256">
                  <c:v>1.3100000000000003</c:v>
                </c:pt>
                <c:pt idx="4257">
                  <c:v>1.8400000000000003</c:v>
                </c:pt>
                <c:pt idx="4258">
                  <c:v>1.8400000000000003</c:v>
                </c:pt>
                <c:pt idx="4259">
                  <c:v>1.8400000000000003</c:v>
                </c:pt>
                <c:pt idx="4260">
                  <c:v>1.8400000000000003</c:v>
                </c:pt>
                <c:pt idx="4261">
                  <c:v>1.3100000000000003</c:v>
                </c:pt>
                <c:pt idx="4262">
                  <c:v>1.3100000000000003</c:v>
                </c:pt>
                <c:pt idx="4263">
                  <c:v>1.3100000000000003</c:v>
                </c:pt>
                <c:pt idx="4264">
                  <c:v>1.3100000000000003</c:v>
                </c:pt>
                <c:pt idx="4265">
                  <c:v>1.8400000000000003</c:v>
                </c:pt>
                <c:pt idx="4266">
                  <c:v>1.8400000000000003</c:v>
                </c:pt>
                <c:pt idx="4267">
                  <c:v>1.8400000000000003</c:v>
                </c:pt>
                <c:pt idx="4268">
                  <c:v>1.8400000000000003</c:v>
                </c:pt>
                <c:pt idx="4269">
                  <c:v>1.3100000000000003</c:v>
                </c:pt>
                <c:pt idx="4270">
                  <c:v>1.3100000000000003</c:v>
                </c:pt>
                <c:pt idx="4271">
                  <c:v>1.3100000000000003</c:v>
                </c:pt>
                <c:pt idx="4272">
                  <c:v>1.3100000000000003</c:v>
                </c:pt>
                <c:pt idx="4273">
                  <c:v>1.8400000000000003</c:v>
                </c:pt>
                <c:pt idx="4274">
                  <c:v>1.8400000000000003</c:v>
                </c:pt>
                <c:pt idx="4275">
                  <c:v>1.8400000000000003</c:v>
                </c:pt>
                <c:pt idx="4276">
                  <c:v>1.8400000000000003</c:v>
                </c:pt>
                <c:pt idx="4277">
                  <c:v>1.3100000000000003</c:v>
                </c:pt>
                <c:pt idx="4278">
                  <c:v>1.3100000000000003</c:v>
                </c:pt>
                <c:pt idx="4279">
                  <c:v>1.3100000000000003</c:v>
                </c:pt>
                <c:pt idx="4280">
                  <c:v>1.3100000000000003</c:v>
                </c:pt>
                <c:pt idx="4281">
                  <c:v>1.8400000000000003</c:v>
                </c:pt>
                <c:pt idx="4282">
                  <c:v>1.8400000000000003</c:v>
                </c:pt>
                <c:pt idx="4283">
                  <c:v>1.8400000000000003</c:v>
                </c:pt>
                <c:pt idx="4284">
                  <c:v>1.8400000000000003</c:v>
                </c:pt>
                <c:pt idx="4285">
                  <c:v>1.3100000000000003</c:v>
                </c:pt>
                <c:pt idx="4286">
                  <c:v>1.3100000000000003</c:v>
                </c:pt>
                <c:pt idx="4287">
                  <c:v>1.3100000000000003</c:v>
                </c:pt>
                <c:pt idx="4288">
                  <c:v>1.3100000000000003</c:v>
                </c:pt>
                <c:pt idx="4289">
                  <c:v>1.8400000000000003</c:v>
                </c:pt>
                <c:pt idx="4290">
                  <c:v>1.8400000000000003</c:v>
                </c:pt>
                <c:pt idx="4291">
                  <c:v>1.8400000000000003</c:v>
                </c:pt>
                <c:pt idx="4292">
                  <c:v>1.8400000000000003</c:v>
                </c:pt>
                <c:pt idx="4293">
                  <c:v>1.3100000000000003</c:v>
                </c:pt>
                <c:pt idx="4294">
                  <c:v>1.3100000000000003</c:v>
                </c:pt>
                <c:pt idx="4295">
                  <c:v>1.3100000000000003</c:v>
                </c:pt>
                <c:pt idx="4296">
                  <c:v>1.3100000000000003</c:v>
                </c:pt>
                <c:pt idx="4297">
                  <c:v>1.8400000000000003</c:v>
                </c:pt>
                <c:pt idx="4298">
                  <c:v>1.8400000000000003</c:v>
                </c:pt>
                <c:pt idx="4299">
                  <c:v>1.8400000000000003</c:v>
                </c:pt>
                <c:pt idx="4300">
                  <c:v>1.8400000000000003</c:v>
                </c:pt>
                <c:pt idx="4301">
                  <c:v>1.3100000000000003</c:v>
                </c:pt>
                <c:pt idx="4302">
                  <c:v>1.3100000000000003</c:v>
                </c:pt>
                <c:pt idx="4303">
                  <c:v>1.3100000000000003</c:v>
                </c:pt>
                <c:pt idx="4304">
                  <c:v>1.3100000000000003</c:v>
                </c:pt>
                <c:pt idx="4305">
                  <c:v>1.8400000000000003</c:v>
                </c:pt>
                <c:pt idx="4306">
                  <c:v>1.8400000000000003</c:v>
                </c:pt>
                <c:pt idx="4307">
                  <c:v>1.8400000000000003</c:v>
                </c:pt>
                <c:pt idx="4308">
                  <c:v>1.8400000000000003</c:v>
                </c:pt>
                <c:pt idx="4309">
                  <c:v>1.3100000000000003</c:v>
                </c:pt>
                <c:pt idx="4310">
                  <c:v>1.3100000000000003</c:v>
                </c:pt>
                <c:pt idx="4311">
                  <c:v>1.3100000000000003</c:v>
                </c:pt>
                <c:pt idx="4312">
                  <c:v>1.3100000000000003</c:v>
                </c:pt>
                <c:pt idx="4313">
                  <c:v>1.8400000000000003</c:v>
                </c:pt>
                <c:pt idx="4314">
                  <c:v>1.8400000000000003</c:v>
                </c:pt>
                <c:pt idx="4315">
                  <c:v>1.8400000000000003</c:v>
                </c:pt>
                <c:pt idx="4316">
                  <c:v>1.8400000000000003</c:v>
                </c:pt>
                <c:pt idx="4317">
                  <c:v>1.3100000000000003</c:v>
                </c:pt>
                <c:pt idx="4318">
                  <c:v>1.3100000000000003</c:v>
                </c:pt>
                <c:pt idx="4319">
                  <c:v>1.3100000000000003</c:v>
                </c:pt>
                <c:pt idx="4320">
                  <c:v>1.3100000000000003</c:v>
                </c:pt>
                <c:pt idx="4321">
                  <c:v>1.8400000000000003</c:v>
                </c:pt>
                <c:pt idx="4322">
                  <c:v>1.8400000000000003</c:v>
                </c:pt>
                <c:pt idx="4323">
                  <c:v>1.8400000000000003</c:v>
                </c:pt>
                <c:pt idx="4324">
                  <c:v>1.8400000000000003</c:v>
                </c:pt>
                <c:pt idx="4325">
                  <c:v>1.3100000000000003</c:v>
                </c:pt>
                <c:pt idx="4326">
                  <c:v>1.3100000000000003</c:v>
                </c:pt>
                <c:pt idx="4327">
                  <c:v>1.3100000000000003</c:v>
                </c:pt>
                <c:pt idx="4328">
                  <c:v>1.3100000000000003</c:v>
                </c:pt>
                <c:pt idx="4329">
                  <c:v>1.8400000000000003</c:v>
                </c:pt>
                <c:pt idx="4330">
                  <c:v>1.8400000000000003</c:v>
                </c:pt>
                <c:pt idx="4331">
                  <c:v>1.8400000000000003</c:v>
                </c:pt>
                <c:pt idx="4332">
                  <c:v>1.8400000000000003</c:v>
                </c:pt>
                <c:pt idx="4333">
                  <c:v>1.3100000000000003</c:v>
                </c:pt>
                <c:pt idx="4334">
                  <c:v>1.3100000000000003</c:v>
                </c:pt>
                <c:pt idx="4335">
                  <c:v>1.3100000000000003</c:v>
                </c:pt>
                <c:pt idx="4336">
                  <c:v>1.3100000000000003</c:v>
                </c:pt>
                <c:pt idx="4337">
                  <c:v>1.3100000000000003</c:v>
                </c:pt>
                <c:pt idx="4338">
                  <c:v>1.3100000000000003</c:v>
                </c:pt>
                <c:pt idx="4339">
                  <c:v>1.8400000000000003</c:v>
                </c:pt>
                <c:pt idx="4340">
                  <c:v>1.8400000000000003</c:v>
                </c:pt>
                <c:pt idx="4341">
                  <c:v>1.8400000000000003</c:v>
                </c:pt>
                <c:pt idx="4342">
                  <c:v>1.8400000000000003</c:v>
                </c:pt>
                <c:pt idx="4343">
                  <c:v>1.3100000000000003</c:v>
                </c:pt>
                <c:pt idx="4344">
                  <c:v>1.3100000000000003</c:v>
                </c:pt>
                <c:pt idx="4345">
                  <c:v>1.3100000000000003</c:v>
                </c:pt>
                <c:pt idx="4346">
                  <c:v>1.3100000000000003</c:v>
                </c:pt>
                <c:pt idx="4347">
                  <c:v>1.8400000000000003</c:v>
                </c:pt>
                <c:pt idx="4348">
                  <c:v>1.8400000000000003</c:v>
                </c:pt>
                <c:pt idx="4349">
                  <c:v>1.8400000000000003</c:v>
                </c:pt>
                <c:pt idx="4350">
                  <c:v>1.8400000000000003</c:v>
                </c:pt>
                <c:pt idx="4351">
                  <c:v>1.3100000000000003</c:v>
                </c:pt>
                <c:pt idx="4352">
                  <c:v>1.3100000000000003</c:v>
                </c:pt>
                <c:pt idx="4353">
                  <c:v>1.3100000000000003</c:v>
                </c:pt>
                <c:pt idx="4354">
                  <c:v>1.3100000000000003</c:v>
                </c:pt>
                <c:pt idx="4355">
                  <c:v>1.8400000000000003</c:v>
                </c:pt>
                <c:pt idx="4356">
                  <c:v>1.8400000000000003</c:v>
                </c:pt>
                <c:pt idx="4357">
                  <c:v>1.8400000000000003</c:v>
                </c:pt>
                <c:pt idx="4358">
                  <c:v>1.8400000000000003</c:v>
                </c:pt>
                <c:pt idx="4359">
                  <c:v>1.3100000000000003</c:v>
                </c:pt>
                <c:pt idx="4360">
                  <c:v>1.3100000000000003</c:v>
                </c:pt>
                <c:pt idx="4361">
                  <c:v>1.3100000000000003</c:v>
                </c:pt>
                <c:pt idx="4362">
                  <c:v>1.3100000000000003</c:v>
                </c:pt>
                <c:pt idx="4363">
                  <c:v>1.8400000000000003</c:v>
                </c:pt>
                <c:pt idx="4364">
                  <c:v>1.8400000000000003</c:v>
                </c:pt>
                <c:pt idx="4365">
                  <c:v>1.8400000000000003</c:v>
                </c:pt>
                <c:pt idx="4366">
                  <c:v>1.8400000000000003</c:v>
                </c:pt>
                <c:pt idx="4367">
                  <c:v>1.3100000000000003</c:v>
                </c:pt>
                <c:pt idx="4368">
                  <c:v>1.3100000000000003</c:v>
                </c:pt>
                <c:pt idx="4369">
                  <c:v>1.3100000000000003</c:v>
                </c:pt>
                <c:pt idx="4370">
                  <c:v>1.3100000000000003</c:v>
                </c:pt>
                <c:pt idx="4371">
                  <c:v>1.8400000000000003</c:v>
                </c:pt>
                <c:pt idx="4372">
                  <c:v>1.8400000000000003</c:v>
                </c:pt>
                <c:pt idx="4373">
                  <c:v>1.8400000000000003</c:v>
                </c:pt>
                <c:pt idx="4374">
                  <c:v>1.8400000000000003</c:v>
                </c:pt>
                <c:pt idx="4375">
                  <c:v>1.3100000000000003</c:v>
                </c:pt>
                <c:pt idx="4376">
                  <c:v>1.3100000000000003</c:v>
                </c:pt>
                <c:pt idx="4377">
                  <c:v>1.3100000000000003</c:v>
                </c:pt>
                <c:pt idx="4378">
                  <c:v>1.3100000000000003</c:v>
                </c:pt>
                <c:pt idx="4379">
                  <c:v>1.8400000000000003</c:v>
                </c:pt>
                <c:pt idx="4380">
                  <c:v>1.8400000000000003</c:v>
                </c:pt>
                <c:pt idx="4381">
                  <c:v>1.8400000000000003</c:v>
                </c:pt>
                <c:pt idx="4382">
                  <c:v>1.8400000000000003</c:v>
                </c:pt>
                <c:pt idx="4383">
                  <c:v>1.3100000000000003</c:v>
                </c:pt>
                <c:pt idx="4384">
                  <c:v>1.3100000000000003</c:v>
                </c:pt>
                <c:pt idx="4385">
                  <c:v>1.3100000000000003</c:v>
                </c:pt>
                <c:pt idx="4386">
                  <c:v>1.3100000000000003</c:v>
                </c:pt>
                <c:pt idx="4387">
                  <c:v>1.8400000000000003</c:v>
                </c:pt>
                <c:pt idx="4388">
                  <c:v>1.8400000000000003</c:v>
                </c:pt>
                <c:pt idx="4389">
                  <c:v>1.8400000000000003</c:v>
                </c:pt>
                <c:pt idx="4390">
                  <c:v>1.8400000000000003</c:v>
                </c:pt>
                <c:pt idx="4391">
                  <c:v>1.3100000000000003</c:v>
                </c:pt>
                <c:pt idx="4392">
                  <c:v>1.3100000000000003</c:v>
                </c:pt>
                <c:pt idx="4393">
                  <c:v>1.3100000000000003</c:v>
                </c:pt>
                <c:pt idx="4394">
                  <c:v>1.3100000000000003</c:v>
                </c:pt>
                <c:pt idx="4395">
                  <c:v>1.8400000000000003</c:v>
                </c:pt>
                <c:pt idx="4396">
                  <c:v>1.8400000000000003</c:v>
                </c:pt>
                <c:pt idx="4397">
                  <c:v>1.8400000000000003</c:v>
                </c:pt>
                <c:pt idx="4398">
                  <c:v>1.8400000000000003</c:v>
                </c:pt>
                <c:pt idx="4399">
                  <c:v>1.3100000000000003</c:v>
                </c:pt>
                <c:pt idx="4400">
                  <c:v>1.3100000000000003</c:v>
                </c:pt>
                <c:pt idx="4401">
                  <c:v>1.3100000000000003</c:v>
                </c:pt>
                <c:pt idx="4402">
                  <c:v>1.3100000000000003</c:v>
                </c:pt>
                <c:pt idx="4403">
                  <c:v>1.8400000000000003</c:v>
                </c:pt>
                <c:pt idx="4404">
                  <c:v>1.8400000000000003</c:v>
                </c:pt>
                <c:pt idx="4405">
                  <c:v>1.8400000000000003</c:v>
                </c:pt>
                <c:pt idx="4406">
                  <c:v>1.8400000000000003</c:v>
                </c:pt>
                <c:pt idx="4407">
                  <c:v>1.3100000000000003</c:v>
                </c:pt>
                <c:pt idx="4408">
                  <c:v>1.3100000000000003</c:v>
                </c:pt>
                <c:pt idx="4409">
                  <c:v>1.3100000000000003</c:v>
                </c:pt>
                <c:pt idx="4410">
                  <c:v>1.3100000000000003</c:v>
                </c:pt>
                <c:pt idx="4411">
                  <c:v>1.8400000000000003</c:v>
                </c:pt>
                <c:pt idx="4412">
                  <c:v>1.8400000000000003</c:v>
                </c:pt>
                <c:pt idx="4413">
                  <c:v>1.8400000000000003</c:v>
                </c:pt>
                <c:pt idx="4414">
                  <c:v>1.8400000000000003</c:v>
                </c:pt>
                <c:pt idx="4415">
                  <c:v>1.3100000000000003</c:v>
                </c:pt>
                <c:pt idx="4416">
                  <c:v>1.3100000000000003</c:v>
                </c:pt>
                <c:pt idx="4417">
                  <c:v>1.3100000000000003</c:v>
                </c:pt>
                <c:pt idx="4418">
                  <c:v>1.3100000000000003</c:v>
                </c:pt>
                <c:pt idx="4419">
                  <c:v>1.8400000000000003</c:v>
                </c:pt>
                <c:pt idx="4420">
                  <c:v>1.8400000000000003</c:v>
                </c:pt>
                <c:pt idx="4421">
                  <c:v>1.8400000000000003</c:v>
                </c:pt>
                <c:pt idx="4422">
                  <c:v>1.8400000000000003</c:v>
                </c:pt>
                <c:pt idx="4423">
                  <c:v>1.3100000000000003</c:v>
                </c:pt>
                <c:pt idx="4424">
                  <c:v>1.3100000000000003</c:v>
                </c:pt>
                <c:pt idx="4425">
                  <c:v>1.3100000000000003</c:v>
                </c:pt>
                <c:pt idx="4426">
                  <c:v>1.3100000000000003</c:v>
                </c:pt>
                <c:pt idx="4427">
                  <c:v>1.8400000000000003</c:v>
                </c:pt>
                <c:pt idx="4428">
                  <c:v>1.8400000000000003</c:v>
                </c:pt>
                <c:pt idx="4429">
                  <c:v>1.8400000000000003</c:v>
                </c:pt>
                <c:pt idx="4430">
                  <c:v>1.8400000000000003</c:v>
                </c:pt>
                <c:pt idx="4431">
                  <c:v>1.3100000000000003</c:v>
                </c:pt>
                <c:pt idx="4432">
                  <c:v>1.3100000000000003</c:v>
                </c:pt>
                <c:pt idx="4433">
                  <c:v>1.3100000000000003</c:v>
                </c:pt>
                <c:pt idx="4434">
                  <c:v>1.3100000000000003</c:v>
                </c:pt>
                <c:pt idx="4435">
                  <c:v>1.8400000000000003</c:v>
                </c:pt>
                <c:pt idx="4436">
                  <c:v>1.8400000000000003</c:v>
                </c:pt>
                <c:pt idx="4437">
                  <c:v>1.8400000000000003</c:v>
                </c:pt>
                <c:pt idx="4438">
                  <c:v>1.8400000000000003</c:v>
                </c:pt>
                <c:pt idx="4439">
                  <c:v>1.3100000000000003</c:v>
                </c:pt>
                <c:pt idx="4440">
                  <c:v>1.3100000000000003</c:v>
                </c:pt>
                <c:pt idx="4441">
                  <c:v>1.3100000000000003</c:v>
                </c:pt>
                <c:pt idx="4442">
                  <c:v>1.3100000000000003</c:v>
                </c:pt>
                <c:pt idx="4443">
                  <c:v>1.8400000000000003</c:v>
                </c:pt>
                <c:pt idx="4444">
                  <c:v>1.8400000000000003</c:v>
                </c:pt>
                <c:pt idx="4445">
                  <c:v>1.8400000000000003</c:v>
                </c:pt>
                <c:pt idx="4446">
                  <c:v>1.8400000000000003</c:v>
                </c:pt>
                <c:pt idx="4447">
                  <c:v>1.3100000000000003</c:v>
                </c:pt>
                <c:pt idx="4448">
                  <c:v>1.3100000000000003</c:v>
                </c:pt>
                <c:pt idx="4449">
                  <c:v>1.3100000000000003</c:v>
                </c:pt>
                <c:pt idx="4450">
                  <c:v>1.3100000000000003</c:v>
                </c:pt>
                <c:pt idx="4451">
                  <c:v>1.8400000000000003</c:v>
                </c:pt>
                <c:pt idx="4452">
                  <c:v>1.8400000000000003</c:v>
                </c:pt>
                <c:pt idx="4453">
                  <c:v>1.8400000000000003</c:v>
                </c:pt>
                <c:pt idx="4454">
                  <c:v>1.8400000000000003</c:v>
                </c:pt>
                <c:pt idx="4455">
                  <c:v>1.3100000000000003</c:v>
                </c:pt>
                <c:pt idx="4456">
                  <c:v>1.3100000000000003</c:v>
                </c:pt>
                <c:pt idx="4457">
                  <c:v>1.3100000000000003</c:v>
                </c:pt>
                <c:pt idx="4458">
                  <c:v>1.3100000000000003</c:v>
                </c:pt>
                <c:pt idx="4459">
                  <c:v>1.8400000000000003</c:v>
                </c:pt>
                <c:pt idx="4460">
                  <c:v>1.8400000000000003</c:v>
                </c:pt>
                <c:pt idx="4461">
                  <c:v>1.8400000000000003</c:v>
                </c:pt>
                <c:pt idx="4462">
                  <c:v>1.8400000000000003</c:v>
                </c:pt>
                <c:pt idx="4463">
                  <c:v>1.3100000000000003</c:v>
                </c:pt>
                <c:pt idx="4464">
                  <c:v>1.3100000000000003</c:v>
                </c:pt>
                <c:pt idx="4465">
                  <c:v>1.3100000000000003</c:v>
                </c:pt>
                <c:pt idx="4466">
                  <c:v>1.3100000000000003</c:v>
                </c:pt>
                <c:pt idx="4467">
                  <c:v>1.8400000000000003</c:v>
                </c:pt>
                <c:pt idx="4468">
                  <c:v>1.8400000000000003</c:v>
                </c:pt>
                <c:pt idx="4469">
                  <c:v>1.8400000000000003</c:v>
                </c:pt>
                <c:pt idx="4470">
                  <c:v>1.8400000000000003</c:v>
                </c:pt>
                <c:pt idx="4471">
                  <c:v>1.3100000000000003</c:v>
                </c:pt>
                <c:pt idx="4472">
                  <c:v>1.3100000000000003</c:v>
                </c:pt>
                <c:pt idx="4473">
                  <c:v>1.3100000000000003</c:v>
                </c:pt>
                <c:pt idx="4474">
                  <c:v>1.3100000000000003</c:v>
                </c:pt>
                <c:pt idx="4475">
                  <c:v>1.8400000000000003</c:v>
                </c:pt>
                <c:pt idx="4476">
                  <c:v>1.8400000000000003</c:v>
                </c:pt>
                <c:pt idx="4477">
                  <c:v>1.8400000000000003</c:v>
                </c:pt>
                <c:pt idx="4478">
                  <c:v>1.8400000000000003</c:v>
                </c:pt>
                <c:pt idx="4479">
                  <c:v>1.3100000000000003</c:v>
                </c:pt>
                <c:pt idx="4480">
                  <c:v>1.3100000000000003</c:v>
                </c:pt>
                <c:pt idx="4481">
                  <c:v>1.3100000000000003</c:v>
                </c:pt>
                <c:pt idx="4482">
                  <c:v>1.3100000000000003</c:v>
                </c:pt>
                <c:pt idx="4483">
                  <c:v>1.8400000000000003</c:v>
                </c:pt>
                <c:pt idx="4484">
                  <c:v>1.8400000000000003</c:v>
                </c:pt>
                <c:pt idx="4485">
                  <c:v>1.8400000000000003</c:v>
                </c:pt>
                <c:pt idx="4486">
                  <c:v>1.8400000000000003</c:v>
                </c:pt>
                <c:pt idx="4487">
                  <c:v>1.3100000000000003</c:v>
                </c:pt>
                <c:pt idx="4488">
                  <c:v>1.3100000000000003</c:v>
                </c:pt>
                <c:pt idx="4489">
                  <c:v>1.3100000000000003</c:v>
                </c:pt>
                <c:pt idx="4490">
                  <c:v>1.3100000000000003</c:v>
                </c:pt>
                <c:pt idx="4491">
                  <c:v>1.8400000000000003</c:v>
                </c:pt>
                <c:pt idx="4492">
                  <c:v>1.8400000000000003</c:v>
                </c:pt>
                <c:pt idx="4493">
                  <c:v>1.8400000000000003</c:v>
                </c:pt>
                <c:pt idx="4494">
                  <c:v>1.8400000000000003</c:v>
                </c:pt>
                <c:pt idx="4495">
                  <c:v>1.3100000000000003</c:v>
                </c:pt>
                <c:pt idx="4496">
                  <c:v>1.3100000000000003</c:v>
                </c:pt>
                <c:pt idx="4497">
                  <c:v>1.3100000000000003</c:v>
                </c:pt>
                <c:pt idx="4498">
                  <c:v>1.3100000000000003</c:v>
                </c:pt>
                <c:pt idx="4499">
                  <c:v>1.8400000000000003</c:v>
                </c:pt>
                <c:pt idx="4500">
                  <c:v>1.8400000000000003</c:v>
                </c:pt>
                <c:pt idx="4501">
                  <c:v>1.8400000000000003</c:v>
                </c:pt>
                <c:pt idx="4502">
                  <c:v>1.8400000000000003</c:v>
                </c:pt>
                <c:pt idx="4503">
                  <c:v>1.3100000000000003</c:v>
                </c:pt>
                <c:pt idx="4504">
                  <c:v>1.3100000000000003</c:v>
                </c:pt>
                <c:pt idx="4505">
                  <c:v>1.3100000000000003</c:v>
                </c:pt>
                <c:pt idx="4506">
                  <c:v>1.3100000000000003</c:v>
                </c:pt>
                <c:pt idx="4507">
                  <c:v>1.8400000000000003</c:v>
                </c:pt>
                <c:pt idx="4508">
                  <c:v>1.8400000000000003</c:v>
                </c:pt>
                <c:pt idx="4509">
                  <c:v>1.8400000000000003</c:v>
                </c:pt>
                <c:pt idx="4510">
                  <c:v>1.8400000000000003</c:v>
                </c:pt>
                <c:pt idx="4511">
                  <c:v>1.3100000000000003</c:v>
                </c:pt>
                <c:pt idx="4512">
                  <c:v>1.3100000000000003</c:v>
                </c:pt>
                <c:pt idx="4513">
                  <c:v>1.3100000000000003</c:v>
                </c:pt>
                <c:pt idx="4514">
                  <c:v>1.3100000000000003</c:v>
                </c:pt>
                <c:pt idx="4515">
                  <c:v>1.8400000000000003</c:v>
                </c:pt>
                <c:pt idx="4516">
                  <c:v>1.8400000000000003</c:v>
                </c:pt>
                <c:pt idx="4517">
                  <c:v>1.8400000000000003</c:v>
                </c:pt>
                <c:pt idx="4518">
                  <c:v>1.8400000000000003</c:v>
                </c:pt>
                <c:pt idx="4519">
                  <c:v>1.3100000000000003</c:v>
                </c:pt>
                <c:pt idx="4520">
                  <c:v>1.3100000000000003</c:v>
                </c:pt>
                <c:pt idx="4521">
                  <c:v>1.3100000000000003</c:v>
                </c:pt>
                <c:pt idx="4522">
                  <c:v>1.3100000000000003</c:v>
                </c:pt>
                <c:pt idx="4523">
                  <c:v>1.8400000000000003</c:v>
                </c:pt>
                <c:pt idx="4524">
                  <c:v>1.8400000000000003</c:v>
                </c:pt>
                <c:pt idx="4525">
                  <c:v>1.8400000000000003</c:v>
                </c:pt>
                <c:pt idx="4526">
                  <c:v>1.8400000000000003</c:v>
                </c:pt>
                <c:pt idx="4527">
                  <c:v>1.3100000000000003</c:v>
                </c:pt>
                <c:pt idx="4528">
                  <c:v>1.3100000000000003</c:v>
                </c:pt>
                <c:pt idx="4529">
                  <c:v>1.3100000000000003</c:v>
                </c:pt>
                <c:pt idx="4530">
                  <c:v>1.3100000000000003</c:v>
                </c:pt>
                <c:pt idx="4531">
                  <c:v>1.8400000000000003</c:v>
                </c:pt>
                <c:pt idx="4532">
                  <c:v>1.8400000000000003</c:v>
                </c:pt>
                <c:pt idx="4533">
                  <c:v>1.8400000000000003</c:v>
                </c:pt>
                <c:pt idx="4534">
                  <c:v>1.8400000000000003</c:v>
                </c:pt>
                <c:pt idx="4535">
                  <c:v>1.3100000000000003</c:v>
                </c:pt>
                <c:pt idx="4536">
                  <c:v>1.3100000000000003</c:v>
                </c:pt>
                <c:pt idx="4537">
                  <c:v>1.3100000000000003</c:v>
                </c:pt>
                <c:pt idx="4538">
                  <c:v>1.3100000000000003</c:v>
                </c:pt>
                <c:pt idx="4539">
                  <c:v>1.8400000000000003</c:v>
                </c:pt>
                <c:pt idx="4540">
                  <c:v>1.8400000000000003</c:v>
                </c:pt>
                <c:pt idx="4541">
                  <c:v>1.8400000000000003</c:v>
                </c:pt>
                <c:pt idx="4542">
                  <c:v>1.8400000000000003</c:v>
                </c:pt>
                <c:pt idx="4543">
                  <c:v>1.3100000000000003</c:v>
                </c:pt>
                <c:pt idx="4544">
                  <c:v>1.3100000000000003</c:v>
                </c:pt>
                <c:pt idx="4545">
                  <c:v>1.3100000000000003</c:v>
                </c:pt>
                <c:pt idx="4546">
                  <c:v>1.3100000000000003</c:v>
                </c:pt>
                <c:pt idx="4547">
                  <c:v>1.8400000000000003</c:v>
                </c:pt>
                <c:pt idx="4548">
                  <c:v>1.8400000000000003</c:v>
                </c:pt>
                <c:pt idx="4549">
                  <c:v>1.8400000000000003</c:v>
                </c:pt>
                <c:pt idx="4550">
                  <c:v>1.8400000000000003</c:v>
                </c:pt>
                <c:pt idx="4551">
                  <c:v>1.3100000000000003</c:v>
                </c:pt>
                <c:pt idx="4552">
                  <c:v>1.3100000000000003</c:v>
                </c:pt>
                <c:pt idx="4553">
                  <c:v>1.3100000000000003</c:v>
                </c:pt>
                <c:pt idx="4554">
                  <c:v>1.3100000000000003</c:v>
                </c:pt>
                <c:pt idx="4555">
                  <c:v>1.8400000000000003</c:v>
                </c:pt>
                <c:pt idx="4556">
                  <c:v>1.8400000000000003</c:v>
                </c:pt>
                <c:pt idx="4557">
                  <c:v>1.8400000000000003</c:v>
                </c:pt>
                <c:pt idx="4558">
                  <c:v>1.8400000000000003</c:v>
                </c:pt>
                <c:pt idx="4559">
                  <c:v>1.3100000000000003</c:v>
                </c:pt>
                <c:pt idx="4560">
                  <c:v>1.3100000000000003</c:v>
                </c:pt>
                <c:pt idx="4561">
                  <c:v>1.3100000000000003</c:v>
                </c:pt>
                <c:pt idx="4562">
                  <c:v>1.3100000000000003</c:v>
                </c:pt>
                <c:pt idx="4563">
                  <c:v>1.8400000000000003</c:v>
                </c:pt>
                <c:pt idx="4564">
                  <c:v>1.8400000000000003</c:v>
                </c:pt>
                <c:pt idx="4565">
                  <c:v>1.8400000000000003</c:v>
                </c:pt>
                <c:pt idx="4566">
                  <c:v>1.8400000000000003</c:v>
                </c:pt>
                <c:pt idx="4567">
                  <c:v>1.3100000000000003</c:v>
                </c:pt>
                <c:pt idx="4568">
                  <c:v>1.3100000000000003</c:v>
                </c:pt>
                <c:pt idx="4569">
                  <c:v>1.3100000000000003</c:v>
                </c:pt>
                <c:pt idx="4570">
                  <c:v>1.3100000000000003</c:v>
                </c:pt>
                <c:pt idx="4571">
                  <c:v>1.8400000000000003</c:v>
                </c:pt>
                <c:pt idx="4572">
                  <c:v>1.8400000000000003</c:v>
                </c:pt>
                <c:pt idx="4573">
                  <c:v>1.8400000000000003</c:v>
                </c:pt>
                <c:pt idx="4574">
                  <c:v>1.8400000000000003</c:v>
                </c:pt>
                <c:pt idx="4575">
                  <c:v>1.3100000000000003</c:v>
                </c:pt>
                <c:pt idx="4576">
                  <c:v>1.3100000000000003</c:v>
                </c:pt>
                <c:pt idx="4577">
                  <c:v>1.3100000000000003</c:v>
                </c:pt>
                <c:pt idx="4578">
                  <c:v>1.3100000000000003</c:v>
                </c:pt>
                <c:pt idx="4579">
                  <c:v>1.8400000000000003</c:v>
                </c:pt>
                <c:pt idx="4580">
                  <c:v>1.8400000000000003</c:v>
                </c:pt>
                <c:pt idx="4581">
                  <c:v>1.8400000000000003</c:v>
                </c:pt>
                <c:pt idx="4582">
                  <c:v>1.8400000000000003</c:v>
                </c:pt>
                <c:pt idx="4583">
                  <c:v>1.3100000000000003</c:v>
                </c:pt>
                <c:pt idx="4584">
                  <c:v>1.3100000000000003</c:v>
                </c:pt>
                <c:pt idx="4585">
                  <c:v>1.3100000000000003</c:v>
                </c:pt>
                <c:pt idx="4586">
                  <c:v>1.3100000000000003</c:v>
                </c:pt>
                <c:pt idx="4587">
                  <c:v>1.8400000000000003</c:v>
                </c:pt>
                <c:pt idx="4588">
                  <c:v>1.8400000000000003</c:v>
                </c:pt>
                <c:pt idx="4589">
                  <c:v>1.8400000000000003</c:v>
                </c:pt>
                <c:pt idx="4590">
                  <c:v>1.8400000000000003</c:v>
                </c:pt>
                <c:pt idx="4591">
                  <c:v>1.3100000000000003</c:v>
                </c:pt>
                <c:pt idx="4592">
                  <c:v>1.3100000000000003</c:v>
                </c:pt>
                <c:pt idx="4593">
                  <c:v>1.3100000000000003</c:v>
                </c:pt>
                <c:pt idx="4594">
                  <c:v>1.3100000000000003</c:v>
                </c:pt>
                <c:pt idx="4595">
                  <c:v>1.8400000000000003</c:v>
                </c:pt>
                <c:pt idx="4596">
                  <c:v>1.8400000000000003</c:v>
                </c:pt>
                <c:pt idx="4597">
                  <c:v>1.8400000000000003</c:v>
                </c:pt>
                <c:pt idx="4598">
                  <c:v>1.8400000000000003</c:v>
                </c:pt>
                <c:pt idx="4599">
                  <c:v>1.3100000000000003</c:v>
                </c:pt>
                <c:pt idx="4600">
                  <c:v>1.3100000000000003</c:v>
                </c:pt>
                <c:pt idx="4601">
                  <c:v>1.3100000000000003</c:v>
                </c:pt>
                <c:pt idx="4602">
                  <c:v>1.3100000000000003</c:v>
                </c:pt>
                <c:pt idx="4603">
                  <c:v>1.8400000000000003</c:v>
                </c:pt>
                <c:pt idx="4604">
                  <c:v>1.8400000000000003</c:v>
                </c:pt>
                <c:pt idx="4605">
                  <c:v>1.8400000000000003</c:v>
                </c:pt>
                <c:pt idx="4606">
                  <c:v>1.8400000000000003</c:v>
                </c:pt>
                <c:pt idx="4607">
                  <c:v>1.3100000000000003</c:v>
                </c:pt>
                <c:pt idx="4608">
                  <c:v>1.3100000000000003</c:v>
                </c:pt>
                <c:pt idx="4609">
                  <c:v>1.3100000000000003</c:v>
                </c:pt>
                <c:pt idx="4610">
                  <c:v>1.3100000000000003</c:v>
                </c:pt>
                <c:pt idx="4611">
                  <c:v>1.8400000000000003</c:v>
                </c:pt>
                <c:pt idx="4612">
                  <c:v>1.8400000000000003</c:v>
                </c:pt>
                <c:pt idx="4613">
                  <c:v>1.8400000000000003</c:v>
                </c:pt>
                <c:pt idx="4614">
                  <c:v>1.8400000000000003</c:v>
                </c:pt>
                <c:pt idx="4615">
                  <c:v>1.3100000000000003</c:v>
                </c:pt>
                <c:pt idx="4616">
                  <c:v>1.3100000000000003</c:v>
                </c:pt>
                <c:pt idx="4617">
                  <c:v>1.3100000000000003</c:v>
                </c:pt>
                <c:pt idx="4618">
                  <c:v>1.3100000000000003</c:v>
                </c:pt>
                <c:pt idx="4619">
                  <c:v>1.8400000000000003</c:v>
                </c:pt>
                <c:pt idx="4620">
                  <c:v>1.8400000000000003</c:v>
                </c:pt>
                <c:pt idx="4621">
                  <c:v>1.8400000000000003</c:v>
                </c:pt>
                <c:pt idx="4622">
                  <c:v>1.8400000000000003</c:v>
                </c:pt>
                <c:pt idx="4623">
                  <c:v>1.3100000000000003</c:v>
                </c:pt>
                <c:pt idx="4624">
                  <c:v>1.3100000000000003</c:v>
                </c:pt>
                <c:pt idx="4625">
                  <c:v>1.3100000000000003</c:v>
                </c:pt>
                <c:pt idx="4626">
                  <c:v>1.3100000000000003</c:v>
                </c:pt>
                <c:pt idx="4627">
                  <c:v>1.8400000000000003</c:v>
                </c:pt>
                <c:pt idx="4628">
                  <c:v>1.8400000000000003</c:v>
                </c:pt>
                <c:pt idx="4629">
                  <c:v>1.8400000000000003</c:v>
                </c:pt>
                <c:pt idx="4630">
                  <c:v>1.8400000000000003</c:v>
                </c:pt>
                <c:pt idx="4631">
                  <c:v>1.3100000000000003</c:v>
                </c:pt>
                <c:pt idx="4632">
                  <c:v>1.3100000000000003</c:v>
                </c:pt>
                <c:pt idx="4633">
                  <c:v>1.3100000000000003</c:v>
                </c:pt>
                <c:pt idx="4634">
                  <c:v>1.3100000000000003</c:v>
                </c:pt>
                <c:pt idx="4635">
                  <c:v>1.8400000000000003</c:v>
                </c:pt>
                <c:pt idx="4636">
                  <c:v>1.8400000000000003</c:v>
                </c:pt>
                <c:pt idx="4637">
                  <c:v>1.8400000000000003</c:v>
                </c:pt>
                <c:pt idx="4638">
                  <c:v>1.8400000000000003</c:v>
                </c:pt>
                <c:pt idx="4639">
                  <c:v>1.3100000000000003</c:v>
                </c:pt>
                <c:pt idx="4640">
                  <c:v>1.3100000000000003</c:v>
                </c:pt>
                <c:pt idx="4641">
                  <c:v>1.3100000000000003</c:v>
                </c:pt>
                <c:pt idx="4642">
                  <c:v>1.3100000000000003</c:v>
                </c:pt>
                <c:pt idx="4643">
                  <c:v>1.8400000000000003</c:v>
                </c:pt>
                <c:pt idx="4644">
                  <c:v>1.8400000000000003</c:v>
                </c:pt>
                <c:pt idx="4645">
                  <c:v>1.8400000000000003</c:v>
                </c:pt>
                <c:pt idx="4646">
                  <c:v>1.8400000000000003</c:v>
                </c:pt>
                <c:pt idx="4647">
                  <c:v>1.3100000000000003</c:v>
                </c:pt>
                <c:pt idx="4648">
                  <c:v>1.3100000000000003</c:v>
                </c:pt>
                <c:pt idx="4649">
                  <c:v>1.3100000000000003</c:v>
                </c:pt>
                <c:pt idx="4650">
                  <c:v>1.3100000000000003</c:v>
                </c:pt>
                <c:pt idx="4651">
                  <c:v>1.8400000000000003</c:v>
                </c:pt>
                <c:pt idx="4652">
                  <c:v>1.8400000000000003</c:v>
                </c:pt>
                <c:pt idx="4653">
                  <c:v>1.8400000000000003</c:v>
                </c:pt>
                <c:pt idx="4654">
                  <c:v>1.8400000000000003</c:v>
                </c:pt>
                <c:pt idx="4655">
                  <c:v>1.3100000000000003</c:v>
                </c:pt>
                <c:pt idx="4656">
                  <c:v>1.3100000000000003</c:v>
                </c:pt>
                <c:pt idx="4657">
                  <c:v>1.3100000000000003</c:v>
                </c:pt>
                <c:pt idx="4658">
                  <c:v>1.3100000000000003</c:v>
                </c:pt>
                <c:pt idx="4659">
                  <c:v>1.8400000000000003</c:v>
                </c:pt>
                <c:pt idx="4660">
                  <c:v>1.8400000000000003</c:v>
                </c:pt>
                <c:pt idx="4661">
                  <c:v>1.8400000000000003</c:v>
                </c:pt>
                <c:pt idx="4662">
                  <c:v>1.8400000000000003</c:v>
                </c:pt>
                <c:pt idx="4663">
                  <c:v>1.3100000000000003</c:v>
                </c:pt>
                <c:pt idx="4664">
                  <c:v>1.3100000000000003</c:v>
                </c:pt>
                <c:pt idx="4665">
                  <c:v>1.3100000000000003</c:v>
                </c:pt>
                <c:pt idx="4666">
                  <c:v>1.3100000000000003</c:v>
                </c:pt>
                <c:pt idx="4667">
                  <c:v>1.8400000000000003</c:v>
                </c:pt>
                <c:pt idx="4668">
                  <c:v>1.8400000000000003</c:v>
                </c:pt>
                <c:pt idx="4669">
                  <c:v>1.8400000000000003</c:v>
                </c:pt>
                <c:pt idx="4670">
                  <c:v>1.8400000000000003</c:v>
                </c:pt>
                <c:pt idx="4671">
                  <c:v>1.3100000000000003</c:v>
                </c:pt>
                <c:pt idx="4672">
                  <c:v>1.3100000000000003</c:v>
                </c:pt>
                <c:pt idx="4673">
                  <c:v>1.3100000000000003</c:v>
                </c:pt>
                <c:pt idx="4674">
                  <c:v>1.3100000000000003</c:v>
                </c:pt>
                <c:pt idx="4675">
                  <c:v>1.8400000000000003</c:v>
                </c:pt>
                <c:pt idx="4676">
                  <c:v>1.8400000000000003</c:v>
                </c:pt>
                <c:pt idx="4677">
                  <c:v>1.8400000000000003</c:v>
                </c:pt>
                <c:pt idx="4678">
                  <c:v>1.8400000000000003</c:v>
                </c:pt>
                <c:pt idx="4679">
                  <c:v>1.3100000000000003</c:v>
                </c:pt>
                <c:pt idx="4680">
                  <c:v>1.3100000000000003</c:v>
                </c:pt>
                <c:pt idx="4681">
                  <c:v>1.3100000000000003</c:v>
                </c:pt>
                <c:pt idx="4682">
                  <c:v>1.3100000000000003</c:v>
                </c:pt>
                <c:pt idx="4683">
                  <c:v>1.8400000000000003</c:v>
                </c:pt>
                <c:pt idx="4684">
                  <c:v>1.8400000000000003</c:v>
                </c:pt>
                <c:pt idx="4685">
                  <c:v>1.8400000000000003</c:v>
                </c:pt>
                <c:pt idx="4686">
                  <c:v>1.8400000000000003</c:v>
                </c:pt>
                <c:pt idx="4687">
                  <c:v>1.3100000000000003</c:v>
                </c:pt>
                <c:pt idx="4688">
                  <c:v>1.3100000000000003</c:v>
                </c:pt>
                <c:pt idx="4689">
                  <c:v>1.3100000000000003</c:v>
                </c:pt>
                <c:pt idx="4690">
                  <c:v>1.3100000000000003</c:v>
                </c:pt>
                <c:pt idx="4691">
                  <c:v>1.8400000000000003</c:v>
                </c:pt>
                <c:pt idx="4692">
                  <c:v>1.8400000000000003</c:v>
                </c:pt>
                <c:pt idx="4693">
                  <c:v>1.8400000000000003</c:v>
                </c:pt>
                <c:pt idx="4694">
                  <c:v>1.8400000000000003</c:v>
                </c:pt>
                <c:pt idx="4695">
                  <c:v>1.3100000000000003</c:v>
                </c:pt>
                <c:pt idx="4696">
                  <c:v>1.3100000000000003</c:v>
                </c:pt>
                <c:pt idx="4697">
                  <c:v>1.3100000000000003</c:v>
                </c:pt>
                <c:pt idx="4698">
                  <c:v>1.3100000000000003</c:v>
                </c:pt>
                <c:pt idx="4699">
                  <c:v>1.8400000000000003</c:v>
                </c:pt>
                <c:pt idx="4700">
                  <c:v>1.8400000000000003</c:v>
                </c:pt>
                <c:pt idx="4701">
                  <c:v>1.8400000000000003</c:v>
                </c:pt>
                <c:pt idx="4702">
                  <c:v>1.8400000000000003</c:v>
                </c:pt>
                <c:pt idx="4703">
                  <c:v>1.3100000000000003</c:v>
                </c:pt>
                <c:pt idx="4704">
                  <c:v>1.3100000000000003</c:v>
                </c:pt>
                <c:pt idx="4705">
                  <c:v>1.3100000000000003</c:v>
                </c:pt>
                <c:pt idx="4706">
                  <c:v>1.3100000000000003</c:v>
                </c:pt>
                <c:pt idx="4707">
                  <c:v>1.8400000000000003</c:v>
                </c:pt>
                <c:pt idx="4708">
                  <c:v>1.8400000000000003</c:v>
                </c:pt>
                <c:pt idx="4709">
                  <c:v>1.8400000000000003</c:v>
                </c:pt>
                <c:pt idx="4710">
                  <c:v>1.8400000000000003</c:v>
                </c:pt>
                <c:pt idx="4711">
                  <c:v>1.3100000000000003</c:v>
                </c:pt>
                <c:pt idx="4712">
                  <c:v>1.3100000000000003</c:v>
                </c:pt>
                <c:pt idx="4713">
                  <c:v>1.3100000000000003</c:v>
                </c:pt>
                <c:pt idx="4714">
                  <c:v>1.3100000000000003</c:v>
                </c:pt>
                <c:pt idx="4715">
                  <c:v>1.8400000000000003</c:v>
                </c:pt>
                <c:pt idx="4716">
                  <c:v>1.8400000000000003</c:v>
                </c:pt>
                <c:pt idx="4717">
                  <c:v>1.8400000000000003</c:v>
                </c:pt>
                <c:pt idx="4718">
                  <c:v>1.8400000000000003</c:v>
                </c:pt>
                <c:pt idx="4719">
                  <c:v>1.3100000000000003</c:v>
                </c:pt>
                <c:pt idx="4720">
                  <c:v>1.3100000000000003</c:v>
                </c:pt>
                <c:pt idx="4721">
                  <c:v>1.3100000000000003</c:v>
                </c:pt>
                <c:pt idx="4722">
                  <c:v>1.3100000000000003</c:v>
                </c:pt>
                <c:pt idx="4723">
                  <c:v>1.8400000000000003</c:v>
                </c:pt>
                <c:pt idx="4724">
                  <c:v>1.8400000000000003</c:v>
                </c:pt>
                <c:pt idx="4725">
                  <c:v>1.8400000000000003</c:v>
                </c:pt>
                <c:pt idx="4726">
                  <c:v>1.8400000000000003</c:v>
                </c:pt>
                <c:pt idx="4727">
                  <c:v>1.3100000000000003</c:v>
                </c:pt>
                <c:pt idx="4728">
                  <c:v>1.3100000000000003</c:v>
                </c:pt>
                <c:pt idx="4729">
                  <c:v>1.3100000000000003</c:v>
                </c:pt>
                <c:pt idx="4730">
                  <c:v>1.3100000000000003</c:v>
                </c:pt>
                <c:pt idx="4731">
                  <c:v>1.8400000000000003</c:v>
                </c:pt>
                <c:pt idx="4732">
                  <c:v>1.8400000000000003</c:v>
                </c:pt>
                <c:pt idx="4733">
                  <c:v>1.8400000000000003</c:v>
                </c:pt>
                <c:pt idx="4734">
                  <c:v>1.8400000000000003</c:v>
                </c:pt>
                <c:pt idx="4735">
                  <c:v>1.3100000000000003</c:v>
                </c:pt>
                <c:pt idx="4736">
                  <c:v>1.3100000000000003</c:v>
                </c:pt>
                <c:pt idx="4737">
                  <c:v>1.3100000000000003</c:v>
                </c:pt>
                <c:pt idx="4738">
                  <c:v>1.3100000000000003</c:v>
                </c:pt>
                <c:pt idx="4739">
                  <c:v>1.8400000000000003</c:v>
                </c:pt>
                <c:pt idx="4740">
                  <c:v>1.8400000000000003</c:v>
                </c:pt>
                <c:pt idx="4741">
                  <c:v>1.8400000000000003</c:v>
                </c:pt>
                <c:pt idx="4742">
                  <c:v>1.8400000000000003</c:v>
                </c:pt>
                <c:pt idx="4743">
                  <c:v>1.3100000000000003</c:v>
                </c:pt>
                <c:pt idx="4744">
                  <c:v>1.3100000000000003</c:v>
                </c:pt>
                <c:pt idx="4745">
                  <c:v>1.3100000000000003</c:v>
                </c:pt>
                <c:pt idx="4746">
                  <c:v>1.3100000000000003</c:v>
                </c:pt>
                <c:pt idx="4747">
                  <c:v>1.8400000000000003</c:v>
                </c:pt>
                <c:pt idx="4748">
                  <c:v>1.8400000000000003</c:v>
                </c:pt>
                <c:pt idx="4749">
                  <c:v>1.8400000000000003</c:v>
                </c:pt>
                <c:pt idx="4750">
                  <c:v>1.8400000000000003</c:v>
                </c:pt>
                <c:pt idx="4751">
                  <c:v>1.3100000000000003</c:v>
                </c:pt>
                <c:pt idx="4752">
                  <c:v>1.3100000000000003</c:v>
                </c:pt>
                <c:pt idx="4753">
                  <c:v>1.3100000000000003</c:v>
                </c:pt>
                <c:pt idx="4754">
                  <c:v>1.3100000000000003</c:v>
                </c:pt>
                <c:pt idx="4755">
                  <c:v>1.8400000000000003</c:v>
                </c:pt>
                <c:pt idx="4756">
                  <c:v>1.8400000000000003</c:v>
                </c:pt>
                <c:pt idx="4757">
                  <c:v>1.8400000000000003</c:v>
                </c:pt>
                <c:pt idx="4758">
                  <c:v>1.8400000000000003</c:v>
                </c:pt>
                <c:pt idx="4759">
                  <c:v>1.3100000000000003</c:v>
                </c:pt>
                <c:pt idx="4760">
                  <c:v>1.3100000000000003</c:v>
                </c:pt>
                <c:pt idx="4761">
                  <c:v>1.3100000000000003</c:v>
                </c:pt>
                <c:pt idx="4762">
                  <c:v>1.3100000000000003</c:v>
                </c:pt>
                <c:pt idx="4763">
                  <c:v>1.8400000000000003</c:v>
                </c:pt>
                <c:pt idx="4764">
                  <c:v>1.8400000000000003</c:v>
                </c:pt>
                <c:pt idx="4765">
                  <c:v>1.8400000000000003</c:v>
                </c:pt>
                <c:pt idx="4766">
                  <c:v>1.8400000000000003</c:v>
                </c:pt>
                <c:pt idx="4767">
                  <c:v>1.3100000000000003</c:v>
                </c:pt>
                <c:pt idx="4768">
                  <c:v>1.3100000000000003</c:v>
                </c:pt>
                <c:pt idx="4769">
                  <c:v>1.3100000000000003</c:v>
                </c:pt>
                <c:pt idx="4770">
                  <c:v>1.3100000000000003</c:v>
                </c:pt>
                <c:pt idx="4771">
                  <c:v>1.8400000000000003</c:v>
                </c:pt>
                <c:pt idx="4772">
                  <c:v>1.8400000000000003</c:v>
                </c:pt>
                <c:pt idx="4773">
                  <c:v>1.8400000000000003</c:v>
                </c:pt>
                <c:pt idx="4774">
                  <c:v>1.8400000000000003</c:v>
                </c:pt>
                <c:pt idx="4775">
                  <c:v>1.3100000000000003</c:v>
                </c:pt>
                <c:pt idx="4776">
                  <c:v>1.3100000000000003</c:v>
                </c:pt>
                <c:pt idx="4777">
                  <c:v>1.3100000000000003</c:v>
                </c:pt>
                <c:pt idx="4778">
                  <c:v>1.3100000000000003</c:v>
                </c:pt>
                <c:pt idx="4779">
                  <c:v>1.8400000000000003</c:v>
                </c:pt>
                <c:pt idx="4780">
                  <c:v>1.8400000000000003</c:v>
                </c:pt>
                <c:pt idx="4781">
                  <c:v>1.8400000000000003</c:v>
                </c:pt>
                <c:pt idx="4782">
                  <c:v>1.8400000000000003</c:v>
                </c:pt>
                <c:pt idx="4783">
                  <c:v>1.3100000000000003</c:v>
                </c:pt>
                <c:pt idx="4784">
                  <c:v>1.3100000000000003</c:v>
                </c:pt>
                <c:pt idx="4785">
                  <c:v>1.3100000000000003</c:v>
                </c:pt>
                <c:pt idx="4786">
                  <c:v>1.3100000000000003</c:v>
                </c:pt>
                <c:pt idx="4787">
                  <c:v>1.8400000000000003</c:v>
                </c:pt>
                <c:pt idx="4788">
                  <c:v>1.8400000000000003</c:v>
                </c:pt>
                <c:pt idx="4789">
                  <c:v>1.8400000000000003</c:v>
                </c:pt>
                <c:pt idx="4790">
                  <c:v>1.8400000000000003</c:v>
                </c:pt>
                <c:pt idx="4791">
                  <c:v>1.3100000000000003</c:v>
                </c:pt>
                <c:pt idx="4792">
                  <c:v>1.3100000000000003</c:v>
                </c:pt>
                <c:pt idx="4793">
                  <c:v>1.3100000000000003</c:v>
                </c:pt>
                <c:pt idx="4794">
                  <c:v>1.3100000000000003</c:v>
                </c:pt>
                <c:pt idx="4795">
                  <c:v>1.8400000000000003</c:v>
                </c:pt>
                <c:pt idx="4796">
                  <c:v>1.8400000000000003</c:v>
                </c:pt>
                <c:pt idx="4797">
                  <c:v>1.8400000000000003</c:v>
                </c:pt>
                <c:pt idx="4798">
                  <c:v>1.8400000000000003</c:v>
                </c:pt>
                <c:pt idx="4799">
                  <c:v>1.3100000000000003</c:v>
                </c:pt>
                <c:pt idx="4800">
                  <c:v>1.3100000000000003</c:v>
                </c:pt>
                <c:pt idx="4801">
                  <c:v>1.3100000000000003</c:v>
                </c:pt>
                <c:pt idx="4802">
                  <c:v>1.3100000000000003</c:v>
                </c:pt>
                <c:pt idx="4803">
                  <c:v>1.8400000000000003</c:v>
                </c:pt>
                <c:pt idx="4804">
                  <c:v>1.8400000000000003</c:v>
                </c:pt>
                <c:pt idx="4805">
                  <c:v>1.8400000000000003</c:v>
                </c:pt>
                <c:pt idx="4806">
                  <c:v>1.8400000000000003</c:v>
                </c:pt>
                <c:pt idx="4807">
                  <c:v>1.3100000000000003</c:v>
                </c:pt>
                <c:pt idx="4808">
                  <c:v>1.3100000000000003</c:v>
                </c:pt>
                <c:pt idx="4809">
                  <c:v>1.3100000000000003</c:v>
                </c:pt>
                <c:pt idx="4810">
                  <c:v>1.3100000000000003</c:v>
                </c:pt>
                <c:pt idx="4811">
                  <c:v>1.8400000000000003</c:v>
                </c:pt>
                <c:pt idx="4812">
                  <c:v>1.8400000000000003</c:v>
                </c:pt>
                <c:pt idx="4813">
                  <c:v>1.8400000000000003</c:v>
                </c:pt>
                <c:pt idx="4814">
                  <c:v>1.8400000000000003</c:v>
                </c:pt>
                <c:pt idx="4815">
                  <c:v>1.3100000000000003</c:v>
                </c:pt>
                <c:pt idx="4816">
                  <c:v>1.3100000000000003</c:v>
                </c:pt>
                <c:pt idx="4817">
                  <c:v>1.3100000000000003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01E4-44A4-8C34-7A5854153BC9}"/>
            </c:ext>
          </c:extLst>
        </c:ser>
        <c:ser>
          <c:idx val="9"/>
          <c:order val="9"/>
          <c:tx>
            <c:strRef>
              <c:f>Plot_Data!$BK$10</c:f>
              <c:strCache>
                <c:ptCount val="1"/>
                <c:pt idx="0">
                  <c:v>Business: 0 seats, 4 abreast x 0 rows, pitch 0.97 m</c:v>
                </c:pt>
              </c:strCache>
            </c:strRef>
          </c:tx>
          <c:spPr>
            <a:ln w="5000">
              <a:solidFill>
                <a:srgbClr val="BF8F00"/>
              </a:solidFill>
              <a:prstDash val="solid"/>
            </a:ln>
          </c:spPr>
          <c:marker>
            <c:symbol val="none"/>
          </c:marker>
          <c:xVal>
            <c:numRef>
              <c:f>Plot_Data!$IA$5:$IA$1136</c:f>
              <c:numCache>
                <c:formatCode>0.000</c:formatCode>
                <c:ptCount val="1132"/>
                <c:pt idx="0">
                  <c:v>-11.310479999999998</c:v>
                </c:pt>
                <c:pt idx="1">
                  <c:v>-11.310479999999998</c:v>
                </c:pt>
                <c:pt idx="2">
                  <c:v>-11.310479999999998</c:v>
                </c:pt>
                <c:pt idx="3">
                  <c:v>-11.310479999999998</c:v>
                </c:pt>
                <c:pt idx="4">
                  <c:v>-11.310479999999998</c:v>
                </c:pt>
                <c:pt idx="5">
                  <c:v>-11.310479999999998</c:v>
                </c:pt>
                <c:pt idx="6">
                  <c:v>-11.310479999999998</c:v>
                </c:pt>
                <c:pt idx="7">
                  <c:v>-11.310479999999998</c:v>
                </c:pt>
                <c:pt idx="8">
                  <c:v>-11.310479999999998</c:v>
                </c:pt>
                <c:pt idx="9">
                  <c:v>-11.310479999999998</c:v>
                </c:pt>
                <c:pt idx="10">
                  <c:v>-11.310479999999998</c:v>
                </c:pt>
                <c:pt idx="11">
                  <c:v>-11.310479999999998</c:v>
                </c:pt>
                <c:pt idx="12">
                  <c:v>-11.310479999999998</c:v>
                </c:pt>
                <c:pt idx="13">
                  <c:v>-11.310479999999998</c:v>
                </c:pt>
                <c:pt idx="14">
                  <c:v>-11.310479999999998</c:v>
                </c:pt>
                <c:pt idx="15">
                  <c:v>-11.310479999999998</c:v>
                </c:pt>
                <c:pt idx="16">
                  <c:v>-11.310479999999998</c:v>
                </c:pt>
                <c:pt idx="17">
                  <c:v>-11.310479999999998</c:v>
                </c:pt>
                <c:pt idx="18">
                  <c:v>-11.310479999999998</c:v>
                </c:pt>
                <c:pt idx="19">
                  <c:v>-11.310479999999998</c:v>
                </c:pt>
                <c:pt idx="20">
                  <c:v>-11.310479999999998</c:v>
                </c:pt>
                <c:pt idx="21">
                  <c:v>-11.310479999999998</c:v>
                </c:pt>
                <c:pt idx="22">
                  <c:v>-11.310479999999998</c:v>
                </c:pt>
                <c:pt idx="23">
                  <c:v>-11.310479999999998</c:v>
                </c:pt>
                <c:pt idx="24">
                  <c:v>-11.310479999999998</c:v>
                </c:pt>
                <c:pt idx="25">
                  <c:v>-11.310479999999998</c:v>
                </c:pt>
                <c:pt idx="26">
                  <c:v>-11.310479999999998</c:v>
                </c:pt>
                <c:pt idx="27">
                  <c:v>-11.310479999999998</c:v>
                </c:pt>
                <c:pt idx="28">
                  <c:v>-11.310479999999998</c:v>
                </c:pt>
                <c:pt idx="29">
                  <c:v>-11.310479999999998</c:v>
                </c:pt>
                <c:pt idx="30">
                  <c:v>-11.310479999999998</c:v>
                </c:pt>
                <c:pt idx="31">
                  <c:v>-11.310479999999998</c:v>
                </c:pt>
                <c:pt idx="32">
                  <c:v>-11.310479999999998</c:v>
                </c:pt>
                <c:pt idx="33">
                  <c:v>-11.310479999999998</c:v>
                </c:pt>
                <c:pt idx="34">
                  <c:v>-11.310479999999998</c:v>
                </c:pt>
                <c:pt idx="35">
                  <c:v>-11.310479999999998</c:v>
                </c:pt>
                <c:pt idx="36">
                  <c:v>-11.310479999999998</c:v>
                </c:pt>
                <c:pt idx="37">
                  <c:v>-11.310479999999998</c:v>
                </c:pt>
                <c:pt idx="38">
                  <c:v>-11.310479999999998</c:v>
                </c:pt>
                <c:pt idx="39">
                  <c:v>-11.310479999999998</c:v>
                </c:pt>
                <c:pt idx="40">
                  <c:v>-11.310479999999998</c:v>
                </c:pt>
                <c:pt idx="41">
                  <c:v>-11.310479999999998</c:v>
                </c:pt>
                <c:pt idx="42">
                  <c:v>-11.310479999999998</c:v>
                </c:pt>
                <c:pt idx="43">
                  <c:v>-11.310479999999998</c:v>
                </c:pt>
                <c:pt idx="44">
                  <c:v>-11.310479999999998</c:v>
                </c:pt>
                <c:pt idx="45">
                  <c:v>-11.310479999999998</c:v>
                </c:pt>
                <c:pt idx="46">
                  <c:v>-11.310479999999998</c:v>
                </c:pt>
                <c:pt idx="47">
                  <c:v>-11.310479999999998</c:v>
                </c:pt>
                <c:pt idx="48">
                  <c:v>-11.310479999999998</c:v>
                </c:pt>
                <c:pt idx="49">
                  <c:v>-11.310479999999998</c:v>
                </c:pt>
                <c:pt idx="50">
                  <c:v>-11.310479999999998</c:v>
                </c:pt>
                <c:pt idx="51">
                  <c:v>-11.310479999999998</c:v>
                </c:pt>
                <c:pt idx="52">
                  <c:v>-11.310479999999998</c:v>
                </c:pt>
                <c:pt idx="53">
                  <c:v>-11.310479999999998</c:v>
                </c:pt>
                <c:pt idx="54">
                  <c:v>-11.310479999999998</c:v>
                </c:pt>
                <c:pt idx="55">
                  <c:v>-11.310479999999998</c:v>
                </c:pt>
                <c:pt idx="56">
                  <c:v>-11.310479999999998</c:v>
                </c:pt>
                <c:pt idx="57">
                  <c:v>-11.310479999999998</c:v>
                </c:pt>
                <c:pt idx="58">
                  <c:v>-11.310479999999998</c:v>
                </c:pt>
                <c:pt idx="59">
                  <c:v>-11.310479999999998</c:v>
                </c:pt>
                <c:pt idx="60">
                  <c:v>-11.310479999999998</c:v>
                </c:pt>
                <c:pt idx="61">
                  <c:v>-11.310479999999998</c:v>
                </c:pt>
                <c:pt idx="62">
                  <c:v>-11.310479999999998</c:v>
                </c:pt>
                <c:pt idx="63">
                  <c:v>-11.310479999999998</c:v>
                </c:pt>
                <c:pt idx="64">
                  <c:v>-11.310479999999998</c:v>
                </c:pt>
                <c:pt idx="65">
                  <c:v>-11.310479999999998</c:v>
                </c:pt>
                <c:pt idx="66">
                  <c:v>-11.310479999999998</c:v>
                </c:pt>
                <c:pt idx="67">
                  <c:v>-11.310479999999998</c:v>
                </c:pt>
                <c:pt idx="68">
                  <c:v>-11.310479999999998</c:v>
                </c:pt>
                <c:pt idx="69">
                  <c:v>-11.310479999999998</c:v>
                </c:pt>
                <c:pt idx="70">
                  <c:v>-11.310479999999998</c:v>
                </c:pt>
                <c:pt idx="71">
                  <c:v>-11.310479999999998</c:v>
                </c:pt>
                <c:pt idx="72">
                  <c:v>-11.310479999999998</c:v>
                </c:pt>
                <c:pt idx="73">
                  <c:v>-11.310479999999998</c:v>
                </c:pt>
                <c:pt idx="74">
                  <c:v>-11.310479999999998</c:v>
                </c:pt>
                <c:pt idx="75">
                  <c:v>-11.310479999999998</c:v>
                </c:pt>
                <c:pt idx="76">
                  <c:v>-11.310479999999998</c:v>
                </c:pt>
                <c:pt idx="77">
                  <c:v>-11.310479999999998</c:v>
                </c:pt>
                <c:pt idx="78">
                  <c:v>-11.310479999999998</c:v>
                </c:pt>
                <c:pt idx="79">
                  <c:v>-11.310479999999998</c:v>
                </c:pt>
                <c:pt idx="80">
                  <c:v>-11.310479999999998</c:v>
                </c:pt>
                <c:pt idx="81">
                  <c:v>-11.310479999999998</c:v>
                </c:pt>
                <c:pt idx="82">
                  <c:v>-11.310479999999998</c:v>
                </c:pt>
                <c:pt idx="83">
                  <c:v>-11.310479999999998</c:v>
                </c:pt>
                <c:pt idx="84">
                  <c:v>-11.310479999999998</c:v>
                </c:pt>
                <c:pt idx="85">
                  <c:v>-11.310479999999998</c:v>
                </c:pt>
                <c:pt idx="86">
                  <c:v>-11.310479999999998</c:v>
                </c:pt>
                <c:pt idx="87">
                  <c:v>-11.310479999999998</c:v>
                </c:pt>
                <c:pt idx="88">
                  <c:v>-11.310479999999998</c:v>
                </c:pt>
                <c:pt idx="89">
                  <c:v>-11.310479999999998</c:v>
                </c:pt>
                <c:pt idx="90">
                  <c:v>-11.310479999999998</c:v>
                </c:pt>
                <c:pt idx="91">
                  <c:v>-11.310479999999998</c:v>
                </c:pt>
                <c:pt idx="92">
                  <c:v>-11.310479999999998</c:v>
                </c:pt>
                <c:pt idx="93">
                  <c:v>-11.310479999999998</c:v>
                </c:pt>
                <c:pt idx="94">
                  <c:v>-11.310479999999998</c:v>
                </c:pt>
                <c:pt idx="95">
                  <c:v>-11.310479999999998</c:v>
                </c:pt>
                <c:pt idx="96">
                  <c:v>-11.310479999999998</c:v>
                </c:pt>
                <c:pt idx="97">
                  <c:v>-11.310479999999998</c:v>
                </c:pt>
                <c:pt idx="98">
                  <c:v>-11.310479999999998</c:v>
                </c:pt>
                <c:pt idx="99">
                  <c:v>-11.310479999999998</c:v>
                </c:pt>
                <c:pt idx="100">
                  <c:v>-11.310479999999998</c:v>
                </c:pt>
                <c:pt idx="101">
                  <c:v>-11.310479999999998</c:v>
                </c:pt>
                <c:pt idx="102">
                  <c:v>-11.310479999999998</c:v>
                </c:pt>
                <c:pt idx="103">
                  <c:v>-11.310479999999998</c:v>
                </c:pt>
                <c:pt idx="104">
                  <c:v>-11.310479999999998</c:v>
                </c:pt>
                <c:pt idx="105">
                  <c:v>-11.310479999999998</c:v>
                </c:pt>
                <c:pt idx="106">
                  <c:v>-11.310479999999998</c:v>
                </c:pt>
                <c:pt idx="107">
                  <c:v>-11.310479999999998</c:v>
                </c:pt>
                <c:pt idx="108">
                  <c:v>-11.310479999999998</c:v>
                </c:pt>
                <c:pt idx="109">
                  <c:v>-11.310479999999998</c:v>
                </c:pt>
                <c:pt idx="110">
                  <c:v>-11.310479999999998</c:v>
                </c:pt>
                <c:pt idx="111">
                  <c:v>-11.310479999999998</c:v>
                </c:pt>
                <c:pt idx="112">
                  <c:v>-11.310479999999998</c:v>
                </c:pt>
                <c:pt idx="113">
                  <c:v>-11.310479999999998</c:v>
                </c:pt>
                <c:pt idx="114">
                  <c:v>-11.310479999999998</c:v>
                </c:pt>
                <c:pt idx="115">
                  <c:v>-11.310479999999998</c:v>
                </c:pt>
                <c:pt idx="116">
                  <c:v>-11.310479999999998</c:v>
                </c:pt>
                <c:pt idx="117">
                  <c:v>-11.310479999999998</c:v>
                </c:pt>
                <c:pt idx="118">
                  <c:v>-11.310479999999998</c:v>
                </c:pt>
                <c:pt idx="119">
                  <c:v>-11.310479999999998</c:v>
                </c:pt>
                <c:pt idx="120">
                  <c:v>-11.310479999999998</c:v>
                </c:pt>
                <c:pt idx="121">
                  <c:v>-11.310479999999998</c:v>
                </c:pt>
                <c:pt idx="122">
                  <c:v>-11.310479999999998</c:v>
                </c:pt>
                <c:pt idx="123">
                  <c:v>-11.310479999999998</c:v>
                </c:pt>
                <c:pt idx="124">
                  <c:v>-11.310479999999998</c:v>
                </c:pt>
                <c:pt idx="125">
                  <c:v>-11.310479999999998</c:v>
                </c:pt>
                <c:pt idx="126">
                  <c:v>-11.310479999999998</c:v>
                </c:pt>
                <c:pt idx="127">
                  <c:v>-11.310479999999998</c:v>
                </c:pt>
                <c:pt idx="128">
                  <c:v>-11.310479999999998</c:v>
                </c:pt>
                <c:pt idx="129">
                  <c:v>-11.310479999999998</c:v>
                </c:pt>
                <c:pt idx="130">
                  <c:v>-11.310479999999998</c:v>
                </c:pt>
                <c:pt idx="131">
                  <c:v>-11.310479999999998</c:v>
                </c:pt>
                <c:pt idx="132">
                  <c:v>-11.310479999999998</c:v>
                </c:pt>
                <c:pt idx="133">
                  <c:v>-11.310479999999998</c:v>
                </c:pt>
                <c:pt idx="134">
                  <c:v>-11.310479999999998</c:v>
                </c:pt>
                <c:pt idx="135">
                  <c:v>-11.310479999999998</c:v>
                </c:pt>
                <c:pt idx="136">
                  <c:v>-11.310479999999998</c:v>
                </c:pt>
                <c:pt idx="137">
                  <c:v>-11.310479999999998</c:v>
                </c:pt>
                <c:pt idx="138">
                  <c:v>-11.310479999999998</c:v>
                </c:pt>
                <c:pt idx="139">
                  <c:v>-11.310479999999998</c:v>
                </c:pt>
                <c:pt idx="140">
                  <c:v>-11.310479999999998</c:v>
                </c:pt>
                <c:pt idx="141">
                  <c:v>-11.310479999999998</c:v>
                </c:pt>
                <c:pt idx="142">
                  <c:v>-11.310479999999998</c:v>
                </c:pt>
                <c:pt idx="143">
                  <c:v>-11.310479999999998</c:v>
                </c:pt>
                <c:pt idx="144">
                  <c:v>-11.310479999999998</c:v>
                </c:pt>
                <c:pt idx="145">
                  <c:v>-11.310479999999998</c:v>
                </c:pt>
                <c:pt idx="146">
                  <c:v>-11.310479999999998</c:v>
                </c:pt>
                <c:pt idx="147">
                  <c:v>-11.310479999999998</c:v>
                </c:pt>
                <c:pt idx="148">
                  <c:v>-11.310479999999998</c:v>
                </c:pt>
                <c:pt idx="149">
                  <c:v>-11.310479999999998</c:v>
                </c:pt>
                <c:pt idx="150">
                  <c:v>-11.310479999999998</c:v>
                </c:pt>
                <c:pt idx="151">
                  <c:v>-11.310479999999998</c:v>
                </c:pt>
                <c:pt idx="152">
                  <c:v>-11.310479999999998</c:v>
                </c:pt>
                <c:pt idx="153">
                  <c:v>-11.310479999999998</c:v>
                </c:pt>
                <c:pt idx="154">
                  <c:v>-11.310479999999998</c:v>
                </c:pt>
                <c:pt idx="155">
                  <c:v>-11.310479999999998</c:v>
                </c:pt>
                <c:pt idx="156">
                  <c:v>-11.310479999999998</c:v>
                </c:pt>
                <c:pt idx="157">
                  <c:v>-11.310479999999998</c:v>
                </c:pt>
                <c:pt idx="158">
                  <c:v>-11.310479999999998</c:v>
                </c:pt>
                <c:pt idx="159">
                  <c:v>-11.310479999999998</c:v>
                </c:pt>
                <c:pt idx="160">
                  <c:v>-11.310479999999998</c:v>
                </c:pt>
                <c:pt idx="161">
                  <c:v>-11.310479999999998</c:v>
                </c:pt>
                <c:pt idx="162">
                  <c:v>-11.310479999999998</c:v>
                </c:pt>
                <c:pt idx="163">
                  <c:v>-11.310479999999998</c:v>
                </c:pt>
                <c:pt idx="164">
                  <c:v>-11.310479999999998</c:v>
                </c:pt>
                <c:pt idx="165">
                  <c:v>-11.310479999999998</c:v>
                </c:pt>
                <c:pt idx="166">
                  <c:v>-11.310479999999998</c:v>
                </c:pt>
                <c:pt idx="167">
                  <c:v>-11.310479999999998</c:v>
                </c:pt>
                <c:pt idx="168">
                  <c:v>-11.310479999999998</c:v>
                </c:pt>
                <c:pt idx="169">
                  <c:v>-11.310479999999998</c:v>
                </c:pt>
                <c:pt idx="170">
                  <c:v>-11.310479999999998</c:v>
                </c:pt>
                <c:pt idx="171">
                  <c:v>-11.310479999999998</c:v>
                </c:pt>
                <c:pt idx="172">
                  <c:v>-11.310479999999998</c:v>
                </c:pt>
                <c:pt idx="173">
                  <c:v>-11.310479999999998</c:v>
                </c:pt>
                <c:pt idx="174">
                  <c:v>-11.310479999999998</c:v>
                </c:pt>
                <c:pt idx="175">
                  <c:v>-11.310479999999998</c:v>
                </c:pt>
                <c:pt idx="176">
                  <c:v>-11.310479999999998</c:v>
                </c:pt>
                <c:pt idx="177">
                  <c:v>-11.310479999999998</c:v>
                </c:pt>
                <c:pt idx="178">
                  <c:v>-11.310479999999998</c:v>
                </c:pt>
                <c:pt idx="179">
                  <c:v>-11.310479999999998</c:v>
                </c:pt>
                <c:pt idx="180">
                  <c:v>-11.310479999999998</c:v>
                </c:pt>
                <c:pt idx="181">
                  <c:v>-11.310479999999998</c:v>
                </c:pt>
                <c:pt idx="182">
                  <c:v>-11.310479999999998</c:v>
                </c:pt>
                <c:pt idx="183">
                  <c:v>-11.310479999999998</c:v>
                </c:pt>
                <c:pt idx="184">
                  <c:v>-11.310479999999998</c:v>
                </c:pt>
                <c:pt idx="185">
                  <c:v>-11.310479999999998</c:v>
                </c:pt>
                <c:pt idx="186">
                  <c:v>-11.310479999999998</c:v>
                </c:pt>
                <c:pt idx="187">
                  <c:v>-11.310479999999998</c:v>
                </c:pt>
                <c:pt idx="188">
                  <c:v>-11.310479999999998</c:v>
                </c:pt>
                <c:pt idx="189">
                  <c:v>-11.310479999999998</c:v>
                </c:pt>
                <c:pt idx="190">
                  <c:v>-11.310479999999998</c:v>
                </c:pt>
                <c:pt idx="191">
                  <c:v>-11.310479999999998</c:v>
                </c:pt>
                <c:pt idx="192">
                  <c:v>-11.310479999999998</c:v>
                </c:pt>
                <c:pt idx="193">
                  <c:v>-11.310479999999998</c:v>
                </c:pt>
                <c:pt idx="194">
                  <c:v>-11.310479999999998</c:v>
                </c:pt>
                <c:pt idx="195">
                  <c:v>-11.310479999999998</c:v>
                </c:pt>
                <c:pt idx="196">
                  <c:v>-11.310479999999998</c:v>
                </c:pt>
                <c:pt idx="197">
                  <c:v>-11.310479999999998</c:v>
                </c:pt>
                <c:pt idx="198">
                  <c:v>-11.310479999999998</c:v>
                </c:pt>
                <c:pt idx="199">
                  <c:v>-11.310479999999998</c:v>
                </c:pt>
                <c:pt idx="200">
                  <c:v>-11.310479999999998</c:v>
                </c:pt>
                <c:pt idx="201">
                  <c:v>-11.310479999999998</c:v>
                </c:pt>
                <c:pt idx="202">
                  <c:v>-11.310479999999998</c:v>
                </c:pt>
                <c:pt idx="203">
                  <c:v>-11.310479999999998</c:v>
                </c:pt>
                <c:pt idx="204">
                  <c:v>-11.310479999999998</c:v>
                </c:pt>
                <c:pt idx="205">
                  <c:v>-11.310479999999998</c:v>
                </c:pt>
                <c:pt idx="206">
                  <c:v>-11.310479999999998</c:v>
                </c:pt>
                <c:pt idx="207">
                  <c:v>-11.310479999999998</c:v>
                </c:pt>
                <c:pt idx="208">
                  <c:v>-11.310479999999998</c:v>
                </c:pt>
                <c:pt idx="209">
                  <c:v>-11.310479999999998</c:v>
                </c:pt>
                <c:pt idx="210">
                  <c:v>-11.310479999999998</c:v>
                </c:pt>
                <c:pt idx="211">
                  <c:v>-11.310479999999998</c:v>
                </c:pt>
                <c:pt idx="212">
                  <c:v>-11.310479999999998</c:v>
                </c:pt>
                <c:pt idx="213">
                  <c:v>-11.310479999999998</c:v>
                </c:pt>
                <c:pt idx="214">
                  <c:v>-11.310479999999998</c:v>
                </c:pt>
                <c:pt idx="215">
                  <c:v>-11.310479999999998</c:v>
                </c:pt>
                <c:pt idx="216">
                  <c:v>-11.310479999999998</c:v>
                </c:pt>
                <c:pt idx="217">
                  <c:v>-11.310479999999998</c:v>
                </c:pt>
                <c:pt idx="218">
                  <c:v>-11.310479999999998</c:v>
                </c:pt>
                <c:pt idx="219">
                  <c:v>-11.310479999999998</c:v>
                </c:pt>
                <c:pt idx="220">
                  <c:v>-11.310479999999998</c:v>
                </c:pt>
                <c:pt idx="221">
                  <c:v>-11.310479999999998</c:v>
                </c:pt>
                <c:pt idx="222">
                  <c:v>-11.310479999999998</c:v>
                </c:pt>
                <c:pt idx="223">
                  <c:v>-11.310479999999998</c:v>
                </c:pt>
                <c:pt idx="224">
                  <c:v>-11.310479999999998</c:v>
                </c:pt>
                <c:pt idx="225">
                  <c:v>-11.310479999999998</c:v>
                </c:pt>
                <c:pt idx="226">
                  <c:v>-11.310479999999998</c:v>
                </c:pt>
                <c:pt idx="227">
                  <c:v>-11.310479999999998</c:v>
                </c:pt>
                <c:pt idx="228">
                  <c:v>-11.310479999999998</c:v>
                </c:pt>
                <c:pt idx="229">
                  <c:v>-11.310479999999998</c:v>
                </c:pt>
                <c:pt idx="230">
                  <c:v>-11.310479999999998</c:v>
                </c:pt>
                <c:pt idx="231">
                  <c:v>-11.310479999999998</c:v>
                </c:pt>
                <c:pt idx="232">
                  <c:v>-11.310479999999998</c:v>
                </c:pt>
                <c:pt idx="233">
                  <c:v>-11.310479999999998</c:v>
                </c:pt>
                <c:pt idx="234">
                  <c:v>-11.310479999999998</c:v>
                </c:pt>
                <c:pt idx="235">
                  <c:v>-11.310479999999998</c:v>
                </c:pt>
                <c:pt idx="236">
                  <c:v>-11.310479999999998</c:v>
                </c:pt>
                <c:pt idx="237">
                  <c:v>-11.310479999999998</c:v>
                </c:pt>
                <c:pt idx="238">
                  <c:v>-11.310479999999998</c:v>
                </c:pt>
                <c:pt idx="239">
                  <c:v>-11.310479999999998</c:v>
                </c:pt>
                <c:pt idx="240">
                  <c:v>-11.310479999999998</c:v>
                </c:pt>
                <c:pt idx="241">
                  <c:v>-11.310479999999998</c:v>
                </c:pt>
                <c:pt idx="242">
                  <c:v>-11.310479999999998</c:v>
                </c:pt>
                <c:pt idx="243">
                  <c:v>-11.310479999999998</c:v>
                </c:pt>
                <c:pt idx="244">
                  <c:v>-11.310479999999998</c:v>
                </c:pt>
                <c:pt idx="245">
                  <c:v>-11.310479999999998</c:v>
                </c:pt>
                <c:pt idx="246">
                  <c:v>-11.310479999999998</c:v>
                </c:pt>
                <c:pt idx="247">
                  <c:v>-11.310479999999998</c:v>
                </c:pt>
                <c:pt idx="248">
                  <c:v>-11.310479999999998</c:v>
                </c:pt>
                <c:pt idx="249">
                  <c:v>-11.310479999999998</c:v>
                </c:pt>
                <c:pt idx="250">
                  <c:v>-11.310479999999998</c:v>
                </c:pt>
                <c:pt idx="251">
                  <c:v>-11.310479999999998</c:v>
                </c:pt>
                <c:pt idx="252">
                  <c:v>-11.310479999999998</c:v>
                </c:pt>
                <c:pt idx="253">
                  <c:v>-11.310479999999998</c:v>
                </c:pt>
                <c:pt idx="254">
                  <c:v>-11.310479999999998</c:v>
                </c:pt>
                <c:pt idx="255">
                  <c:v>-11.310479999999998</c:v>
                </c:pt>
                <c:pt idx="256">
                  <c:v>-11.310479999999998</c:v>
                </c:pt>
                <c:pt idx="257">
                  <c:v>-11.310479999999998</c:v>
                </c:pt>
                <c:pt idx="258">
                  <c:v>-11.310479999999998</c:v>
                </c:pt>
                <c:pt idx="259">
                  <c:v>-11.310479999999998</c:v>
                </c:pt>
                <c:pt idx="260">
                  <c:v>-11.310479999999998</c:v>
                </c:pt>
                <c:pt idx="261">
                  <c:v>-11.310479999999998</c:v>
                </c:pt>
                <c:pt idx="262">
                  <c:v>-11.310479999999998</c:v>
                </c:pt>
                <c:pt idx="263">
                  <c:v>-11.310479999999998</c:v>
                </c:pt>
                <c:pt idx="264">
                  <c:v>-11.310479999999998</c:v>
                </c:pt>
                <c:pt idx="265">
                  <c:v>-11.310479999999998</c:v>
                </c:pt>
                <c:pt idx="266">
                  <c:v>-11.310479999999998</c:v>
                </c:pt>
                <c:pt idx="267">
                  <c:v>-11.310479999999998</c:v>
                </c:pt>
                <c:pt idx="268">
                  <c:v>-11.310479999999998</c:v>
                </c:pt>
                <c:pt idx="269">
                  <c:v>-11.310479999999998</c:v>
                </c:pt>
                <c:pt idx="270">
                  <c:v>-11.310479999999998</c:v>
                </c:pt>
                <c:pt idx="271">
                  <c:v>-11.310479999999998</c:v>
                </c:pt>
                <c:pt idx="272">
                  <c:v>-11.310479999999998</c:v>
                </c:pt>
                <c:pt idx="273">
                  <c:v>-11.310479999999998</c:v>
                </c:pt>
                <c:pt idx="274">
                  <c:v>-11.310479999999998</c:v>
                </c:pt>
                <c:pt idx="275">
                  <c:v>-11.310479999999998</c:v>
                </c:pt>
                <c:pt idx="276">
                  <c:v>-11.310479999999998</c:v>
                </c:pt>
                <c:pt idx="277">
                  <c:v>-11.310479999999998</c:v>
                </c:pt>
                <c:pt idx="278">
                  <c:v>-11.310479999999998</c:v>
                </c:pt>
                <c:pt idx="279">
                  <c:v>-11.310479999999998</c:v>
                </c:pt>
                <c:pt idx="280">
                  <c:v>-11.310479999999998</c:v>
                </c:pt>
                <c:pt idx="281">
                  <c:v>-11.310479999999998</c:v>
                </c:pt>
                <c:pt idx="282">
                  <c:v>-11.310479999999998</c:v>
                </c:pt>
                <c:pt idx="283">
                  <c:v>-11.310479999999998</c:v>
                </c:pt>
                <c:pt idx="284">
                  <c:v>-11.310479999999998</c:v>
                </c:pt>
                <c:pt idx="285">
                  <c:v>-11.310479999999998</c:v>
                </c:pt>
                <c:pt idx="286">
                  <c:v>-11.310479999999998</c:v>
                </c:pt>
                <c:pt idx="287">
                  <c:v>-11.310479999999998</c:v>
                </c:pt>
                <c:pt idx="288">
                  <c:v>-11.310479999999998</c:v>
                </c:pt>
                <c:pt idx="289">
                  <c:v>-11.310479999999998</c:v>
                </c:pt>
                <c:pt idx="290">
                  <c:v>-11.310479999999998</c:v>
                </c:pt>
                <c:pt idx="291">
                  <c:v>-11.310479999999998</c:v>
                </c:pt>
                <c:pt idx="292">
                  <c:v>-11.310479999999998</c:v>
                </c:pt>
                <c:pt idx="293">
                  <c:v>-11.310479999999998</c:v>
                </c:pt>
                <c:pt idx="294">
                  <c:v>-11.310479999999998</c:v>
                </c:pt>
                <c:pt idx="295">
                  <c:v>-11.310479999999998</c:v>
                </c:pt>
                <c:pt idx="296">
                  <c:v>-11.310479999999998</c:v>
                </c:pt>
                <c:pt idx="297">
                  <c:v>-11.310479999999998</c:v>
                </c:pt>
                <c:pt idx="298">
                  <c:v>-11.310479999999998</c:v>
                </c:pt>
                <c:pt idx="299">
                  <c:v>-11.310479999999998</c:v>
                </c:pt>
                <c:pt idx="300">
                  <c:v>-11.310479999999998</c:v>
                </c:pt>
                <c:pt idx="301">
                  <c:v>-11.310479999999998</c:v>
                </c:pt>
                <c:pt idx="302">
                  <c:v>-11.310479999999998</c:v>
                </c:pt>
                <c:pt idx="303">
                  <c:v>-11.310479999999998</c:v>
                </c:pt>
                <c:pt idx="304">
                  <c:v>-11.310479999999998</c:v>
                </c:pt>
                <c:pt idx="305">
                  <c:v>-11.310479999999998</c:v>
                </c:pt>
                <c:pt idx="306">
                  <c:v>-11.310479999999998</c:v>
                </c:pt>
                <c:pt idx="307">
                  <c:v>-11.310479999999998</c:v>
                </c:pt>
                <c:pt idx="308">
                  <c:v>-11.310479999999998</c:v>
                </c:pt>
                <c:pt idx="309">
                  <c:v>-11.310479999999998</c:v>
                </c:pt>
                <c:pt idx="310">
                  <c:v>-11.310479999999998</c:v>
                </c:pt>
                <c:pt idx="311">
                  <c:v>-11.310479999999998</c:v>
                </c:pt>
                <c:pt idx="312">
                  <c:v>-11.310479999999998</c:v>
                </c:pt>
                <c:pt idx="313">
                  <c:v>-11.310479999999998</c:v>
                </c:pt>
                <c:pt idx="314">
                  <c:v>-11.310479999999998</c:v>
                </c:pt>
                <c:pt idx="315">
                  <c:v>-11.310479999999998</c:v>
                </c:pt>
                <c:pt idx="316">
                  <c:v>-11.310479999999998</c:v>
                </c:pt>
                <c:pt idx="317">
                  <c:v>-11.310479999999998</c:v>
                </c:pt>
                <c:pt idx="318">
                  <c:v>-11.310479999999998</c:v>
                </c:pt>
                <c:pt idx="319">
                  <c:v>-11.310479999999998</c:v>
                </c:pt>
                <c:pt idx="320">
                  <c:v>-11.310479999999998</c:v>
                </c:pt>
                <c:pt idx="321">
                  <c:v>-11.310479999999998</c:v>
                </c:pt>
                <c:pt idx="322">
                  <c:v>-11.310479999999998</c:v>
                </c:pt>
                <c:pt idx="323">
                  <c:v>-11.310479999999998</c:v>
                </c:pt>
                <c:pt idx="324">
                  <c:v>-11.310479999999998</c:v>
                </c:pt>
                <c:pt idx="325">
                  <c:v>-11.310479999999998</c:v>
                </c:pt>
                <c:pt idx="326">
                  <c:v>-11.310479999999998</c:v>
                </c:pt>
                <c:pt idx="327">
                  <c:v>-11.310479999999998</c:v>
                </c:pt>
                <c:pt idx="328">
                  <c:v>-11.310479999999998</c:v>
                </c:pt>
                <c:pt idx="329">
                  <c:v>-11.310479999999998</c:v>
                </c:pt>
                <c:pt idx="330">
                  <c:v>-11.310479999999998</c:v>
                </c:pt>
                <c:pt idx="331">
                  <c:v>-11.310479999999998</c:v>
                </c:pt>
                <c:pt idx="332">
                  <c:v>-11.310479999999998</c:v>
                </c:pt>
                <c:pt idx="333">
                  <c:v>-11.310479999999998</c:v>
                </c:pt>
                <c:pt idx="334">
                  <c:v>-11.310479999999998</c:v>
                </c:pt>
                <c:pt idx="335">
                  <c:v>-11.310479999999998</c:v>
                </c:pt>
                <c:pt idx="336">
                  <c:v>-11.310479999999998</c:v>
                </c:pt>
                <c:pt idx="337">
                  <c:v>-11.310479999999998</c:v>
                </c:pt>
                <c:pt idx="338">
                  <c:v>-11.310479999999998</c:v>
                </c:pt>
                <c:pt idx="339">
                  <c:v>-11.310479999999998</c:v>
                </c:pt>
                <c:pt idx="340">
                  <c:v>-11.310479999999998</c:v>
                </c:pt>
                <c:pt idx="341">
                  <c:v>-11.310479999999998</c:v>
                </c:pt>
                <c:pt idx="342">
                  <c:v>-11.310479999999998</c:v>
                </c:pt>
                <c:pt idx="343">
                  <c:v>-11.310479999999998</c:v>
                </c:pt>
                <c:pt idx="344">
                  <c:v>-11.310479999999998</c:v>
                </c:pt>
                <c:pt idx="345">
                  <c:v>-11.310479999999998</c:v>
                </c:pt>
                <c:pt idx="346">
                  <c:v>-11.310479999999998</c:v>
                </c:pt>
                <c:pt idx="347">
                  <c:v>-11.310479999999998</c:v>
                </c:pt>
                <c:pt idx="348">
                  <c:v>-11.310479999999998</c:v>
                </c:pt>
                <c:pt idx="349">
                  <c:v>-11.310479999999998</c:v>
                </c:pt>
                <c:pt idx="350">
                  <c:v>-11.310479999999998</c:v>
                </c:pt>
                <c:pt idx="351">
                  <c:v>-11.310479999999998</c:v>
                </c:pt>
                <c:pt idx="352">
                  <c:v>-11.310479999999998</c:v>
                </c:pt>
                <c:pt idx="353">
                  <c:v>-11.310479999999998</c:v>
                </c:pt>
                <c:pt idx="354">
                  <c:v>-11.310479999999998</c:v>
                </c:pt>
                <c:pt idx="355">
                  <c:v>-11.310479999999998</c:v>
                </c:pt>
                <c:pt idx="356">
                  <c:v>-11.310479999999998</c:v>
                </c:pt>
                <c:pt idx="357">
                  <c:v>-11.310479999999998</c:v>
                </c:pt>
                <c:pt idx="358">
                  <c:v>-11.310479999999998</c:v>
                </c:pt>
                <c:pt idx="359">
                  <c:v>-11.310479999999998</c:v>
                </c:pt>
                <c:pt idx="360">
                  <c:v>-11.310479999999998</c:v>
                </c:pt>
                <c:pt idx="361">
                  <c:v>-11.310479999999998</c:v>
                </c:pt>
                <c:pt idx="362">
                  <c:v>-11.310479999999998</c:v>
                </c:pt>
                <c:pt idx="363">
                  <c:v>-11.310479999999998</c:v>
                </c:pt>
                <c:pt idx="364">
                  <c:v>-11.310479999999998</c:v>
                </c:pt>
                <c:pt idx="365">
                  <c:v>-11.310479999999998</c:v>
                </c:pt>
                <c:pt idx="366">
                  <c:v>-11.310479999999998</c:v>
                </c:pt>
                <c:pt idx="367">
                  <c:v>-11.310479999999998</c:v>
                </c:pt>
                <c:pt idx="368">
                  <c:v>-11.310479999999998</c:v>
                </c:pt>
                <c:pt idx="369">
                  <c:v>-11.310479999999998</c:v>
                </c:pt>
                <c:pt idx="370">
                  <c:v>-11.310479999999998</c:v>
                </c:pt>
                <c:pt idx="371">
                  <c:v>-11.310479999999998</c:v>
                </c:pt>
                <c:pt idx="372">
                  <c:v>-11.310479999999998</c:v>
                </c:pt>
                <c:pt idx="373">
                  <c:v>-11.310479999999998</c:v>
                </c:pt>
                <c:pt idx="374">
                  <c:v>-11.310479999999998</c:v>
                </c:pt>
                <c:pt idx="375">
                  <c:v>-11.310479999999998</c:v>
                </c:pt>
                <c:pt idx="376">
                  <c:v>-11.310479999999998</c:v>
                </c:pt>
                <c:pt idx="377">
                  <c:v>-11.310479999999998</c:v>
                </c:pt>
                <c:pt idx="378">
                  <c:v>-11.310479999999998</c:v>
                </c:pt>
                <c:pt idx="379">
                  <c:v>-11.310479999999998</c:v>
                </c:pt>
                <c:pt idx="380">
                  <c:v>-11.310479999999998</c:v>
                </c:pt>
                <c:pt idx="381">
                  <c:v>-11.310479999999998</c:v>
                </c:pt>
                <c:pt idx="382">
                  <c:v>-11.310479999999998</c:v>
                </c:pt>
                <c:pt idx="383">
                  <c:v>-11.310479999999998</c:v>
                </c:pt>
                <c:pt idx="384">
                  <c:v>-11.310479999999998</c:v>
                </c:pt>
                <c:pt idx="385">
                  <c:v>-11.310479999999998</c:v>
                </c:pt>
                <c:pt idx="386">
                  <c:v>-11.310479999999998</c:v>
                </c:pt>
                <c:pt idx="387">
                  <c:v>-11.310479999999998</c:v>
                </c:pt>
                <c:pt idx="388">
                  <c:v>-11.310479999999998</c:v>
                </c:pt>
                <c:pt idx="389">
                  <c:v>-11.310479999999998</c:v>
                </c:pt>
                <c:pt idx="390">
                  <c:v>-11.310479999999998</c:v>
                </c:pt>
                <c:pt idx="391">
                  <c:v>-11.310479999999998</c:v>
                </c:pt>
                <c:pt idx="392">
                  <c:v>-11.310479999999998</c:v>
                </c:pt>
                <c:pt idx="393">
                  <c:v>-11.310479999999998</c:v>
                </c:pt>
                <c:pt idx="394">
                  <c:v>-11.310479999999998</c:v>
                </c:pt>
                <c:pt idx="395">
                  <c:v>-11.310479999999998</c:v>
                </c:pt>
                <c:pt idx="396">
                  <c:v>-11.310479999999998</c:v>
                </c:pt>
                <c:pt idx="397">
                  <c:v>-11.310479999999998</c:v>
                </c:pt>
                <c:pt idx="398">
                  <c:v>-11.310479999999998</c:v>
                </c:pt>
                <c:pt idx="399">
                  <c:v>-11.310479999999998</c:v>
                </c:pt>
                <c:pt idx="400">
                  <c:v>-11.310479999999998</c:v>
                </c:pt>
                <c:pt idx="401">
                  <c:v>-11.310479999999998</c:v>
                </c:pt>
                <c:pt idx="402">
                  <c:v>-11.310479999999998</c:v>
                </c:pt>
                <c:pt idx="403">
                  <c:v>-11.310479999999998</c:v>
                </c:pt>
                <c:pt idx="404">
                  <c:v>-11.310479999999998</c:v>
                </c:pt>
                <c:pt idx="405">
                  <c:v>-11.310479999999998</c:v>
                </c:pt>
                <c:pt idx="406">
                  <c:v>-11.310479999999998</c:v>
                </c:pt>
                <c:pt idx="407">
                  <c:v>-11.310479999999998</c:v>
                </c:pt>
                <c:pt idx="408">
                  <c:v>-11.310479999999998</c:v>
                </c:pt>
                <c:pt idx="409">
                  <c:v>-11.310479999999998</c:v>
                </c:pt>
                <c:pt idx="410">
                  <c:v>-11.310479999999998</c:v>
                </c:pt>
                <c:pt idx="411">
                  <c:v>-11.310479999999998</c:v>
                </c:pt>
                <c:pt idx="412">
                  <c:v>-11.310479999999998</c:v>
                </c:pt>
                <c:pt idx="413">
                  <c:v>-11.310479999999998</c:v>
                </c:pt>
                <c:pt idx="414">
                  <c:v>-11.310479999999998</c:v>
                </c:pt>
                <c:pt idx="415">
                  <c:v>-11.310479999999998</c:v>
                </c:pt>
                <c:pt idx="416">
                  <c:v>-11.310479999999998</c:v>
                </c:pt>
                <c:pt idx="417">
                  <c:v>-11.310479999999998</c:v>
                </c:pt>
                <c:pt idx="418">
                  <c:v>-11.310479999999998</c:v>
                </c:pt>
                <c:pt idx="419">
                  <c:v>-11.310479999999998</c:v>
                </c:pt>
                <c:pt idx="420">
                  <c:v>-11.310479999999998</c:v>
                </c:pt>
                <c:pt idx="421">
                  <c:v>-11.310479999999998</c:v>
                </c:pt>
                <c:pt idx="422">
                  <c:v>-11.310479999999998</c:v>
                </c:pt>
                <c:pt idx="423">
                  <c:v>-11.310479999999998</c:v>
                </c:pt>
                <c:pt idx="424">
                  <c:v>-11.310479999999998</c:v>
                </c:pt>
                <c:pt idx="425">
                  <c:v>-11.310479999999998</c:v>
                </c:pt>
                <c:pt idx="426">
                  <c:v>-11.310479999999998</c:v>
                </c:pt>
                <c:pt idx="427">
                  <c:v>-11.310479999999998</c:v>
                </c:pt>
                <c:pt idx="428">
                  <c:v>-11.310479999999998</c:v>
                </c:pt>
                <c:pt idx="429">
                  <c:v>-11.310479999999998</c:v>
                </c:pt>
                <c:pt idx="430">
                  <c:v>-11.310479999999998</c:v>
                </c:pt>
                <c:pt idx="431">
                  <c:v>-11.310479999999998</c:v>
                </c:pt>
                <c:pt idx="432">
                  <c:v>-11.310479999999998</c:v>
                </c:pt>
                <c:pt idx="433">
                  <c:v>-11.310479999999998</c:v>
                </c:pt>
                <c:pt idx="434">
                  <c:v>-11.310479999999998</c:v>
                </c:pt>
                <c:pt idx="435">
                  <c:v>-11.310479999999998</c:v>
                </c:pt>
                <c:pt idx="436">
                  <c:v>-11.310479999999998</c:v>
                </c:pt>
                <c:pt idx="437">
                  <c:v>-11.310479999999998</c:v>
                </c:pt>
                <c:pt idx="438">
                  <c:v>-11.310479999999998</c:v>
                </c:pt>
                <c:pt idx="439">
                  <c:v>-11.310479999999998</c:v>
                </c:pt>
                <c:pt idx="440">
                  <c:v>-11.310479999999998</c:v>
                </c:pt>
                <c:pt idx="441">
                  <c:v>-11.310479999999998</c:v>
                </c:pt>
                <c:pt idx="442">
                  <c:v>-11.310479999999998</c:v>
                </c:pt>
                <c:pt idx="443">
                  <c:v>-11.310479999999998</c:v>
                </c:pt>
                <c:pt idx="444">
                  <c:v>-11.310479999999998</c:v>
                </c:pt>
                <c:pt idx="445">
                  <c:v>-11.310479999999998</c:v>
                </c:pt>
                <c:pt idx="446">
                  <c:v>-11.310479999999998</c:v>
                </c:pt>
                <c:pt idx="447">
                  <c:v>-11.310479999999998</c:v>
                </c:pt>
                <c:pt idx="448">
                  <c:v>-11.310479999999998</c:v>
                </c:pt>
                <c:pt idx="449">
                  <c:v>-11.310479999999998</c:v>
                </c:pt>
                <c:pt idx="450">
                  <c:v>-11.310479999999998</c:v>
                </c:pt>
                <c:pt idx="451">
                  <c:v>-11.310479999999998</c:v>
                </c:pt>
                <c:pt idx="452">
                  <c:v>-11.310479999999998</c:v>
                </c:pt>
                <c:pt idx="453">
                  <c:v>-11.310479999999998</c:v>
                </c:pt>
                <c:pt idx="454">
                  <c:v>-11.310479999999998</c:v>
                </c:pt>
                <c:pt idx="455">
                  <c:v>-11.310479999999998</c:v>
                </c:pt>
                <c:pt idx="456">
                  <c:v>-11.310479999999998</c:v>
                </c:pt>
                <c:pt idx="457">
                  <c:v>-11.310479999999998</c:v>
                </c:pt>
                <c:pt idx="458">
                  <c:v>-11.310479999999998</c:v>
                </c:pt>
                <c:pt idx="459">
                  <c:v>-11.310479999999998</c:v>
                </c:pt>
                <c:pt idx="460">
                  <c:v>-11.310479999999998</c:v>
                </c:pt>
                <c:pt idx="461">
                  <c:v>-11.310479999999998</c:v>
                </c:pt>
                <c:pt idx="462">
                  <c:v>-11.310479999999998</c:v>
                </c:pt>
                <c:pt idx="463">
                  <c:v>-11.310479999999998</c:v>
                </c:pt>
                <c:pt idx="464">
                  <c:v>-11.310479999999998</c:v>
                </c:pt>
                <c:pt idx="465">
                  <c:v>-11.310479999999998</c:v>
                </c:pt>
                <c:pt idx="466">
                  <c:v>-11.310479999999998</c:v>
                </c:pt>
                <c:pt idx="467">
                  <c:v>-11.310479999999998</c:v>
                </c:pt>
                <c:pt idx="468">
                  <c:v>-11.310479999999998</c:v>
                </c:pt>
                <c:pt idx="469">
                  <c:v>-11.310479999999998</c:v>
                </c:pt>
                <c:pt idx="470">
                  <c:v>-11.310479999999998</c:v>
                </c:pt>
                <c:pt idx="471">
                  <c:v>-11.310479999999998</c:v>
                </c:pt>
                <c:pt idx="472">
                  <c:v>-11.310479999999998</c:v>
                </c:pt>
                <c:pt idx="473">
                  <c:v>-11.310479999999998</c:v>
                </c:pt>
                <c:pt idx="474">
                  <c:v>-11.310479999999998</c:v>
                </c:pt>
                <c:pt idx="475">
                  <c:v>-11.310479999999998</c:v>
                </c:pt>
                <c:pt idx="476">
                  <c:v>-11.310479999999998</c:v>
                </c:pt>
                <c:pt idx="477">
                  <c:v>-11.310479999999998</c:v>
                </c:pt>
                <c:pt idx="478">
                  <c:v>-11.310479999999998</c:v>
                </c:pt>
                <c:pt idx="479">
                  <c:v>-11.310479999999998</c:v>
                </c:pt>
                <c:pt idx="480">
                  <c:v>-11.310479999999998</c:v>
                </c:pt>
                <c:pt idx="481">
                  <c:v>-11.310479999999998</c:v>
                </c:pt>
                <c:pt idx="482">
                  <c:v>-11.310479999999998</c:v>
                </c:pt>
                <c:pt idx="483">
                  <c:v>-11.310479999999998</c:v>
                </c:pt>
                <c:pt idx="484">
                  <c:v>-11.310479999999998</c:v>
                </c:pt>
                <c:pt idx="485">
                  <c:v>-11.310479999999998</c:v>
                </c:pt>
                <c:pt idx="486">
                  <c:v>-11.310479999999998</c:v>
                </c:pt>
                <c:pt idx="487">
                  <c:v>-11.310479999999998</c:v>
                </c:pt>
                <c:pt idx="488">
                  <c:v>-11.310479999999998</c:v>
                </c:pt>
                <c:pt idx="489">
                  <c:v>-11.310479999999998</c:v>
                </c:pt>
                <c:pt idx="490">
                  <c:v>-11.310479999999998</c:v>
                </c:pt>
                <c:pt idx="491">
                  <c:v>-11.310479999999998</c:v>
                </c:pt>
                <c:pt idx="492">
                  <c:v>-11.310479999999998</c:v>
                </c:pt>
                <c:pt idx="493">
                  <c:v>-11.310479999999998</c:v>
                </c:pt>
                <c:pt idx="494">
                  <c:v>-11.310479999999998</c:v>
                </c:pt>
                <c:pt idx="495">
                  <c:v>-11.310479999999998</c:v>
                </c:pt>
                <c:pt idx="496">
                  <c:v>-11.310479999999998</c:v>
                </c:pt>
                <c:pt idx="497">
                  <c:v>-11.310479999999998</c:v>
                </c:pt>
                <c:pt idx="498">
                  <c:v>-11.310479999999998</c:v>
                </c:pt>
                <c:pt idx="499">
                  <c:v>-11.310479999999998</c:v>
                </c:pt>
                <c:pt idx="500">
                  <c:v>-11.310479999999998</c:v>
                </c:pt>
                <c:pt idx="501">
                  <c:v>-11.310479999999998</c:v>
                </c:pt>
                <c:pt idx="502">
                  <c:v>-11.310479999999998</c:v>
                </c:pt>
                <c:pt idx="503">
                  <c:v>-11.310479999999998</c:v>
                </c:pt>
                <c:pt idx="504">
                  <c:v>-11.310479999999998</c:v>
                </c:pt>
                <c:pt idx="505">
                  <c:v>-11.310479999999998</c:v>
                </c:pt>
                <c:pt idx="506">
                  <c:v>-11.310479999999998</c:v>
                </c:pt>
                <c:pt idx="507">
                  <c:v>-11.310479999999998</c:v>
                </c:pt>
                <c:pt idx="508">
                  <c:v>-11.310479999999998</c:v>
                </c:pt>
                <c:pt idx="509">
                  <c:v>-11.310479999999998</c:v>
                </c:pt>
                <c:pt idx="510">
                  <c:v>-11.310479999999998</c:v>
                </c:pt>
                <c:pt idx="511">
                  <c:v>-11.310479999999998</c:v>
                </c:pt>
                <c:pt idx="512">
                  <c:v>-11.310479999999998</c:v>
                </c:pt>
                <c:pt idx="513">
                  <c:v>-11.310479999999998</c:v>
                </c:pt>
                <c:pt idx="514">
                  <c:v>-11.310479999999998</c:v>
                </c:pt>
                <c:pt idx="515">
                  <c:v>-11.310479999999998</c:v>
                </c:pt>
                <c:pt idx="516">
                  <c:v>-11.310479999999998</c:v>
                </c:pt>
                <c:pt idx="517">
                  <c:v>-11.310479999999998</c:v>
                </c:pt>
                <c:pt idx="518">
                  <c:v>-11.310479999999998</c:v>
                </c:pt>
                <c:pt idx="519">
                  <c:v>-11.310479999999998</c:v>
                </c:pt>
                <c:pt idx="520">
                  <c:v>-11.310479999999998</c:v>
                </c:pt>
                <c:pt idx="521">
                  <c:v>-11.310479999999998</c:v>
                </c:pt>
                <c:pt idx="522">
                  <c:v>-11.310479999999998</c:v>
                </c:pt>
                <c:pt idx="523">
                  <c:v>-11.310479999999998</c:v>
                </c:pt>
                <c:pt idx="524">
                  <c:v>-11.310479999999998</c:v>
                </c:pt>
                <c:pt idx="525">
                  <c:v>-11.310479999999998</c:v>
                </c:pt>
                <c:pt idx="526">
                  <c:v>-11.310479999999998</c:v>
                </c:pt>
                <c:pt idx="527">
                  <c:v>-11.310479999999998</c:v>
                </c:pt>
                <c:pt idx="528">
                  <c:v>-11.310479999999998</c:v>
                </c:pt>
                <c:pt idx="529">
                  <c:v>-11.310479999999998</c:v>
                </c:pt>
                <c:pt idx="530">
                  <c:v>-11.310479999999998</c:v>
                </c:pt>
                <c:pt idx="531">
                  <c:v>-11.310479999999998</c:v>
                </c:pt>
                <c:pt idx="532">
                  <c:v>-11.310479999999998</c:v>
                </c:pt>
                <c:pt idx="533">
                  <c:v>-11.310479999999998</c:v>
                </c:pt>
                <c:pt idx="534">
                  <c:v>-11.310479999999998</c:v>
                </c:pt>
                <c:pt idx="535">
                  <c:v>-11.310479999999998</c:v>
                </c:pt>
                <c:pt idx="536">
                  <c:v>-11.310479999999998</c:v>
                </c:pt>
                <c:pt idx="537">
                  <c:v>-11.310479999999998</c:v>
                </c:pt>
                <c:pt idx="538">
                  <c:v>-11.310479999999998</c:v>
                </c:pt>
                <c:pt idx="539">
                  <c:v>-11.310479999999998</c:v>
                </c:pt>
                <c:pt idx="540">
                  <c:v>-11.310479999999998</c:v>
                </c:pt>
                <c:pt idx="541">
                  <c:v>-11.310479999999998</c:v>
                </c:pt>
                <c:pt idx="542">
                  <c:v>-11.310479999999998</c:v>
                </c:pt>
                <c:pt idx="543">
                  <c:v>-11.310479999999998</c:v>
                </c:pt>
                <c:pt idx="544">
                  <c:v>-11.310479999999998</c:v>
                </c:pt>
                <c:pt idx="545">
                  <c:v>-11.310479999999998</c:v>
                </c:pt>
                <c:pt idx="546">
                  <c:v>-11.310479999999998</c:v>
                </c:pt>
                <c:pt idx="547">
                  <c:v>-11.310479999999998</c:v>
                </c:pt>
                <c:pt idx="548">
                  <c:v>-11.310479999999998</c:v>
                </c:pt>
                <c:pt idx="549">
                  <c:v>-11.310479999999998</c:v>
                </c:pt>
                <c:pt idx="550">
                  <c:v>-11.310479999999998</c:v>
                </c:pt>
                <c:pt idx="551">
                  <c:v>-11.310479999999998</c:v>
                </c:pt>
                <c:pt idx="552">
                  <c:v>-11.310479999999998</c:v>
                </c:pt>
                <c:pt idx="553">
                  <c:v>-11.310479999999998</c:v>
                </c:pt>
                <c:pt idx="554">
                  <c:v>-11.310479999999998</c:v>
                </c:pt>
                <c:pt idx="555">
                  <c:v>-11.310479999999998</c:v>
                </c:pt>
                <c:pt idx="556">
                  <c:v>-11.310479999999998</c:v>
                </c:pt>
                <c:pt idx="557">
                  <c:v>-11.310479999999998</c:v>
                </c:pt>
                <c:pt idx="558">
                  <c:v>-11.310479999999998</c:v>
                </c:pt>
                <c:pt idx="559">
                  <c:v>-11.310479999999998</c:v>
                </c:pt>
                <c:pt idx="560">
                  <c:v>-11.310479999999998</c:v>
                </c:pt>
                <c:pt idx="561">
                  <c:v>-11.310479999999998</c:v>
                </c:pt>
                <c:pt idx="562">
                  <c:v>-11.310479999999998</c:v>
                </c:pt>
                <c:pt idx="563">
                  <c:v>-11.310479999999998</c:v>
                </c:pt>
                <c:pt idx="564">
                  <c:v>-11.310479999999998</c:v>
                </c:pt>
                <c:pt idx="565">
                  <c:v>-11.310479999999998</c:v>
                </c:pt>
                <c:pt idx="566">
                  <c:v>-11.310479999999998</c:v>
                </c:pt>
                <c:pt idx="567">
                  <c:v>-11.310479999999998</c:v>
                </c:pt>
                <c:pt idx="568">
                  <c:v>-11.310479999999998</c:v>
                </c:pt>
                <c:pt idx="569">
                  <c:v>-11.310479999999998</c:v>
                </c:pt>
                <c:pt idx="570">
                  <c:v>-11.310479999999998</c:v>
                </c:pt>
                <c:pt idx="571">
                  <c:v>-11.310479999999998</c:v>
                </c:pt>
                <c:pt idx="572">
                  <c:v>-11.310479999999998</c:v>
                </c:pt>
                <c:pt idx="573">
                  <c:v>-11.310479999999998</c:v>
                </c:pt>
                <c:pt idx="574">
                  <c:v>-11.310479999999998</c:v>
                </c:pt>
                <c:pt idx="575">
                  <c:v>-11.310479999999998</c:v>
                </c:pt>
                <c:pt idx="576">
                  <c:v>-11.310479999999998</c:v>
                </c:pt>
                <c:pt idx="577">
                  <c:v>-11.310479999999998</c:v>
                </c:pt>
                <c:pt idx="578">
                  <c:v>-11.310479999999998</c:v>
                </c:pt>
                <c:pt idx="579">
                  <c:v>-11.310479999999998</c:v>
                </c:pt>
                <c:pt idx="580">
                  <c:v>-11.310479999999998</c:v>
                </c:pt>
                <c:pt idx="581">
                  <c:v>-11.310479999999998</c:v>
                </c:pt>
                <c:pt idx="582">
                  <c:v>-11.310479999999998</c:v>
                </c:pt>
                <c:pt idx="583">
                  <c:v>-11.310479999999998</c:v>
                </c:pt>
                <c:pt idx="584">
                  <c:v>-11.310479999999998</c:v>
                </c:pt>
                <c:pt idx="585">
                  <c:v>-11.310479999999998</c:v>
                </c:pt>
                <c:pt idx="586">
                  <c:v>-11.310479999999998</c:v>
                </c:pt>
                <c:pt idx="587">
                  <c:v>-11.310479999999998</c:v>
                </c:pt>
                <c:pt idx="588">
                  <c:v>-11.310479999999998</c:v>
                </c:pt>
                <c:pt idx="589">
                  <c:v>-11.310479999999998</c:v>
                </c:pt>
                <c:pt idx="590">
                  <c:v>-11.310479999999998</c:v>
                </c:pt>
                <c:pt idx="591">
                  <c:v>-11.310479999999998</c:v>
                </c:pt>
                <c:pt idx="592">
                  <c:v>-11.310479999999998</c:v>
                </c:pt>
                <c:pt idx="593">
                  <c:v>-11.310479999999998</c:v>
                </c:pt>
                <c:pt idx="594">
                  <c:v>-11.310479999999998</c:v>
                </c:pt>
                <c:pt idx="595">
                  <c:v>-11.310479999999998</c:v>
                </c:pt>
                <c:pt idx="596">
                  <c:v>-11.310479999999998</c:v>
                </c:pt>
                <c:pt idx="597">
                  <c:v>-11.310479999999998</c:v>
                </c:pt>
                <c:pt idx="598">
                  <c:v>-11.310479999999998</c:v>
                </c:pt>
                <c:pt idx="599">
                  <c:v>-11.310479999999998</c:v>
                </c:pt>
                <c:pt idx="600">
                  <c:v>-11.310479999999998</c:v>
                </c:pt>
                <c:pt idx="601">
                  <c:v>-11.310479999999998</c:v>
                </c:pt>
                <c:pt idx="602">
                  <c:v>-11.310479999999998</c:v>
                </c:pt>
                <c:pt idx="603">
                  <c:v>-11.310479999999998</c:v>
                </c:pt>
                <c:pt idx="604">
                  <c:v>-11.310479999999998</c:v>
                </c:pt>
                <c:pt idx="605">
                  <c:v>-11.310479999999998</c:v>
                </c:pt>
                <c:pt idx="606">
                  <c:v>-11.310479999999998</c:v>
                </c:pt>
                <c:pt idx="607">
                  <c:v>-11.310479999999998</c:v>
                </c:pt>
                <c:pt idx="608">
                  <c:v>-11.310479999999998</c:v>
                </c:pt>
                <c:pt idx="609">
                  <c:v>-11.310479999999998</c:v>
                </c:pt>
                <c:pt idx="610">
                  <c:v>-11.310479999999998</c:v>
                </c:pt>
                <c:pt idx="611">
                  <c:v>-11.310479999999998</c:v>
                </c:pt>
                <c:pt idx="612">
                  <c:v>-11.310479999999998</c:v>
                </c:pt>
                <c:pt idx="613">
                  <c:v>-11.310479999999998</c:v>
                </c:pt>
                <c:pt idx="614">
                  <c:v>-11.310479999999998</c:v>
                </c:pt>
                <c:pt idx="615">
                  <c:v>-11.310479999999998</c:v>
                </c:pt>
                <c:pt idx="616">
                  <c:v>-11.310479999999998</c:v>
                </c:pt>
                <c:pt idx="617">
                  <c:v>-11.310479999999998</c:v>
                </c:pt>
                <c:pt idx="618">
                  <c:v>-11.310479999999998</c:v>
                </c:pt>
                <c:pt idx="619">
                  <c:v>-11.310479999999998</c:v>
                </c:pt>
                <c:pt idx="620">
                  <c:v>-11.310479999999998</c:v>
                </c:pt>
                <c:pt idx="621">
                  <c:v>-11.310479999999998</c:v>
                </c:pt>
                <c:pt idx="622">
                  <c:v>-11.310479999999998</c:v>
                </c:pt>
                <c:pt idx="623">
                  <c:v>-11.310479999999998</c:v>
                </c:pt>
                <c:pt idx="624">
                  <c:v>-11.310479999999998</c:v>
                </c:pt>
                <c:pt idx="625">
                  <c:v>-11.310479999999998</c:v>
                </c:pt>
                <c:pt idx="626">
                  <c:v>-11.310479999999998</c:v>
                </c:pt>
                <c:pt idx="627">
                  <c:v>-11.310479999999998</c:v>
                </c:pt>
                <c:pt idx="628">
                  <c:v>-11.310479999999998</c:v>
                </c:pt>
                <c:pt idx="629">
                  <c:v>-11.310479999999998</c:v>
                </c:pt>
                <c:pt idx="630">
                  <c:v>-11.310479999999998</c:v>
                </c:pt>
                <c:pt idx="631">
                  <c:v>-11.310479999999998</c:v>
                </c:pt>
                <c:pt idx="632">
                  <c:v>-11.310479999999998</c:v>
                </c:pt>
                <c:pt idx="633">
                  <c:v>-11.310479999999998</c:v>
                </c:pt>
                <c:pt idx="634">
                  <c:v>-11.310479999999998</c:v>
                </c:pt>
                <c:pt idx="635">
                  <c:v>-11.310479999999998</c:v>
                </c:pt>
                <c:pt idx="636">
                  <c:v>-11.310479999999998</c:v>
                </c:pt>
                <c:pt idx="637">
                  <c:v>-11.310479999999998</c:v>
                </c:pt>
                <c:pt idx="638">
                  <c:v>-11.310479999999998</c:v>
                </c:pt>
                <c:pt idx="639">
                  <c:v>-11.310479999999998</c:v>
                </c:pt>
                <c:pt idx="640">
                  <c:v>-11.310479999999998</c:v>
                </c:pt>
                <c:pt idx="641">
                  <c:v>-11.310479999999998</c:v>
                </c:pt>
                <c:pt idx="642">
                  <c:v>-11.310479999999998</c:v>
                </c:pt>
                <c:pt idx="643">
                  <c:v>-11.310479999999998</c:v>
                </c:pt>
                <c:pt idx="644">
                  <c:v>-11.310479999999998</c:v>
                </c:pt>
                <c:pt idx="645">
                  <c:v>-11.310479999999998</c:v>
                </c:pt>
                <c:pt idx="646">
                  <c:v>-11.310479999999998</c:v>
                </c:pt>
                <c:pt idx="647">
                  <c:v>-11.310479999999998</c:v>
                </c:pt>
                <c:pt idx="648">
                  <c:v>-11.310479999999998</c:v>
                </c:pt>
                <c:pt idx="649">
                  <c:v>-11.310479999999998</c:v>
                </c:pt>
                <c:pt idx="650">
                  <c:v>-11.310479999999998</c:v>
                </c:pt>
                <c:pt idx="651">
                  <c:v>-11.310479999999998</c:v>
                </c:pt>
                <c:pt idx="652">
                  <c:v>-11.310479999999998</c:v>
                </c:pt>
                <c:pt idx="653">
                  <c:v>-11.310479999999998</c:v>
                </c:pt>
                <c:pt idx="654">
                  <c:v>-11.310479999999998</c:v>
                </c:pt>
                <c:pt idx="655">
                  <c:v>-11.310479999999998</c:v>
                </c:pt>
                <c:pt idx="656">
                  <c:v>-11.310479999999998</c:v>
                </c:pt>
                <c:pt idx="657">
                  <c:v>-11.310479999999998</c:v>
                </c:pt>
                <c:pt idx="658">
                  <c:v>-11.310479999999998</c:v>
                </c:pt>
                <c:pt idx="659">
                  <c:v>-11.310479999999998</c:v>
                </c:pt>
                <c:pt idx="660">
                  <c:v>-11.310479999999998</c:v>
                </c:pt>
                <c:pt idx="661">
                  <c:v>-11.310479999999998</c:v>
                </c:pt>
                <c:pt idx="662">
                  <c:v>-11.310479999999998</c:v>
                </c:pt>
                <c:pt idx="663">
                  <c:v>-11.310479999999998</c:v>
                </c:pt>
                <c:pt idx="664">
                  <c:v>-11.310479999999998</c:v>
                </c:pt>
                <c:pt idx="665">
                  <c:v>-11.310479999999998</c:v>
                </c:pt>
                <c:pt idx="666">
                  <c:v>-11.310479999999998</c:v>
                </c:pt>
                <c:pt idx="667">
                  <c:v>-11.310479999999998</c:v>
                </c:pt>
                <c:pt idx="668">
                  <c:v>-11.310479999999998</c:v>
                </c:pt>
                <c:pt idx="669">
                  <c:v>-11.310479999999998</c:v>
                </c:pt>
                <c:pt idx="670">
                  <c:v>-11.310479999999998</c:v>
                </c:pt>
                <c:pt idx="671">
                  <c:v>-11.310479999999998</c:v>
                </c:pt>
                <c:pt idx="672">
                  <c:v>-11.310479999999998</c:v>
                </c:pt>
                <c:pt idx="673">
                  <c:v>-11.310479999999998</c:v>
                </c:pt>
                <c:pt idx="674">
                  <c:v>-11.310479999999998</c:v>
                </c:pt>
                <c:pt idx="675">
                  <c:v>-11.310479999999998</c:v>
                </c:pt>
                <c:pt idx="676">
                  <c:v>-11.310479999999998</c:v>
                </c:pt>
                <c:pt idx="677">
                  <c:v>-11.310479999999998</c:v>
                </c:pt>
                <c:pt idx="678">
                  <c:v>-11.310479999999998</c:v>
                </c:pt>
                <c:pt idx="679">
                  <c:v>-11.310479999999998</c:v>
                </c:pt>
                <c:pt idx="680">
                  <c:v>-11.310479999999998</c:v>
                </c:pt>
                <c:pt idx="681">
                  <c:v>-11.310479999999998</c:v>
                </c:pt>
                <c:pt idx="682">
                  <c:v>-11.310479999999998</c:v>
                </c:pt>
                <c:pt idx="683">
                  <c:v>-11.310479999999998</c:v>
                </c:pt>
                <c:pt idx="684">
                  <c:v>-11.310479999999998</c:v>
                </c:pt>
                <c:pt idx="685">
                  <c:v>-11.310479999999998</c:v>
                </c:pt>
                <c:pt idx="686">
                  <c:v>-11.310479999999998</c:v>
                </c:pt>
                <c:pt idx="687">
                  <c:v>-11.310479999999998</c:v>
                </c:pt>
                <c:pt idx="688">
                  <c:v>-11.310479999999998</c:v>
                </c:pt>
                <c:pt idx="689">
                  <c:v>-11.310479999999998</c:v>
                </c:pt>
                <c:pt idx="690">
                  <c:v>-11.310479999999998</c:v>
                </c:pt>
                <c:pt idx="691">
                  <c:v>-11.310479999999998</c:v>
                </c:pt>
                <c:pt idx="692">
                  <c:v>-11.310479999999998</c:v>
                </c:pt>
                <c:pt idx="693">
                  <c:v>-11.310479999999998</c:v>
                </c:pt>
                <c:pt idx="694">
                  <c:v>-11.310479999999998</c:v>
                </c:pt>
                <c:pt idx="695">
                  <c:v>-11.310479999999998</c:v>
                </c:pt>
                <c:pt idx="696">
                  <c:v>-11.310479999999998</c:v>
                </c:pt>
                <c:pt idx="697">
                  <c:v>-11.310479999999998</c:v>
                </c:pt>
                <c:pt idx="698">
                  <c:v>-11.310479999999998</c:v>
                </c:pt>
                <c:pt idx="699">
                  <c:v>-11.310479999999998</c:v>
                </c:pt>
                <c:pt idx="700">
                  <c:v>-11.310479999999998</c:v>
                </c:pt>
                <c:pt idx="701">
                  <c:v>-11.310479999999998</c:v>
                </c:pt>
                <c:pt idx="702">
                  <c:v>-11.310479999999998</c:v>
                </c:pt>
                <c:pt idx="703">
                  <c:v>-11.310479999999998</c:v>
                </c:pt>
                <c:pt idx="704">
                  <c:v>-11.310479999999998</c:v>
                </c:pt>
                <c:pt idx="705">
                  <c:v>-11.310479999999998</c:v>
                </c:pt>
                <c:pt idx="706">
                  <c:v>-11.310479999999998</c:v>
                </c:pt>
                <c:pt idx="707">
                  <c:v>-11.310479999999998</c:v>
                </c:pt>
                <c:pt idx="708">
                  <c:v>-11.310479999999998</c:v>
                </c:pt>
                <c:pt idx="709">
                  <c:v>-11.310479999999998</c:v>
                </c:pt>
                <c:pt idx="710">
                  <c:v>-11.310479999999998</c:v>
                </c:pt>
                <c:pt idx="711">
                  <c:v>-11.310479999999998</c:v>
                </c:pt>
                <c:pt idx="712">
                  <c:v>-11.310479999999998</c:v>
                </c:pt>
                <c:pt idx="713">
                  <c:v>-11.310479999999998</c:v>
                </c:pt>
                <c:pt idx="714">
                  <c:v>-11.310479999999998</c:v>
                </c:pt>
                <c:pt idx="715">
                  <c:v>-11.310479999999998</c:v>
                </c:pt>
                <c:pt idx="716">
                  <c:v>-11.310479999999998</c:v>
                </c:pt>
                <c:pt idx="717">
                  <c:v>-11.310479999999998</c:v>
                </c:pt>
                <c:pt idx="718">
                  <c:v>-11.310479999999998</c:v>
                </c:pt>
                <c:pt idx="719">
                  <c:v>-11.310479999999998</c:v>
                </c:pt>
                <c:pt idx="720">
                  <c:v>-11.310479999999998</c:v>
                </c:pt>
                <c:pt idx="721">
                  <c:v>-11.310479999999998</c:v>
                </c:pt>
                <c:pt idx="722">
                  <c:v>-11.310479999999998</c:v>
                </c:pt>
                <c:pt idx="723">
                  <c:v>-11.310479999999998</c:v>
                </c:pt>
                <c:pt idx="724">
                  <c:v>-11.310479999999998</c:v>
                </c:pt>
                <c:pt idx="725">
                  <c:v>-11.310479999999998</c:v>
                </c:pt>
                <c:pt idx="726">
                  <c:v>-11.310479999999998</c:v>
                </c:pt>
                <c:pt idx="727">
                  <c:v>-11.310479999999998</c:v>
                </c:pt>
                <c:pt idx="728">
                  <c:v>-11.310479999999998</c:v>
                </c:pt>
                <c:pt idx="729">
                  <c:v>-11.310479999999998</c:v>
                </c:pt>
                <c:pt idx="730">
                  <c:v>-11.310479999999998</c:v>
                </c:pt>
                <c:pt idx="731">
                  <c:v>-11.310479999999998</c:v>
                </c:pt>
                <c:pt idx="732">
                  <c:v>-11.310479999999998</c:v>
                </c:pt>
                <c:pt idx="733">
                  <c:v>-11.310479999999998</c:v>
                </c:pt>
                <c:pt idx="734">
                  <c:v>-11.310479999999998</c:v>
                </c:pt>
                <c:pt idx="735">
                  <c:v>-11.310479999999998</c:v>
                </c:pt>
                <c:pt idx="736">
                  <c:v>-11.310479999999998</c:v>
                </c:pt>
                <c:pt idx="737">
                  <c:v>-11.310479999999998</c:v>
                </c:pt>
                <c:pt idx="738">
                  <c:v>-11.310479999999998</c:v>
                </c:pt>
                <c:pt idx="739">
                  <c:v>-11.310479999999998</c:v>
                </c:pt>
                <c:pt idx="740">
                  <c:v>-11.310479999999998</c:v>
                </c:pt>
                <c:pt idx="741">
                  <c:v>-11.310479999999998</c:v>
                </c:pt>
                <c:pt idx="742">
                  <c:v>-11.310479999999998</c:v>
                </c:pt>
                <c:pt idx="743">
                  <c:v>-11.310479999999998</c:v>
                </c:pt>
                <c:pt idx="744">
                  <c:v>-11.310479999999998</c:v>
                </c:pt>
                <c:pt idx="745">
                  <c:v>-11.310479999999998</c:v>
                </c:pt>
                <c:pt idx="746">
                  <c:v>-11.310479999999998</c:v>
                </c:pt>
                <c:pt idx="747">
                  <c:v>-11.310479999999998</c:v>
                </c:pt>
                <c:pt idx="748">
                  <c:v>-11.310479999999998</c:v>
                </c:pt>
                <c:pt idx="749">
                  <c:v>-11.310479999999998</c:v>
                </c:pt>
                <c:pt idx="750">
                  <c:v>-11.310479999999998</c:v>
                </c:pt>
                <c:pt idx="751">
                  <c:v>-11.310479999999998</c:v>
                </c:pt>
                <c:pt idx="752">
                  <c:v>-11.310479999999998</c:v>
                </c:pt>
                <c:pt idx="753">
                  <c:v>-11.310479999999998</c:v>
                </c:pt>
                <c:pt idx="754">
                  <c:v>-11.310479999999998</c:v>
                </c:pt>
                <c:pt idx="755">
                  <c:v>-11.310479999999998</c:v>
                </c:pt>
                <c:pt idx="756">
                  <c:v>-11.310479999999998</c:v>
                </c:pt>
                <c:pt idx="757">
                  <c:v>-11.310479999999998</c:v>
                </c:pt>
                <c:pt idx="758">
                  <c:v>-11.310479999999998</c:v>
                </c:pt>
                <c:pt idx="759">
                  <c:v>-11.310479999999998</c:v>
                </c:pt>
                <c:pt idx="760">
                  <c:v>-11.310479999999998</c:v>
                </c:pt>
                <c:pt idx="761">
                  <c:v>-11.310479999999998</c:v>
                </c:pt>
                <c:pt idx="762">
                  <c:v>-11.310479999999998</c:v>
                </c:pt>
                <c:pt idx="763">
                  <c:v>-11.310479999999998</c:v>
                </c:pt>
                <c:pt idx="764">
                  <c:v>-11.310479999999998</c:v>
                </c:pt>
                <c:pt idx="765">
                  <c:v>-11.310479999999998</c:v>
                </c:pt>
                <c:pt idx="766">
                  <c:v>-11.310479999999998</c:v>
                </c:pt>
                <c:pt idx="767">
                  <c:v>-11.310479999999998</c:v>
                </c:pt>
                <c:pt idx="768">
                  <c:v>-11.310479999999998</c:v>
                </c:pt>
                <c:pt idx="769">
                  <c:v>-11.310479999999998</c:v>
                </c:pt>
                <c:pt idx="770">
                  <c:v>-11.310479999999998</c:v>
                </c:pt>
                <c:pt idx="771">
                  <c:v>-11.310479999999998</c:v>
                </c:pt>
                <c:pt idx="772">
                  <c:v>-11.310479999999998</c:v>
                </c:pt>
                <c:pt idx="773">
                  <c:v>-11.310479999999998</c:v>
                </c:pt>
                <c:pt idx="774">
                  <c:v>-11.310479999999998</c:v>
                </c:pt>
                <c:pt idx="775">
                  <c:v>-11.310479999999998</c:v>
                </c:pt>
                <c:pt idx="776">
                  <c:v>-11.310479999999998</c:v>
                </c:pt>
                <c:pt idx="777">
                  <c:v>-11.310479999999998</c:v>
                </c:pt>
                <c:pt idx="778">
                  <c:v>-11.310479999999998</c:v>
                </c:pt>
                <c:pt idx="779">
                  <c:v>-11.310479999999998</c:v>
                </c:pt>
                <c:pt idx="780">
                  <c:v>-11.310479999999998</c:v>
                </c:pt>
                <c:pt idx="781">
                  <c:v>-11.310479999999998</c:v>
                </c:pt>
                <c:pt idx="782">
                  <c:v>-11.310479999999998</c:v>
                </c:pt>
                <c:pt idx="783">
                  <c:v>-11.310479999999998</c:v>
                </c:pt>
                <c:pt idx="784">
                  <c:v>-11.310479999999998</c:v>
                </c:pt>
                <c:pt idx="785">
                  <c:v>-11.310479999999998</c:v>
                </c:pt>
                <c:pt idx="786">
                  <c:v>-11.310479999999998</c:v>
                </c:pt>
                <c:pt idx="787">
                  <c:v>-11.310479999999998</c:v>
                </c:pt>
                <c:pt idx="788">
                  <c:v>-11.310479999999998</c:v>
                </c:pt>
                <c:pt idx="789">
                  <c:v>-11.310479999999998</c:v>
                </c:pt>
                <c:pt idx="790">
                  <c:v>-11.310479999999998</c:v>
                </c:pt>
                <c:pt idx="791">
                  <c:v>-11.310479999999998</c:v>
                </c:pt>
                <c:pt idx="792">
                  <c:v>-11.310479999999998</c:v>
                </c:pt>
                <c:pt idx="793">
                  <c:v>-11.310479999999998</c:v>
                </c:pt>
                <c:pt idx="794">
                  <c:v>-11.310479999999998</c:v>
                </c:pt>
                <c:pt idx="795">
                  <c:v>-11.310479999999998</c:v>
                </c:pt>
                <c:pt idx="796">
                  <c:v>-11.310479999999998</c:v>
                </c:pt>
                <c:pt idx="797">
                  <c:v>-11.310479999999998</c:v>
                </c:pt>
                <c:pt idx="798">
                  <c:v>-11.310479999999998</c:v>
                </c:pt>
                <c:pt idx="799">
                  <c:v>-11.310479999999998</c:v>
                </c:pt>
                <c:pt idx="800">
                  <c:v>-11.310479999999998</c:v>
                </c:pt>
                <c:pt idx="801">
                  <c:v>-11.310479999999998</c:v>
                </c:pt>
                <c:pt idx="802">
                  <c:v>-11.310479999999998</c:v>
                </c:pt>
                <c:pt idx="803">
                  <c:v>-11.310479999999998</c:v>
                </c:pt>
                <c:pt idx="804">
                  <c:v>-11.310479999999998</c:v>
                </c:pt>
                <c:pt idx="805">
                  <c:v>-11.310479999999998</c:v>
                </c:pt>
                <c:pt idx="806">
                  <c:v>-11.310479999999998</c:v>
                </c:pt>
                <c:pt idx="807">
                  <c:v>-11.310479999999998</c:v>
                </c:pt>
                <c:pt idx="808">
                  <c:v>-11.310479999999998</c:v>
                </c:pt>
                <c:pt idx="809">
                  <c:v>-11.310479999999998</c:v>
                </c:pt>
                <c:pt idx="810">
                  <c:v>-11.310479999999998</c:v>
                </c:pt>
                <c:pt idx="811">
                  <c:v>-11.310479999999998</c:v>
                </c:pt>
                <c:pt idx="812">
                  <c:v>-11.310479999999998</c:v>
                </c:pt>
                <c:pt idx="813">
                  <c:v>-11.310479999999998</c:v>
                </c:pt>
                <c:pt idx="814">
                  <c:v>-11.310479999999998</c:v>
                </c:pt>
                <c:pt idx="815">
                  <c:v>-11.310479999999998</c:v>
                </c:pt>
                <c:pt idx="816">
                  <c:v>-11.310479999999998</c:v>
                </c:pt>
                <c:pt idx="817">
                  <c:v>-11.310479999999998</c:v>
                </c:pt>
                <c:pt idx="818">
                  <c:v>-11.310479999999998</c:v>
                </c:pt>
                <c:pt idx="819">
                  <c:v>-11.310479999999998</c:v>
                </c:pt>
                <c:pt idx="820">
                  <c:v>-11.310479999999998</c:v>
                </c:pt>
                <c:pt idx="821">
                  <c:v>-11.310479999999998</c:v>
                </c:pt>
                <c:pt idx="822">
                  <c:v>-11.310479999999998</c:v>
                </c:pt>
                <c:pt idx="823">
                  <c:v>-11.310479999999998</c:v>
                </c:pt>
                <c:pt idx="824">
                  <c:v>-11.310479999999998</c:v>
                </c:pt>
                <c:pt idx="825">
                  <c:v>-11.310479999999998</c:v>
                </c:pt>
                <c:pt idx="826">
                  <c:v>-11.310479999999998</c:v>
                </c:pt>
                <c:pt idx="827">
                  <c:v>-11.310479999999998</c:v>
                </c:pt>
                <c:pt idx="828">
                  <c:v>-11.310479999999998</c:v>
                </c:pt>
                <c:pt idx="829">
                  <c:v>-11.310479999999998</c:v>
                </c:pt>
                <c:pt idx="830">
                  <c:v>-11.310479999999998</c:v>
                </c:pt>
                <c:pt idx="831">
                  <c:v>-11.310479999999998</c:v>
                </c:pt>
                <c:pt idx="832">
                  <c:v>-11.310479999999998</c:v>
                </c:pt>
                <c:pt idx="833">
                  <c:v>-11.310479999999998</c:v>
                </c:pt>
                <c:pt idx="834">
                  <c:v>-11.310479999999998</c:v>
                </c:pt>
                <c:pt idx="835">
                  <c:v>-11.310479999999998</c:v>
                </c:pt>
                <c:pt idx="836">
                  <c:v>-11.310479999999998</c:v>
                </c:pt>
                <c:pt idx="837">
                  <c:v>-11.310479999999998</c:v>
                </c:pt>
                <c:pt idx="838">
                  <c:v>-11.310479999999998</c:v>
                </c:pt>
                <c:pt idx="839">
                  <c:v>-11.310479999999998</c:v>
                </c:pt>
                <c:pt idx="840">
                  <c:v>-11.310479999999998</c:v>
                </c:pt>
                <c:pt idx="841">
                  <c:v>-11.310479999999998</c:v>
                </c:pt>
                <c:pt idx="842">
                  <c:v>-11.310479999999998</c:v>
                </c:pt>
                <c:pt idx="843">
                  <c:v>-11.310479999999998</c:v>
                </c:pt>
                <c:pt idx="844">
                  <c:v>-11.310479999999998</c:v>
                </c:pt>
                <c:pt idx="845">
                  <c:v>-11.310479999999998</c:v>
                </c:pt>
                <c:pt idx="846">
                  <c:v>-11.310479999999998</c:v>
                </c:pt>
                <c:pt idx="847">
                  <c:v>-11.310479999999998</c:v>
                </c:pt>
                <c:pt idx="848">
                  <c:v>-11.310479999999998</c:v>
                </c:pt>
                <c:pt idx="849">
                  <c:v>-11.310479999999998</c:v>
                </c:pt>
                <c:pt idx="850">
                  <c:v>-11.310479999999998</c:v>
                </c:pt>
                <c:pt idx="851">
                  <c:v>-11.310479999999998</c:v>
                </c:pt>
                <c:pt idx="852">
                  <c:v>-11.310479999999998</c:v>
                </c:pt>
                <c:pt idx="853">
                  <c:v>-11.310479999999998</c:v>
                </c:pt>
                <c:pt idx="854">
                  <c:v>-11.310479999999998</c:v>
                </c:pt>
                <c:pt idx="855">
                  <c:v>-11.310479999999998</c:v>
                </c:pt>
                <c:pt idx="856">
                  <c:v>-11.310479999999998</c:v>
                </c:pt>
                <c:pt idx="857">
                  <c:v>-11.310479999999998</c:v>
                </c:pt>
                <c:pt idx="858">
                  <c:v>-11.310479999999998</c:v>
                </c:pt>
                <c:pt idx="859">
                  <c:v>-11.310479999999998</c:v>
                </c:pt>
                <c:pt idx="860">
                  <c:v>-11.310479999999998</c:v>
                </c:pt>
                <c:pt idx="861">
                  <c:v>-11.310479999999998</c:v>
                </c:pt>
                <c:pt idx="862">
                  <c:v>-11.310479999999998</c:v>
                </c:pt>
                <c:pt idx="863">
                  <c:v>-11.310479999999998</c:v>
                </c:pt>
                <c:pt idx="864">
                  <c:v>-11.310479999999998</c:v>
                </c:pt>
                <c:pt idx="865">
                  <c:v>-11.310479999999998</c:v>
                </c:pt>
                <c:pt idx="866">
                  <c:v>-11.310479999999998</c:v>
                </c:pt>
                <c:pt idx="867">
                  <c:v>-11.310479999999998</c:v>
                </c:pt>
                <c:pt idx="868">
                  <c:v>-11.310479999999998</c:v>
                </c:pt>
                <c:pt idx="869">
                  <c:v>-11.310479999999998</c:v>
                </c:pt>
                <c:pt idx="870">
                  <c:v>-11.310479999999998</c:v>
                </c:pt>
                <c:pt idx="871">
                  <c:v>-11.310479999999998</c:v>
                </c:pt>
                <c:pt idx="872">
                  <c:v>-11.310479999999998</c:v>
                </c:pt>
                <c:pt idx="873">
                  <c:v>-11.310479999999998</c:v>
                </c:pt>
                <c:pt idx="874">
                  <c:v>-11.310479999999998</c:v>
                </c:pt>
                <c:pt idx="875">
                  <c:v>-11.310479999999998</c:v>
                </c:pt>
                <c:pt idx="876">
                  <c:v>-11.310479999999998</c:v>
                </c:pt>
                <c:pt idx="877">
                  <c:v>-11.310479999999998</c:v>
                </c:pt>
                <c:pt idx="878">
                  <c:v>-11.310479999999998</c:v>
                </c:pt>
                <c:pt idx="879">
                  <c:v>-11.310479999999998</c:v>
                </c:pt>
                <c:pt idx="880">
                  <c:v>-11.310479999999998</c:v>
                </c:pt>
                <c:pt idx="881">
                  <c:v>-11.310479999999998</c:v>
                </c:pt>
                <c:pt idx="882">
                  <c:v>-11.310479999999998</c:v>
                </c:pt>
                <c:pt idx="883">
                  <c:v>-11.310479999999998</c:v>
                </c:pt>
                <c:pt idx="884">
                  <c:v>-11.310479999999998</c:v>
                </c:pt>
                <c:pt idx="885">
                  <c:v>-11.310479999999998</c:v>
                </c:pt>
                <c:pt idx="886">
                  <c:v>-11.310479999999998</c:v>
                </c:pt>
                <c:pt idx="887">
                  <c:v>-11.310479999999998</c:v>
                </c:pt>
                <c:pt idx="888">
                  <c:v>-11.310479999999998</c:v>
                </c:pt>
                <c:pt idx="889">
                  <c:v>-11.310479999999998</c:v>
                </c:pt>
                <c:pt idx="890">
                  <c:v>-11.310479999999998</c:v>
                </c:pt>
                <c:pt idx="891">
                  <c:v>-11.310479999999998</c:v>
                </c:pt>
                <c:pt idx="892">
                  <c:v>-11.310479999999998</c:v>
                </c:pt>
                <c:pt idx="893">
                  <c:v>-11.310479999999998</c:v>
                </c:pt>
                <c:pt idx="894">
                  <c:v>-11.310479999999998</c:v>
                </c:pt>
                <c:pt idx="895">
                  <c:v>-11.310479999999998</c:v>
                </c:pt>
                <c:pt idx="896">
                  <c:v>-11.310479999999998</c:v>
                </c:pt>
                <c:pt idx="897">
                  <c:v>-11.310479999999998</c:v>
                </c:pt>
                <c:pt idx="898">
                  <c:v>-11.310479999999998</c:v>
                </c:pt>
                <c:pt idx="899">
                  <c:v>-11.310479999999998</c:v>
                </c:pt>
                <c:pt idx="900">
                  <c:v>-11.310479999999998</c:v>
                </c:pt>
                <c:pt idx="901">
                  <c:v>-11.310479999999998</c:v>
                </c:pt>
                <c:pt idx="902">
                  <c:v>-11.310479999999998</c:v>
                </c:pt>
                <c:pt idx="903">
                  <c:v>-11.310479999999998</c:v>
                </c:pt>
                <c:pt idx="904">
                  <c:v>-11.310479999999998</c:v>
                </c:pt>
                <c:pt idx="905">
                  <c:v>-11.310479999999998</c:v>
                </c:pt>
                <c:pt idx="906">
                  <c:v>-11.310479999999998</c:v>
                </c:pt>
                <c:pt idx="907">
                  <c:v>-11.310479999999998</c:v>
                </c:pt>
                <c:pt idx="908">
                  <c:v>-11.310479999999998</c:v>
                </c:pt>
                <c:pt idx="909">
                  <c:v>-11.310479999999998</c:v>
                </c:pt>
                <c:pt idx="910">
                  <c:v>-11.310479999999998</c:v>
                </c:pt>
                <c:pt idx="911">
                  <c:v>-11.310479999999998</c:v>
                </c:pt>
                <c:pt idx="912">
                  <c:v>-11.310479999999998</c:v>
                </c:pt>
                <c:pt idx="913">
                  <c:v>-11.310479999999998</c:v>
                </c:pt>
                <c:pt idx="914">
                  <c:v>-11.310479999999998</c:v>
                </c:pt>
                <c:pt idx="915">
                  <c:v>-11.310479999999998</c:v>
                </c:pt>
                <c:pt idx="916">
                  <c:v>-11.310479999999998</c:v>
                </c:pt>
                <c:pt idx="917">
                  <c:v>-11.310479999999998</c:v>
                </c:pt>
                <c:pt idx="918">
                  <c:v>-11.310479999999998</c:v>
                </c:pt>
                <c:pt idx="919">
                  <c:v>-11.310479999999998</c:v>
                </c:pt>
                <c:pt idx="920">
                  <c:v>-11.310479999999998</c:v>
                </c:pt>
                <c:pt idx="921">
                  <c:v>-11.310479999999998</c:v>
                </c:pt>
                <c:pt idx="922">
                  <c:v>-11.310479999999998</c:v>
                </c:pt>
                <c:pt idx="923">
                  <c:v>-11.310479999999998</c:v>
                </c:pt>
                <c:pt idx="924">
                  <c:v>-11.310479999999998</c:v>
                </c:pt>
                <c:pt idx="925">
                  <c:v>-11.310479999999998</c:v>
                </c:pt>
                <c:pt idx="926">
                  <c:v>-11.310479999999998</c:v>
                </c:pt>
                <c:pt idx="927">
                  <c:v>-11.310479999999998</c:v>
                </c:pt>
                <c:pt idx="928">
                  <c:v>-11.310479999999998</c:v>
                </c:pt>
                <c:pt idx="929">
                  <c:v>-11.310479999999998</c:v>
                </c:pt>
                <c:pt idx="930">
                  <c:v>-11.310479999999998</c:v>
                </c:pt>
                <c:pt idx="931">
                  <c:v>-11.310479999999998</c:v>
                </c:pt>
                <c:pt idx="932">
                  <c:v>-11.310479999999998</c:v>
                </c:pt>
                <c:pt idx="933">
                  <c:v>-11.310479999999998</c:v>
                </c:pt>
                <c:pt idx="934">
                  <c:v>-11.310479999999998</c:v>
                </c:pt>
                <c:pt idx="935">
                  <c:v>-11.310479999999998</c:v>
                </c:pt>
                <c:pt idx="936">
                  <c:v>-11.310479999999998</c:v>
                </c:pt>
                <c:pt idx="937">
                  <c:v>-11.310479999999998</c:v>
                </c:pt>
                <c:pt idx="938">
                  <c:v>-11.310479999999998</c:v>
                </c:pt>
                <c:pt idx="939">
                  <c:v>-11.310479999999998</c:v>
                </c:pt>
                <c:pt idx="940">
                  <c:v>-11.310479999999998</c:v>
                </c:pt>
                <c:pt idx="941">
                  <c:v>-11.310479999999998</c:v>
                </c:pt>
                <c:pt idx="942">
                  <c:v>-11.310479999999998</c:v>
                </c:pt>
                <c:pt idx="943">
                  <c:v>-11.310479999999998</c:v>
                </c:pt>
                <c:pt idx="944">
                  <c:v>-11.310479999999998</c:v>
                </c:pt>
                <c:pt idx="945">
                  <c:v>-11.310479999999998</c:v>
                </c:pt>
                <c:pt idx="946">
                  <c:v>-11.310479999999998</c:v>
                </c:pt>
                <c:pt idx="947">
                  <c:v>-11.310479999999998</c:v>
                </c:pt>
                <c:pt idx="948">
                  <c:v>-11.310479999999998</c:v>
                </c:pt>
                <c:pt idx="949">
                  <c:v>-11.310479999999998</c:v>
                </c:pt>
                <c:pt idx="950">
                  <c:v>-11.310479999999998</c:v>
                </c:pt>
                <c:pt idx="951">
                  <c:v>-11.310479999999998</c:v>
                </c:pt>
                <c:pt idx="952">
                  <c:v>-11.310479999999998</c:v>
                </c:pt>
                <c:pt idx="953">
                  <c:v>-11.310479999999998</c:v>
                </c:pt>
                <c:pt idx="954">
                  <c:v>-11.310479999999998</c:v>
                </c:pt>
                <c:pt idx="955">
                  <c:v>-11.310479999999998</c:v>
                </c:pt>
                <c:pt idx="956">
                  <c:v>-11.310479999999998</c:v>
                </c:pt>
                <c:pt idx="957">
                  <c:v>-11.310479999999998</c:v>
                </c:pt>
                <c:pt idx="958">
                  <c:v>-11.310479999999998</c:v>
                </c:pt>
                <c:pt idx="959">
                  <c:v>-11.310479999999998</c:v>
                </c:pt>
                <c:pt idx="960">
                  <c:v>-11.310479999999998</c:v>
                </c:pt>
                <c:pt idx="961">
                  <c:v>-11.310479999999998</c:v>
                </c:pt>
                <c:pt idx="962">
                  <c:v>-11.310479999999998</c:v>
                </c:pt>
                <c:pt idx="963">
                  <c:v>-11.310479999999998</c:v>
                </c:pt>
                <c:pt idx="964">
                  <c:v>-11.310479999999998</c:v>
                </c:pt>
                <c:pt idx="965">
                  <c:v>-11.310479999999998</c:v>
                </c:pt>
                <c:pt idx="966">
                  <c:v>-11.310479999999998</c:v>
                </c:pt>
                <c:pt idx="967">
                  <c:v>-11.310479999999998</c:v>
                </c:pt>
                <c:pt idx="968">
                  <c:v>-11.310479999999998</c:v>
                </c:pt>
                <c:pt idx="969">
                  <c:v>-11.310479999999998</c:v>
                </c:pt>
                <c:pt idx="970">
                  <c:v>-11.310479999999998</c:v>
                </c:pt>
                <c:pt idx="971">
                  <c:v>-11.310479999999998</c:v>
                </c:pt>
                <c:pt idx="972">
                  <c:v>-11.310479999999998</c:v>
                </c:pt>
                <c:pt idx="973">
                  <c:v>-11.310479999999998</c:v>
                </c:pt>
                <c:pt idx="974">
                  <c:v>-11.310479999999998</c:v>
                </c:pt>
                <c:pt idx="975">
                  <c:v>-11.310479999999998</c:v>
                </c:pt>
                <c:pt idx="976">
                  <c:v>-11.310479999999998</c:v>
                </c:pt>
                <c:pt idx="977">
                  <c:v>-11.310479999999998</c:v>
                </c:pt>
                <c:pt idx="978">
                  <c:v>-11.310479999999998</c:v>
                </c:pt>
                <c:pt idx="979">
                  <c:v>-11.310479999999998</c:v>
                </c:pt>
                <c:pt idx="980">
                  <c:v>-11.310479999999998</c:v>
                </c:pt>
                <c:pt idx="981">
                  <c:v>-11.310479999999998</c:v>
                </c:pt>
                <c:pt idx="982">
                  <c:v>-11.310479999999998</c:v>
                </c:pt>
                <c:pt idx="983">
                  <c:v>-11.310479999999998</c:v>
                </c:pt>
                <c:pt idx="984">
                  <c:v>-11.310479999999998</c:v>
                </c:pt>
                <c:pt idx="985">
                  <c:v>-11.310479999999998</c:v>
                </c:pt>
                <c:pt idx="986">
                  <c:v>-11.310479999999998</c:v>
                </c:pt>
                <c:pt idx="987">
                  <c:v>-11.310479999999998</c:v>
                </c:pt>
                <c:pt idx="988">
                  <c:v>-11.310479999999998</c:v>
                </c:pt>
                <c:pt idx="989">
                  <c:v>-11.310479999999998</c:v>
                </c:pt>
                <c:pt idx="990">
                  <c:v>-11.310479999999998</c:v>
                </c:pt>
                <c:pt idx="991">
                  <c:v>-11.310479999999998</c:v>
                </c:pt>
                <c:pt idx="992">
                  <c:v>-11.310479999999998</c:v>
                </c:pt>
                <c:pt idx="993">
                  <c:v>-11.310479999999998</c:v>
                </c:pt>
                <c:pt idx="994">
                  <c:v>-11.310479999999998</c:v>
                </c:pt>
                <c:pt idx="995">
                  <c:v>-11.310479999999998</c:v>
                </c:pt>
                <c:pt idx="996">
                  <c:v>-11.310479999999998</c:v>
                </c:pt>
                <c:pt idx="997">
                  <c:v>-11.310479999999998</c:v>
                </c:pt>
                <c:pt idx="998">
                  <c:v>-11.310479999999998</c:v>
                </c:pt>
                <c:pt idx="999">
                  <c:v>-11.310479999999998</c:v>
                </c:pt>
                <c:pt idx="1000">
                  <c:v>-11.310479999999998</c:v>
                </c:pt>
                <c:pt idx="1001">
                  <c:v>-11.310479999999998</c:v>
                </c:pt>
                <c:pt idx="1002">
                  <c:v>-11.310479999999998</c:v>
                </c:pt>
                <c:pt idx="1003">
                  <c:v>-11.310479999999998</c:v>
                </c:pt>
                <c:pt idx="1004">
                  <c:v>-11.310479999999998</c:v>
                </c:pt>
                <c:pt idx="1005">
                  <c:v>-11.310479999999998</c:v>
                </c:pt>
                <c:pt idx="1006">
                  <c:v>-11.310479999999998</c:v>
                </c:pt>
                <c:pt idx="1007">
                  <c:v>-11.310479999999998</c:v>
                </c:pt>
                <c:pt idx="1008">
                  <c:v>-11.310479999999998</c:v>
                </c:pt>
                <c:pt idx="1009">
                  <c:v>-11.310479999999998</c:v>
                </c:pt>
                <c:pt idx="1010">
                  <c:v>-11.310479999999998</c:v>
                </c:pt>
                <c:pt idx="1011">
                  <c:v>-11.310479999999998</c:v>
                </c:pt>
                <c:pt idx="1012">
                  <c:v>-11.310479999999998</c:v>
                </c:pt>
                <c:pt idx="1013">
                  <c:v>-11.310479999999998</c:v>
                </c:pt>
                <c:pt idx="1014">
                  <c:v>-11.310479999999998</c:v>
                </c:pt>
                <c:pt idx="1015">
                  <c:v>-11.310479999999998</c:v>
                </c:pt>
                <c:pt idx="1016">
                  <c:v>-11.310479999999998</c:v>
                </c:pt>
                <c:pt idx="1017">
                  <c:v>-11.310479999999998</c:v>
                </c:pt>
                <c:pt idx="1018">
                  <c:v>-11.310479999999998</c:v>
                </c:pt>
                <c:pt idx="1019">
                  <c:v>-11.310479999999998</c:v>
                </c:pt>
                <c:pt idx="1020">
                  <c:v>-11.310479999999998</c:v>
                </c:pt>
                <c:pt idx="1021">
                  <c:v>-11.310479999999998</c:v>
                </c:pt>
                <c:pt idx="1022">
                  <c:v>-11.310479999999998</c:v>
                </c:pt>
                <c:pt idx="1023">
                  <c:v>-11.310479999999998</c:v>
                </c:pt>
                <c:pt idx="1024">
                  <c:v>-11.310479999999998</c:v>
                </c:pt>
                <c:pt idx="1025">
                  <c:v>-11.310479999999998</c:v>
                </c:pt>
                <c:pt idx="1026">
                  <c:v>-11.310479999999998</c:v>
                </c:pt>
                <c:pt idx="1027">
                  <c:v>-11.310479999999998</c:v>
                </c:pt>
                <c:pt idx="1028">
                  <c:v>-11.310479999999998</c:v>
                </c:pt>
                <c:pt idx="1029">
                  <c:v>-11.310479999999998</c:v>
                </c:pt>
                <c:pt idx="1030">
                  <c:v>-11.310479999999998</c:v>
                </c:pt>
                <c:pt idx="1031">
                  <c:v>-11.310479999999998</c:v>
                </c:pt>
                <c:pt idx="1032">
                  <c:v>-11.310479999999998</c:v>
                </c:pt>
                <c:pt idx="1033">
                  <c:v>-11.310479999999998</c:v>
                </c:pt>
                <c:pt idx="1034">
                  <c:v>-11.310479999999998</c:v>
                </c:pt>
                <c:pt idx="1035">
                  <c:v>-11.310479999999998</c:v>
                </c:pt>
                <c:pt idx="1036">
                  <c:v>-11.310479999999998</c:v>
                </c:pt>
                <c:pt idx="1037">
                  <c:v>-11.310479999999998</c:v>
                </c:pt>
                <c:pt idx="1038">
                  <c:v>-11.310479999999998</c:v>
                </c:pt>
                <c:pt idx="1039">
                  <c:v>-11.310479999999998</c:v>
                </c:pt>
                <c:pt idx="1040">
                  <c:v>-11.310479999999998</c:v>
                </c:pt>
                <c:pt idx="1041">
                  <c:v>-11.310479999999998</c:v>
                </c:pt>
                <c:pt idx="1042">
                  <c:v>-11.310479999999998</c:v>
                </c:pt>
                <c:pt idx="1043">
                  <c:v>-11.310479999999998</c:v>
                </c:pt>
                <c:pt idx="1044">
                  <c:v>-11.310479999999998</c:v>
                </c:pt>
                <c:pt idx="1045">
                  <c:v>-11.310479999999998</c:v>
                </c:pt>
                <c:pt idx="1046">
                  <c:v>-11.310479999999998</c:v>
                </c:pt>
                <c:pt idx="1047">
                  <c:v>-11.310479999999998</c:v>
                </c:pt>
                <c:pt idx="1048">
                  <c:v>-11.310479999999998</c:v>
                </c:pt>
                <c:pt idx="1049">
                  <c:v>-11.310479999999998</c:v>
                </c:pt>
                <c:pt idx="1050">
                  <c:v>-11.310479999999998</c:v>
                </c:pt>
                <c:pt idx="1051">
                  <c:v>-11.310479999999998</c:v>
                </c:pt>
                <c:pt idx="1052">
                  <c:v>-11.310479999999998</c:v>
                </c:pt>
                <c:pt idx="1053">
                  <c:v>-11.310479999999998</c:v>
                </c:pt>
                <c:pt idx="1054">
                  <c:v>-11.310479999999998</c:v>
                </c:pt>
                <c:pt idx="1055">
                  <c:v>-11.310479999999998</c:v>
                </c:pt>
                <c:pt idx="1056">
                  <c:v>-11.310479999999998</c:v>
                </c:pt>
                <c:pt idx="1057">
                  <c:v>-11.310479999999998</c:v>
                </c:pt>
                <c:pt idx="1058">
                  <c:v>-11.310479999999998</c:v>
                </c:pt>
                <c:pt idx="1059">
                  <c:v>-11.310479999999998</c:v>
                </c:pt>
                <c:pt idx="1060">
                  <c:v>-11.310479999999998</c:v>
                </c:pt>
                <c:pt idx="1061">
                  <c:v>-11.310479999999998</c:v>
                </c:pt>
                <c:pt idx="1062">
                  <c:v>-11.310479999999998</c:v>
                </c:pt>
                <c:pt idx="1063">
                  <c:v>-11.310479999999998</c:v>
                </c:pt>
                <c:pt idx="1064">
                  <c:v>-11.310479999999998</c:v>
                </c:pt>
                <c:pt idx="1065">
                  <c:v>-11.310479999999998</c:v>
                </c:pt>
                <c:pt idx="1066">
                  <c:v>-11.310479999999998</c:v>
                </c:pt>
                <c:pt idx="1067">
                  <c:v>-11.310479999999998</c:v>
                </c:pt>
                <c:pt idx="1068">
                  <c:v>-11.310479999999998</c:v>
                </c:pt>
                <c:pt idx="1069">
                  <c:v>-11.310479999999998</c:v>
                </c:pt>
                <c:pt idx="1070">
                  <c:v>-11.310479999999998</c:v>
                </c:pt>
                <c:pt idx="1071">
                  <c:v>-11.310479999999998</c:v>
                </c:pt>
                <c:pt idx="1072">
                  <c:v>-11.310479999999998</c:v>
                </c:pt>
                <c:pt idx="1073">
                  <c:v>-11.310479999999998</c:v>
                </c:pt>
                <c:pt idx="1074">
                  <c:v>-11.310479999999998</c:v>
                </c:pt>
                <c:pt idx="1075">
                  <c:v>-11.310479999999998</c:v>
                </c:pt>
                <c:pt idx="1076">
                  <c:v>-11.310479999999998</c:v>
                </c:pt>
                <c:pt idx="1077">
                  <c:v>-11.310479999999998</c:v>
                </c:pt>
                <c:pt idx="1078">
                  <c:v>-11.310479999999998</c:v>
                </c:pt>
                <c:pt idx="1079">
                  <c:v>-11.310479999999998</c:v>
                </c:pt>
                <c:pt idx="1080">
                  <c:v>-11.310479999999998</c:v>
                </c:pt>
                <c:pt idx="1081">
                  <c:v>-11.310479999999998</c:v>
                </c:pt>
                <c:pt idx="1082">
                  <c:v>-11.310479999999998</c:v>
                </c:pt>
                <c:pt idx="1083">
                  <c:v>-11.310479999999998</c:v>
                </c:pt>
                <c:pt idx="1084">
                  <c:v>-11.310479999999998</c:v>
                </c:pt>
                <c:pt idx="1085">
                  <c:v>-11.310479999999998</c:v>
                </c:pt>
                <c:pt idx="1086">
                  <c:v>-11.310479999999998</c:v>
                </c:pt>
                <c:pt idx="1087">
                  <c:v>-11.310479999999998</c:v>
                </c:pt>
                <c:pt idx="1088">
                  <c:v>-11.310479999999998</c:v>
                </c:pt>
                <c:pt idx="1089">
                  <c:v>-11.310479999999998</c:v>
                </c:pt>
                <c:pt idx="1090">
                  <c:v>-11.310479999999998</c:v>
                </c:pt>
                <c:pt idx="1091">
                  <c:v>-11.310479999999998</c:v>
                </c:pt>
                <c:pt idx="1092">
                  <c:v>-11.310479999999998</c:v>
                </c:pt>
                <c:pt idx="1093">
                  <c:v>-11.310479999999998</c:v>
                </c:pt>
                <c:pt idx="1094">
                  <c:v>-11.310479999999998</c:v>
                </c:pt>
                <c:pt idx="1095">
                  <c:v>-11.310479999999998</c:v>
                </c:pt>
                <c:pt idx="1096">
                  <c:v>-11.310479999999998</c:v>
                </c:pt>
                <c:pt idx="1097">
                  <c:v>-11.310479999999998</c:v>
                </c:pt>
                <c:pt idx="1098">
                  <c:v>-11.310479999999998</c:v>
                </c:pt>
                <c:pt idx="1099">
                  <c:v>-11.310479999999998</c:v>
                </c:pt>
                <c:pt idx="1100">
                  <c:v>-11.310479999999998</c:v>
                </c:pt>
                <c:pt idx="1101">
                  <c:v>-11.310479999999998</c:v>
                </c:pt>
                <c:pt idx="1102">
                  <c:v>-11.310479999999998</c:v>
                </c:pt>
                <c:pt idx="1103">
                  <c:v>-11.310479999999998</c:v>
                </c:pt>
                <c:pt idx="1104">
                  <c:v>-11.310479999999998</c:v>
                </c:pt>
                <c:pt idx="1105">
                  <c:v>-11.310479999999998</c:v>
                </c:pt>
                <c:pt idx="1106">
                  <c:v>-11.310479999999998</c:v>
                </c:pt>
                <c:pt idx="1107">
                  <c:v>-11.310479999999998</c:v>
                </c:pt>
                <c:pt idx="1108">
                  <c:v>-11.310479999999998</c:v>
                </c:pt>
                <c:pt idx="1109">
                  <c:v>-11.310479999999998</c:v>
                </c:pt>
                <c:pt idx="1110">
                  <c:v>-11.310479999999998</c:v>
                </c:pt>
                <c:pt idx="1111">
                  <c:v>-11.310479999999998</c:v>
                </c:pt>
                <c:pt idx="1112">
                  <c:v>-11.310479999999998</c:v>
                </c:pt>
                <c:pt idx="1113">
                  <c:v>-11.310479999999998</c:v>
                </c:pt>
                <c:pt idx="1114">
                  <c:v>-11.310479999999998</c:v>
                </c:pt>
                <c:pt idx="1115">
                  <c:v>-11.310479999999998</c:v>
                </c:pt>
                <c:pt idx="1116">
                  <c:v>-11.310479999999998</c:v>
                </c:pt>
                <c:pt idx="1117">
                  <c:v>-11.310479999999998</c:v>
                </c:pt>
                <c:pt idx="1118">
                  <c:v>-11.310479999999998</c:v>
                </c:pt>
                <c:pt idx="1119">
                  <c:v>-11.310479999999998</c:v>
                </c:pt>
                <c:pt idx="1120">
                  <c:v>-11.310479999999998</c:v>
                </c:pt>
                <c:pt idx="1121">
                  <c:v>-11.310479999999998</c:v>
                </c:pt>
                <c:pt idx="1122">
                  <c:v>-11.310479999999998</c:v>
                </c:pt>
                <c:pt idx="1123">
                  <c:v>-11.310479999999998</c:v>
                </c:pt>
                <c:pt idx="1124">
                  <c:v>-11.310479999999998</c:v>
                </c:pt>
                <c:pt idx="1125">
                  <c:v>-11.310479999999998</c:v>
                </c:pt>
                <c:pt idx="1126">
                  <c:v>-11.310479999999998</c:v>
                </c:pt>
                <c:pt idx="1127">
                  <c:v>-11.310479999999998</c:v>
                </c:pt>
                <c:pt idx="1128">
                  <c:v>-11.310479999999998</c:v>
                </c:pt>
                <c:pt idx="1129">
                  <c:v>-11.310479999999998</c:v>
                </c:pt>
                <c:pt idx="1130">
                  <c:v>-11.310479999999998</c:v>
                </c:pt>
                <c:pt idx="1131">
                  <c:v>-11.310479999999998</c:v>
                </c:pt>
              </c:numCache>
            </c:numRef>
          </c:xVal>
          <c:yVal>
            <c:numRef>
              <c:f>Plot_Data!$HZ$5:$HZ$1136</c:f>
              <c:numCache>
                <c:formatCode>0.000</c:formatCode>
                <c:ptCount val="1132"/>
                <c:pt idx="0">
                  <c:v>-1.84</c:v>
                </c:pt>
                <c:pt idx="1">
                  <c:v>-1.84</c:v>
                </c:pt>
                <c:pt idx="2">
                  <c:v>-1.84</c:v>
                </c:pt>
                <c:pt idx="3">
                  <c:v>-1.84</c:v>
                </c:pt>
                <c:pt idx="4">
                  <c:v>-1.84</c:v>
                </c:pt>
                <c:pt idx="5">
                  <c:v>-1.84</c:v>
                </c:pt>
                <c:pt idx="6">
                  <c:v>-1.84</c:v>
                </c:pt>
                <c:pt idx="7">
                  <c:v>-1.84</c:v>
                </c:pt>
                <c:pt idx="8">
                  <c:v>-1.84</c:v>
                </c:pt>
                <c:pt idx="9">
                  <c:v>-1.84</c:v>
                </c:pt>
                <c:pt idx="10">
                  <c:v>-1.84</c:v>
                </c:pt>
                <c:pt idx="11">
                  <c:v>-1.84</c:v>
                </c:pt>
                <c:pt idx="12">
                  <c:v>-1.84</c:v>
                </c:pt>
                <c:pt idx="13">
                  <c:v>-1.84</c:v>
                </c:pt>
                <c:pt idx="14">
                  <c:v>-1.84</c:v>
                </c:pt>
                <c:pt idx="15">
                  <c:v>-1.84</c:v>
                </c:pt>
                <c:pt idx="16">
                  <c:v>-1.84</c:v>
                </c:pt>
                <c:pt idx="17">
                  <c:v>-1.84</c:v>
                </c:pt>
                <c:pt idx="18">
                  <c:v>-1.84</c:v>
                </c:pt>
                <c:pt idx="19">
                  <c:v>-1.84</c:v>
                </c:pt>
                <c:pt idx="20">
                  <c:v>-1.84</c:v>
                </c:pt>
                <c:pt idx="21">
                  <c:v>-1.84</c:v>
                </c:pt>
                <c:pt idx="22">
                  <c:v>-1.84</c:v>
                </c:pt>
                <c:pt idx="23">
                  <c:v>-1.84</c:v>
                </c:pt>
                <c:pt idx="24">
                  <c:v>-1.84</c:v>
                </c:pt>
                <c:pt idx="25">
                  <c:v>-1.84</c:v>
                </c:pt>
                <c:pt idx="26">
                  <c:v>-1.84</c:v>
                </c:pt>
                <c:pt idx="27">
                  <c:v>-1.84</c:v>
                </c:pt>
                <c:pt idx="28">
                  <c:v>-1.84</c:v>
                </c:pt>
                <c:pt idx="29">
                  <c:v>-1.84</c:v>
                </c:pt>
                <c:pt idx="30">
                  <c:v>-1.84</c:v>
                </c:pt>
                <c:pt idx="31">
                  <c:v>-1.84</c:v>
                </c:pt>
                <c:pt idx="32">
                  <c:v>-1.84</c:v>
                </c:pt>
                <c:pt idx="33">
                  <c:v>-1.84</c:v>
                </c:pt>
                <c:pt idx="34">
                  <c:v>-1.84</c:v>
                </c:pt>
                <c:pt idx="35">
                  <c:v>-1.84</c:v>
                </c:pt>
                <c:pt idx="36">
                  <c:v>-1.84</c:v>
                </c:pt>
                <c:pt idx="37">
                  <c:v>-1.84</c:v>
                </c:pt>
                <c:pt idx="38">
                  <c:v>-1.84</c:v>
                </c:pt>
                <c:pt idx="39">
                  <c:v>-1.84</c:v>
                </c:pt>
                <c:pt idx="40">
                  <c:v>-1.84</c:v>
                </c:pt>
                <c:pt idx="41">
                  <c:v>-1.84</c:v>
                </c:pt>
                <c:pt idx="42">
                  <c:v>-1.84</c:v>
                </c:pt>
                <c:pt idx="43">
                  <c:v>-1.84</c:v>
                </c:pt>
                <c:pt idx="44">
                  <c:v>-1.84</c:v>
                </c:pt>
                <c:pt idx="45">
                  <c:v>-1.84</c:v>
                </c:pt>
                <c:pt idx="46">
                  <c:v>-1.84</c:v>
                </c:pt>
                <c:pt idx="47">
                  <c:v>-1.84</c:v>
                </c:pt>
                <c:pt idx="48">
                  <c:v>-1.84</c:v>
                </c:pt>
                <c:pt idx="49">
                  <c:v>-1.84</c:v>
                </c:pt>
                <c:pt idx="50">
                  <c:v>-1.84</c:v>
                </c:pt>
                <c:pt idx="51">
                  <c:v>-1.84</c:v>
                </c:pt>
                <c:pt idx="52">
                  <c:v>-1.84</c:v>
                </c:pt>
                <c:pt idx="53">
                  <c:v>-1.84</c:v>
                </c:pt>
                <c:pt idx="54">
                  <c:v>-1.84</c:v>
                </c:pt>
                <c:pt idx="55">
                  <c:v>-1.84</c:v>
                </c:pt>
                <c:pt idx="56">
                  <c:v>-1.84</c:v>
                </c:pt>
                <c:pt idx="57">
                  <c:v>-1.84</c:v>
                </c:pt>
                <c:pt idx="58">
                  <c:v>-1.84</c:v>
                </c:pt>
                <c:pt idx="59">
                  <c:v>-1.84</c:v>
                </c:pt>
                <c:pt idx="60">
                  <c:v>-1.84</c:v>
                </c:pt>
                <c:pt idx="61">
                  <c:v>-1.84</c:v>
                </c:pt>
                <c:pt idx="62">
                  <c:v>-1.84</c:v>
                </c:pt>
                <c:pt idx="63">
                  <c:v>-1.84</c:v>
                </c:pt>
                <c:pt idx="64">
                  <c:v>-1.84</c:v>
                </c:pt>
                <c:pt idx="65">
                  <c:v>-1.84</c:v>
                </c:pt>
                <c:pt idx="66">
                  <c:v>-1.84</c:v>
                </c:pt>
                <c:pt idx="67">
                  <c:v>-1.84</c:v>
                </c:pt>
                <c:pt idx="68">
                  <c:v>-1.84</c:v>
                </c:pt>
                <c:pt idx="69">
                  <c:v>-1.84</c:v>
                </c:pt>
                <c:pt idx="70">
                  <c:v>-1.84</c:v>
                </c:pt>
                <c:pt idx="71">
                  <c:v>-1.84</c:v>
                </c:pt>
                <c:pt idx="72">
                  <c:v>-1.84</c:v>
                </c:pt>
                <c:pt idx="73">
                  <c:v>-1.84</c:v>
                </c:pt>
                <c:pt idx="74">
                  <c:v>-1.84</c:v>
                </c:pt>
                <c:pt idx="75">
                  <c:v>-1.84</c:v>
                </c:pt>
                <c:pt idx="76">
                  <c:v>-1.84</c:v>
                </c:pt>
                <c:pt idx="77">
                  <c:v>-1.84</c:v>
                </c:pt>
                <c:pt idx="78">
                  <c:v>-1.84</c:v>
                </c:pt>
                <c:pt idx="79">
                  <c:v>-1.84</c:v>
                </c:pt>
                <c:pt idx="80">
                  <c:v>-1.84</c:v>
                </c:pt>
                <c:pt idx="81">
                  <c:v>-1.84</c:v>
                </c:pt>
                <c:pt idx="82">
                  <c:v>-1.84</c:v>
                </c:pt>
                <c:pt idx="83">
                  <c:v>-1.84</c:v>
                </c:pt>
                <c:pt idx="84">
                  <c:v>-1.84</c:v>
                </c:pt>
                <c:pt idx="85">
                  <c:v>-1.84</c:v>
                </c:pt>
                <c:pt idx="86">
                  <c:v>-1.84</c:v>
                </c:pt>
                <c:pt idx="87">
                  <c:v>-1.84</c:v>
                </c:pt>
                <c:pt idx="88">
                  <c:v>-1.84</c:v>
                </c:pt>
                <c:pt idx="89">
                  <c:v>-1.84</c:v>
                </c:pt>
                <c:pt idx="90">
                  <c:v>-1.84</c:v>
                </c:pt>
                <c:pt idx="91">
                  <c:v>-1.84</c:v>
                </c:pt>
                <c:pt idx="92">
                  <c:v>-1.84</c:v>
                </c:pt>
                <c:pt idx="93">
                  <c:v>-1.84</c:v>
                </c:pt>
                <c:pt idx="94">
                  <c:v>-1.84</c:v>
                </c:pt>
                <c:pt idx="95">
                  <c:v>-1.84</c:v>
                </c:pt>
                <c:pt idx="96">
                  <c:v>-1.84</c:v>
                </c:pt>
                <c:pt idx="97">
                  <c:v>-1.84</c:v>
                </c:pt>
                <c:pt idx="98">
                  <c:v>-1.84</c:v>
                </c:pt>
                <c:pt idx="99">
                  <c:v>-1.84</c:v>
                </c:pt>
                <c:pt idx="100">
                  <c:v>-1.84</c:v>
                </c:pt>
                <c:pt idx="101">
                  <c:v>-1.84</c:v>
                </c:pt>
                <c:pt idx="102">
                  <c:v>-1.84</c:v>
                </c:pt>
                <c:pt idx="103">
                  <c:v>-1.84</c:v>
                </c:pt>
                <c:pt idx="104">
                  <c:v>-1.84</c:v>
                </c:pt>
                <c:pt idx="105">
                  <c:v>-1.84</c:v>
                </c:pt>
                <c:pt idx="106">
                  <c:v>-1.84</c:v>
                </c:pt>
                <c:pt idx="107">
                  <c:v>-1.84</c:v>
                </c:pt>
                <c:pt idx="108">
                  <c:v>-1.84</c:v>
                </c:pt>
                <c:pt idx="109">
                  <c:v>-1.84</c:v>
                </c:pt>
                <c:pt idx="110">
                  <c:v>-1.84</c:v>
                </c:pt>
                <c:pt idx="111">
                  <c:v>-1.84</c:v>
                </c:pt>
                <c:pt idx="112">
                  <c:v>-1.84</c:v>
                </c:pt>
                <c:pt idx="113">
                  <c:v>-1.84</c:v>
                </c:pt>
                <c:pt idx="114">
                  <c:v>-1.84</c:v>
                </c:pt>
                <c:pt idx="115">
                  <c:v>-1.84</c:v>
                </c:pt>
                <c:pt idx="116">
                  <c:v>-1.84</c:v>
                </c:pt>
                <c:pt idx="117">
                  <c:v>-1.84</c:v>
                </c:pt>
                <c:pt idx="118">
                  <c:v>-1.84</c:v>
                </c:pt>
                <c:pt idx="119">
                  <c:v>-1.84</c:v>
                </c:pt>
                <c:pt idx="120">
                  <c:v>-1.84</c:v>
                </c:pt>
                <c:pt idx="121">
                  <c:v>-1.84</c:v>
                </c:pt>
                <c:pt idx="122">
                  <c:v>-1.84</c:v>
                </c:pt>
                <c:pt idx="123">
                  <c:v>-1.84</c:v>
                </c:pt>
                <c:pt idx="124">
                  <c:v>-1.84</c:v>
                </c:pt>
                <c:pt idx="125">
                  <c:v>-1.84</c:v>
                </c:pt>
                <c:pt idx="126">
                  <c:v>-1.84</c:v>
                </c:pt>
                <c:pt idx="127">
                  <c:v>-1.84</c:v>
                </c:pt>
                <c:pt idx="128">
                  <c:v>-1.84</c:v>
                </c:pt>
                <c:pt idx="129">
                  <c:v>-1.84</c:v>
                </c:pt>
                <c:pt idx="130">
                  <c:v>-1.84</c:v>
                </c:pt>
                <c:pt idx="131">
                  <c:v>-1.84</c:v>
                </c:pt>
                <c:pt idx="132">
                  <c:v>-1.84</c:v>
                </c:pt>
                <c:pt idx="133">
                  <c:v>-1.84</c:v>
                </c:pt>
                <c:pt idx="134">
                  <c:v>-1.84</c:v>
                </c:pt>
                <c:pt idx="135">
                  <c:v>-1.84</c:v>
                </c:pt>
                <c:pt idx="136">
                  <c:v>-1.84</c:v>
                </c:pt>
                <c:pt idx="137">
                  <c:v>-1.84</c:v>
                </c:pt>
                <c:pt idx="138">
                  <c:v>-1.84</c:v>
                </c:pt>
                <c:pt idx="139">
                  <c:v>-1.84</c:v>
                </c:pt>
                <c:pt idx="140">
                  <c:v>-1.84</c:v>
                </c:pt>
                <c:pt idx="141">
                  <c:v>-1.84</c:v>
                </c:pt>
                <c:pt idx="142">
                  <c:v>-1.84</c:v>
                </c:pt>
                <c:pt idx="143">
                  <c:v>-1.84</c:v>
                </c:pt>
                <c:pt idx="144">
                  <c:v>-1.84</c:v>
                </c:pt>
                <c:pt idx="145">
                  <c:v>-1.84</c:v>
                </c:pt>
                <c:pt idx="146">
                  <c:v>-1.84</c:v>
                </c:pt>
                <c:pt idx="147">
                  <c:v>-1.84</c:v>
                </c:pt>
                <c:pt idx="148">
                  <c:v>-1.84</c:v>
                </c:pt>
                <c:pt idx="149">
                  <c:v>-1.84</c:v>
                </c:pt>
                <c:pt idx="150">
                  <c:v>-1.84</c:v>
                </c:pt>
                <c:pt idx="151">
                  <c:v>-1.84</c:v>
                </c:pt>
                <c:pt idx="152">
                  <c:v>-1.84</c:v>
                </c:pt>
                <c:pt idx="153">
                  <c:v>-1.84</c:v>
                </c:pt>
                <c:pt idx="154">
                  <c:v>-1.84</c:v>
                </c:pt>
                <c:pt idx="155">
                  <c:v>-1.84</c:v>
                </c:pt>
                <c:pt idx="156">
                  <c:v>-1.84</c:v>
                </c:pt>
                <c:pt idx="157">
                  <c:v>-1.84</c:v>
                </c:pt>
                <c:pt idx="158">
                  <c:v>-1.84</c:v>
                </c:pt>
                <c:pt idx="159">
                  <c:v>-1.84</c:v>
                </c:pt>
                <c:pt idx="160">
                  <c:v>-1.84</c:v>
                </c:pt>
                <c:pt idx="161">
                  <c:v>-1.84</c:v>
                </c:pt>
                <c:pt idx="162">
                  <c:v>-1.84</c:v>
                </c:pt>
                <c:pt idx="163">
                  <c:v>-1.84</c:v>
                </c:pt>
                <c:pt idx="164">
                  <c:v>-1.84</c:v>
                </c:pt>
                <c:pt idx="165">
                  <c:v>-1.84</c:v>
                </c:pt>
                <c:pt idx="166">
                  <c:v>-1.84</c:v>
                </c:pt>
                <c:pt idx="167">
                  <c:v>-1.84</c:v>
                </c:pt>
                <c:pt idx="168">
                  <c:v>-1.84</c:v>
                </c:pt>
                <c:pt idx="169">
                  <c:v>-1.84</c:v>
                </c:pt>
                <c:pt idx="170">
                  <c:v>-1.84</c:v>
                </c:pt>
                <c:pt idx="171">
                  <c:v>-1.84</c:v>
                </c:pt>
                <c:pt idx="172">
                  <c:v>-1.84</c:v>
                </c:pt>
                <c:pt idx="173">
                  <c:v>-1.84</c:v>
                </c:pt>
                <c:pt idx="174">
                  <c:v>-1.84</c:v>
                </c:pt>
                <c:pt idx="175">
                  <c:v>-1.84</c:v>
                </c:pt>
                <c:pt idx="176">
                  <c:v>-1.84</c:v>
                </c:pt>
                <c:pt idx="177">
                  <c:v>-1.84</c:v>
                </c:pt>
                <c:pt idx="178">
                  <c:v>-1.84</c:v>
                </c:pt>
                <c:pt idx="179">
                  <c:v>-1.84</c:v>
                </c:pt>
                <c:pt idx="180">
                  <c:v>-1.84</c:v>
                </c:pt>
                <c:pt idx="181">
                  <c:v>-1.84</c:v>
                </c:pt>
                <c:pt idx="182">
                  <c:v>-1.84</c:v>
                </c:pt>
                <c:pt idx="183">
                  <c:v>-1.84</c:v>
                </c:pt>
                <c:pt idx="184">
                  <c:v>-1.84</c:v>
                </c:pt>
                <c:pt idx="185">
                  <c:v>-1.84</c:v>
                </c:pt>
                <c:pt idx="186">
                  <c:v>-1.84</c:v>
                </c:pt>
                <c:pt idx="187">
                  <c:v>-1.84</c:v>
                </c:pt>
                <c:pt idx="188">
                  <c:v>-1.84</c:v>
                </c:pt>
                <c:pt idx="189">
                  <c:v>-1.84</c:v>
                </c:pt>
                <c:pt idx="190">
                  <c:v>-1.84</c:v>
                </c:pt>
                <c:pt idx="191">
                  <c:v>-1.84</c:v>
                </c:pt>
                <c:pt idx="192">
                  <c:v>-1.84</c:v>
                </c:pt>
                <c:pt idx="193">
                  <c:v>-1.84</c:v>
                </c:pt>
                <c:pt idx="194">
                  <c:v>-1.84</c:v>
                </c:pt>
                <c:pt idx="195">
                  <c:v>-1.84</c:v>
                </c:pt>
                <c:pt idx="196">
                  <c:v>-1.84</c:v>
                </c:pt>
                <c:pt idx="197">
                  <c:v>-1.84</c:v>
                </c:pt>
                <c:pt idx="198">
                  <c:v>-1.84</c:v>
                </c:pt>
                <c:pt idx="199">
                  <c:v>-1.84</c:v>
                </c:pt>
                <c:pt idx="200">
                  <c:v>-1.84</c:v>
                </c:pt>
                <c:pt idx="201">
                  <c:v>-1.84</c:v>
                </c:pt>
                <c:pt idx="202">
                  <c:v>-1.84</c:v>
                </c:pt>
                <c:pt idx="203">
                  <c:v>-1.84</c:v>
                </c:pt>
                <c:pt idx="204">
                  <c:v>-1.84</c:v>
                </c:pt>
                <c:pt idx="205">
                  <c:v>-1.84</c:v>
                </c:pt>
                <c:pt idx="206">
                  <c:v>-1.84</c:v>
                </c:pt>
                <c:pt idx="207">
                  <c:v>-1.84</c:v>
                </c:pt>
                <c:pt idx="208">
                  <c:v>-1.84</c:v>
                </c:pt>
                <c:pt idx="209">
                  <c:v>-1.84</c:v>
                </c:pt>
                <c:pt idx="210">
                  <c:v>-1.84</c:v>
                </c:pt>
                <c:pt idx="211">
                  <c:v>-1.84</c:v>
                </c:pt>
                <c:pt idx="212">
                  <c:v>-1.84</c:v>
                </c:pt>
                <c:pt idx="213">
                  <c:v>-1.84</c:v>
                </c:pt>
                <c:pt idx="214">
                  <c:v>-1.84</c:v>
                </c:pt>
                <c:pt idx="215">
                  <c:v>-1.84</c:v>
                </c:pt>
                <c:pt idx="216">
                  <c:v>-1.84</c:v>
                </c:pt>
                <c:pt idx="217">
                  <c:v>-1.84</c:v>
                </c:pt>
                <c:pt idx="218">
                  <c:v>-1.84</c:v>
                </c:pt>
                <c:pt idx="219">
                  <c:v>-1.84</c:v>
                </c:pt>
                <c:pt idx="220">
                  <c:v>-1.84</c:v>
                </c:pt>
                <c:pt idx="221">
                  <c:v>-1.84</c:v>
                </c:pt>
                <c:pt idx="222">
                  <c:v>-1.84</c:v>
                </c:pt>
                <c:pt idx="223">
                  <c:v>-1.84</c:v>
                </c:pt>
                <c:pt idx="224">
                  <c:v>-1.84</c:v>
                </c:pt>
                <c:pt idx="225">
                  <c:v>-1.84</c:v>
                </c:pt>
                <c:pt idx="226">
                  <c:v>-1.84</c:v>
                </c:pt>
                <c:pt idx="227">
                  <c:v>-1.84</c:v>
                </c:pt>
                <c:pt idx="228">
                  <c:v>-1.84</c:v>
                </c:pt>
                <c:pt idx="229">
                  <c:v>-1.84</c:v>
                </c:pt>
                <c:pt idx="230">
                  <c:v>-1.84</c:v>
                </c:pt>
                <c:pt idx="231">
                  <c:v>-1.84</c:v>
                </c:pt>
                <c:pt idx="232">
                  <c:v>-1.84</c:v>
                </c:pt>
                <c:pt idx="233">
                  <c:v>-1.84</c:v>
                </c:pt>
                <c:pt idx="234">
                  <c:v>-1.84</c:v>
                </c:pt>
                <c:pt idx="235">
                  <c:v>-1.84</c:v>
                </c:pt>
                <c:pt idx="236">
                  <c:v>-1.84</c:v>
                </c:pt>
                <c:pt idx="237">
                  <c:v>-1.84</c:v>
                </c:pt>
                <c:pt idx="238">
                  <c:v>-1.84</c:v>
                </c:pt>
                <c:pt idx="239">
                  <c:v>-1.84</c:v>
                </c:pt>
                <c:pt idx="240">
                  <c:v>-1.84</c:v>
                </c:pt>
                <c:pt idx="241">
                  <c:v>-1.84</c:v>
                </c:pt>
                <c:pt idx="242">
                  <c:v>-1.84</c:v>
                </c:pt>
                <c:pt idx="243">
                  <c:v>-1.84</c:v>
                </c:pt>
                <c:pt idx="244">
                  <c:v>-1.84</c:v>
                </c:pt>
                <c:pt idx="245">
                  <c:v>-1.84</c:v>
                </c:pt>
                <c:pt idx="246">
                  <c:v>-1.84</c:v>
                </c:pt>
                <c:pt idx="247">
                  <c:v>-1.84</c:v>
                </c:pt>
                <c:pt idx="248">
                  <c:v>-1.84</c:v>
                </c:pt>
                <c:pt idx="249">
                  <c:v>-1.84</c:v>
                </c:pt>
                <c:pt idx="250">
                  <c:v>-1.84</c:v>
                </c:pt>
                <c:pt idx="251">
                  <c:v>-1.84</c:v>
                </c:pt>
                <c:pt idx="252">
                  <c:v>-1.84</c:v>
                </c:pt>
                <c:pt idx="253">
                  <c:v>-1.84</c:v>
                </c:pt>
                <c:pt idx="254">
                  <c:v>-1.84</c:v>
                </c:pt>
                <c:pt idx="255">
                  <c:v>-1.84</c:v>
                </c:pt>
                <c:pt idx="256">
                  <c:v>-1.84</c:v>
                </c:pt>
                <c:pt idx="257">
                  <c:v>-1.84</c:v>
                </c:pt>
                <c:pt idx="258">
                  <c:v>-1.84</c:v>
                </c:pt>
                <c:pt idx="259">
                  <c:v>-1.84</c:v>
                </c:pt>
                <c:pt idx="260">
                  <c:v>-1.84</c:v>
                </c:pt>
                <c:pt idx="261">
                  <c:v>-1.84</c:v>
                </c:pt>
                <c:pt idx="262">
                  <c:v>-1.84</c:v>
                </c:pt>
                <c:pt idx="263">
                  <c:v>-1.84</c:v>
                </c:pt>
                <c:pt idx="264">
                  <c:v>-1.84</c:v>
                </c:pt>
                <c:pt idx="265">
                  <c:v>-1.84</c:v>
                </c:pt>
                <c:pt idx="266">
                  <c:v>-1.84</c:v>
                </c:pt>
                <c:pt idx="267">
                  <c:v>-1.84</c:v>
                </c:pt>
                <c:pt idx="268">
                  <c:v>-1.84</c:v>
                </c:pt>
                <c:pt idx="269">
                  <c:v>-1.84</c:v>
                </c:pt>
                <c:pt idx="270">
                  <c:v>-1.84</c:v>
                </c:pt>
                <c:pt idx="271">
                  <c:v>-1.84</c:v>
                </c:pt>
                <c:pt idx="272">
                  <c:v>-1.84</c:v>
                </c:pt>
                <c:pt idx="273">
                  <c:v>-1.84</c:v>
                </c:pt>
                <c:pt idx="274">
                  <c:v>-1.84</c:v>
                </c:pt>
                <c:pt idx="275">
                  <c:v>-1.84</c:v>
                </c:pt>
                <c:pt idx="276">
                  <c:v>-1.84</c:v>
                </c:pt>
                <c:pt idx="277">
                  <c:v>-1.84</c:v>
                </c:pt>
                <c:pt idx="278">
                  <c:v>-1.84</c:v>
                </c:pt>
                <c:pt idx="279">
                  <c:v>-1.84</c:v>
                </c:pt>
                <c:pt idx="280">
                  <c:v>-1.84</c:v>
                </c:pt>
                <c:pt idx="281">
                  <c:v>-1.84</c:v>
                </c:pt>
                <c:pt idx="282">
                  <c:v>-1.84</c:v>
                </c:pt>
                <c:pt idx="283">
                  <c:v>-1.84</c:v>
                </c:pt>
                <c:pt idx="284">
                  <c:v>-1.84</c:v>
                </c:pt>
                <c:pt idx="285">
                  <c:v>-1.84</c:v>
                </c:pt>
                <c:pt idx="286">
                  <c:v>-1.84</c:v>
                </c:pt>
                <c:pt idx="287">
                  <c:v>-1.84</c:v>
                </c:pt>
                <c:pt idx="288">
                  <c:v>-1.84</c:v>
                </c:pt>
                <c:pt idx="289">
                  <c:v>-1.84</c:v>
                </c:pt>
                <c:pt idx="290">
                  <c:v>-1.84</c:v>
                </c:pt>
                <c:pt idx="291">
                  <c:v>-1.84</c:v>
                </c:pt>
                <c:pt idx="292">
                  <c:v>-1.84</c:v>
                </c:pt>
                <c:pt idx="293">
                  <c:v>-1.84</c:v>
                </c:pt>
                <c:pt idx="294">
                  <c:v>-1.84</c:v>
                </c:pt>
                <c:pt idx="295">
                  <c:v>-1.84</c:v>
                </c:pt>
                <c:pt idx="296">
                  <c:v>-1.84</c:v>
                </c:pt>
                <c:pt idx="297">
                  <c:v>-1.84</c:v>
                </c:pt>
                <c:pt idx="298">
                  <c:v>-1.84</c:v>
                </c:pt>
                <c:pt idx="299">
                  <c:v>-1.84</c:v>
                </c:pt>
                <c:pt idx="300">
                  <c:v>-1.84</c:v>
                </c:pt>
                <c:pt idx="301">
                  <c:v>-1.84</c:v>
                </c:pt>
                <c:pt idx="302">
                  <c:v>-1.84</c:v>
                </c:pt>
                <c:pt idx="303">
                  <c:v>-1.84</c:v>
                </c:pt>
                <c:pt idx="304">
                  <c:v>-1.84</c:v>
                </c:pt>
                <c:pt idx="305">
                  <c:v>-1.84</c:v>
                </c:pt>
                <c:pt idx="306">
                  <c:v>-1.84</c:v>
                </c:pt>
                <c:pt idx="307">
                  <c:v>-1.84</c:v>
                </c:pt>
                <c:pt idx="308">
                  <c:v>-1.84</c:v>
                </c:pt>
                <c:pt idx="309">
                  <c:v>-1.84</c:v>
                </c:pt>
                <c:pt idx="310">
                  <c:v>-1.84</c:v>
                </c:pt>
                <c:pt idx="311">
                  <c:v>-1.84</c:v>
                </c:pt>
                <c:pt idx="312">
                  <c:v>-1.84</c:v>
                </c:pt>
                <c:pt idx="313">
                  <c:v>-1.84</c:v>
                </c:pt>
                <c:pt idx="314">
                  <c:v>-1.84</c:v>
                </c:pt>
                <c:pt idx="315">
                  <c:v>-1.84</c:v>
                </c:pt>
                <c:pt idx="316">
                  <c:v>-1.84</c:v>
                </c:pt>
                <c:pt idx="317">
                  <c:v>-1.84</c:v>
                </c:pt>
                <c:pt idx="318">
                  <c:v>-1.84</c:v>
                </c:pt>
                <c:pt idx="319">
                  <c:v>-1.84</c:v>
                </c:pt>
                <c:pt idx="320">
                  <c:v>-1.84</c:v>
                </c:pt>
                <c:pt idx="321">
                  <c:v>-1.84</c:v>
                </c:pt>
                <c:pt idx="322">
                  <c:v>-1.84</c:v>
                </c:pt>
                <c:pt idx="323">
                  <c:v>-1.84</c:v>
                </c:pt>
                <c:pt idx="324">
                  <c:v>-1.84</c:v>
                </c:pt>
                <c:pt idx="325">
                  <c:v>-1.84</c:v>
                </c:pt>
                <c:pt idx="326">
                  <c:v>-1.84</c:v>
                </c:pt>
                <c:pt idx="327">
                  <c:v>-1.84</c:v>
                </c:pt>
                <c:pt idx="328">
                  <c:v>-1.84</c:v>
                </c:pt>
                <c:pt idx="329">
                  <c:v>-1.84</c:v>
                </c:pt>
                <c:pt idx="330">
                  <c:v>-1.84</c:v>
                </c:pt>
                <c:pt idx="331">
                  <c:v>-1.84</c:v>
                </c:pt>
                <c:pt idx="332">
                  <c:v>-1.84</c:v>
                </c:pt>
                <c:pt idx="333">
                  <c:v>-1.84</c:v>
                </c:pt>
                <c:pt idx="334">
                  <c:v>-1.84</c:v>
                </c:pt>
                <c:pt idx="335">
                  <c:v>-1.84</c:v>
                </c:pt>
                <c:pt idx="336">
                  <c:v>-1.84</c:v>
                </c:pt>
                <c:pt idx="337">
                  <c:v>-1.84</c:v>
                </c:pt>
                <c:pt idx="338">
                  <c:v>-1.84</c:v>
                </c:pt>
                <c:pt idx="339">
                  <c:v>-1.84</c:v>
                </c:pt>
                <c:pt idx="340">
                  <c:v>-1.84</c:v>
                </c:pt>
                <c:pt idx="341">
                  <c:v>-1.84</c:v>
                </c:pt>
                <c:pt idx="342">
                  <c:v>-1.84</c:v>
                </c:pt>
                <c:pt idx="343">
                  <c:v>-1.84</c:v>
                </c:pt>
                <c:pt idx="344">
                  <c:v>-1.84</c:v>
                </c:pt>
                <c:pt idx="345">
                  <c:v>-1.84</c:v>
                </c:pt>
                <c:pt idx="346">
                  <c:v>-1.84</c:v>
                </c:pt>
                <c:pt idx="347">
                  <c:v>-1.84</c:v>
                </c:pt>
                <c:pt idx="348">
                  <c:v>-1.84</c:v>
                </c:pt>
                <c:pt idx="349">
                  <c:v>-1.84</c:v>
                </c:pt>
                <c:pt idx="350">
                  <c:v>-1.84</c:v>
                </c:pt>
                <c:pt idx="351">
                  <c:v>-1.84</c:v>
                </c:pt>
                <c:pt idx="352">
                  <c:v>-1.84</c:v>
                </c:pt>
                <c:pt idx="353">
                  <c:v>-1.84</c:v>
                </c:pt>
                <c:pt idx="354">
                  <c:v>-1.84</c:v>
                </c:pt>
                <c:pt idx="355">
                  <c:v>-1.84</c:v>
                </c:pt>
                <c:pt idx="356">
                  <c:v>-1.84</c:v>
                </c:pt>
                <c:pt idx="357">
                  <c:v>-1.84</c:v>
                </c:pt>
                <c:pt idx="358">
                  <c:v>-1.84</c:v>
                </c:pt>
                <c:pt idx="359">
                  <c:v>-1.84</c:v>
                </c:pt>
                <c:pt idx="360">
                  <c:v>-1.84</c:v>
                </c:pt>
                <c:pt idx="361">
                  <c:v>-1.84</c:v>
                </c:pt>
                <c:pt idx="362">
                  <c:v>-1.84</c:v>
                </c:pt>
                <c:pt idx="363">
                  <c:v>-1.84</c:v>
                </c:pt>
                <c:pt idx="364">
                  <c:v>-1.84</c:v>
                </c:pt>
                <c:pt idx="365">
                  <c:v>-1.84</c:v>
                </c:pt>
                <c:pt idx="366">
                  <c:v>-1.84</c:v>
                </c:pt>
                <c:pt idx="367">
                  <c:v>-1.84</c:v>
                </c:pt>
                <c:pt idx="368">
                  <c:v>-1.84</c:v>
                </c:pt>
                <c:pt idx="369">
                  <c:v>-1.84</c:v>
                </c:pt>
                <c:pt idx="370">
                  <c:v>-1.84</c:v>
                </c:pt>
                <c:pt idx="371">
                  <c:v>-1.84</c:v>
                </c:pt>
                <c:pt idx="372">
                  <c:v>-1.84</c:v>
                </c:pt>
                <c:pt idx="373">
                  <c:v>-1.84</c:v>
                </c:pt>
                <c:pt idx="374">
                  <c:v>-1.84</c:v>
                </c:pt>
                <c:pt idx="375">
                  <c:v>-1.84</c:v>
                </c:pt>
                <c:pt idx="376">
                  <c:v>-1.84</c:v>
                </c:pt>
                <c:pt idx="377">
                  <c:v>-1.84</c:v>
                </c:pt>
                <c:pt idx="378">
                  <c:v>-1.84</c:v>
                </c:pt>
                <c:pt idx="379">
                  <c:v>-1.84</c:v>
                </c:pt>
                <c:pt idx="380">
                  <c:v>-1.84</c:v>
                </c:pt>
                <c:pt idx="381">
                  <c:v>-1.84</c:v>
                </c:pt>
                <c:pt idx="382">
                  <c:v>-1.84</c:v>
                </c:pt>
                <c:pt idx="383">
                  <c:v>-1.84</c:v>
                </c:pt>
                <c:pt idx="384">
                  <c:v>-1.84</c:v>
                </c:pt>
                <c:pt idx="385">
                  <c:v>-1.84</c:v>
                </c:pt>
                <c:pt idx="386">
                  <c:v>-1.84</c:v>
                </c:pt>
                <c:pt idx="387">
                  <c:v>-1.84</c:v>
                </c:pt>
                <c:pt idx="388">
                  <c:v>-1.84</c:v>
                </c:pt>
                <c:pt idx="389">
                  <c:v>-1.84</c:v>
                </c:pt>
                <c:pt idx="390">
                  <c:v>-1.84</c:v>
                </c:pt>
                <c:pt idx="391">
                  <c:v>-1.84</c:v>
                </c:pt>
                <c:pt idx="392">
                  <c:v>-1.84</c:v>
                </c:pt>
                <c:pt idx="393">
                  <c:v>-1.84</c:v>
                </c:pt>
                <c:pt idx="394">
                  <c:v>-1.84</c:v>
                </c:pt>
                <c:pt idx="395">
                  <c:v>-1.84</c:v>
                </c:pt>
                <c:pt idx="396">
                  <c:v>-1.84</c:v>
                </c:pt>
                <c:pt idx="397">
                  <c:v>-1.84</c:v>
                </c:pt>
                <c:pt idx="398">
                  <c:v>-1.84</c:v>
                </c:pt>
                <c:pt idx="399">
                  <c:v>-1.84</c:v>
                </c:pt>
                <c:pt idx="400">
                  <c:v>-1.84</c:v>
                </c:pt>
                <c:pt idx="401">
                  <c:v>-1.84</c:v>
                </c:pt>
                <c:pt idx="402">
                  <c:v>-1.84</c:v>
                </c:pt>
                <c:pt idx="403">
                  <c:v>-1.84</c:v>
                </c:pt>
                <c:pt idx="404">
                  <c:v>-1.84</c:v>
                </c:pt>
                <c:pt idx="405">
                  <c:v>-1.84</c:v>
                </c:pt>
                <c:pt idx="406">
                  <c:v>-1.84</c:v>
                </c:pt>
                <c:pt idx="407">
                  <c:v>-1.84</c:v>
                </c:pt>
                <c:pt idx="408">
                  <c:v>-1.84</c:v>
                </c:pt>
                <c:pt idx="409">
                  <c:v>-1.84</c:v>
                </c:pt>
                <c:pt idx="410">
                  <c:v>-1.84</c:v>
                </c:pt>
                <c:pt idx="411">
                  <c:v>-1.84</c:v>
                </c:pt>
                <c:pt idx="412">
                  <c:v>-1.84</c:v>
                </c:pt>
                <c:pt idx="413">
                  <c:v>-1.84</c:v>
                </c:pt>
                <c:pt idx="414">
                  <c:v>-1.84</c:v>
                </c:pt>
                <c:pt idx="415">
                  <c:v>-1.84</c:v>
                </c:pt>
                <c:pt idx="416">
                  <c:v>-1.84</c:v>
                </c:pt>
                <c:pt idx="417">
                  <c:v>-1.84</c:v>
                </c:pt>
                <c:pt idx="418">
                  <c:v>-1.84</c:v>
                </c:pt>
                <c:pt idx="419">
                  <c:v>-1.84</c:v>
                </c:pt>
                <c:pt idx="420">
                  <c:v>-1.84</c:v>
                </c:pt>
                <c:pt idx="421">
                  <c:v>-1.84</c:v>
                </c:pt>
                <c:pt idx="422">
                  <c:v>-1.84</c:v>
                </c:pt>
                <c:pt idx="423">
                  <c:v>-1.84</c:v>
                </c:pt>
                <c:pt idx="424">
                  <c:v>-1.84</c:v>
                </c:pt>
                <c:pt idx="425">
                  <c:v>-1.84</c:v>
                </c:pt>
                <c:pt idx="426">
                  <c:v>-1.84</c:v>
                </c:pt>
                <c:pt idx="427">
                  <c:v>-1.84</c:v>
                </c:pt>
                <c:pt idx="428">
                  <c:v>-1.84</c:v>
                </c:pt>
                <c:pt idx="429">
                  <c:v>-1.84</c:v>
                </c:pt>
                <c:pt idx="430">
                  <c:v>-1.84</c:v>
                </c:pt>
                <c:pt idx="431">
                  <c:v>-1.84</c:v>
                </c:pt>
                <c:pt idx="432">
                  <c:v>-1.84</c:v>
                </c:pt>
                <c:pt idx="433">
                  <c:v>-1.84</c:v>
                </c:pt>
                <c:pt idx="434">
                  <c:v>-1.84</c:v>
                </c:pt>
                <c:pt idx="435">
                  <c:v>-1.84</c:v>
                </c:pt>
                <c:pt idx="436">
                  <c:v>-1.84</c:v>
                </c:pt>
                <c:pt idx="437">
                  <c:v>-1.84</c:v>
                </c:pt>
                <c:pt idx="438">
                  <c:v>-1.84</c:v>
                </c:pt>
                <c:pt idx="439">
                  <c:v>-1.84</c:v>
                </c:pt>
                <c:pt idx="440">
                  <c:v>-1.84</c:v>
                </c:pt>
                <c:pt idx="441">
                  <c:v>-1.84</c:v>
                </c:pt>
                <c:pt idx="442">
                  <c:v>-1.84</c:v>
                </c:pt>
                <c:pt idx="443">
                  <c:v>-1.84</c:v>
                </c:pt>
                <c:pt idx="444">
                  <c:v>-1.84</c:v>
                </c:pt>
                <c:pt idx="445">
                  <c:v>-1.84</c:v>
                </c:pt>
                <c:pt idx="446">
                  <c:v>-1.84</c:v>
                </c:pt>
                <c:pt idx="447">
                  <c:v>-1.84</c:v>
                </c:pt>
                <c:pt idx="448">
                  <c:v>-1.84</c:v>
                </c:pt>
                <c:pt idx="449">
                  <c:v>-1.84</c:v>
                </c:pt>
                <c:pt idx="450">
                  <c:v>-1.84</c:v>
                </c:pt>
                <c:pt idx="451">
                  <c:v>-1.84</c:v>
                </c:pt>
                <c:pt idx="452">
                  <c:v>-1.84</c:v>
                </c:pt>
                <c:pt idx="453">
                  <c:v>-1.84</c:v>
                </c:pt>
                <c:pt idx="454">
                  <c:v>-1.84</c:v>
                </c:pt>
                <c:pt idx="455">
                  <c:v>-1.84</c:v>
                </c:pt>
                <c:pt idx="456">
                  <c:v>-1.84</c:v>
                </c:pt>
                <c:pt idx="457">
                  <c:v>-1.84</c:v>
                </c:pt>
                <c:pt idx="458">
                  <c:v>-1.84</c:v>
                </c:pt>
                <c:pt idx="459">
                  <c:v>-1.84</c:v>
                </c:pt>
                <c:pt idx="460">
                  <c:v>-1.84</c:v>
                </c:pt>
                <c:pt idx="461">
                  <c:v>-1.84</c:v>
                </c:pt>
                <c:pt idx="462">
                  <c:v>-1.84</c:v>
                </c:pt>
                <c:pt idx="463">
                  <c:v>-1.84</c:v>
                </c:pt>
                <c:pt idx="464">
                  <c:v>-1.84</c:v>
                </c:pt>
                <c:pt idx="465">
                  <c:v>-1.84</c:v>
                </c:pt>
                <c:pt idx="466">
                  <c:v>-1.84</c:v>
                </c:pt>
                <c:pt idx="467">
                  <c:v>-1.84</c:v>
                </c:pt>
                <c:pt idx="468">
                  <c:v>-1.84</c:v>
                </c:pt>
                <c:pt idx="469">
                  <c:v>-1.84</c:v>
                </c:pt>
                <c:pt idx="470">
                  <c:v>-1.84</c:v>
                </c:pt>
                <c:pt idx="471">
                  <c:v>-1.84</c:v>
                </c:pt>
                <c:pt idx="472">
                  <c:v>-1.84</c:v>
                </c:pt>
                <c:pt idx="473">
                  <c:v>-1.84</c:v>
                </c:pt>
                <c:pt idx="474">
                  <c:v>-1.84</c:v>
                </c:pt>
                <c:pt idx="475">
                  <c:v>-1.84</c:v>
                </c:pt>
                <c:pt idx="476">
                  <c:v>-1.84</c:v>
                </c:pt>
                <c:pt idx="477">
                  <c:v>-1.84</c:v>
                </c:pt>
                <c:pt idx="478">
                  <c:v>-1.84</c:v>
                </c:pt>
                <c:pt idx="479">
                  <c:v>-1.84</c:v>
                </c:pt>
                <c:pt idx="480">
                  <c:v>-1.84</c:v>
                </c:pt>
                <c:pt idx="481">
                  <c:v>-1.84</c:v>
                </c:pt>
                <c:pt idx="482">
                  <c:v>-1.84</c:v>
                </c:pt>
                <c:pt idx="483">
                  <c:v>-1.84</c:v>
                </c:pt>
                <c:pt idx="484">
                  <c:v>-1.84</c:v>
                </c:pt>
                <c:pt idx="485">
                  <c:v>-1.84</c:v>
                </c:pt>
                <c:pt idx="486">
                  <c:v>-1.84</c:v>
                </c:pt>
                <c:pt idx="487">
                  <c:v>-1.84</c:v>
                </c:pt>
                <c:pt idx="488">
                  <c:v>-1.84</c:v>
                </c:pt>
                <c:pt idx="489">
                  <c:v>-1.84</c:v>
                </c:pt>
                <c:pt idx="490">
                  <c:v>-1.84</c:v>
                </c:pt>
                <c:pt idx="491">
                  <c:v>-1.84</c:v>
                </c:pt>
                <c:pt idx="492">
                  <c:v>-1.84</c:v>
                </c:pt>
                <c:pt idx="493">
                  <c:v>-1.84</c:v>
                </c:pt>
                <c:pt idx="494">
                  <c:v>-1.84</c:v>
                </c:pt>
                <c:pt idx="495">
                  <c:v>-1.84</c:v>
                </c:pt>
                <c:pt idx="496">
                  <c:v>-1.84</c:v>
                </c:pt>
                <c:pt idx="497">
                  <c:v>-1.84</c:v>
                </c:pt>
                <c:pt idx="498">
                  <c:v>-1.84</c:v>
                </c:pt>
                <c:pt idx="499">
                  <c:v>-1.84</c:v>
                </c:pt>
                <c:pt idx="500">
                  <c:v>-1.84</c:v>
                </c:pt>
                <c:pt idx="501">
                  <c:v>-1.84</c:v>
                </c:pt>
                <c:pt idx="502">
                  <c:v>-1.84</c:v>
                </c:pt>
                <c:pt idx="503">
                  <c:v>-1.84</c:v>
                </c:pt>
                <c:pt idx="504">
                  <c:v>-1.84</c:v>
                </c:pt>
                <c:pt idx="505">
                  <c:v>-1.84</c:v>
                </c:pt>
                <c:pt idx="506">
                  <c:v>-1.84</c:v>
                </c:pt>
                <c:pt idx="507">
                  <c:v>-1.84</c:v>
                </c:pt>
                <c:pt idx="508">
                  <c:v>-1.84</c:v>
                </c:pt>
                <c:pt idx="509">
                  <c:v>-1.84</c:v>
                </c:pt>
                <c:pt idx="510">
                  <c:v>-1.84</c:v>
                </c:pt>
                <c:pt idx="511">
                  <c:v>-1.84</c:v>
                </c:pt>
                <c:pt idx="512">
                  <c:v>-1.84</c:v>
                </c:pt>
                <c:pt idx="513">
                  <c:v>-1.84</c:v>
                </c:pt>
                <c:pt idx="514">
                  <c:v>-1.84</c:v>
                </c:pt>
                <c:pt idx="515">
                  <c:v>-1.84</c:v>
                </c:pt>
                <c:pt idx="516">
                  <c:v>-1.84</c:v>
                </c:pt>
                <c:pt idx="517">
                  <c:v>-1.84</c:v>
                </c:pt>
                <c:pt idx="518">
                  <c:v>-1.84</c:v>
                </c:pt>
                <c:pt idx="519">
                  <c:v>-1.84</c:v>
                </c:pt>
                <c:pt idx="520">
                  <c:v>-1.84</c:v>
                </c:pt>
                <c:pt idx="521">
                  <c:v>-1.84</c:v>
                </c:pt>
                <c:pt idx="522">
                  <c:v>-1.84</c:v>
                </c:pt>
                <c:pt idx="523">
                  <c:v>-1.84</c:v>
                </c:pt>
                <c:pt idx="524">
                  <c:v>-1.84</c:v>
                </c:pt>
                <c:pt idx="525">
                  <c:v>-1.84</c:v>
                </c:pt>
                <c:pt idx="526">
                  <c:v>-1.84</c:v>
                </c:pt>
                <c:pt idx="527">
                  <c:v>-1.84</c:v>
                </c:pt>
                <c:pt idx="528">
                  <c:v>-1.84</c:v>
                </c:pt>
                <c:pt idx="529">
                  <c:v>-1.84</c:v>
                </c:pt>
                <c:pt idx="530">
                  <c:v>-1.84</c:v>
                </c:pt>
                <c:pt idx="531">
                  <c:v>-1.84</c:v>
                </c:pt>
                <c:pt idx="532">
                  <c:v>-1.84</c:v>
                </c:pt>
                <c:pt idx="533">
                  <c:v>-1.84</c:v>
                </c:pt>
                <c:pt idx="534">
                  <c:v>-1.84</c:v>
                </c:pt>
                <c:pt idx="535">
                  <c:v>-1.84</c:v>
                </c:pt>
                <c:pt idx="536">
                  <c:v>-1.84</c:v>
                </c:pt>
                <c:pt idx="537">
                  <c:v>-1.84</c:v>
                </c:pt>
                <c:pt idx="538">
                  <c:v>-1.84</c:v>
                </c:pt>
                <c:pt idx="539">
                  <c:v>-1.84</c:v>
                </c:pt>
                <c:pt idx="540">
                  <c:v>-1.84</c:v>
                </c:pt>
                <c:pt idx="541">
                  <c:v>-1.84</c:v>
                </c:pt>
                <c:pt idx="542">
                  <c:v>-1.84</c:v>
                </c:pt>
                <c:pt idx="543">
                  <c:v>-1.84</c:v>
                </c:pt>
                <c:pt idx="544">
                  <c:v>-1.84</c:v>
                </c:pt>
                <c:pt idx="545">
                  <c:v>-1.84</c:v>
                </c:pt>
                <c:pt idx="546">
                  <c:v>-1.84</c:v>
                </c:pt>
                <c:pt idx="547">
                  <c:v>-1.84</c:v>
                </c:pt>
                <c:pt idx="548">
                  <c:v>-1.84</c:v>
                </c:pt>
                <c:pt idx="549">
                  <c:v>-1.84</c:v>
                </c:pt>
                <c:pt idx="550">
                  <c:v>-1.84</c:v>
                </c:pt>
                <c:pt idx="551">
                  <c:v>-1.84</c:v>
                </c:pt>
                <c:pt idx="552">
                  <c:v>-1.84</c:v>
                </c:pt>
                <c:pt idx="553">
                  <c:v>-1.84</c:v>
                </c:pt>
                <c:pt idx="554">
                  <c:v>-1.84</c:v>
                </c:pt>
                <c:pt idx="555">
                  <c:v>-1.84</c:v>
                </c:pt>
                <c:pt idx="556">
                  <c:v>-1.84</c:v>
                </c:pt>
                <c:pt idx="557">
                  <c:v>-1.84</c:v>
                </c:pt>
                <c:pt idx="558">
                  <c:v>-1.84</c:v>
                </c:pt>
                <c:pt idx="559">
                  <c:v>-1.84</c:v>
                </c:pt>
                <c:pt idx="560">
                  <c:v>-1.84</c:v>
                </c:pt>
                <c:pt idx="561">
                  <c:v>-1.84</c:v>
                </c:pt>
                <c:pt idx="562">
                  <c:v>-1.84</c:v>
                </c:pt>
                <c:pt idx="563">
                  <c:v>-1.84</c:v>
                </c:pt>
                <c:pt idx="564">
                  <c:v>-1.84</c:v>
                </c:pt>
                <c:pt idx="565">
                  <c:v>-1.84</c:v>
                </c:pt>
                <c:pt idx="566">
                  <c:v>-1.84</c:v>
                </c:pt>
                <c:pt idx="567">
                  <c:v>-1.84</c:v>
                </c:pt>
                <c:pt idx="568">
                  <c:v>-1.84</c:v>
                </c:pt>
                <c:pt idx="569">
                  <c:v>-1.84</c:v>
                </c:pt>
                <c:pt idx="570">
                  <c:v>-1.84</c:v>
                </c:pt>
                <c:pt idx="571">
                  <c:v>-1.84</c:v>
                </c:pt>
                <c:pt idx="572">
                  <c:v>-1.84</c:v>
                </c:pt>
                <c:pt idx="573">
                  <c:v>-1.84</c:v>
                </c:pt>
                <c:pt idx="574">
                  <c:v>-1.84</c:v>
                </c:pt>
                <c:pt idx="575">
                  <c:v>-1.84</c:v>
                </c:pt>
                <c:pt idx="576">
                  <c:v>-1.84</c:v>
                </c:pt>
                <c:pt idx="577">
                  <c:v>-1.84</c:v>
                </c:pt>
                <c:pt idx="578">
                  <c:v>-1.84</c:v>
                </c:pt>
                <c:pt idx="579">
                  <c:v>-1.84</c:v>
                </c:pt>
                <c:pt idx="580">
                  <c:v>-1.84</c:v>
                </c:pt>
                <c:pt idx="581">
                  <c:v>-1.84</c:v>
                </c:pt>
                <c:pt idx="582">
                  <c:v>-1.84</c:v>
                </c:pt>
                <c:pt idx="583">
                  <c:v>-1.84</c:v>
                </c:pt>
                <c:pt idx="584">
                  <c:v>-1.84</c:v>
                </c:pt>
                <c:pt idx="585">
                  <c:v>-1.84</c:v>
                </c:pt>
                <c:pt idx="586">
                  <c:v>-1.84</c:v>
                </c:pt>
                <c:pt idx="587">
                  <c:v>-1.84</c:v>
                </c:pt>
                <c:pt idx="588">
                  <c:v>-1.84</c:v>
                </c:pt>
                <c:pt idx="589">
                  <c:v>-1.84</c:v>
                </c:pt>
                <c:pt idx="590">
                  <c:v>-1.84</c:v>
                </c:pt>
                <c:pt idx="591">
                  <c:v>-1.84</c:v>
                </c:pt>
                <c:pt idx="592">
                  <c:v>-1.84</c:v>
                </c:pt>
                <c:pt idx="593">
                  <c:v>-1.84</c:v>
                </c:pt>
                <c:pt idx="594">
                  <c:v>-1.84</c:v>
                </c:pt>
                <c:pt idx="595">
                  <c:v>-1.84</c:v>
                </c:pt>
                <c:pt idx="596">
                  <c:v>-1.84</c:v>
                </c:pt>
                <c:pt idx="597">
                  <c:v>-1.84</c:v>
                </c:pt>
                <c:pt idx="598">
                  <c:v>-1.84</c:v>
                </c:pt>
                <c:pt idx="599">
                  <c:v>-1.84</c:v>
                </c:pt>
                <c:pt idx="600">
                  <c:v>-1.84</c:v>
                </c:pt>
                <c:pt idx="601">
                  <c:v>-1.84</c:v>
                </c:pt>
                <c:pt idx="602">
                  <c:v>-1.84</c:v>
                </c:pt>
                <c:pt idx="603">
                  <c:v>-1.84</c:v>
                </c:pt>
                <c:pt idx="604">
                  <c:v>-1.84</c:v>
                </c:pt>
                <c:pt idx="605">
                  <c:v>-1.84</c:v>
                </c:pt>
                <c:pt idx="606">
                  <c:v>-1.84</c:v>
                </c:pt>
                <c:pt idx="607">
                  <c:v>-1.84</c:v>
                </c:pt>
                <c:pt idx="608">
                  <c:v>-1.84</c:v>
                </c:pt>
                <c:pt idx="609">
                  <c:v>-1.84</c:v>
                </c:pt>
                <c:pt idx="610">
                  <c:v>-1.84</c:v>
                </c:pt>
                <c:pt idx="611">
                  <c:v>-1.84</c:v>
                </c:pt>
                <c:pt idx="612">
                  <c:v>-1.84</c:v>
                </c:pt>
                <c:pt idx="613">
                  <c:v>-1.84</c:v>
                </c:pt>
                <c:pt idx="614">
                  <c:v>-1.84</c:v>
                </c:pt>
                <c:pt idx="615">
                  <c:v>-1.84</c:v>
                </c:pt>
                <c:pt idx="616">
                  <c:v>-1.84</c:v>
                </c:pt>
                <c:pt idx="617">
                  <c:v>-1.84</c:v>
                </c:pt>
                <c:pt idx="618">
                  <c:v>-1.84</c:v>
                </c:pt>
                <c:pt idx="619">
                  <c:v>-1.84</c:v>
                </c:pt>
                <c:pt idx="620">
                  <c:v>-1.84</c:v>
                </c:pt>
                <c:pt idx="621">
                  <c:v>-1.84</c:v>
                </c:pt>
                <c:pt idx="622">
                  <c:v>-1.84</c:v>
                </c:pt>
                <c:pt idx="623">
                  <c:v>-1.84</c:v>
                </c:pt>
                <c:pt idx="624">
                  <c:v>-1.84</c:v>
                </c:pt>
                <c:pt idx="625">
                  <c:v>-1.84</c:v>
                </c:pt>
                <c:pt idx="626">
                  <c:v>-1.84</c:v>
                </c:pt>
                <c:pt idx="627">
                  <c:v>-1.84</c:v>
                </c:pt>
                <c:pt idx="628">
                  <c:v>-1.84</c:v>
                </c:pt>
                <c:pt idx="629">
                  <c:v>-1.84</c:v>
                </c:pt>
                <c:pt idx="630">
                  <c:v>-1.84</c:v>
                </c:pt>
                <c:pt idx="631">
                  <c:v>-1.84</c:v>
                </c:pt>
                <c:pt idx="632">
                  <c:v>-1.84</c:v>
                </c:pt>
                <c:pt idx="633">
                  <c:v>-1.84</c:v>
                </c:pt>
                <c:pt idx="634">
                  <c:v>-1.84</c:v>
                </c:pt>
                <c:pt idx="635">
                  <c:v>-1.84</c:v>
                </c:pt>
                <c:pt idx="636">
                  <c:v>-1.84</c:v>
                </c:pt>
                <c:pt idx="637">
                  <c:v>-1.84</c:v>
                </c:pt>
                <c:pt idx="638">
                  <c:v>-1.84</c:v>
                </c:pt>
                <c:pt idx="639">
                  <c:v>-1.84</c:v>
                </c:pt>
                <c:pt idx="640">
                  <c:v>-1.84</c:v>
                </c:pt>
                <c:pt idx="641">
                  <c:v>-1.84</c:v>
                </c:pt>
                <c:pt idx="642">
                  <c:v>-1.84</c:v>
                </c:pt>
                <c:pt idx="643">
                  <c:v>-1.84</c:v>
                </c:pt>
                <c:pt idx="644">
                  <c:v>-1.84</c:v>
                </c:pt>
                <c:pt idx="645">
                  <c:v>-1.84</c:v>
                </c:pt>
                <c:pt idx="646">
                  <c:v>-1.84</c:v>
                </c:pt>
                <c:pt idx="647">
                  <c:v>-1.84</c:v>
                </c:pt>
                <c:pt idx="648">
                  <c:v>-1.84</c:v>
                </c:pt>
                <c:pt idx="649">
                  <c:v>-1.84</c:v>
                </c:pt>
                <c:pt idx="650">
                  <c:v>-1.84</c:v>
                </c:pt>
                <c:pt idx="651">
                  <c:v>-1.84</c:v>
                </c:pt>
                <c:pt idx="652">
                  <c:v>-1.84</c:v>
                </c:pt>
                <c:pt idx="653">
                  <c:v>-1.84</c:v>
                </c:pt>
                <c:pt idx="654">
                  <c:v>-1.84</c:v>
                </c:pt>
                <c:pt idx="655">
                  <c:v>-1.84</c:v>
                </c:pt>
                <c:pt idx="656">
                  <c:v>-1.84</c:v>
                </c:pt>
                <c:pt idx="657">
                  <c:v>-1.84</c:v>
                </c:pt>
                <c:pt idx="658">
                  <c:v>-1.84</c:v>
                </c:pt>
                <c:pt idx="659">
                  <c:v>-1.84</c:v>
                </c:pt>
                <c:pt idx="660">
                  <c:v>-1.84</c:v>
                </c:pt>
                <c:pt idx="661">
                  <c:v>-1.84</c:v>
                </c:pt>
                <c:pt idx="662">
                  <c:v>-1.84</c:v>
                </c:pt>
                <c:pt idx="663">
                  <c:v>-1.84</c:v>
                </c:pt>
                <c:pt idx="664">
                  <c:v>-1.84</c:v>
                </c:pt>
                <c:pt idx="665">
                  <c:v>-1.84</c:v>
                </c:pt>
                <c:pt idx="666">
                  <c:v>-1.84</c:v>
                </c:pt>
                <c:pt idx="667">
                  <c:v>-1.84</c:v>
                </c:pt>
                <c:pt idx="668">
                  <c:v>-1.84</c:v>
                </c:pt>
                <c:pt idx="669">
                  <c:v>-1.84</c:v>
                </c:pt>
                <c:pt idx="670">
                  <c:v>-1.84</c:v>
                </c:pt>
                <c:pt idx="671">
                  <c:v>-1.84</c:v>
                </c:pt>
                <c:pt idx="672">
                  <c:v>-1.84</c:v>
                </c:pt>
                <c:pt idx="673">
                  <c:v>-1.84</c:v>
                </c:pt>
                <c:pt idx="674">
                  <c:v>-1.84</c:v>
                </c:pt>
                <c:pt idx="675">
                  <c:v>-1.84</c:v>
                </c:pt>
                <c:pt idx="676">
                  <c:v>-1.84</c:v>
                </c:pt>
                <c:pt idx="677">
                  <c:v>-1.84</c:v>
                </c:pt>
                <c:pt idx="678">
                  <c:v>-1.84</c:v>
                </c:pt>
                <c:pt idx="679">
                  <c:v>-1.84</c:v>
                </c:pt>
                <c:pt idx="680">
                  <c:v>-1.84</c:v>
                </c:pt>
                <c:pt idx="681">
                  <c:v>-1.84</c:v>
                </c:pt>
                <c:pt idx="682">
                  <c:v>-1.84</c:v>
                </c:pt>
                <c:pt idx="683">
                  <c:v>-1.84</c:v>
                </c:pt>
                <c:pt idx="684">
                  <c:v>-1.84</c:v>
                </c:pt>
                <c:pt idx="685">
                  <c:v>-1.84</c:v>
                </c:pt>
                <c:pt idx="686">
                  <c:v>-1.84</c:v>
                </c:pt>
                <c:pt idx="687">
                  <c:v>-1.84</c:v>
                </c:pt>
                <c:pt idx="688">
                  <c:v>-1.84</c:v>
                </c:pt>
                <c:pt idx="689">
                  <c:v>-1.84</c:v>
                </c:pt>
                <c:pt idx="690">
                  <c:v>-1.84</c:v>
                </c:pt>
                <c:pt idx="691">
                  <c:v>-1.84</c:v>
                </c:pt>
                <c:pt idx="692">
                  <c:v>-1.84</c:v>
                </c:pt>
                <c:pt idx="693">
                  <c:v>-1.84</c:v>
                </c:pt>
                <c:pt idx="694">
                  <c:v>-1.84</c:v>
                </c:pt>
                <c:pt idx="695">
                  <c:v>-1.84</c:v>
                </c:pt>
                <c:pt idx="696">
                  <c:v>-1.84</c:v>
                </c:pt>
                <c:pt idx="697">
                  <c:v>-1.84</c:v>
                </c:pt>
                <c:pt idx="698">
                  <c:v>-1.84</c:v>
                </c:pt>
                <c:pt idx="699">
                  <c:v>-1.84</c:v>
                </c:pt>
                <c:pt idx="700">
                  <c:v>-1.84</c:v>
                </c:pt>
                <c:pt idx="701">
                  <c:v>-1.84</c:v>
                </c:pt>
                <c:pt idx="702">
                  <c:v>-1.84</c:v>
                </c:pt>
                <c:pt idx="703">
                  <c:v>-1.84</c:v>
                </c:pt>
                <c:pt idx="704">
                  <c:v>-1.84</c:v>
                </c:pt>
                <c:pt idx="705">
                  <c:v>-1.84</c:v>
                </c:pt>
                <c:pt idx="706">
                  <c:v>-1.84</c:v>
                </c:pt>
                <c:pt idx="707">
                  <c:v>-1.84</c:v>
                </c:pt>
                <c:pt idx="708">
                  <c:v>-1.84</c:v>
                </c:pt>
                <c:pt idx="709">
                  <c:v>-1.84</c:v>
                </c:pt>
                <c:pt idx="710">
                  <c:v>-1.84</c:v>
                </c:pt>
                <c:pt idx="711">
                  <c:v>-1.84</c:v>
                </c:pt>
                <c:pt idx="712">
                  <c:v>-1.84</c:v>
                </c:pt>
                <c:pt idx="713">
                  <c:v>-1.84</c:v>
                </c:pt>
                <c:pt idx="714">
                  <c:v>-1.84</c:v>
                </c:pt>
                <c:pt idx="715">
                  <c:v>-1.84</c:v>
                </c:pt>
                <c:pt idx="716">
                  <c:v>-1.84</c:v>
                </c:pt>
                <c:pt idx="717">
                  <c:v>-1.84</c:v>
                </c:pt>
                <c:pt idx="718">
                  <c:v>-1.84</c:v>
                </c:pt>
                <c:pt idx="719">
                  <c:v>-1.84</c:v>
                </c:pt>
                <c:pt idx="720">
                  <c:v>-1.84</c:v>
                </c:pt>
                <c:pt idx="721">
                  <c:v>-1.84</c:v>
                </c:pt>
                <c:pt idx="722">
                  <c:v>-1.84</c:v>
                </c:pt>
                <c:pt idx="723">
                  <c:v>-1.84</c:v>
                </c:pt>
                <c:pt idx="724">
                  <c:v>-1.84</c:v>
                </c:pt>
                <c:pt idx="725">
                  <c:v>-1.84</c:v>
                </c:pt>
                <c:pt idx="726">
                  <c:v>-1.84</c:v>
                </c:pt>
                <c:pt idx="727">
                  <c:v>-1.84</c:v>
                </c:pt>
                <c:pt idx="728">
                  <c:v>-1.84</c:v>
                </c:pt>
                <c:pt idx="729">
                  <c:v>-1.84</c:v>
                </c:pt>
                <c:pt idx="730">
                  <c:v>-1.84</c:v>
                </c:pt>
                <c:pt idx="731">
                  <c:v>-1.84</c:v>
                </c:pt>
                <c:pt idx="732">
                  <c:v>-1.84</c:v>
                </c:pt>
                <c:pt idx="733">
                  <c:v>-1.84</c:v>
                </c:pt>
                <c:pt idx="734">
                  <c:v>-1.84</c:v>
                </c:pt>
                <c:pt idx="735">
                  <c:v>-1.84</c:v>
                </c:pt>
                <c:pt idx="736">
                  <c:v>-1.84</c:v>
                </c:pt>
                <c:pt idx="737">
                  <c:v>-1.84</c:v>
                </c:pt>
                <c:pt idx="738">
                  <c:v>-1.84</c:v>
                </c:pt>
                <c:pt idx="739">
                  <c:v>-1.84</c:v>
                </c:pt>
                <c:pt idx="740">
                  <c:v>-1.84</c:v>
                </c:pt>
                <c:pt idx="741">
                  <c:v>-1.84</c:v>
                </c:pt>
                <c:pt idx="742">
                  <c:v>-1.84</c:v>
                </c:pt>
                <c:pt idx="743">
                  <c:v>-1.84</c:v>
                </c:pt>
                <c:pt idx="744">
                  <c:v>-1.84</c:v>
                </c:pt>
                <c:pt idx="745">
                  <c:v>-1.84</c:v>
                </c:pt>
                <c:pt idx="746">
                  <c:v>-1.84</c:v>
                </c:pt>
                <c:pt idx="747">
                  <c:v>-1.84</c:v>
                </c:pt>
                <c:pt idx="748">
                  <c:v>-1.84</c:v>
                </c:pt>
                <c:pt idx="749">
                  <c:v>-1.84</c:v>
                </c:pt>
                <c:pt idx="750">
                  <c:v>-1.84</c:v>
                </c:pt>
                <c:pt idx="751">
                  <c:v>-1.84</c:v>
                </c:pt>
                <c:pt idx="752">
                  <c:v>-1.84</c:v>
                </c:pt>
                <c:pt idx="753">
                  <c:v>-1.84</c:v>
                </c:pt>
                <c:pt idx="754">
                  <c:v>-1.84</c:v>
                </c:pt>
                <c:pt idx="755">
                  <c:v>-1.84</c:v>
                </c:pt>
                <c:pt idx="756">
                  <c:v>-1.84</c:v>
                </c:pt>
                <c:pt idx="757">
                  <c:v>-1.84</c:v>
                </c:pt>
                <c:pt idx="758">
                  <c:v>-1.84</c:v>
                </c:pt>
                <c:pt idx="759">
                  <c:v>-1.84</c:v>
                </c:pt>
                <c:pt idx="760">
                  <c:v>-1.84</c:v>
                </c:pt>
                <c:pt idx="761">
                  <c:v>-1.84</c:v>
                </c:pt>
                <c:pt idx="762">
                  <c:v>-1.84</c:v>
                </c:pt>
                <c:pt idx="763">
                  <c:v>-1.84</c:v>
                </c:pt>
                <c:pt idx="764">
                  <c:v>-1.84</c:v>
                </c:pt>
                <c:pt idx="765">
                  <c:v>-1.84</c:v>
                </c:pt>
                <c:pt idx="766">
                  <c:v>-1.84</c:v>
                </c:pt>
                <c:pt idx="767">
                  <c:v>-1.84</c:v>
                </c:pt>
                <c:pt idx="768">
                  <c:v>-1.84</c:v>
                </c:pt>
                <c:pt idx="769">
                  <c:v>-1.84</c:v>
                </c:pt>
                <c:pt idx="770">
                  <c:v>-1.84</c:v>
                </c:pt>
                <c:pt idx="771">
                  <c:v>-1.84</c:v>
                </c:pt>
                <c:pt idx="772">
                  <c:v>-1.84</c:v>
                </c:pt>
                <c:pt idx="773">
                  <c:v>-1.84</c:v>
                </c:pt>
                <c:pt idx="774">
                  <c:v>-1.84</c:v>
                </c:pt>
                <c:pt idx="775">
                  <c:v>-1.84</c:v>
                </c:pt>
                <c:pt idx="776">
                  <c:v>-1.84</c:v>
                </c:pt>
                <c:pt idx="777">
                  <c:v>-1.84</c:v>
                </c:pt>
                <c:pt idx="778">
                  <c:v>-1.84</c:v>
                </c:pt>
                <c:pt idx="779">
                  <c:v>-1.84</c:v>
                </c:pt>
                <c:pt idx="780">
                  <c:v>-1.84</c:v>
                </c:pt>
                <c:pt idx="781">
                  <c:v>-1.84</c:v>
                </c:pt>
                <c:pt idx="782">
                  <c:v>-1.84</c:v>
                </c:pt>
                <c:pt idx="783">
                  <c:v>-1.84</c:v>
                </c:pt>
                <c:pt idx="784">
                  <c:v>-1.84</c:v>
                </c:pt>
                <c:pt idx="785">
                  <c:v>-1.84</c:v>
                </c:pt>
                <c:pt idx="786">
                  <c:v>-1.84</c:v>
                </c:pt>
                <c:pt idx="787">
                  <c:v>-1.84</c:v>
                </c:pt>
                <c:pt idx="788">
                  <c:v>-1.84</c:v>
                </c:pt>
                <c:pt idx="789">
                  <c:v>-1.84</c:v>
                </c:pt>
                <c:pt idx="790">
                  <c:v>-1.84</c:v>
                </c:pt>
                <c:pt idx="791">
                  <c:v>-1.84</c:v>
                </c:pt>
                <c:pt idx="792">
                  <c:v>-1.84</c:v>
                </c:pt>
                <c:pt idx="793">
                  <c:v>-1.84</c:v>
                </c:pt>
                <c:pt idx="794">
                  <c:v>-1.84</c:v>
                </c:pt>
                <c:pt idx="795">
                  <c:v>-1.84</c:v>
                </c:pt>
                <c:pt idx="796">
                  <c:v>-1.84</c:v>
                </c:pt>
                <c:pt idx="797">
                  <c:v>-1.84</c:v>
                </c:pt>
                <c:pt idx="798">
                  <c:v>-1.84</c:v>
                </c:pt>
                <c:pt idx="799">
                  <c:v>-1.84</c:v>
                </c:pt>
                <c:pt idx="800">
                  <c:v>-1.84</c:v>
                </c:pt>
                <c:pt idx="801">
                  <c:v>-1.84</c:v>
                </c:pt>
                <c:pt idx="802">
                  <c:v>-1.84</c:v>
                </c:pt>
                <c:pt idx="803">
                  <c:v>-1.84</c:v>
                </c:pt>
                <c:pt idx="804">
                  <c:v>-1.84</c:v>
                </c:pt>
                <c:pt idx="805">
                  <c:v>-1.84</c:v>
                </c:pt>
                <c:pt idx="806">
                  <c:v>-1.84</c:v>
                </c:pt>
                <c:pt idx="807">
                  <c:v>-1.84</c:v>
                </c:pt>
                <c:pt idx="808">
                  <c:v>-1.84</c:v>
                </c:pt>
                <c:pt idx="809">
                  <c:v>-1.84</c:v>
                </c:pt>
                <c:pt idx="810">
                  <c:v>-1.84</c:v>
                </c:pt>
                <c:pt idx="811">
                  <c:v>-1.84</c:v>
                </c:pt>
                <c:pt idx="812">
                  <c:v>-1.84</c:v>
                </c:pt>
                <c:pt idx="813">
                  <c:v>-1.84</c:v>
                </c:pt>
                <c:pt idx="814">
                  <c:v>-1.84</c:v>
                </c:pt>
                <c:pt idx="815">
                  <c:v>-1.84</c:v>
                </c:pt>
                <c:pt idx="816">
                  <c:v>-1.84</c:v>
                </c:pt>
                <c:pt idx="817">
                  <c:v>-1.84</c:v>
                </c:pt>
                <c:pt idx="818">
                  <c:v>-1.84</c:v>
                </c:pt>
                <c:pt idx="819">
                  <c:v>-1.84</c:v>
                </c:pt>
                <c:pt idx="820">
                  <c:v>-1.84</c:v>
                </c:pt>
                <c:pt idx="821">
                  <c:v>-1.84</c:v>
                </c:pt>
                <c:pt idx="822">
                  <c:v>-1.84</c:v>
                </c:pt>
                <c:pt idx="823">
                  <c:v>-1.84</c:v>
                </c:pt>
                <c:pt idx="824">
                  <c:v>-1.84</c:v>
                </c:pt>
                <c:pt idx="825">
                  <c:v>-1.84</c:v>
                </c:pt>
                <c:pt idx="826">
                  <c:v>-1.84</c:v>
                </c:pt>
                <c:pt idx="827">
                  <c:v>-1.84</c:v>
                </c:pt>
                <c:pt idx="828">
                  <c:v>-1.84</c:v>
                </c:pt>
                <c:pt idx="829">
                  <c:v>-1.84</c:v>
                </c:pt>
                <c:pt idx="830">
                  <c:v>-1.84</c:v>
                </c:pt>
                <c:pt idx="831">
                  <c:v>-1.84</c:v>
                </c:pt>
                <c:pt idx="832">
                  <c:v>-1.84</c:v>
                </c:pt>
                <c:pt idx="833">
                  <c:v>-1.84</c:v>
                </c:pt>
                <c:pt idx="834">
                  <c:v>-1.84</c:v>
                </c:pt>
                <c:pt idx="835">
                  <c:v>-1.84</c:v>
                </c:pt>
                <c:pt idx="836">
                  <c:v>-1.84</c:v>
                </c:pt>
                <c:pt idx="837">
                  <c:v>-1.84</c:v>
                </c:pt>
                <c:pt idx="838">
                  <c:v>-1.84</c:v>
                </c:pt>
                <c:pt idx="839">
                  <c:v>-1.84</c:v>
                </c:pt>
                <c:pt idx="840">
                  <c:v>-1.84</c:v>
                </c:pt>
                <c:pt idx="841">
                  <c:v>-1.84</c:v>
                </c:pt>
                <c:pt idx="842">
                  <c:v>-1.84</c:v>
                </c:pt>
                <c:pt idx="843">
                  <c:v>-1.84</c:v>
                </c:pt>
                <c:pt idx="844">
                  <c:v>-1.84</c:v>
                </c:pt>
                <c:pt idx="845">
                  <c:v>-1.84</c:v>
                </c:pt>
                <c:pt idx="846">
                  <c:v>-1.84</c:v>
                </c:pt>
                <c:pt idx="847">
                  <c:v>-1.84</c:v>
                </c:pt>
                <c:pt idx="848">
                  <c:v>-1.84</c:v>
                </c:pt>
                <c:pt idx="849">
                  <c:v>-1.84</c:v>
                </c:pt>
                <c:pt idx="850">
                  <c:v>-1.84</c:v>
                </c:pt>
                <c:pt idx="851">
                  <c:v>-1.84</c:v>
                </c:pt>
                <c:pt idx="852">
                  <c:v>-1.84</c:v>
                </c:pt>
                <c:pt idx="853">
                  <c:v>-1.84</c:v>
                </c:pt>
                <c:pt idx="854">
                  <c:v>-1.84</c:v>
                </c:pt>
                <c:pt idx="855">
                  <c:v>-1.84</c:v>
                </c:pt>
                <c:pt idx="856">
                  <c:v>-1.84</c:v>
                </c:pt>
                <c:pt idx="857">
                  <c:v>-1.84</c:v>
                </c:pt>
                <c:pt idx="858">
                  <c:v>-1.84</c:v>
                </c:pt>
                <c:pt idx="859">
                  <c:v>-1.84</c:v>
                </c:pt>
                <c:pt idx="860">
                  <c:v>-1.84</c:v>
                </c:pt>
                <c:pt idx="861">
                  <c:v>-1.84</c:v>
                </c:pt>
                <c:pt idx="862">
                  <c:v>-1.84</c:v>
                </c:pt>
                <c:pt idx="863">
                  <c:v>-1.84</c:v>
                </c:pt>
                <c:pt idx="864">
                  <c:v>-1.84</c:v>
                </c:pt>
                <c:pt idx="865">
                  <c:v>-1.84</c:v>
                </c:pt>
                <c:pt idx="866">
                  <c:v>-1.84</c:v>
                </c:pt>
                <c:pt idx="867">
                  <c:v>-1.84</c:v>
                </c:pt>
                <c:pt idx="868">
                  <c:v>-1.84</c:v>
                </c:pt>
                <c:pt idx="869">
                  <c:v>-1.84</c:v>
                </c:pt>
                <c:pt idx="870">
                  <c:v>-1.84</c:v>
                </c:pt>
                <c:pt idx="871">
                  <c:v>-1.84</c:v>
                </c:pt>
                <c:pt idx="872">
                  <c:v>-1.84</c:v>
                </c:pt>
                <c:pt idx="873">
                  <c:v>-1.84</c:v>
                </c:pt>
                <c:pt idx="874">
                  <c:v>-1.84</c:v>
                </c:pt>
                <c:pt idx="875">
                  <c:v>-1.84</c:v>
                </c:pt>
                <c:pt idx="876">
                  <c:v>-1.84</c:v>
                </c:pt>
                <c:pt idx="877">
                  <c:v>-1.84</c:v>
                </c:pt>
                <c:pt idx="878">
                  <c:v>-1.84</c:v>
                </c:pt>
                <c:pt idx="879">
                  <c:v>-1.84</c:v>
                </c:pt>
                <c:pt idx="880">
                  <c:v>-1.84</c:v>
                </c:pt>
                <c:pt idx="881">
                  <c:v>-1.84</c:v>
                </c:pt>
                <c:pt idx="882">
                  <c:v>-1.84</c:v>
                </c:pt>
                <c:pt idx="883">
                  <c:v>-1.84</c:v>
                </c:pt>
                <c:pt idx="884">
                  <c:v>-1.84</c:v>
                </c:pt>
                <c:pt idx="885">
                  <c:v>-1.84</c:v>
                </c:pt>
                <c:pt idx="886">
                  <c:v>-1.84</c:v>
                </c:pt>
                <c:pt idx="887">
                  <c:v>-1.84</c:v>
                </c:pt>
                <c:pt idx="888">
                  <c:v>-1.84</c:v>
                </c:pt>
                <c:pt idx="889">
                  <c:v>-1.84</c:v>
                </c:pt>
                <c:pt idx="890">
                  <c:v>-1.84</c:v>
                </c:pt>
                <c:pt idx="891">
                  <c:v>-1.84</c:v>
                </c:pt>
                <c:pt idx="892">
                  <c:v>-1.84</c:v>
                </c:pt>
                <c:pt idx="893">
                  <c:v>-1.84</c:v>
                </c:pt>
                <c:pt idx="894">
                  <c:v>-1.84</c:v>
                </c:pt>
                <c:pt idx="895">
                  <c:v>-1.84</c:v>
                </c:pt>
                <c:pt idx="896">
                  <c:v>-1.84</c:v>
                </c:pt>
                <c:pt idx="897">
                  <c:v>-1.84</c:v>
                </c:pt>
                <c:pt idx="898">
                  <c:v>-1.84</c:v>
                </c:pt>
                <c:pt idx="899">
                  <c:v>-1.84</c:v>
                </c:pt>
                <c:pt idx="900">
                  <c:v>-1.84</c:v>
                </c:pt>
                <c:pt idx="901">
                  <c:v>-1.84</c:v>
                </c:pt>
                <c:pt idx="902">
                  <c:v>-1.84</c:v>
                </c:pt>
                <c:pt idx="903">
                  <c:v>-1.84</c:v>
                </c:pt>
                <c:pt idx="904">
                  <c:v>-1.84</c:v>
                </c:pt>
                <c:pt idx="905">
                  <c:v>-1.84</c:v>
                </c:pt>
                <c:pt idx="906">
                  <c:v>-1.84</c:v>
                </c:pt>
                <c:pt idx="907">
                  <c:v>-1.84</c:v>
                </c:pt>
                <c:pt idx="908">
                  <c:v>-1.84</c:v>
                </c:pt>
                <c:pt idx="909">
                  <c:v>-1.84</c:v>
                </c:pt>
                <c:pt idx="910">
                  <c:v>-1.84</c:v>
                </c:pt>
                <c:pt idx="911">
                  <c:v>-1.84</c:v>
                </c:pt>
                <c:pt idx="912">
                  <c:v>-1.84</c:v>
                </c:pt>
                <c:pt idx="913">
                  <c:v>-1.84</c:v>
                </c:pt>
                <c:pt idx="914">
                  <c:v>-1.84</c:v>
                </c:pt>
                <c:pt idx="915">
                  <c:v>-1.84</c:v>
                </c:pt>
                <c:pt idx="916">
                  <c:v>-1.84</c:v>
                </c:pt>
                <c:pt idx="917">
                  <c:v>-1.84</c:v>
                </c:pt>
                <c:pt idx="918">
                  <c:v>-1.84</c:v>
                </c:pt>
                <c:pt idx="919">
                  <c:v>-1.84</c:v>
                </c:pt>
                <c:pt idx="920">
                  <c:v>-1.84</c:v>
                </c:pt>
                <c:pt idx="921">
                  <c:v>-1.84</c:v>
                </c:pt>
                <c:pt idx="922">
                  <c:v>-1.84</c:v>
                </c:pt>
                <c:pt idx="923">
                  <c:v>-1.84</c:v>
                </c:pt>
                <c:pt idx="924">
                  <c:v>-1.84</c:v>
                </c:pt>
                <c:pt idx="925">
                  <c:v>-1.84</c:v>
                </c:pt>
                <c:pt idx="926">
                  <c:v>-1.84</c:v>
                </c:pt>
                <c:pt idx="927">
                  <c:v>-1.84</c:v>
                </c:pt>
                <c:pt idx="928">
                  <c:v>-1.84</c:v>
                </c:pt>
                <c:pt idx="929">
                  <c:v>-1.84</c:v>
                </c:pt>
                <c:pt idx="930">
                  <c:v>-1.84</c:v>
                </c:pt>
                <c:pt idx="931">
                  <c:v>-1.84</c:v>
                </c:pt>
                <c:pt idx="932">
                  <c:v>-1.84</c:v>
                </c:pt>
                <c:pt idx="933">
                  <c:v>-1.84</c:v>
                </c:pt>
                <c:pt idx="934">
                  <c:v>-1.84</c:v>
                </c:pt>
                <c:pt idx="935">
                  <c:v>-1.84</c:v>
                </c:pt>
                <c:pt idx="936">
                  <c:v>-1.84</c:v>
                </c:pt>
                <c:pt idx="937">
                  <c:v>-1.84</c:v>
                </c:pt>
                <c:pt idx="938">
                  <c:v>-1.84</c:v>
                </c:pt>
                <c:pt idx="939">
                  <c:v>-1.84</c:v>
                </c:pt>
                <c:pt idx="940">
                  <c:v>-1.84</c:v>
                </c:pt>
                <c:pt idx="941">
                  <c:v>-1.84</c:v>
                </c:pt>
                <c:pt idx="942">
                  <c:v>-1.84</c:v>
                </c:pt>
                <c:pt idx="943">
                  <c:v>-1.84</c:v>
                </c:pt>
                <c:pt idx="944">
                  <c:v>-1.84</c:v>
                </c:pt>
                <c:pt idx="945">
                  <c:v>-1.84</c:v>
                </c:pt>
                <c:pt idx="946">
                  <c:v>-1.84</c:v>
                </c:pt>
                <c:pt idx="947">
                  <c:v>-1.84</c:v>
                </c:pt>
                <c:pt idx="948">
                  <c:v>-1.84</c:v>
                </c:pt>
                <c:pt idx="949">
                  <c:v>-1.84</c:v>
                </c:pt>
                <c:pt idx="950">
                  <c:v>-1.84</c:v>
                </c:pt>
                <c:pt idx="951">
                  <c:v>-1.84</c:v>
                </c:pt>
                <c:pt idx="952">
                  <c:v>-1.84</c:v>
                </c:pt>
                <c:pt idx="953">
                  <c:v>-1.84</c:v>
                </c:pt>
                <c:pt idx="954">
                  <c:v>-1.84</c:v>
                </c:pt>
                <c:pt idx="955">
                  <c:v>-1.84</c:v>
                </c:pt>
                <c:pt idx="956">
                  <c:v>-1.84</c:v>
                </c:pt>
                <c:pt idx="957">
                  <c:v>-1.84</c:v>
                </c:pt>
                <c:pt idx="958">
                  <c:v>-1.84</c:v>
                </c:pt>
                <c:pt idx="959">
                  <c:v>-1.84</c:v>
                </c:pt>
                <c:pt idx="960">
                  <c:v>-1.84</c:v>
                </c:pt>
                <c:pt idx="961">
                  <c:v>-1.84</c:v>
                </c:pt>
                <c:pt idx="962">
                  <c:v>-1.84</c:v>
                </c:pt>
                <c:pt idx="963">
                  <c:v>-1.84</c:v>
                </c:pt>
                <c:pt idx="964">
                  <c:v>-1.84</c:v>
                </c:pt>
                <c:pt idx="965">
                  <c:v>-1.84</c:v>
                </c:pt>
                <c:pt idx="966">
                  <c:v>-1.84</c:v>
                </c:pt>
                <c:pt idx="967">
                  <c:v>-1.84</c:v>
                </c:pt>
                <c:pt idx="968">
                  <c:v>-1.84</c:v>
                </c:pt>
                <c:pt idx="969">
                  <c:v>-1.84</c:v>
                </c:pt>
                <c:pt idx="970">
                  <c:v>-1.84</c:v>
                </c:pt>
                <c:pt idx="971">
                  <c:v>-1.84</c:v>
                </c:pt>
                <c:pt idx="972">
                  <c:v>-1.84</c:v>
                </c:pt>
                <c:pt idx="973">
                  <c:v>-1.84</c:v>
                </c:pt>
                <c:pt idx="974">
                  <c:v>-1.84</c:v>
                </c:pt>
                <c:pt idx="975">
                  <c:v>-1.84</c:v>
                </c:pt>
                <c:pt idx="976">
                  <c:v>-1.84</c:v>
                </c:pt>
                <c:pt idx="977">
                  <c:v>-1.84</c:v>
                </c:pt>
                <c:pt idx="978">
                  <c:v>-1.84</c:v>
                </c:pt>
                <c:pt idx="979">
                  <c:v>-1.84</c:v>
                </c:pt>
                <c:pt idx="980">
                  <c:v>-1.84</c:v>
                </c:pt>
                <c:pt idx="981">
                  <c:v>-1.84</c:v>
                </c:pt>
                <c:pt idx="982">
                  <c:v>-1.84</c:v>
                </c:pt>
                <c:pt idx="983">
                  <c:v>-1.84</c:v>
                </c:pt>
                <c:pt idx="984">
                  <c:v>-1.84</c:v>
                </c:pt>
                <c:pt idx="985">
                  <c:v>-1.84</c:v>
                </c:pt>
                <c:pt idx="986">
                  <c:v>-1.84</c:v>
                </c:pt>
                <c:pt idx="987">
                  <c:v>-1.84</c:v>
                </c:pt>
                <c:pt idx="988">
                  <c:v>-1.84</c:v>
                </c:pt>
                <c:pt idx="989">
                  <c:v>-1.84</c:v>
                </c:pt>
                <c:pt idx="990">
                  <c:v>-1.84</c:v>
                </c:pt>
                <c:pt idx="991">
                  <c:v>-1.84</c:v>
                </c:pt>
                <c:pt idx="992">
                  <c:v>-1.84</c:v>
                </c:pt>
                <c:pt idx="993">
                  <c:v>-1.84</c:v>
                </c:pt>
                <c:pt idx="994">
                  <c:v>-1.84</c:v>
                </c:pt>
                <c:pt idx="995">
                  <c:v>-1.84</c:v>
                </c:pt>
                <c:pt idx="996">
                  <c:v>-1.84</c:v>
                </c:pt>
                <c:pt idx="997">
                  <c:v>-1.84</c:v>
                </c:pt>
                <c:pt idx="998">
                  <c:v>-1.84</c:v>
                </c:pt>
                <c:pt idx="999">
                  <c:v>-1.84</c:v>
                </c:pt>
                <c:pt idx="1000">
                  <c:v>-1.84</c:v>
                </c:pt>
                <c:pt idx="1001">
                  <c:v>-1.84</c:v>
                </c:pt>
                <c:pt idx="1002">
                  <c:v>-1.84</c:v>
                </c:pt>
                <c:pt idx="1003">
                  <c:v>-1.84</c:v>
                </c:pt>
                <c:pt idx="1004">
                  <c:v>-1.84</c:v>
                </c:pt>
                <c:pt idx="1005">
                  <c:v>-1.84</c:v>
                </c:pt>
                <c:pt idx="1006">
                  <c:v>-1.84</c:v>
                </c:pt>
                <c:pt idx="1007">
                  <c:v>-1.84</c:v>
                </c:pt>
                <c:pt idx="1008">
                  <c:v>-1.84</c:v>
                </c:pt>
                <c:pt idx="1009">
                  <c:v>-1.84</c:v>
                </c:pt>
                <c:pt idx="1010">
                  <c:v>-1.84</c:v>
                </c:pt>
                <c:pt idx="1011">
                  <c:v>-1.84</c:v>
                </c:pt>
                <c:pt idx="1012">
                  <c:v>-1.84</c:v>
                </c:pt>
                <c:pt idx="1013">
                  <c:v>-1.84</c:v>
                </c:pt>
                <c:pt idx="1014">
                  <c:v>-1.84</c:v>
                </c:pt>
                <c:pt idx="1015">
                  <c:v>-1.84</c:v>
                </c:pt>
                <c:pt idx="1016">
                  <c:v>-1.84</c:v>
                </c:pt>
                <c:pt idx="1017">
                  <c:v>-1.84</c:v>
                </c:pt>
                <c:pt idx="1018">
                  <c:v>-1.84</c:v>
                </c:pt>
                <c:pt idx="1019">
                  <c:v>-1.84</c:v>
                </c:pt>
                <c:pt idx="1020">
                  <c:v>-1.84</c:v>
                </c:pt>
                <c:pt idx="1021">
                  <c:v>-1.84</c:v>
                </c:pt>
                <c:pt idx="1022">
                  <c:v>-1.84</c:v>
                </c:pt>
                <c:pt idx="1023">
                  <c:v>-1.84</c:v>
                </c:pt>
                <c:pt idx="1024">
                  <c:v>-1.84</c:v>
                </c:pt>
                <c:pt idx="1025">
                  <c:v>-1.84</c:v>
                </c:pt>
                <c:pt idx="1026">
                  <c:v>-1.84</c:v>
                </c:pt>
                <c:pt idx="1027">
                  <c:v>-1.84</c:v>
                </c:pt>
                <c:pt idx="1028">
                  <c:v>-1.84</c:v>
                </c:pt>
                <c:pt idx="1029">
                  <c:v>-1.84</c:v>
                </c:pt>
                <c:pt idx="1030">
                  <c:v>-1.84</c:v>
                </c:pt>
                <c:pt idx="1031">
                  <c:v>-1.84</c:v>
                </c:pt>
                <c:pt idx="1032">
                  <c:v>-1.84</c:v>
                </c:pt>
                <c:pt idx="1033">
                  <c:v>-1.84</c:v>
                </c:pt>
                <c:pt idx="1034">
                  <c:v>-1.84</c:v>
                </c:pt>
                <c:pt idx="1035">
                  <c:v>-1.84</c:v>
                </c:pt>
                <c:pt idx="1036">
                  <c:v>-1.84</c:v>
                </c:pt>
                <c:pt idx="1037">
                  <c:v>-1.84</c:v>
                </c:pt>
                <c:pt idx="1038">
                  <c:v>-1.84</c:v>
                </c:pt>
                <c:pt idx="1039">
                  <c:v>-1.84</c:v>
                </c:pt>
                <c:pt idx="1040">
                  <c:v>-1.84</c:v>
                </c:pt>
                <c:pt idx="1041">
                  <c:v>-1.84</c:v>
                </c:pt>
                <c:pt idx="1042">
                  <c:v>-1.84</c:v>
                </c:pt>
                <c:pt idx="1043">
                  <c:v>-1.84</c:v>
                </c:pt>
                <c:pt idx="1044">
                  <c:v>-1.84</c:v>
                </c:pt>
                <c:pt idx="1045">
                  <c:v>-1.84</c:v>
                </c:pt>
                <c:pt idx="1046">
                  <c:v>-1.84</c:v>
                </c:pt>
                <c:pt idx="1047">
                  <c:v>-1.84</c:v>
                </c:pt>
                <c:pt idx="1048">
                  <c:v>-1.84</c:v>
                </c:pt>
                <c:pt idx="1049">
                  <c:v>-1.84</c:v>
                </c:pt>
                <c:pt idx="1050">
                  <c:v>-1.84</c:v>
                </c:pt>
                <c:pt idx="1051">
                  <c:v>-1.84</c:v>
                </c:pt>
                <c:pt idx="1052">
                  <c:v>-1.84</c:v>
                </c:pt>
                <c:pt idx="1053">
                  <c:v>-1.84</c:v>
                </c:pt>
                <c:pt idx="1054">
                  <c:v>-1.84</c:v>
                </c:pt>
                <c:pt idx="1055">
                  <c:v>-1.84</c:v>
                </c:pt>
                <c:pt idx="1056">
                  <c:v>-1.84</c:v>
                </c:pt>
                <c:pt idx="1057">
                  <c:v>-1.84</c:v>
                </c:pt>
                <c:pt idx="1058">
                  <c:v>-1.84</c:v>
                </c:pt>
                <c:pt idx="1059">
                  <c:v>-1.84</c:v>
                </c:pt>
                <c:pt idx="1060">
                  <c:v>-1.84</c:v>
                </c:pt>
                <c:pt idx="1061">
                  <c:v>-1.84</c:v>
                </c:pt>
                <c:pt idx="1062">
                  <c:v>-1.84</c:v>
                </c:pt>
                <c:pt idx="1063">
                  <c:v>-1.84</c:v>
                </c:pt>
                <c:pt idx="1064">
                  <c:v>-1.84</c:v>
                </c:pt>
                <c:pt idx="1065">
                  <c:v>-1.84</c:v>
                </c:pt>
                <c:pt idx="1066">
                  <c:v>-1.84</c:v>
                </c:pt>
                <c:pt idx="1067">
                  <c:v>-1.84</c:v>
                </c:pt>
                <c:pt idx="1068">
                  <c:v>-1.84</c:v>
                </c:pt>
                <c:pt idx="1069">
                  <c:v>-1.84</c:v>
                </c:pt>
                <c:pt idx="1070">
                  <c:v>-1.84</c:v>
                </c:pt>
                <c:pt idx="1071">
                  <c:v>-1.84</c:v>
                </c:pt>
                <c:pt idx="1072">
                  <c:v>-1.84</c:v>
                </c:pt>
                <c:pt idx="1073">
                  <c:v>-1.84</c:v>
                </c:pt>
                <c:pt idx="1074">
                  <c:v>-1.84</c:v>
                </c:pt>
                <c:pt idx="1075">
                  <c:v>-1.84</c:v>
                </c:pt>
                <c:pt idx="1076">
                  <c:v>-1.84</c:v>
                </c:pt>
                <c:pt idx="1077">
                  <c:v>-1.84</c:v>
                </c:pt>
                <c:pt idx="1078">
                  <c:v>-1.84</c:v>
                </c:pt>
                <c:pt idx="1079">
                  <c:v>-1.84</c:v>
                </c:pt>
                <c:pt idx="1080">
                  <c:v>-1.84</c:v>
                </c:pt>
                <c:pt idx="1081">
                  <c:v>-1.84</c:v>
                </c:pt>
                <c:pt idx="1082">
                  <c:v>-1.84</c:v>
                </c:pt>
                <c:pt idx="1083">
                  <c:v>-1.84</c:v>
                </c:pt>
                <c:pt idx="1084">
                  <c:v>-1.84</c:v>
                </c:pt>
                <c:pt idx="1085">
                  <c:v>-1.84</c:v>
                </c:pt>
                <c:pt idx="1086">
                  <c:v>-1.84</c:v>
                </c:pt>
                <c:pt idx="1087">
                  <c:v>-1.84</c:v>
                </c:pt>
                <c:pt idx="1088">
                  <c:v>-1.84</c:v>
                </c:pt>
                <c:pt idx="1089">
                  <c:v>-1.84</c:v>
                </c:pt>
                <c:pt idx="1090">
                  <c:v>-1.84</c:v>
                </c:pt>
                <c:pt idx="1091">
                  <c:v>-1.84</c:v>
                </c:pt>
                <c:pt idx="1092">
                  <c:v>-1.84</c:v>
                </c:pt>
                <c:pt idx="1093">
                  <c:v>-1.84</c:v>
                </c:pt>
                <c:pt idx="1094">
                  <c:v>-1.84</c:v>
                </c:pt>
                <c:pt idx="1095">
                  <c:v>-1.84</c:v>
                </c:pt>
                <c:pt idx="1096">
                  <c:v>-1.84</c:v>
                </c:pt>
                <c:pt idx="1097">
                  <c:v>-1.84</c:v>
                </c:pt>
                <c:pt idx="1098">
                  <c:v>-1.84</c:v>
                </c:pt>
                <c:pt idx="1099">
                  <c:v>-1.84</c:v>
                </c:pt>
                <c:pt idx="1100">
                  <c:v>-1.84</c:v>
                </c:pt>
                <c:pt idx="1101">
                  <c:v>-1.84</c:v>
                </c:pt>
                <c:pt idx="1102">
                  <c:v>-1.84</c:v>
                </c:pt>
                <c:pt idx="1103">
                  <c:v>-1.84</c:v>
                </c:pt>
                <c:pt idx="1104">
                  <c:v>-1.84</c:v>
                </c:pt>
                <c:pt idx="1105">
                  <c:v>-1.84</c:v>
                </c:pt>
                <c:pt idx="1106">
                  <c:v>-1.84</c:v>
                </c:pt>
                <c:pt idx="1107">
                  <c:v>-1.84</c:v>
                </c:pt>
                <c:pt idx="1108">
                  <c:v>-1.84</c:v>
                </c:pt>
                <c:pt idx="1109">
                  <c:v>-1.84</c:v>
                </c:pt>
                <c:pt idx="1110">
                  <c:v>-1.84</c:v>
                </c:pt>
                <c:pt idx="1111">
                  <c:v>-1.84</c:v>
                </c:pt>
                <c:pt idx="1112">
                  <c:v>-1.84</c:v>
                </c:pt>
                <c:pt idx="1113">
                  <c:v>-1.84</c:v>
                </c:pt>
                <c:pt idx="1114">
                  <c:v>-1.84</c:v>
                </c:pt>
                <c:pt idx="1115">
                  <c:v>-1.84</c:v>
                </c:pt>
                <c:pt idx="1116">
                  <c:v>-1.84</c:v>
                </c:pt>
                <c:pt idx="1117">
                  <c:v>-1.84</c:v>
                </c:pt>
                <c:pt idx="1118">
                  <c:v>-1.84</c:v>
                </c:pt>
                <c:pt idx="1119">
                  <c:v>-1.84</c:v>
                </c:pt>
                <c:pt idx="1120">
                  <c:v>-1.84</c:v>
                </c:pt>
                <c:pt idx="1121">
                  <c:v>-1.84</c:v>
                </c:pt>
                <c:pt idx="1122">
                  <c:v>-1.84</c:v>
                </c:pt>
                <c:pt idx="1123">
                  <c:v>-1.84</c:v>
                </c:pt>
                <c:pt idx="1124">
                  <c:v>-1.84</c:v>
                </c:pt>
                <c:pt idx="1125">
                  <c:v>-1.84</c:v>
                </c:pt>
                <c:pt idx="1126">
                  <c:v>-1.84</c:v>
                </c:pt>
                <c:pt idx="1127">
                  <c:v>-1.84</c:v>
                </c:pt>
                <c:pt idx="1128">
                  <c:v>-1.84</c:v>
                </c:pt>
                <c:pt idx="1129">
                  <c:v>-1.84</c:v>
                </c:pt>
                <c:pt idx="1130">
                  <c:v>-1.84</c:v>
                </c:pt>
                <c:pt idx="1131">
                  <c:v>-1.84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01E4-44A4-8C34-7A5854153BC9}"/>
            </c:ext>
          </c:extLst>
        </c:ser>
        <c:ser>
          <c:idx val="10"/>
          <c:order val="10"/>
          <c:tx>
            <c:strRef>
              <c:f>Plot_Data!$BK$11</c:f>
              <c:strCache>
                <c:ptCount val="1"/>
                <c:pt idx="0">
                  <c:v>Fuel tanks between the spars: 34 m3 total</c:v>
                </c:pt>
              </c:strCache>
            </c:strRef>
          </c:tx>
          <c:spPr>
            <a:ln w="12000">
              <a:solidFill>
                <a:srgbClr val="00B050"/>
              </a:solidFill>
              <a:prstDash val="solid"/>
            </a:ln>
          </c:spPr>
          <c:marker>
            <c:symbol val="none"/>
          </c:marker>
          <c:xVal>
            <c:numRef>
              <c:f>Plot_Data!$IC$5:$IC$9</c:f>
              <c:numCache>
                <c:formatCode>0.000</c:formatCode>
                <c:ptCount val="5"/>
                <c:pt idx="0">
                  <c:v>-5.3814091449150432</c:v>
                </c:pt>
                <c:pt idx="1">
                  <c:v>1.366672666549082</c:v>
                </c:pt>
                <c:pt idx="2">
                  <c:v>2.4475008557827724</c:v>
                </c:pt>
                <c:pt idx="3">
                  <c:v>-2.6512994032903441</c:v>
                </c:pt>
                <c:pt idx="4">
                  <c:v>-5.3814091449150432</c:v>
                </c:pt>
              </c:numCache>
            </c:numRef>
          </c:xVal>
          <c:yVal>
            <c:numRef>
              <c:f>Plot_Data!$ID$5:$ID$9</c:f>
              <c:numCache>
                <c:formatCode>0.000</c:formatCode>
                <c:ptCount val="5"/>
                <c:pt idx="0">
                  <c:v>1.9909249999999998</c:v>
                </c:pt>
                <c:pt idx="1">
                  <c:v>15.047737289762148</c:v>
                </c:pt>
                <c:pt idx="2">
                  <c:v>15.047737289762148</c:v>
                </c:pt>
                <c:pt idx="3">
                  <c:v>1.9909249999999998</c:v>
                </c:pt>
                <c:pt idx="4">
                  <c:v>1.9909249999999998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01E4-44A4-8C34-7A5854153BC9}"/>
            </c:ext>
          </c:extLst>
        </c:ser>
        <c:ser>
          <c:idx val="11"/>
          <c:order val="11"/>
          <c:spPr>
            <a:ln w="12000">
              <a:solidFill>
                <a:srgbClr val="00B050"/>
              </a:solidFill>
              <a:prstDash val="solid"/>
            </a:ln>
          </c:spPr>
          <c:marker>
            <c:symbol val="none"/>
          </c:marker>
          <c:xVal>
            <c:numRef>
              <c:f>Plot_Data!$IC$11:$IC$15</c:f>
              <c:numCache>
                <c:formatCode>0.000</c:formatCode>
                <c:ptCount val="5"/>
                <c:pt idx="0">
                  <c:v>-5.3814091449150432</c:v>
                </c:pt>
                <c:pt idx="1">
                  <c:v>1.366672666549082</c:v>
                </c:pt>
                <c:pt idx="2">
                  <c:v>2.4475008557827724</c:v>
                </c:pt>
                <c:pt idx="3">
                  <c:v>-2.6512994032903441</c:v>
                </c:pt>
                <c:pt idx="4">
                  <c:v>-5.3814091449150432</c:v>
                </c:pt>
              </c:numCache>
            </c:numRef>
          </c:xVal>
          <c:yVal>
            <c:numRef>
              <c:f>Plot_Data!$ID$11:$ID$15</c:f>
              <c:numCache>
                <c:formatCode>0.000</c:formatCode>
                <c:ptCount val="5"/>
                <c:pt idx="0">
                  <c:v>-1.9909249999999998</c:v>
                </c:pt>
                <c:pt idx="1">
                  <c:v>-15.047737289762148</c:v>
                </c:pt>
                <c:pt idx="2">
                  <c:v>-15.047737289762148</c:v>
                </c:pt>
                <c:pt idx="3">
                  <c:v>-1.9909249999999998</c:v>
                </c:pt>
                <c:pt idx="4">
                  <c:v>-1.9909249999999998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01E4-44A4-8C34-7A5854153BC9}"/>
            </c:ext>
          </c:extLst>
        </c:ser>
        <c:ser>
          <c:idx val="12"/>
          <c:order val="12"/>
          <c:tx>
            <c:strRef>
              <c:f>Plot_Data!$BK$15</c:f>
              <c:strCache>
                <c:ptCount val="1"/>
                <c:pt idx="0">
                  <c:v>Cabin: 25.3 x 3.73 m, aisle 0.50 m</c:v>
                </c:pt>
              </c:strCache>
            </c:strRef>
          </c:tx>
          <c:spPr>
            <a:ln w="9000">
              <a:solidFill>
                <a:srgbClr val="7F7F7F"/>
              </a:solidFill>
              <a:prstDash val="solid"/>
            </a:ln>
          </c:spPr>
          <c:marker>
            <c:symbol val="none"/>
          </c:marker>
          <c:xVal>
            <c:numRef>
              <c:f>Plot_Data!$BC$5:$BC$9</c:f>
              <c:numCache>
                <c:formatCode>0.000</c:formatCode>
                <c:ptCount val="5"/>
                <c:pt idx="0">
                  <c:v>-13.810479999999998</c:v>
                </c:pt>
                <c:pt idx="1">
                  <c:v>11.439520000000002</c:v>
                </c:pt>
                <c:pt idx="2">
                  <c:v>11.439520000000002</c:v>
                </c:pt>
                <c:pt idx="3">
                  <c:v>-13.810479999999998</c:v>
                </c:pt>
                <c:pt idx="4">
                  <c:v>-13.810479999999998</c:v>
                </c:pt>
              </c:numCache>
            </c:numRef>
          </c:xVal>
          <c:yVal>
            <c:numRef>
              <c:f>Plot_Data!$BB$5:$BB$9</c:f>
              <c:numCache>
                <c:formatCode>0.000</c:formatCode>
                <c:ptCount val="5"/>
                <c:pt idx="0">
                  <c:v>-1.865</c:v>
                </c:pt>
                <c:pt idx="1">
                  <c:v>-1.865</c:v>
                </c:pt>
                <c:pt idx="2">
                  <c:v>1.865</c:v>
                </c:pt>
                <c:pt idx="3">
                  <c:v>1.865</c:v>
                </c:pt>
                <c:pt idx="4">
                  <c:v>-1.865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01E4-44A4-8C34-7A5854153B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x from fuselage mid-length (m)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low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y (m)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low"/>
        <c:crossAx val="10"/>
        <c:crosses val="autoZero"/>
        <c:crossBetween val="midCat"/>
      </c:valAx>
    </c:plotArea>
    <c:legend>
      <c:legendPos val="r"/>
      <c:legendEntry>
        <c:idx val="0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11"/>
        <c:delete val="1"/>
      </c:legendEntry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3D view (rotate with view_az / view_el in section 2)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0000000000000007E-2"/>
          <c:y val="0.09"/>
          <c:w val="0.54923076923076919"/>
          <c:h val="0.84"/>
        </c:manualLayout>
      </c:layout>
      <c:scatterChart>
        <c:scatterStyle val="lineMarker"/>
        <c:varyColors val="0"/>
        <c:ser>
          <c:idx val="0"/>
          <c:order val="0"/>
          <c:spPr>
            <a:ln>
              <a:noFill/>
              <a:prstDash val="solid"/>
            </a:ln>
          </c:spPr>
          <c:marker>
            <c:symbol val="none"/>
          </c:marker>
          <c:xVal>
            <c:numRef>
              <c:f>Plot_Data!$AS$5:$AS$6</c:f>
              <c:numCache>
                <c:formatCode>0.000</c:formatCode>
                <c:ptCount val="2"/>
                <c:pt idx="0">
                  <c:v>-19.591528</c:v>
                </c:pt>
                <c:pt idx="1">
                  <c:v>19.591528</c:v>
                </c:pt>
              </c:numCache>
            </c:numRef>
          </c:xVal>
          <c:yVal>
            <c:numRef>
              <c:f>Plot_Data!$AT$5:$AT$6</c:f>
              <c:numCache>
                <c:formatCode>0.000</c:formatCode>
                <c:ptCount val="2"/>
                <c:pt idx="0">
                  <c:v>-19.591528</c:v>
                </c:pt>
                <c:pt idx="1">
                  <c:v>19.591528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BD-41E4-A9D8-98901D700C0E}"/>
            </c:ext>
          </c:extLst>
        </c:ser>
        <c:ser>
          <c:idx val="1"/>
          <c:order val="1"/>
          <c:tx>
            <c:strRef>
              <c:f>Plot_Data!$BK$5</c:f>
              <c:strCache>
                <c:ptCount val="1"/>
                <c:pt idx="0">
                  <c:v>Fuselage: L = 35.6 m, d = 3.98 m</c:v>
                </c:pt>
              </c:strCache>
            </c:strRef>
          </c:tx>
          <c:spPr>
            <a:ln w="12000">
              <a:solidFill>
                <a:srgbClr val="1F3864"/>
              </a:solidFill>
              <a:prstDash val="solid"/>
            </a:ln>
          </c:spPr>
          <c:marker>
            <c:symbol val="none"/>
          </c:marker>
          <c:xVal>
            <c:numRef>
              <c:f>Plot_Data!$BG$5:$BG$232</c:f>
              <c:numCache>
                <c:formatCode>0.000</c:formatCode>
                <c:ptCount val="228"/>
                <c:pt idx="0">
                  <c:v>-13.643619233281694</c:v>
                </c:pt>
                <c:pt idx="1">
                  <c:v>-13.327670250843221</c:v>
                </c:pt>
                <c:pt idx="2">
                  <c:v>-12.958745463994934</c:v>
                </c:pt>
                <c:pt idx="3">
                  <c:v>-12.509846678347557</c:v>
                </c:pt>
                <c:pt idx="4">
                  <c:v>-11.810447367374026</c:v>
                </c:pt>
                <c:pt idx="5">
                  <c:v>-11.195944015782215</c:v>
                </c:pt>
                <c:pt idx="6">
                  <c:v>-10.63220972445089</c:v>
                </c:pt>
                <c:pt idx="7">
                  <c:v>-9.9383911309426054</c:v>
                </c:pt>
                <c:pt idx="8">
                  <c:v>-9.299699538990609</c:v>
                </c:pt>
                <c:pt idx="9">
                  <c:v>-2.8521588094058847</c:v>
                </c:pt>
                <c:pt idx="10">
                  <c:v>3.5953819201788395</c:v>
                </c:pt>
                <c:pt idx="11">
                  <c:v>10.042922649763582</c:v>
                </c:pt>
                <c:pt idx="12">
                  <c:v>10.679373937138166</c:v>
                </c:pt>
                <c:pt idx="13">
                  <c:v>11.271623714844019</c:v>
                </c:pt>
                <c:pt idx="14">
                  <c:v>11.840295929467608</c:v>
                </c:pt>
                <c:pt idx="15">
                  <c:v>12.391487896544316</c:v>
                </c:pt>
                <c:pt idx="16">
                  <c:v>12.928460271733329</c:v>
                </c:pt>
                <c:pt idx="17">
                  <c:v>13.453297308106574</c:v>
                </c:pt>
                <c:pt idx="18">
                  <c:v>13.797188263899514</c:v>
                </c:pt>
                <c:pt idx="19">
                  <c:v>13.776614620867646</c:v>
                </c:pt>
                <c:pt idx="20">
                  <c:v>13.413411501766335</c:v>
                </c:pt>
                <c:pt idx="21">
                  <c:v>12.860812031172088</c:v>
                </c:pt>
                <c:pt idx="22">
                  <c:v>12.297702993103222</c:v>
                </c:pt>
                <c:pt idx="23">
                  <c:v>11.722279361871855</c:v>
                </c:pt>
                <c:pt idx="24">
                  <c:v>11.131717311857463</c:v>
                </c:pt>
                <c:pt idx="25">
                  <c:v>10.52073638488694</c:v>
                </c:pt>
                <c:pt idx="26">
                  <c:v>9.8714756244980038</c:v>
                </c:pt>
                <c:pt idx="27">
                  <c:v>3.4239348949132609</c:v>
                </c:pt>
                <c:pt idx="28">
                  <c:v>-3.0236058346714634</c:v>
                </c:pt>
                <c:pt idx="29">
                  <c:v>-9.4711465642561876</c:v>
                </c:pt>
                <c:pt idx="30">
                  <c:v>-10.106374222870095</c:v>
                </c:pt>
                <c:pt idx="31">
                  <c:v>-10.789343518641793</c:v>
                </c:pt>
                <c:pt idx="32">
                  <c:v>-11.339130511390252</c:v>
                </c:pt>
                <c:pt idx="33">
                  <c:v>-11.932885033396097</c:v>
                </c:pt>
                <c:pt idx="34">
                  <c:v>-12.600162003105293</c:v>
                </c:pt>
                <c:pt idx="35">
                  <c:v>-13.02176245013378</c:v>
                </c:pt>
                <c:pt idx="36">
                  <c:v>-13.361787778096931</c:v>
                </c:pt>
                <c:pt idx="37">
                  <c:v>-13.643619233281694</c:v>
                </c:pt>
                <c:pt idx="38">
                  <c:v>-13.643619233281694</c:v>
                </c:pt>
                <c:pt idx="39">
                  <c:v>-13.455002964337698</c:v>
                </c:pt>
                <c:pt idx="40">
                  <c:v>-13.193936126601656</c:v>
                </c:pt>
                <c:pt idx="41">
                  <c:v>-12.846919622878932</c:v>
                </c:pt>
                <c:pt idx="42">
                  <c:v>-12.267406634456474</c:v>
                </c:pt>
                <c:pt idx="43">
                  <c:v>-11.730341625724874</c:v>
                </c:pt>
                <c:pt idx="44">
                  <c:v>-11.218661147123518</c:v>
                </c:pt>
                <c:pt idx="45">
                  <c:v>-10.565334073121786</c:v>
                </c:pt>
                <c:pt idx="46">
                  <c:v>-9.9395704998981955</c:v>
                </c:pt>
                <c:pt idx="47">
                  <c:v>-3.4920297703134713</c:v>
                </c:pt>
                <c:pt idx="48">
                  <c:v>2.955510959271253</c:v>
                </c:pt>
                <c:pt idx="49">
                  <c:v>9.4030516888559958</c:v>
                </c:pt>
                <c:pt idx="50">
                  <c:v>10.087310220443285</c:v>
                </c:pt>
                <c:pt idx="51">
                  <c:v>10.749467997196206</c:v>
                </c:pt>
                <c:pt idx="52">
                  <c:v>11.399836992407998</c:v>
                </c:pt>
                <c:pt idx="53">
                  <c:v>12.04146586384635</c:v>
                </c:pt>
                <c:pt idx="54">
                  <c:v>12.675984939340852</c:v>
                </c:pt>
                <c:pt idx="55">
                  <c:v>13.304436345427471</c:v>
                </c:pt>
                <c:pt idx="56">
                  <c:v>13.720403748590604</c:v>
                </c:pt>
                <c:pt idx="57">
                  <c:v>13.643619233281694</c:v>
                </c:pt>
                <c:pt idx="58">
                  <c:v>13.155575382748365</c:v>
                </c:pt>
                <c:pt idx="59">
                  <c:v>12.423509606948373</c:v>
                </c:pt>
                <c:pt idx="60">
                  <c:v>11.691443831148382</c:v>
                </c:pt>
                <c:pt idx="61">
                  <c:v>10.95937805534839</c:v>
                </c:pt>
                <c:pt idx="62">
                  <c:v>10.227312279548395</c:v>
                </c:pt>
                <c:pt idx="63">
                  <c:v>9.4952465037484028</c:v>
                </c:pt>
                <c:pt idx="64">
                  <c:v>8.7631807279484093</c:v>
                </c:pt>
                <c:pt idx="65">
                  <c:v>2.3156399983636664</c:v>
                </c:pt>
                <c:pt idx="66">
                  <c:v>-4.1319007312210578</c:v>
                </c:pt>
                <c:pt idx="67">
                  <c:v>-10.579441460805782</c:v>
                </c:pt>
                <c:pt idx="68">
                  <c:v>-11.192277015300965</c:v>
                </c:pt>
                <c:pt idx="69">
                  <c:v>-11.805112569796147</c:v>
                </c:pt>
                <c:pt idx="70">
                  <c:v>-12.264739235667534</c:v>
                </c:pt>
                <c:pt idx="71">
                  <c:v>-12.724365901538921</c:v>
                </c:pt>
                <c:pt idx="72">
                  <c:v>-13.183992567410307</c:v>
                </c:pt>
                <c:pt idx="73">
                  <c:v>-13.429126789208379</c:v>
                </c:pt>
                <c:pt idx="74">
                  <c:v>-13.582335677832177</c:v>
                </c:pt>
                <c:pt idx="75">
                  <c:v>-13.643619233281694</c:v>
                </c:pt>
                <c:pt idx="76">
                  <c:v>-13.643619233281694</c:v>
                </c:pt>
                <c:pt idx="77">
                  <c:v>-13.709668391326655</c:v>
                </c:pt>
                <c:pt idx="78">
                  <c:v>-13.664317451815101</c:v>
                </c:pt>
                <c:pt idx="79">
                  <c:v>-13.521065511941682</c:v>
                </c:pt>
                <c:pt idx="80">
                  <c:v>-13.181325168621367</c:v>
                </c:pt>
                <c:pt idx="81">
                  <c:v>-12.799136845610194</c:v>
                </c:pt>
                <c:pt idx="82">
                  <c:v>-12.391563992468777</c:v>
                </c:pt>
                <c:pt idx="83">
                  <c:v>-11.819219957480144</c:v>
                </c:pt>
                <c:pt idx="84">
                  <c:v>-11.219312421713369</c:v>
                </c:pt>
                <c:pt idx="85">
                  <c:v>-4.7717716921286444</c:v>
                </c:pt>
                <c:pt idx="86">
                  <c:v>1.6757690374560799</c:v>
                </c:pt>
                <c:pt idx="87">
                  <c:v>8.1233097670408227</c:v>
                </c:pt>
                <c:pt idx="88">
                  <c:v>8.9031827870535203</c:v>
                </c:pt>
                <c:pt idx="89">
                  <c:v>9.7051565619005835</c:v>
                </c:pt>
                <c:pt idx="90">
                  <c:v>10.518919118288782</c:v>
                </c:pt>
                <c:pt idx="91">
                  <c:v>11.341421798450414</c:v>
                </c:pt>
                <c:pt idx="92">
                  <c:v>12.171034274555895</c:v>
                </c:pt>
                <c:pt idx="93">
                  <c:v>13.00671442006926</c:v>
                </c:pt>
                <c:pt idx="94">
                  <c:v>13.566834717972784</c:v>
                </c:pt>
                <c:pt idx="95">
                  <c:v>13.510623845695742</c:v>
                </c:pt>
                <c:pt idx="96">
                  <c:v>12.897739263730395</c:v>
                </c:pt>
                <c:pt idx="97">
                  <c:v>11.986207182724659</c:v>
                </c:pt>
                <c:pt idx="98">
                  <c:v>11.085184669193541</c:v>
                </c:pt>
                <c:pt idx="99">
                  <c:v>10.196476748824924</c:v>
                </c:pt>
                <c:pt idx="100">
                  <c:v>9.3229072472393266</c:v>
                </c:pt>
                <c:pt idx="101">
                  <c:v>8.4697566226098662</c:v>
                </c:pt>
                <c:pt idx="102">
                  <c:v>7.6548858313988148</c:v>
                </c:pt>
                <c:pt idx="103">
                  <c:v>1.2073451018140722</c:v>
                </c:pt>
                <c:pt idx="104">
                  <c:v>-5.2401956277706523</c:v>
                </c:pt>
                <c:pt idx="105">
                  <c:v>-11.687736357355377</c:v>
                </c:pt>
                <c:pt idx="106">
                  <c:v>-12.278179807731835</c:v>
                </c:pt>
                <c:pt idx="107">
                  <c:v>-12.820881620950502</c:v>
                </c:pt>
                <c:pt idx="108">
                  <c:v>-13.190347959944816</c:v>
                </c:pt>
                <c:pt idx="109">
                  <c:v>-13.515846769681744</c:v>
                </c:pt>
                <c:pt idx="110">
                  <c:v>-13.767823131715321</c:v>
                </c:pt>
                <c:pt idx="111">
                  <c:v>-13.836491128282978</c:v>
                </c:pt>
                <c:pt idx="112">
                  <c:v>-13.802883577567423</c:v>
                </c:pt>
                <c:pt idx="113">
                  <c:v>-13.643619233281694</c:v>
                </c:pt>
                <c:pt idx="114">
                  <c:v>-13.643619233281694</c:v>
                </c:pt>
                <c:pt idx="115">
                  <c:v>-13.837001104821132</c:v>
                </c:pt>
                <c:pt idx="116">
                  <c:v>-13.899508114421824</c:v>
                </c:pt>
                <c:pt idx="117">
                  <c:v>-13.858138456473057</c:v>
                </c:pt>
                <c:pt idx="118">
                  <c:v>-13.638284435703815</c:v>
                </c:pt>
                <c:pt idx="119">
                  <c:v>-13.333534455552853</c:v>
                </c:pt>
                <c:pt idx="120">
                  <c:v>-12.978015415141405</c:v>
                </c:pt>
                <c:pt idx="121">
                  <c:v>-12.446162899659324</c:v>
                </c:pt>
                <c:pt idx="122">
                  <c:v>-11.859183382620955</c:v>
                </c:pt>
                <c:pt idx="123">
                  <c:v>-5.4116426530362309</c:v>
                </c:pt>
                <c:pt idx="124">
                  <c:v>1.0358980765484933</c:v>
                </c:pt>
                <c:pt idx="125">
                  <c:v>7.4834388061332362</c:v>
                </c:pt>
                <c:pt idx="126">
                  <c:v>8.3111190703586395</c:v>
                </c:pt>
                <c:pt idx="127">
                  <c:v>9.1830008442527706</c:v>
                </c:pt>
                <c:pt idx="128">
                  <c:v>10.078460181229172</c:v>
                </c:pt>
                <c:pt idx="129">
                  <c:v>10.991399765752448</c:v>
                </c:pt>
                <c:pt idx="130">
                  <c:v>11.918558942163418</c:v>
                </c:pt>
                <c:pt idx="131">
                  <c:v>12.857853457390156</c:v>
                </c:pt>
                <c:pt idx="132">
                  <c:v>13.490050202663873</c:v>
                </c:pt>
                <c:pt idx="133">
                  <c:v>13.510623845695742</c:v>
                </c:pt>
                <c:pt idx="134">
                  <c:v>12.897739263730395</c:v>
                </c:pt>
                <c:pt idx="135">
                  <c:v>11.986207182724659</c:v>
                </c:pt>
                <c:pt idx="136">
                  <c:v>11.085184669193541</c:v>
                </c:pt>
                <c:pt idx="137">
                  <c:v>10.196476748824924</c:v>
                </c:pt>
                <c:pt idx="138">
                  <c:v>9.3229072472393266</c:v>
                </c:pt>
                <c:pt idx="139">
                  <c:v>8.4697566226098662</c:v>
                </c:pt>
                <c:pt idx="140">
                  <c:v>7.6548858313988148</c:v>
                </c:pt>
                <c:pt idx="141">
                  <c:v>1.2073451018140722</c:v>
                </c:pt>
                <c:pt idx="142">
                  <c:v>-5.2401956277706523</c:v>
                </c:pt>
                <c:pt idx="143">
                  <c:v>-11.687736357355377</c:v>
                </c:pt>
                <c:pt idx="144">
                  <c:v>-12.278179807731835</c:v>
                </c:pt>
                <c:pt idx="145">
                  <c:v>-12.820881620950502</c:v>
                </c:pt>
                <c:pt idx="146">
                  <c:v>-13.190347959944816</c:v>
                </c:pt>
                <c:pt idx="147">
                  <c:v>-13.515846769681744</c:v>
                </c:pt>
                <c:pt idx="148">
                  <c:v>-13.767823131715321</c:v>
                </c:pt>
                <c:pt idx="149">
                  <c:v>-13.836491128282978</c:v>
                </c:pt>
                <c:pt idx="150">
                  <c:v>-13.802883577567423</c:v>
                </c:pt>
                <c:pt idx="151">
                  <c:v>-13.643619233281694</c:v>
                </c:pt>
                <c:pt idx="152">
                  <c:v>-13.643619233281694</c:v>
                </c:pt>
                <c:pt idx="153">
                  <c:v>-13.709668391326655</c:v>
                </c:pt>
                <c:pt idx="154">
                  <c:v>-13.664317451815101</c:v>
                </c:pt>
                <c:pt idx="155">
                  <c:v>-13.521065511941682</c:v>
                </c:pt>
                <c:pt idx="156">
                  <c:v>-13.181325168621367</c:v>
                </c:pt>
                <c:pt idx="157">
                  <c:v>-12.799136845610194</c:v>
                </c:pt>
                <c:pt idx="158">
                  <c:v>-12.391563992468777</c:v>
                </c:pt>
                <c:pt idx="159">
                  <c:v>-11.819219957480144</c:v>
                </c:pt>
                <c:pt idx="160">
                  <c:v>-11.219312421713369</c:v>
                </c:pt>
                <c:pt idx="161">
                  <c:v>-4.7717716921286444</c:v>
                </c:pt>
                <c:pt idx="162">
                  <c:v>1.6757690374560799</c:v>
                </c:pt>
                <c:pt idx="163">
                  <c:v>8.1233097670408227</c:v>
                </c:pt>
                <c:pt idx="164">
                  <c:v>8.9031827870535203</c:v>
                </c:pt>
                <c:pt idx="165">
                  <c:v>9.7051565619005835</c:v>
                </c:pt>
                <c:pt idx="166">
                  <c:v>10.518919118288782</c:v>
                </c:pt>
                <c:pt idx="167">
                  <c:v>11.341421798450414</c:v>
                </c:pt>
                <c:pt idx="168">
                  <c:v>12.171034274555895</c:v>
                </c:pt>
                <c:pt idx="169">
                  <c:v>13.00671442006926</c:v>
                </c:pt>
                <c:pt idx="170">
                  <c:v>13.566834717972784</c:v>
                </c:pt>
                <c:pt idx="171">
                  <c:v>13.643619233281694</c:v>
                </c:pt>
                <c:pt idx="172">
                  <c:v>13.155575382748365</c:v>
                </c:pt>
                <c:pt idx="173">
                  <c:v>12.423509606948373</c:v>
                </c:pt>
                <c:pt idx="174">
                  <c:v>11.691443831148382</c:v>
                </c:pt>
                <c:pt idx="175">
                  <c:v>10.95937805534839</c:v>
                </c:pt>
                <c:pt idx="176">
                  <c:v>10.227312279548395</c:v>
                </c:pt>
                <c:pt idx="177">
                  <c:v>9.4952465037484028</c:v>
                </c:pt>
                <c:pt idx="178">
                  <c:v>8.7631807279484093</c:v>
                </c:pt>
                <c:pt idx="179">
                  <c:v>2.3156399983636664</c:v>
                </c:pt>
                <c:pt idx="180">
                  <c:v>-4.1319007312210578</c:v>
                </c:pt>
                <c:pt idx="181">
                  <c:v>-10.579441460805782</c:v>
                </c:pt>
                <c:pt idx="182">
                  <c:v>-11.192277015300965</c:v>
                </c:pt>
                <c:pt idx="183">
                  <c:v>-11.805112569796147</c:v>
                </c:pt>
                <c:pt idx="184">
                  <c:v>-12.264739235667534</c:v>
                </c:pt>
                <c:pt idx="185">
                  <c:v>-12.724365901538921</c:v>
                </c:pt>
                <c:pt idx="186">
                  <c:v>-13.183992567410307</c:v>
                </c:pt>
                <c:pt idx="187">
                  <c:v>-13.429126789208379</c:v>
                </c:pt>
                <c:pt idx="188">
                  <c:v>-13.582335677832177</c:v>
                </c:pt>
                <c:pt idx="189">
                  <c:v>-13.643619233281694</c:v>
                </c:pt>
                <c:pt idx="190">
                  <c:v>-13.643619233281694</c:v>
                </c:pt>
                <c:pt idx="191">
                  <c:v>-13.455002964337698</c:v>
                </c:pt>
                <c:pt idx="192">
                  <c:v>-13.193936126601656</c:v>
                </c:pt>
                <c:pt idx="193">
                  <c:v>-12.846919622878932</c:v>
                </c:pt>
                <c:pt idx="194">
                  <c:v>-12.267406634456474</c:v>
                </c:pt>
                <c:pt idx="195">
                  <c:v>-11.730341625724874</c:v>
                </c:pt>
                <c:pt idx="196">
                  <c:v>-11.218661147123518</c:v>
                </c:pt>
                <c:pt idx="197">
                  <c:v>-10.565334073121786</c:v>
                </c:pt>
                <c:pt idx="198">
                  <c:v>-9.9395704998981955</c:v>
                </c:pt>
                <c:pt idx="199">
                  <c:v>-3.4920297703134713</c:v>
                </c:pt>
                <c:pt idx="200">
                  <c:v>2.955510959271253</c:v>
                </c:pt>
                <c:pt idx="201">
                  <c:v>9.4030516888559958</c:v>
                </c:pt>
                <c:pt idx="202">
                  <c:v>10.087310220443285</c:v>
                </c:pt>
                <c:pt idx="203">
                  <c:v>10.749467997196206</c:v>
                </c:pt>
                <c:pt idx="204">
                  <c:v>11.399836992407998</c:v>
                </c:pt>
                <c:pt idx="205">
                  <c:v>12.04146586384635</c:v>
                </c:pt>
                <c:pt idx="206">
                  <c:v>12.675984939340852</c:v>
                </c:pt>
                <c:pt idx="207">
                  <c:v>13.304436345427471</c:v>
                </c:pt>
                <c:pt idx="208">
                  <c:v>13.720403748590604</c:v>
                </c:pt>
                <c:pt idx="209">
                  <c:v>13.776614620867646</c:v>
                </c:pt>
                <c:pt idx="210">
                  <c:v>13.413411501766335</c:v>
                </c:pt>
                <c:pt idx="211">
                  <c:v>12.860812031172088</c:v>
                </c:pt>
                <c:pt idx="212">
                  <c:v>12.297702993103222</c:v>
                </c:pt>
                <c:pt idx="213">
                  <c:v>11.722279361871855</c:v>
                </c:pt>
                <c:pt idx="214">
                  <c:v>11.131717311857463</c:v>
                </c:pt>
                <c:pt idx="215">
                  <c:v>10.52073638488694</c:v>
                </c:pt>
                <c:pt idx="216">
                  <c:v>9.8714756244980038</c:v>
                </c:pt>
                <c:pt idx="217">
                  <c:v>3.4239348949132609</c:v>
                </c:pt>
                <c:pt idx="218">
                  <c:v>-3.0236058346714634</c:v>
                </c:pt>
                <c:pt idx="219">
                  <c:v>-9.4711465642561876</c:v>
                </c:pt>
                <c:pt idx="220">
                  <c:v>-10.106374222870095</c:v>
                </c:pt>
                <c:pt idx="221">
                  <c:v>-10.789343518641793</c:v>
                </c:pt>
                <c:pt idx="222">
                  <c:v>-11.339130511390252</c:v>
                </c:pt>
                <c:pt idx="223">
                  <c:v>-11.932885033396097</c:v>
                </c:pt>
                <c:pt idx="224">
                  <c:v>-12.600162003105293</c:v>
                </c:pt>
                <c:pt idx="225">
                  <c:v>-13.02176245013378</c:v>
                </c:pt>
                <c:pt idx="226">
                  <c:v>-13.361787778096931</c:v>
                </c:pt>
                <c:pt idx="227">
                  <c:v>-13.643619233281694</c:v>
                </c:pt>
              </c:numCache>
            </c:numRef>
          </c:xVal>
          <c:yVal>
            <c:numRef>
              <c:f>Plot_Data!$BH$5:$BH$232</c:f>
              <c:numCache>
                <c:formatCode>0.000</c:formatCode>
                <c:ptCount val="228"/>
                <c:pt idx="0">
                  <c:v>4.2969670068469323</c:v>
                </c:pt>
                <c:pt idx="1">
                  <c:v>4.5112194588751588</c:v>
                </c:pt>
                <c:pt idx="2">
                  <c:v>4.656781023533167</c:v>
                </c:pt>
                <c:pt idx="3">
                  <c:v>4.7586694755271761</c:v>
                </c:pt>
                <c:pt idx="4">
                  <c:v>4.8178616207715352</c:v>
                </c:pt>
                <c:pt idx="5">
                  <c:v>4.7983852463861822</c:v>
                </c:pt>
                <c:pt idx="6">
                  <c:v>4.7318639143518322</c:v>
                </c:pt>
                <c:pt idx="7">
                  <c:v>4.5895835153038069</c:v>
                </c:pt>
                <c:pt idx="8">
                  <c:v>4.3962198887895809</c:v>
                </c:pt>
                <c:pt idx="9">
                  <c:v>2.109800554648531</c:v>
                </c:pt>
                <c:pt idx="10">
                  <c:v>-0.17661877949251817</c:v>
                </c:pt>
                <c:pt idx="11">
                  <c:v>-2.4630381136335746</c:v>
                </c:pt>
                <c:pt idx="12">
                  <c:v>-2.6696895267579461</c:v>
                </c:pt>
                <c:pt idx="13">
                  <c:v>-2.8518614086529657</c:v>
                </c:pt>
                <c:pt idx="14">
                  <c:v>-3.0209756439628372</c:v>
                </c:pt>
                <c:pt idx="15">
                  <c:v>-3.1804090274437193</c:v>
                </c:pt>
                <c:pt idx="16">
                  <c:v>-3.3319673644320229</c:v>
                </c:pt>
                <c:pt idx="17">
                  <c:v>-3.4768049489449968</c:v>
                </c:pt>
                <c:pt idx="18">
                  <c:v>-3.5700402163086808</c:v>
                </c:pt>
                <c:pt idx="19">
                  <c:v>-3.4721388223208054</c:v>
                </c:pt>
                <c:pt idx="20">
                  <c:v>-3.2870050173047392</c:v>
                </c:pt>
                <c:pt idx="21">
                  <c:v>-3.0100575771613132</c:v>
                </c:pt>
                <c:pt idx="22">
                  <c:v>-2.7341257528832261</c:v>
                </c:pt>
                <c:pt idx="23">
                  <c:v>-2.4593839772176311</c:v>
                </c:pt>
                <c:pt idx="24">
                  <c:v>-2.1861051369515496</c:v>
                </c:pt>
                <c:pt idx="25">
                  <c:v>-1.9147995211249307</c:v>
                </c:pt>
                <c:pt idx="26">
                  <c:v>-1.6471931637346091</c:v>
                </c:pt>
                <c:pt idx="27">
                  <c:v>0.63922617040644703</c:v>
                </c:pt>
                <c:pt idx="28">
                  <c:v>2.9256455045474961</c:v>
                </c:pt>
                <c:pt idx="29">
                  <c:v>5.212064838688546</c:v>
                </c:pt>
                <c:pt idx="30">
                  <c:v>5.3889450498953968</c:v>
                </c:pt>
                <c:pt idx="31">
                  <c:v>5.4795981620037253</c:v>
                </c:pt>
                <c:pt idx="32">
                  <c:v>5.4797501120325265</c:v>
                </c:pt>
                <c:pt idx="33">
                  <c:v>5.4004914526206935</c:v>
                </c:pt>
                <c:pt idx="34">
                  <c:v>5.1884424709346266</c:v>
                </c:pt>
                <c:pt idx="35">
                  <c:v>4.9566526008882734</c:v>
                </c:pt>
                <c:pt idx="36">
                  <c:v>4.6735705540304293</c:v>
                </c:pt>
                <c:pt idx="37">
                  <c:v>4.2969670068469323</c:v>
                </c:pt>
                <c:pt idx="38">
                  <c:v>4.2969670068469323</c:v>
                </c:pt>
                <c:pt idx="39">
                  <c:v>4.7580522031905081</c:v>
                </c:pt>
                <c:pt idx="40">
                  <c:v>5.112694944593839</c:v>
                </c:pt>
                <c:pt idx="41">
                  <c:v>5.4120808232461046</c:v>
                </c:pt>
                <c:pt idx="42">
                  <c:v>5.7036709845936802</c:v>
                </c:pt>
                <c:pt idx="43">
                  <c:v>5.8343077913292811</c:v>
                </c:pt>
                <c:pt idx="44">
                  <c:v>5.8686920718088196</c:v>
                </c:pt>
                <c:pt idx="45">
                  <c:v>5.8049039361156787</c:v>
                </c:pt>
                <c:pt idx="46">
                  <c:v>5.6366010991952518</c:v>
                </c:pt>
                <c:pt idx="47">
                  <c:v>3.3501817650542027</c:v>
                </c:pt>
                <c:pt idx="48">
                  <c:v>1.0637624309131533</c:v>
                </c:pt>
                <c:pt idx="49">
                  <c:v>-1.2226569032279029</c:v>
                </c:pt>
                <c:pt idx="50">
                  <c:v>-1.5219820131842181</c:v>
                </c:pt>
                <c:pt idx="51">
                  <c:v>-1.8396696064846296</c:v>
                </c:pt>
                <c:pt idx="52">
                  <c:v>-2.1671519469019884</c:v>
                </c:pt>
                <c:pt idx="53">
                  <c:v>-2.5018960473098053</c:v>
                </c:pt>
                <c:pt idx="54">
                  <c:v>-2.8425473445793239</c:v>
                </c:pt>
                <c:pt idx="55">
                  <c:v>-3.1882399845212892</c:v>
                </c:pt>
                <c:pt idx="56">
                  <c:v>-3.4211944710599997</c:v>
                </c:pt>
                <c:pt idx="57">
                  <c:v>-3.4308594080120804</c:v>
                </c:pt>
                <c:pt idx="58">
                  <c:v>-3.2069772496213078</c:v>
                </c:pt>
                <c:pt idx="59">
                  <c:v>-2.8743266448680833</c:v>
                </c:pt>
                <c:pt idx="60">
                  <c:v>-2.5459536397065907</c:v>
                </c:pt>
                <c:pt idx="61">
                  <c:v>-2.2225929149088186</c:v>
                </c:pt>
                <c:pt idx="62">
                  <c:v>-1.9053938227531215</c:v>
                </c:pt>
                <c:pt idx="63">
                  <c:v>-1.596505613033081</c:v>
                </c:pt>
                <c:pt idx="64">
                  <c:v>-1.3031980444952349</c:v>
                </c:pt>
                <c:pt idx="65">
                  <c:v>0.98322128964582101</c:v>
                </c:pt>
                <c:pt idx="66">
                  <c:v>3.2696406237868705</c:v>
                </c:pt>
                <c:pt idx="67">
                  <c:v>5.5560599579279195</c:v>
                </c:pt>
                <c:pt idx="68">
                  <c:v>5.7259900563531252</c:v>
                </c:pt>
                <c:pt idx="69">
                  <c:v>5.7948748965256831</c:v>
                </c:pt>
                <c:pt idx="70">
                  <c:v>5.7670426769157945</c:v>
                </c:pt>
                <c:pt idx="71">
                  <c:v>5.6461531050022984</c:v>
                </c:pt>
                <c:pt idx="72">
                  <c:v>5.3696531443834941</c:v>
                </c:pt>
                <c:pt idx="73">
                  <c:v>5.0830912814507307</c:v>
                </c:pt>
                <c:pt idx="74">
                  <c:v>4.742024718444263</c:v>
                </c:pt>
                <c:pt idx="75">
                  <c:v>4.2969670068469323</c:v>
                </c:pt>
                <c:pt idx="76">
                  <c:v>4.2969670068469323</c:v>
                </c:pt>
                <c:pt idx="77">
                  <c:v>4.6297882210832553</c:v>
                </c:pt>
                <c:pt idx="78">
                  <c:v>4.875784176634042</c:v>
                </c:pt>
                <c:pt idx="79">
                  <c:v>5.0725426406400569</c:v>
                </c:pt>
                <c:pt idx="80">
                  <c:v>5.2433696712210693</c:v>
                </c:pt>
                <c:pt idx="81">
                  <c:v>5.2960017771185912</c:v>
                </c:pt>
                <c:pt idx="82">
                  <c:v>5.2779515408005224</c:v>
                </c:pt>
                <c:pt idx="83">
                  <c:v>5.1733757442545469</c:v>
                </c:pt>
                <c:pt idx="84">
                  <c:v>4.9920503374276493</c:v>
                </c:pt>
                <c:pt idx="85">
                  <c:v>2.7056310032865998</c:v>
                </c:pt>
                <c:pt idx="86">
                  <c:v>0.4192116691455503</c:v>
                </c:pt>
                <c:pt idx="87">
                  <c:v>-1.8672076649955058</c:v>
                </c:pt>
                <c:pt idx="88">
                  <c:v>-2.1183758846444349</c:v>
                </c:pt>
                <c:pt idx="89">
                  <c:v>-2.3656441953202272</c:v>
                </c:pt>
                <c:pt idx="90">
                  <c:v>-2.6108322523911482</c:v>
                </c:pt>
                <c:pt idx="91">
                  <c:v>-2.8544780233552887</c:v>
                </c:pt>
                <c:pt idx="92">
                  <c:v>-3.0968691965825492</c:v>
                </c:pt>
                <c:pt idx="93">
                  <c:v>-3.3381896661823904</c:v>
                </c:pt>
                <c:pt idx="94">
                  <c:v>-3.4985405624721126</c:v>
                </c:pt>
                <c:pt idx="95">
                  <c:v>-3.6061068934120684</c:v>
                </c:pt>
                <c:pt idx="96">
                  <c:v>-3.5467268629226676</c:v>
                </c:pt>
                <c:pt idx="97">
                  <c:v>-3.4505582841420175</c:v>
                </c:pt>
                <c:pt idx="98">
                  <c:v>-3.3448188903125682</c:v>
                </c:pt>
                <c:pt idx="99">
                  <c:v>-3.2278648871431841</c:v>
                </c:pt>
                <c:pt idx="100">
                  <c:v>-3.0971246832901347</c:v>
                </c:pt>
                <c:pt idx="101">
                  <c:v>-2.9477894901263126</c:v>
                </c:pt>
                <c:pt idx="102">
                  <c:v>-2.7635937561618031</c:v>
                </c:pt>
                <c:pt idx="103">
                  <c:v>-0.47717442202074711</c:v>
                </c:pt>
                <c:pt idx="104">
                  <c:v>1.8092449121203023</c:v>
                </c:pt>
                <c:pt idx="105">
                  <c:v>4.0956642462613519</c:v>
                </c:pt>
                <c:pt idx="106">
                  <c:v>4.2951003299004054</c:v>
                </c:pt>
                <c:pt idx="107">
                  <c:v>4.4564001178654928</c:v>
                </c:pt>
                <c:pt idx="108">
                  <c:v>4.5473717970587586</c:v>
                </c:pt>
                <c:pt idx="109">
                  <c:v>4.6032219597805284</c:v>
                </c:pt>
                <c:pt idx="110">
                  <c:v>4.6003419663699967</c:v>
                </c:pt>
                <c:pt idx="111">
                  <c:v>4.5463089361358255</c:v>
                </c:pt>
                <c:pt idx="112">
                  <c:v>4.4514096411817397</c:v>
                </c:pt>
                <c:pt idx="113">
                  <c:v>4.2969670068469323</c:v>
                </c:pt>
                <c:pt idx="114">
                  <c:v>4.2969670068469323</c:v>
                </c:pt>
                <c:pt idx="115">
                  <c:v>4.2546914946606513</c:v>
                </c:pt>
                <c:pt idx="116">
                  <c:v>4.1829594876135712</c:v>
                </c:pt>
                <c:pt idx="117">
                  <c:v>4.0795931103150833</c:v>
                </c:pt>
                <c:pt idx="118">
                  <c:v>3.8972589940263132</c:v>
                </c:pt>
                <c:pt idx="119">
                  <c:v>3.7217732179648011</c:v>
                </c:pt>
                <c:pt idx="120">
                  <c:v>3.5503828523352365</c:v>
                </c:pt>
                <c:pt idx="121">
                  <c:v>3.3265271315815461</c:v>
                </c:pt>
                <c:pt idx="122">
                  <c:v>3.1071183652543741</c:v>
                </c:pt>
                <c:pt idx="123">
                  <c:v>0.82069903111332509</c:v>
                </c:pt>
                <c:pt idx="124">
                  <c:v>-1.4657203030277242</c:v>
                </c:pt>
                <c:pt idx="125">
                  <c:v>-3.7521396371687801</c:v>
                </c:pt>
                <c:pt idx="126">
                  <c:v>-3.8624772696783789</c:v>
                </c:pt>
                <c:pt idx="127">
                  <c:v>-3.9038105863241603</c:v>
                </c:pt>
                <c:pt idx="128">
                  <c:v>-3.9083362549411556</c:v>
                </c:pt>
                <c:pt idx="129">
                  <c:v>-3.8855729795346878</c:v>
                </c:pt>
                <c:pt idx="130">
                  <c:v>-3.8406110684384709</c:v>
                </c:pt>
                <c:pt idx="131">
                  <c:v>-3.7767043122672002</c:v>
                </c:pt>
                <c:pt idx="132">
                  <c:v>-3.7247323991329058</c:v>
                </c:pt>
                <c:pt idx="133">
                  <c:v>-3.8226337931207812</c:v>
                </c:pt>
                <c:pt idx="134">
                  <c:v>-3.9665042439074587</c:v>
                </c:pt>
                <c:pt idx="135">
                  <c:v>-4.1625208557091806</c:v>
                </c:pt>
                <c:pt idx="136">
                  <c:v>-4.3318562540951815</c:v>
                </c:pt>
                <c:pt idx="137">
                  <c:v>-4.4699279216863612</c:v>
                </c:pt>
                <c:pt idx="138">
                  <c:v>-4.5695668580255759</c:v>
                </c:pt>
                <c:pt idx="139">
                  <c:v>-4.6173672753113939</c:v>
                </c:pt>
                <c:pt idx="140">
                  <c:v>-4.5679845870677456</c:v>
                </c:pt>
                <c:pt idx="141">
                  <c:v>-2.2815652529266894</c:v>
                </c:pt>
                <c:pt idx="142">
                  <c:v>4.8540812143600398E-3</c:v>
                </c:pt>
                <c:pt idx="143">
                  <c:v>2.2912734153554095</c:v>
                </c:pt>
                <c:pt idx="144">
                  <c:v>2.5271655969899571</c:v>
                </c:pt>
                <c:pt idx="145">
                  <c:v>2.8026486046833439</c:v>
                </c:pt>
                <c:pt idx="146">
                  <c:v>3.0404083523184555</c:v>
                </c:pt>
                <c:pt idx="147">
                  <c:v>3.3146291621771535</c:v>
                </c:pt>
                <c:pt idx="148">
                  <c:v>3.6498201149076337</c:v>
                </c:pt>
                <c:pt idx="149">
                  <c:v>3.8830879102584639</c:v>
                </c:pt>
                <c:pt idx="150">
                  <c:v>4.0923403995053818</c:v>
                </c:pt>
                <c:pt idx="151">
                  <c:v>4.2969670068469323</c:v>
                </c:pt>
                <c:pt idx="152">
                  <c:v>4.2969670068469323</c:v>
                </c:pt>
                <c:pt idx="153">
                  <c:v>4.0078587503453029</c:v>
                </c:pt>
                <c:pt idx="154">
                  <c:v>3.7270455665528988</c:v>
                </c:pt>
                <c:pt idx="155">
                  <c:v>3.4261817625961557</c:v>
                </c:pt>
                <c:pt idx="156">
                  <c:v>3.0114496302041678</c:v>
                </c:pt>
                <c:pt idx="157">
                  <c:v>2.6858506730217013</c:v>
                </c:pt>
                <c:pt idx="158">
                  <c:v>2.4135546948782496</c:v>
                </c:pt>
                <c:pt idx="159">
                  <c:v>2.1112067107696753</c:v>
                </c:pt>
                <c:pt idx="160">
                  <c:v>1.8667371548487033</c:v>
                </c:pt>
                <c:pt idx="161">
                  <c:v>-0.41968217929234641</c:v>
                </c:pt>
                <c:pt idx="162">
                  <c:v>-2.7061015134333957</c:v>
                </c:pt>
                <c:pt idx="163">
                  <c:v>-4.9925208475744522</c:v>
                </c:pt>
                <c:pt idx="164">
                  <c:v>-5.0101847832521065</c:v>
                </c:pt>
                <c:pt idx="165">
                  <c:v>-4.9160023884924957</c:v>
                </c:pt>
                <c:pt idx="166">
                  <c:v>-4.7621599520020048</c:v>
                </c:pt>
                <c:pt idx="167">
                  <c:v>-4.5640859596686019</c:v>
                </c:pt>
                <c:pt idx="168">
                  <c:v>-4.3300310882911699</c:v>
                </c:pt>
                <c:pt idx="169">
                  <c:v>-4.0652692766909082</c:v>
                </c:pt>
                <c:pt idx="170">
                  <c:v>-3.873578144381586</c:v>
                </c:pt>
                <c:pt idx="171">
                  <c:v>-3.8639132074295066</c:v>
                </c:pt>
                <c:pt idx="172">
                  <c:v>-4.04653201159089</c:v>
                </c:pt>
                <c:pt idx="173">
                  <c:v>-4.2982517880024096</c:v>
                </c:pt>
                <c:pt idx="174">
                  <c:v>-4.5200283672718164</c:v>
                </c:pt>
                <c:pt idx="175">
                  <c:v>-4.7067189839951737</c:v>
                </c:pt>
                <c:pt idx="176">
                  <c:v>-4.8502781722240043</c:v>
                </c:pt>
                <c:pt idx="177">
                  <c:v>-4.9356611834032442</c:v>
                </c:pt>
                <c:pt idx="178">
                  <c:v>-4.9119797063071191</c:v>
                </c:pt>
                <c:pt idx="179">
                  <c:v>-2.6255603721660634</c:v>
                </c:pt>
                <c:pt idx="180">
                  <c:v>-0.33914103802501394</c:v>
                </c:pt>
                <c:pt idx="181">
                  <c:v>1.9472782961160353</c:v>
                </c:pt>
                <c:pt idx="182">
                  <c:v>2.1901205905322287</c:v>
                </c:pt>
                <c:pt idx="183">
                  <c:v>2.4873718701613861</c:v>
                </c:pt>
                <c:pt idx="184">
                  <c:v>2.7531157874351875</c:v>
                </c:pt>
                <c:pt idx="185">
                  <c:v>3.0689675097955487</c:v>
                </c:pt>
                <c:pt idx="186">
                  <c:v>3.4686094414587672</c:v>
                </c:pt>
                <c:pt idx="187">
                  <c:v>3.7566492296960075</c:v>
                </c:pt>
                <c:pt idx="188">
                  <c:v>4.0238862350915472</c:v>
                </c:pt>
                <c:pt idx="189">
                  <c:v>4.2969670068469323</c:v>
                </c:pt>
                <c:pt idx="190">
                  <c:v>4.2969670068469323</c:v>
                </c:pt>
                <c:pt idx="191">
                  <c:v>4.1361227324525558</c:v>
                </c:pt>
                <c:pt idx="192">
                  <c:v>3.9639563345126958</c:v>
                </c:pt>
                <c:pt idx="193">
                  <c:v>3.7657199452022034</c:v>
                </c:pt>
                <c:pt idx="194">
                  <c:v>3.4717509435767786</c:v>
                </c:pt>
                <c:pt idx="195">
                  <c:v>3.2241566872323912</c:v>
                </c:pt>
                <c:pt idx="196">
                  <c:v>3.0042952258865467</c:v>
                </c:pt>
                <c:pt idx="197">
                  <c:v>2.742734902630807</c:v>
                </c:pt>
                <c:pt idx="198">
                  <c:v>2.5112879166163058</c:v>
                </c:pt>
                <c:pt idx="199">
                  <c:v>0.22486858247525676</c:v>
                </c:pt>
                <c:pt idx="200">
                  <c:v>-2.0615507516657927</c:v>
                </c:pt>
                <c:pt idx="201">
                  <c:v>-4.3479700858068489</c:v>
                </c:pt>
                <c:pt idx="202">
                  <c:v>-4.4137909117918896</c:v>
                </c:pt>
                <c:pt idx="203">
                  <c:v>-4.3900277996568988</c:v>
                </c:pt>
                <c:pt idx="204">
                  <c:v>-4.318479646512845</c:v>
                </c:pt>
                <c:pt idx="205">
                  <c:v>-4.2115039836231185</c:v>
                </c:pt>
                <c:pt idx="206">
                  <c:v>-4.0757092362879437</c:v>
                </c:pt>
                <c:pt idx="207">
                  <c:v>-3.9153195950298065</c:v>
                </c:pt>
                <c:pt idx="208">
                  <c:v>-3.7962320529694731</c:v>
                </c:pt>
                <c:pt idx="209">
                  <c:v>-3.6886657220295183</c:v>
                </c:pt>
                <c:pt idx="210">
                  <c:v>-3.7067823982895303</c:v>
                </c:pt>
                <c:pt idx="211">
                  <c:v>-3.7220201487284763</c:v>
                </c:pt>
                <c:pt idx="212">
                  <c:v>-3.7211631166658394</c:v>
                </c:pt>
                <c:pt idx="213">
                  <c:v>-3.7014470117608087</c:v>
                </c:pt>
                <c:pt idx="214">
                  <c:v>-3.6585473116869913</c:v>
                </c:pt>
                <c:pt idx="215">
                  <c:v>-3.5843773063100119</c:v>
                </c:pt>
                <c:pt idx="216">
                  <c:v>-3.4515839946405511</c:v>
                </c:pt>
                <c:pt idx="217">
                  <c:v>-1.1651646604994952</c:v>
                </c:pt>
                <c:pt idx="218">
                  <c:v>1.1212546736415541</c:v>
                </c:pt>
                <c:pt idx="219">
                  <c:v>3.4076740077826035</c:v>
                </c:pt>
                <c:pt idx="220">
                  <c:v>3.6210103169849486</c:v>
                </c:pt>
                <c:pt idx="221">
                  <c:v>3.8258466488215768</c:v>
                </c:pt>
                <c:pt idx="222">
                  <c:v>3.9727866672922234</c:v>
                </c:pt>
                <c:pt idx="223">
                  <c:v>4.1118986550173187</c:v>
                </c:pt>
                <c:pt idx="224">
                  <c:v>4.2379206194722636</c:v>
                </c:pt>
                <c:pt idx="225">
                  <c:v>4.2934315750109118</c:v>
                </c:pt>
                <c:pt idx="226">
                  <c:v>4.3145013123540714</c:v>
                </c:pt>
                <c:pt idx="227">
                  <c:v>4.2969670068469323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BD-41E4-A9D8-98901D700C0E}"/>
            </c:ext>
          </c:extLst>
        </c:ser>
        <c:ser>
          <c:idx val="2"/>
          <c:order val="2"/>
          <c:spPr>
            <a:ln w="9000">
              <a:solidFill>
                <a:srgbClr val="1F3864"/>
              </a:solidFill>
              <a:prstDash val="solid"/>
            </a:ln>
          </c:spPr>
          <c:marker>
            <c:symbol val="none"/>
          </c:marker>
          <c:xVal>
            <c:numRef>
              <c:f>Plot_Data!$BG$233:$BG$245</c:f>
              <c:numCache>
                <c:formatCode>0.000</c:formatCode>
                <c:ptCount val="13"/>
                <c:pt idx="0">
                  <c:v>-12.509846678347557</c:v>
                </c:pt>
                <c:pt idx="1">
                  <c:v>-12.600162003105293</c:v>
                </c:pt>
                <c:pt idx="2">
                  <c:v>-12.846919622878932</c:v>
                </c:pt>
                <c:pt idx="3">
                  <c:v>-13.183992567410307</c:v>
                </c:pt>
                <c:pt idx="4">
                  <c:v>-13.521065511941682</c:v>
                </c:pt>
                <c:pt idx="5">
                  <c:v>-13.767823131715321</c:v>
                </c:pt>
                <c:pt idx="6">
                  <c:v>-13.858138456473057</c:v>
                </c:pt>
                <c:pt idx="7">
                  <c:v>-13.767823131715321</c:v>
                </c:pt>
                <c:pt idx="8">
                  <c:v>-13.521065511941682</c:v>
                </c:pt>
                <c:pt idx="9">
                  <c:v>-13.183992567410307</c:v>
                </c:pt>
                <c:pt idx="10">
                  <c:v>-12.846919622878932</c:v>
                </c:pt>
                <c:pt idx="11">
                  <c:v>-12.600162003105293</c:v>
                </c:pt>
                <c:pt idx="12">
                  <c:v>-12.509846678347557</c:v>
                </c:pt>
              </c:numCache>
            </c:numRef>
          </c:xVal>
          <c:yVal>
            <c:numRef>
              <c:f>Plot_Data!$BH$233:$BH$245</c:f>
              <c:numCache>
                <c:formatCode>0.000</c:formatCode>
                <c:ptCount val="13"/>
                <c:pt idx="0">
                  <c:v>4.7586694755271761</c:v>
                </c:pt>
                <c:pt idx="1">
                  <c:v>5.1884424709346266</c:v>
                </c:pt>
                <c:pt idx="2">
                  <c:v>5.4120808232461046</c:v>
                </c:pt>
                <c:pt idx="3">
                  <c:v>5.3696531443834941</c:v>
                </c:pt>
                <c:pt idx="4">
                  <c:v>5.0725426406400569</c:v>
                </c:pt>
                <c:pt idx="5">
                  <c:v>4.6003419663699967</c:v>
                </c:pt>
                <c:pt idx="6">
                  <c:v>4.0795931103150833</c:v>
                </c:pt>
                <c:pt idx="7">
                  <c:v>3.6498201149076337</c:v>
                </c:pt>
                <c:pt idx="8">
                  <c:v>3.4261817625961557</c:v>
                </c:pt>
                <c:pt idx="9">
                  <c:v>3.4686094414587672</c:v>
                </c:pt>
                <c:pt idx="10">
                  <c:v>3.7657199452022034</c:v>
                </c:pt>
                <c:pt idx="11">
                  <c:v>4.2379206194722636</c:v>
                </c:pt>
                <c:pt idx="12">
                  <c:v>4.7586694755271761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BD-41E4-A9D8-98901D700C0E}"/>
            </c:ext>
          </c:extLst>
        </c:ser>
        <c:ser>
          <c:idx val="3"/>
          <c:order val="3"/>
          <c:spPr>
            <a:ln w="9000">
              <a:solidFill>
                <a:srgbClr val="1F3864"/>
              </a:solidFill>
              <a:prstDash val="solid"/>
            </a:ln>
          </c:spPr>
          <c:marker>
            <c:symbol val="none"/>
          </c:marker>
          <c:xVal>
            <c:numRef>
              <c:f>Plot_Data!$BG$246:$BG$258</c:f>
              <c:numCache>
                <c:formatCode>0.000</c:formatCode>
                <c:ptCount val="13"/>
                <c:pt idx="0">
                  <c:v>-11.195944015782215</c:v>
                </c:pt>
                <c:pt idx="1">
                  <c:v>-11.339130511390252</c:v>
                </c:pt>
                <c:pt idx="2">
                  <c:v>-11.730341625724874</c:v>
                </c:pt>
                <c:pt idx="3">
                  <c:v>-12.264739235667534</c:v>
                </c:pt>
                <c:pt idx="4">
                  <c:v>-12.799136845610194</c:v>
                </c:pt>
                <c:pt idx="5">
                  <c:v>-13.190347959944816</c:v>
                </c:pt>
                <c:pt idx="6">
                  <c:v>-13.333534455552853</c:v>
                </c:pt>
                <c:pt idx="7">
                  <c:v>-13.190347959944816</c:v>
                </c:pt>
                <c:pt idx="8">
                  <c:v>-12.799136845610194</c:v>
                </c:pt>
                <c:pt idx="9">
                  <c:v>-12.264739235667534</c:v>
                </c:pt>
                <c:pt idx="10">
                  <c:v>-11.730341625724874</c:v>
                </c:pt>
                <c:pt idx="11">
                  <c:v>-11.339130511390252</c:v>
                </c:pt>
                <c:pt idx="12">
                  <c:v>-11.195944015782215</c:v>
                </c:pt>
              </c:numCache>
            </c:numRef>
          </c:xVal>
          <c:yVal>
            <c:numRef>
              <c:f>Plot_Data!$BH$246:$BH$258</c:f>
              <c:numCache>
                <c:formatCode>0.000</c:formatCode>
                <c:ptCount val="13"/>
                <c:pt idx="0">
                  <c:v>4.7983852463861822</c:v>
                </c:pt>
                <c:pt idx="1">
                  <c:v>5.4797501120325265</c:v>
                </c:pt>
                <c:pt idx="2">
                  <c:v>5.8343077913292811</c:v>
                </c:pt>
                <c:pt idx="3">
                  <c:v>5.7670426769157945</c:v>
                </c:pt>
                <c:pt idx="4">
                  <c:v>5.2960017771185912</c:v>
                </c:pt>
                <c:pt idx="5">
                  <c:v>4.5473717970587586</c:v>
                </c:pt>
                <c:pt idx="6">
                  <c:v>3.7217732179648011</c:v>
                </c:pt>
                <c:pt idx="7">
                  <c:v>3.0404083523184555</c:v>
                </c:pt>
                <c:pt idx="8">
                  <c:v>2.6858506730217013</c:v>
                </c:pt>
                <c:pt idx="9">
                  <c:v>2.7531157874351875</c:v>
                </c:pt>
                <c:pt idx="10">
                  <c:v>3.2241566872323912</c:v>
                </c:pt>
                <c:pt idx="11">
                  <c:v>3.9727866672922234</c:v>
                </c:pt>
                <c:pt idx="12">
                  <c:v>4.7983852463861822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BD-41E4-A9D8-98901D700C0E}"/>
            </c:ext>
          </c:extLst>
        </c:ser>
        <c:ser>
          <c:idx val="4"/>
          <c:order val="4"/>
          <c:spPr>
            <a:ln w="9000">
              <a:solidFill>
                <a:srgbClr val="1F3864"/>
              </a:solidFill>
              <a:prstDash val="solid"/>
            </a:ln>
          </c:spPr>
          <c:marker>
            <c:symbol val="none"/>
          </c:marker>
          <c:xVal>
            <c:numRef>
              <c:f>Plot_Data!$BG$259:$BG$271</c:f>
              <c:numCache>
                <c:formatCode>0.000</c:formatCode>
                <c:ptCount val="13"/>
                <c:pt idx="0">
                  <c:v>-9.299699538990609</c:v>
                </c:pt>
                <c:pt idx="1">
                  <c:v>-9.4711465642561876</c:v>
                </c:pt>
                <c:pt idx="2">
                  <c:v>-9.9395704998981955</c:v>
                </c:pt>
                <c:pt idx="3">
                  <c:v>-10.579441460805782</c:v>
                </c:pt>
                <c:pt idx="4">
                  <c:v>-11.219312421713369</c:v>
                </c:pt>
                <c:pt idx="5">
                  <c:v>-11.687736357355377</c:v>
                </c:pt>
                <c:pt idx="6">
                  <c:v>-11.859183382620955</c:v>
                </c:pt>
                <c:pt idx="7">
                  <c:v>-11.687736357355377</c:v>
                </c:pt>
                <c:pt idx="8">
                  <c:v>-11.219312421713369</c:v>
                </c:pt>
                <c:pt idx="9">
                  <c:v>-10.579441460805782</c:v>
                </c:pt>
                <c:pt idx="10">
                  <c:v>-9.9395704998981955</c:v>
                </c:pt>
                <c:pt idx="11">
                  <c:v>-9.4711465642561876</c:v>
                </c:pt>
                <c:pt idx="12">
                  <c:v>-9.299699538990609</c:v>
                </c:pt>
              </c:numCache>
            </c:numRef>
          </c:xVal>
          <c:yVal>
            <c:numRef>
              <c:f>Plot_Data!$BH$259:$BH$271</c:f>
              <c:numCache>
                <c:formatCode>0.000</c:formatCode>
                <c:ptCount val="13"/>
                <c:pt idx="0">
                  <c:v>4.3962198887895809</c:v>
                </c:pt>
                <c:pt idx="1">
                  <c:v>5.212064838688546</c:v>
                </c:pt>
                <c:pt idx="2">
                  <c:v>5.6366010991952518</c:v>
                </c:pt>
                <c:pt idx="3">
                  <c:v>5.5560599579279195</c:v>
                </c:pt>
                <c:pt idx="4">
                  <c:v>4.9920503374276493</c:v>
                </c:pt>
                <c:pt idx="5">
                  <c:v>4.0956642462613519</c:v>
                </c:pt>
                <c:pt idx="6">
                  <c:v>3.1071183652543741</c:v>
                </c:pt>
                <c:pt idx="7">
                  <c:v>2.2912734153554095</c:v>
                </c:pt>
                <c:pt idx="8">
                  <c:v>1.8667371548487033</c:v>
                </c:pt>
                <c:pt idx="9">
                  <c:v>1.9472782961160353</c:v>
                </c:pt>
                <c:pt idx="10">
                  <c:v>2.5112879166163058</c:v>
                </c:pt>
                <c:pt idx="11">
                  <c:v>3.4076740077826035</c:v>
                </c:pt>
                <c:pt idx="12">
                  <c:v>4.3962198887895809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BD-41E4-A9D8-98901D700C0E}"/>
            </c:ext>
          </c:extLst>
        </c:ser>
        <c:ser>
          <c:idx val="5"/>
          <c:order val="5"/>
          <c:spPr>
            <a:ln w="9000">
              <a:solidFill>
                <a:srgbClr val="1F3864"/>
              </a:solidFill>
              <a:prstDash val="solid"/>
            </a:ln>
          </c:spPr>
          <c:marker>
            <c:symbol val="none"/>
          </c:marker>
          <c:xVal>
            <c:numRef>
              <c:f>Plot_Data!$BG$272:$BG$284</c:f>
              <c:numCache>
                <c:formatCode>0.000</c:formatCode>
                <c:ptCount val="13"/>
                <c:pt idx="0">
                  <c:v>-2.8521588094058847</c:v>
                </c:pt>
                <c:pt idx="1">
                  <c:v>-3.0236058346714634</c:v>
                </c:pt>
                <c:pt idx="2">
                  <c:v>-3.4920297703134713</c:v>
                </c:pt>
                <c:pt idx="3">
                  <c:v>-4.1319007312210578</c:v>
                </c:pt>
                <c:pt idx="4">
                  <c:v>-4.7717716921286444</c:v>
                </c:pt>
                <c:pt idx="5">
                  <c:v>-5.2401956277706523</c:v>
                </c:pt>
                <c:pt idx="6">
                  <c:v>-5.4116426530362309</c:v>
                </c:pt>
                <c:pt idx="7">
                  <c:v>-5.2401956277706523</c:v>
                </c:pt>
                <c:pt idx="8">
                  <c:v>-4.7717716921286444</c:v>
                </c:pt>
                <c:pt idx="9">
                  <c:v>-4.1319007312210578</c:v>
                </c:pt>
                <c:pt idx="10">
                  <c:v>-3.4920297703134713</c:v>
                </c:pt>
                <c:pt idx="11">
                  <c:v>-3.0236058346714634</c:v>
                </c:pt>
                <c:pt idx="12">
                  <c:v>-2.8521588094058847</c:v>
                </c:pt>
              </c:numCache>
            </c:numRef>
          </c:xVal>
          <c:yVal>
            <c:numRef>
              <c:f>Plot_Data!$BH$272:$BH$284</c:f>
              <c:numCache>
                <c:formatCode>0.000</c:formatCode>
                <c:ptCount val="13"/>
                <c:pt idx="0">
                  <c:v>2.109800554648531</c:v>
                </c:pt>
                <c:pt idx="1">
                  <c:v>2.9256455045474961</c:v>
                </c:pt>
                <c:pt idx="2">
                  <c:v>3.3501817650542027</c:v>
                </c:pt>
                <c:pt idx="3">
                  <c:v>3.2696406237868705</c:v>
                </c:pt>
                <c:pt idx="4">
                  <c:v>2.7056310032865998</c:v>
                </c:pt>
                <c:pt idx="5">
                  <c:v>1.8092449121203023</c:v>
                </c:pt>
                <c:pt idx="6">
                  <c:v>0.82069903111332509</c:v>
                </c:pt>
                <c:pt idx="7">
                  <c:v>4.8540812143600398E-3</c:v>
                </c:pt>
                <c:pt idx="8">
                  <c:v>-0.41968217929234641</c:v>
                </c:pt>
                <c:pt idx="9">
                  <c:v>-0.33914103802501394</c:v>
                </c:pt>
                <c:pt idx="10">
                  <c:v>0.22486858247525676</c:v>
                </c:pt>
                <c:pt idx="11">
                  <c:v>1.1212546736415541</c:v>
                </c:pt>
                <c:pt idx="12">
                  <c:v>2.109800554648531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7BD-41E4-A9D8-98901D700C0E}"/>
            </c:ext>
          </c:extLst>
        </c:ser>
        <c:ser>
          <c:idx val="6"/>
          <c:order val="6"/>
          <c:spPr>
            <a:ln w="9000">
              <a:solidFill>
                <a:srgbClr val="1F3864"/>
              </a:solidFill>
              <a:prstDash val="solid"/>
            </a:ln>
          </c:spPr>
          <c:marker>
            <c:symbol val="none"/>
          </c:marker>
          <c:xVal>
            <c:numRef>
              <c:f>Plot_Data!$BG$285:$BG$297</c:f>
              <c:numCache>
                <c:formatCode>0.000</c:formatCode>
                <c:ptCount val="13"/>
                <c:pt idx="0">
                  <c:v>3.5953819201788395</c:v>
                </c:pt>
                <c:pt idx="1">
                  <c:v>3.4239348949132609</c:v>
                </c:pt>
                <c:pt idx="2">
                  <c:v>2.955510959271253</c:v>
                </c:pt>
                <c:pt idx="3">
                  <c:v>2.3156399983636664</c:v>
                </c:pt>
                <c:pt idx="4">
                  <c:v>1.6757690374560799</c:v>
                </c:pt>
                <c:pt idx="5">
                  <c:v>1.2073451018140722</c:v>
                </c:pt>
                <c:pt idx="6">
                  <c:v>1.0358980765484933</c:v>
                </c:pt>
                <c:pt idx="7">
                  <c:v>1.2073451018140722</c:v>
                </c:pt>
                <c:pt idx="8">
                  <c:v>1.6757690374560799</c:v>
                </c:pt>
                <c:pt idx="9">
                  <c:v>2.3156399983636664</c:v>
                </c:pt>
                <c:pt idx="10">
                  <c:v>2.955510959271253</c:v>
                </c:pt>
                <c:pt idx="11">
                  <c:v>3.4239348949132609</c:v>
                </c:pt>
                <c:pt idx="12">
                  <c:v>3.5953819201788395</c:v>
                </c:pt>
              </c:numCache>
            </c:numRef>
          </c:xVal>
          <c:yVal>
            <c:numRef>
              <c:f>Plot_Data!$BH$285:$BH$297</c:f>
              <c:numCache>
                <c:formatCode>0.000</c:formatCode>
                <c:ptCount val="13"/>
                <c:pt idx="0">
                  <c:v>-0.17661877949251817</c:v>
                </c:pt>
                <c:pt idx="1">
                  <c:v>0.63922617040644703</c:v>
                </c:pt>
                <c:pt idx="2">
                  <c:v>1.0637624309131533</c:v>
                </c:pt>
                <c:pt idx="3">
                  <c:v>0.98322128964582101</c:v>
                </c:pt>
                <c:pt idx="4">
                  <c:v>0.4192116691455503</c:v>
                </c:pt>
                <c:pt idx="5">
                  <c:v>-0.47717442202074711</c:v>
                </c:pt>
                <c:pt idx="6">
                  <c:v>-1.4657203030277242</c:v>
                </c:pt>
                <c:pt idx="7">
                  <c:v>-2.2815652529266894</c:v>
                </c:pt>
                <c:pt idx="8">
                  <c:v>-2.7061015134333957</c:v>
                </c:pt>
                <c:pt idx="9">
                  <c:v>-2.6255603721660634</c:v>
                </c:pt>
                <c:pt idx="10">
                  <c:v>-2.0615507516657927</c:v>
                </c:pt>
                <c:pt idx="11">
                  <c:v>-1.1651646604994952</c:v>
                </c:pt>
                <c:pt idx="12">
                  <c:v>-0.17661877949251817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7BD-41E4-A9D8-98901D700C0E}"/>
            </c:ext>
          </c:extLst>
        </c:ser>
        <c:ser>
          <c:idx val="7"/>
          <c:order val="7"/>
          <c:spPr>
            <a:ln w="9000">
              <a:solidFill>
                <a:srgbClr val="1F3864"/>
              </a:solidFill>
              <a:prstDash val="solid"/>
            </a:ln>
          </c:spPr>
          <c:marker>
            <c:symbol val="none"/>
          </c:marker>
          <c:xVal>
            <c:numRef>
              <c:f>Plot_Data!$BG$298:$BG$310</c:f>
              <c:numCache>
                <c:formatCode>0.000</c:formatCode>
                <c:ptCount val="13"/>
                <c:pt idx="0">
                  <c:v>10.042922649763582</c:v>
                </c:pt>
                <c:pt idx="1">
                  <c:v>9.8714756244980038</c:v>
                </c:pt>
                <c:pt idx="2">
                  <c:v>9.4030516888559958</c:v>
                </c:pt>
                <c:pt idx="3">
                  <c:v>8.7631807279484093</c:v>
                </c:pt>
                <c:pt idx="4">
                  <c:v>8.1233097670408227</c:v>
                </c:pt>
                <c:pt idx="5">
                  <c:v>7.6548858313988148</c:v>
                </c:pt>
                <c:pt idx="6">
                  <c:v>7.4834388061332362</c:v>
                </c:pt>
                <c:pt idx="7">
                  <c:v>7.6548858313988148</c:v>
                </c:pt>
                <c:pt idx="8">
                  <c:v>8.1233097670408227</c:v>
                </c:pt>
                <c:pt idx="9">
                  <c:v>8.7631807279484093</c:v>
                </c:pt>
                <c:pt idx="10">
                  <c:v>9.4030516888559958</c:v>
                </c:pt>
                <c:pt idx="11">
                  <c:v>9.8714756244980038</c:v>
                </c:pt>
                <c:pt idx="12">
                  <c:v>10.042922649763582</c:v>
                </c:pt>
              </c:numCache>
            </c:numRef>
          </c:xVal>
          <c:yVal>
            <c:numRef>
              <c:f>Plot_Data!$BH$298:$BH$310</c:f>
              <c:numCache>
                <c:formatCode>0.000</c:formatCode>
                <c:ptCount val="13"/>
                <c:pt idx="0">
                  <c:v>-2.4630381136335746</c:v>
                </c:pt>
                <c:pt idx="1">
                  <c:v>-1.6471931637346091</c:v>
                </c:pt>
                <c:pt idx="2">
                  <c:v>-1.2226569032279029</c:v>
                </c:pt>
                <c:pt idx="3">
                  <c:v>-1.3031980444952349</c:v>
                </c:pt>
                <c:pt idx="4">
                  <c:v>-1.8672076649955058</c:v>
                </c:pt>
                <c:pt idx="5">
                  <c:v>-2.7635937561618031</c:v>
                </c:pt>
                <c:pt idx="6">
                  <c:v>-3.7521396371687801</c:v>
                </c:pt>
                <c:pt idx="7">
                  <c:v>-4.5679845870677456</c:v>
                </c:pt>
                <c:pt idx="8">
                  <c:v>-4.9925208475744522</c:v>
                </c:pt>
                <c:pt idx="9">
                  <c:v>-4.9119797063071191</c:v>
                </c:pt>
                <c:pt idx="10">
                  <c:v>-4.3479700858068489</c:v>
                </c:pt>
                <c:pt idx="11">
                  <c:v>-3.4515839946405511</c:v>
                </c:pt>
                <c:pt idx="12">
                  <c:v>-2.4630381136335746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7BD-41E4-A9D8-98901D700C0E}"/>
            </c:ext>
          </c:extLst>
        </c:ser>
        <c:ser>
          <c:idx val="8"/>
          <c:order val="8"/>
          <c:spPr>
            <a:ln w="9000">
              <a:solidFill>
                <a:srgbClr val="1F3864"/>
              </a:solidFill>
              <a:prstDash val="solid"/>
            </a:ln>
          </c:spPr>
          <c:marker>
            <c:symbol val="none"/>
          </c:marker>
          <c:xVal>
            <c:numRef>
              <c:f>Plot_Data!$BG$311:$BG$323</c:f>
              <c:numCache>
                <c:formatCode>0.000</c:formatCode>
                <c:ptCount val="13"/>
                <c:pt idx="0">
                  <c:v>11.271623714844019</c:v>
                </c:pt>
                <c:pt idx="1">
                  <c:v>11.131717311857463</c:v>
                </c:pt>
                <c:pt idx="2">
                  <c:v>10.749467997196206</c:v>
                </c:pt>
                <c:pt idx="3">
                  <c:v>10.227312279548395</c:v>
                </c:pt>
                <c:pt idx="4">
                  <c:v>9.7051565619005835</c:v>
                </c:pt>
                <c:pt idx="5">
                  <c:v>9.3229072472393266</c:v>
                </c:pt>
                <c:pt idx="6">
                  <c:v>9.1830008442527706</c:v>
                </c:pt>
                <c:pt idx="7">
                  <c:v>9.3229072472393266</c:v>
                </c:pt>
                <c:pt idx="8">
                  <c:v>9.7051565619005835</c:v>
                </c:pt>
                <c:pt idx="9">
                  <c:v>10.227312279548395</c:v>
                </c:pt>
                <c:pt idx="10">
                  <c:v>10.749467997196206</c:v>
                </c:pt>
                <c:pt idx="11">
                  <c:v>11.131717311857463</c:v>
                </c:pt>
                <c:pt idx="12">
                  <c:v>11.271623714844019</c:v>
                </c:pt>
              </c:numCache>
            </c:numRef>
          </c:xVal>
          <c:yVal>
            <c:numRef>
              <c:f>Plot_Data!$BH$311:$BH$323</c:f>
              <c:numCache>
                <c:formatCode>0.000</c:formatCode>
                <c:ptCount val="13"/>
                <c:pt idx="0">
                  <c:v>-2.8518614086529657</c:v>
                </c:pt>
                <c:pt idx="1">
                  <c:v>-2.1861051369515496</c:v>
                </c:pt>
                <c:pt idx="2">
                  <c:v>-1.8396696064846296</c:v>
                </c:pt>
                <c:pt idx="3">
                  <c:v>-1.9053938227531215</c:v>
                </c:pt>
                <c:pt idx="4">
                  <c:v>-2.3656441953202272</c:v>
                </c:pt>
                <c:pt idx="5">
                  <c:v>-3.0971246832901347</c:v>
                </c:pt>
                <c:pt idx="6">
                  <c:v>-3.9038105863241603</c:v>
                </c:pt>
                <c:pt idx="7">
                  <c:v>-4.5695668580255759</c:v>
                </c:pt>
                <c:pt idx="8">
                  <c:v>-4.9160023884924957</c:v>
                </c:pt>
                <c:pt idx="9">
                  <c:v>-4.8502781722240043</c:v>
                </c:pt>
                <c:pt idx="10">
                  <c:v>-4.3900277996568988</c:v>
                </c:pt>
                <c:pt idx="11">
                  <c:v>-3.6585473116869913</c:v>
                </c:pt>
                <c:pt idx="12">
                  <c:v>-2.8518614086529657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7BD-41E4-A9D8-98901D700C0E}"/>
            </c:ext>
          </c:extLst>
        </c:ser>
        <c:ser>
          <c:idx val="9"/>
          <c:order val="9"/>
          <c:spPr>
            <a:ln w="9000">
              <a:solidFill>
                <a:srgbClr val="1F3864"/>
              </a:solidFill>
              <a:prstDash val="solid"/>
            </a:ln>
          </c:spPr>
          <c:marker>
            <c:symbol val="none"/>
          </c:marker>
          <c:xVal>
            <c:numRef>
              <c:f>Plot_Data!$BG$324:$BG$336</c:f>
              <c:numCache>
                <c:formatCode>0.000</c:formatCode>
                <c:ptCount val="13"/>
                <c:pt idx="0">
                  <c:v>12.391487896544316</c:v>
                </c:pt>
                <c:pt idx="1">
                  <c:v>12.297702993103222</c:v>
                </c:pt>
                <c:pt idx="2">
                  <c:v>12.04146586384635</c:v>
                </c:pt>
                <c:pt idx="3">
                  <c:v>11.691443831148382</c:v>
                </c:pt>
                <c:pt idx="4">
                  <c:v>11.341421798450414</c:v>
                </c:pt>
                <c:pt idx="5">
                  <c:v>11.085184669193541</c:v>
                </c:pt>
                <c:pt idx="6">
                  <c:v>10.991399765752448</c:v>
                </c:pt>
                <c:pt idx="7">
                  <c:v>11.085184669193541</c:v>
                </c:pt>
                <c:pt idx="8">
                  <c:v>11.341421798450414</c:v>
                </c:pt>
                <c:pt idx="9">
                  <c:v>11.691443831148382</c:v>
                </c:pt>
                <c:pt idx="10">
                  <c:v>12.04146586384635</c:v>
                </c:pt>
                <c:pt idx="11">
                  <c:v>12.297702993103222</c:v>
                </c:pt>
                <c:pt idx="12">
                  <c:v>12.391487896544316</c:v>
                </c:pt>
              </c:numCache>
            </c:numRef>
          </c:xVal>
          <c:yVal>
            <c:numRef>
              <c:f>Plot_Data!$BH$324:$BH$336</c:f>
              <c:numCache>
                <c:formatCode>0.000</c:formatCode>
                <c:ptCount val="13"/>
                <c:pt idx="0">
                  <c:v>-3.1804090274437193</c:v>
                </c:pt>
                <c:pt idx="1">
                  <c:v>-2.7341257528832261</c:v>
                </c:pt>
                <c:pt idx="2">
                  <c:v>-2.5018960473098053</c:v>
                </c:pt>
                <c:pt idx="3">
                  <c:v>-2.5459536397065907</c:v>
                </c:pt>
                <c:pt idx="4">
                  <c:v>-2.8544780233552887</c:v>
                </c:pt>
                <c:pt idx="5">
                  <c:v>-3.3448188903125682</c:v>
                </c:pt>
                <c:pt idx="6">
                  <c:v>-3.8855729795346878</c:v>
                </c:pt>
                <c:pt idx="7">
                  <c:v>-4.3318562540951815</c:v>
                </c:pt>
                <c:pt idx="8">
                  <c:v>-4.5640859596686019</c:v>
                </c:pt>
                <c:pt idx="9">
                  <c:v>-4.5200283672718164</c:v>
                </c:pt>
                <c:pt idx="10">
                  <c:v>-4.2115039836231185</c:v>
                </c:pt>
                <c:pt idx="11">
                  <c:v>-3.7211631166658394</c:v>
                </c:pt>
                <c:pt idx="12">
                  <c:v>-3.1804090274437193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7BD-41E4-A9D8-98901D700C0E}"/>
            </c:ext>
          </c:extLst>
        </c:ser>
        <c:ser>
          <c:idx val="10"/>
          <c:order val="10"/>
          <c:tx>
            <c:strRef>
              <c:f>Plot_Data!$BK$6</c:f>
              <c:strCache>
                <c:ptCount val="1"/>
                <c:pt idx="0">
                  <c:v>Wing: S = 132.0 m2, b = 35.4 m, c/4 sweep 26 deg</c:v>
                </c:pt>
              </c:strCache>
            </c:strRef>
          </c:tx>
          <c:spPr>
            <a:ln w="22000">
              <a:solidFill>
                <a:srgbClr val="0070C0"/>
              </a:solidFill>
              <a:prstDash val="solid"/>
            </a:ln>
          </c:spPr>
          <c:marker>
            <c:symbol val="none"/>
          </c:marker>
          <c:xVal>
            <c:numRef>
              <c:f>Plot_Data!$BG$337:$BG$343</c:f>
              <c:numCache>
                <c:formatCode>0.000</c:formatCode>
                <c:ptCount val="7"/>
                <c:pt idx="0">
                  <c:v>-5.5958371967396534</c:v>
                </c:pt>
                <c:pt idx="1">
                  <c:v>13.306374042896515</c:v>
                </c:pt>
                <c:pt idx="2">
                  <c:v>14.44839118541902</c:v>
                </c:pt>
                <c:pt idx="3">
                  <c:v>-1.0277686266496382</c:v>
                </c:pt>
                <c:pt idx="4">
                  <c:v>-8.3104301879391329</c:v>
                </c:pt>
                <c:pt idx="5">
                  <c:v>-9.4524473304616379</c:v>
                </c:pt>
                <c:pt idx="6">
                  <c:v>-5.5958371967396534</c:v>
                </c:pt>
              </c:numCache>
            </c:numRef>
          </c:xVal>
          <c:yVal>
            <c:numRef>
              <c:f>Plot_Data!$BH$337:$BH$343</c:f>
              <c:numCache>
                <c:formatCode>0.000</c:formatCode>
                <c:ptCount val="7"/>
                <c:pt idx="0">
                  <c:v>0.90175472735516959</c:v>
                </c:pt>
                <c:pt idx="1">
                  <c:v>5.3690636243014529</c:v>
                </c:pt>
                <c:pt idx="2">
                  <c:v>4.9640828441719496</c:v>
                </c:pt>
                <c:pt idx="3">
                  <c:v>-0.71816839316284264</c:v>
                </c:pt>
                <c:pt idx="4">
                  <c:v>-6.498553022537906</c:v>
                </c:pt>
                <c:pt idx="5">
                  <c:v>-6.0935722424084027</c:v>
                </c:pt>
                <c:pt idx="6">
                  <c:v>0.90175472735516959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F7BD-41E4-A9D8-98901D700C0E}"/>
            </c:ext>
          </c:extLst>
        </c:ser>
        <c:ser>
          <c:idx val="11"/>
          <c:order val="11"/>
          <c:tx>
            <c:strRef>
              <c:f>Plot_Data!$BK$7</c:f>
              <c:strCache>
                <c:ptCount val="1"/>
                <c:pt idx="0">
                  <c:v>Horizontal tail: S = 34.4 m2, b = 12.4 m</c:v>
                </c:pt>
              </c:strCache>
            </c:strRef>
          </c:tx>
          <c:spPr>
            <a:ln w="22000">
              <a:solidFill>
                <a:srgbClr val="008080"/>
              </a:solidFill>
              <a:prstDash val="solid"/>
            </a:ln>
          </c:spPr>
          <c:marker>
            <c:symbol val="none"/>
          </c:marker>
          <c:xVal>
            <c:numRef>
              <c:f>Plot_Data!$BG$344:$BG$350</c:f>
              <c:numCache>
                <c:formatCode>0.000</c:formatCode>
                <c:ptCount val="7"/>
                <c:pt idx="0">
                  <c:v>8.5525346938167743</c:v>
                </c:pt>
                <c:pt idx="1">
                  <c:v>15.76401527288121</c:v>
                </c:pt>
                <c:pt idx="2">
                  <c:v>16.973664370947567</c:v>
                </c:pt>
                <c:pt idx="3">
                  <c:v>11.576657438982663</c:v>
                </c:pt>
                <c:pt idx="4">
                  <c:v>8.9804124886214698</c:v>
                </c:pt>
                <c:pt idx="5">
                  <c:v>7.7707633905551141</c:v>
                </c:pt>
                <c:pt idx="6">
                  <c:v>8.5525346938167743</c:v>
                </c:pt>
              </c:numCache>
            </c:numRef>
          </c:xVal>
          <c:yVal>
            <c:numRef>
              <c:f>Plot_Data!$BH$344:$BH$350</c:f>
              <c:numCache>
                <c:formatCode>0.000</c:formatCode>
                <c:ptCount val="7"/>
                <c:pt idx="0">
                  <c:v>-1.9502553272046557</c:v>
                </c:pt>
                <c:pt idx="1">
                  <c:v>-1.0773753505405788</c:v>
                </c:pt>
                <c:pt idx="2">
                  <c:v>-1.5063396954503219</c:v>
                </c:pt>
                <c:pt idx="3">
                  <c:v>-3.022666189479013</c:v>
                </c:pt>
                <c:pt idx="4">
                  <c:v>-5.5321956136857624</c:v>
                </c:pt>
                <c:pt idx="5">
                  <c:v>-5.1032312687760193</c:v>
                </c:pt>
                <c:pt idx="6">
                  <c:v>-1.9502553272046557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F7BD-41E4-A9D8-98901D700C0E}"/>
            </c:ext>
          </c:extLst>
        </c:ser>
        <c:ser>
          <c:idx val="12"/>
          <c:order val="12"/>
          <c:tx>
            <c:strRef>
              <c:f>Plot_Data!$BK$8</c:f>
              <c:strCache>
                <c:ptCount val="1"/>
                <c:pt idx="0">
                  <c:v>Vertical tail: S = 26.2 m2, h = 6.7 m</c:v>
                </c:pt>
              </c:strCache>
            </c:strRef>
          </c:tx>
          <c:spPr>
            <a:ln w="22000">
              <a:solidFill>
                <a:srgbClr val="7030A0"/>
              </a:solidFill>
              <a:prstDash val="solid"/>
            </a:ln>
          </c:spPr>
          <c:marker>
            <c:symbol val="none"/>
          </c:marker>
          <c:xVal>
            <c:numRef>
              <c:f>Plot_Data!$BG$351:$BG$355</c:f>
              <c:numCache>
                <c:formatCode>0.000</c:formatCode>
                <c:ptCount val="5"/>
                <c:pt idx="0">
                  <c:v>8.0623383580713615</c:v>
                </c:pt>
                <c:pt idx="1">
                  <c:v>11.919786951455105</c:v>
                </c:pt>
                <c:pt idx="2">
                  <c:v>13.480120938614105</c:v>
                </c:pt>
                <c:pt idx="3">
                  <c:v>12.520435464239929</c:v>
                </c:pt>
                <c:pt idx="4">
                  <c:v>8.0623383580713615</c:v>
                </c:pt>
              </c:numCache>
            </c:numRef>
          </c:xVal>
          <c:yVal>
            <c:numRef>
              <c:f>Plot_Data!$BH$351:$BH$355</c:f>
              <c:numCache>
                <c:formatCode>0.000</c:formatCode>
                <c:ptCount val="5"/>
                <c:pt idx="0">
                  <c:v>-1.4155443111694737</c:v>
                </c:pt>
                <c:pt idx="1">
                  <c:v>3.2688807932680524</c:v>
                </c:pt>
                <c:pt idx="2">
                  <c:v>2.715556984146879</c:v>
                </c:pt>
                <c:pt idx="3">
                  <c:v>-2.9964694800871117</c:v>
                </c:pt>
                <c:pt idx="4">
                  <c:v>-1.4155443111694737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F7BD-41E4-A9D8-98901D700C0E}"/>
            </c:ext>
          </c:extLst>
        </c:ser>
        <c:ser>
          <c:idx val="13"/>
          <c:order val="13"/>
          <c:tx>
            <c:strRef>
              <c:f>Plot_Data!$BK$9</c:f>
              <c:strCache>
                <c:ptCount val="1"/>
                <c:pt idx="0">
                  <c:v>2 engines: 95 kN each, nacelle 4.3 x 2.2 m</c:v>
                </c:pt>
              </c:strCache>
            </c:strRef>
          </c:tx>
          <c:spPr>
            <a:ln w="12000">
              <a:solidFill>
                <a:srgbClr val="C00000"/>
              </a:solidFill>
              <a:prstDash val="solid"/>
            </a:ln>
          </c:spPr>
          <c:marker>
            <c:symbol val="none"/>
          </c:marker>
          <c:xVal>
            <c:numRef>
              <c:f>Plot_Data!$BG$356:$BG$381</c:f>
              <c:numCache>
                <c:formatCode>0.000</c:formatCode>
                <c:ptCount val="26"/>
                <c:pt idx="0">
                  <c:v>-1.1013217893802993</c:v>
                </c:pt>
                <c:pt idx="1">
                  <c:v>-1.1974507317288632</c:v>
                </c:pt>
                <c:pt idx="2">
                  <c:v>-1.4600921945029546</c:v>
                </c:pt>
                <c:pt idx="3">
                  <c:v>-1.8188625996256098</c:v>
                </c:pt>
                <c:pt idx="4">
                  <c:v>-2.177633004748265</c:v>
                </c:pt>
                <c:pt idx="5">
                  <c:v>-2.440274467522356</c:v>
                </c:pt>
                <c:pt idx="6">
                  <c:v>-2.5364034098709203</c:v>
                </c:pt>
                <c:pt idx="7">
                  <c:v>-2.440274467522356</c:v>
                </c:pt>
                <c:pt idx="8">
                  <c:v>-2.177633004748265</c:v>
                </c:pt>
                <c:pt idx="9">
                  <c:v>-1.8188625996256098</c:v>
                </c:pt>
                <c:pt idx="10">
                  <c:v>-1.4600921945029546</c:v>
                </c:pt>
                <c:pt idx="11">
                  <c:v>-1.1974507317288632</c:v>
                </c:pt>
                <c:pt idx="12">
                  <c:v>-1.1013217893802993</c:v>
                </c:pt>
                <c:pt idx="13">
                  <c:v>2.2108997410725189</c:v>
                </c:pt>
                <c:pt idx="14">
                  <c:v>2.114770798723955</c:v>
                </c:pt>
                <c:pt idx="15">
                  <c:v>1.8521293359498636</c:v>
                </c:pt>
                <c:pt idx="16">
                  <c:v>1.4933589308272084</c:v>
                </c:pt>
                <c:pt idx="17">
                  <c:v>1.1345885257045532</c:v>
                </c:pt>
                <c:pt idx="18">
                  <c:v>0.8719470629304622</c:v>
                </c:pt>
                <c:pt idx="19">
                  <c:v>0.77581812058189792</c:v>
                </c:pt>
                <c:pt idx="20">
                  <c:v>0.8719470629304622</c:v>
                </c:pt>
                <c:pt idx="21">
                  <c:v>1.1345885257045532</c:v>
                </c:pt>
                <c:pt idx="22">
                  <c:v>1.4933589308272084</c:v>
                </c:pt>
                <c:pt idx="23">
                  <c:v>1.8521293359498636</c:v>
                </c:pt>
                <c:pt idx="24">
                  <c:v>2.114770798723955</c:v>
                </c:pt>
                <c:pt idx="25">
                  <c:v>2.2108997410725189</c:v>
                </c:pt>
              </c:numCache>
            </c:numRef>
          </c:xVal>
          <c:yVal>
            <c:numRef>
              <c:f>Plot_Data!$BH$356:$BH$381</c:f>
              <c:numCache>
                <c:formatCode>0.000</c:formatCode>
                <c:ptCount val="26"/>
                <c:pt idx="0">
                  <c:v>2.5076463900686008</c:v>
                </c:pt>
                <c:pt idx="1">
                  <c:v>2.9650839690100783</c:v>
                </c:pt>
                <c:pt idx="2">
                  <c:v>3.2031179719209351</c:v>
                </c:pt>
                <c:pt idx="3">
                  <c:v>3.1579592139105124</c:v>
                </c:pt>
                <c:pt idx="4">
                  <c:v>2.8417236407991058</c:v>
                </c:pt>
                <c:pt idx="5">
                  <c:v>2.3391273038472047</c:v>
                </c:pt>
                <c:pt idx="6">
                  <c:v>1.7848577278249429</c:v>
                </c:pt>
                <c:pt idx="7">
                  <c:v>1.3274201488834638</c:v>
                </c:pt>
                <c:pt idx="8">
                  <c:v>1.0893861459726084</c:v>
                </c:pt>
                <c:pt idx="9">
                  <c:v>1.1345449039830302</c:v>
                </c:pt>
                <c:pt idx="10">
                  <c:v>1.4507804770944377</c:v>
                </c:pt>
                <c:pt idx="11">
                  <c:v>1.9533768140463375</c:v>
                </c:pt>
                <c:pt idx="12">
                  <c:v>2.5076463900686008</c:v>
                </c:pt>
                <c:pt idx="13">
                  <c:v>1.3330702743356559</c:v>
                </c:pt>
                <c:pt idx="14">
                  <c:v>1.7905078532771352</c:v>
                </c:pt>
                <c:pt idx="15">
                  <c:v>2.0285418561879904</c:v>
                </c:pt>
                <c:pt idx="16">
                  <c:v>1.9833830981775682</c:v>
                </c:pt>
                <c:pt idx="17">
                  <c:v>1.6671475250661616</c:v>
                </c:pt>
                <c:pt idx="18">
                  <c:v>1.1645511881142603</c:v>
                </c:pt>
                <c:pt idx="19">
                  <c:v>0.61028161209199827</c:v>
                </c:pt>
                <c:pt idx="20">
                  <c:v>0.1528440331505192</c:v>
                </c:pt>
                <c:pt idx="21">
                  <c:v>-8.5189969760335771E-2</c:v>
                </c:pt>
                <c:pt idx="22">
                  <c:v>-4.0031211749913975E-2</c:v>
                </c:pt>
                <c:pt idx="23">
                  <c:v>0.27620436136149307</c:v>
                </c:pt>
                <c:pt idx="24">
                  <c:v>0.77880069831339416</c:v>
                </c:pt>
                <c:pt idx="25">
                  <c:v>1.3330702743356559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F7BD-41E4-A9D8-98901D700C0E}"/>
            </c:ext>
          </c:extLst>
        </c:ser>
        <c:ser>
          <c:idx val="14"/>
          <c:order val="14"/>
          <c:spPr>
            <a:ln w="12000">
              <a:solidFill>
                <a:srgbClr val="C00000"/>
              </a:solidFill>
              <a:prstDash val="solid"/>
            </a:ln>
          </c:spPr>
          <c:marker>
            <c:symbol val="none"/>
          </c:marker>
          <c:xVal>
            <c:numRef>
              <c:f>Plot_Data!$BG$382:$BG$407</c:f>
              <c:numCache>
                <c:formatCode>0.000</c:formatCode>
                <c:ptCount val="26"/>
                <c:pt idx="0">
                  <c:v>-8.8393210563220705</c:v>
                </c:pt>
                <c:pt idx="1">
                  <c:v>-8.9354499986706362</c:v>
                </c:pt>
                <c:pt idx="2">
                  <c:v>-9.1980914614447258</c:v>
                </c:pt>
                <c:pt idx="3">
                  <c:v>-9.556861866567381</c:v>
                </c:pt>
                <c:pt idx="4">
                  <c:v>-9.9156322716900362</c:v>
                </c:pt>
                <c:pt idx="5">
                  <c:v>-10.178273734464128</c:v>
                </c:pt>
                <c:pt idx="6">
                  <c:v>-10.274402676812691</c:v>
                </c:pt>
                <c:pt idx="7">
                  <c:v>-10.178273734464128</c:v>
                </c:pt>
                <c:pt idx="8">
                  <c:v>-9.9156322716900362</c:v>
                </c:pt>
                <c:pt idx="9">
                  <c:v>-9.556861866567381</c:v>
                </c:pt>
                <c:pt idx="10">
                  <c:v>-9.1980914614447258</c:v>
                </c:pt>
                <c:pt idx="11">
                  <c:v>-8.9354499986706362</c:v>
                </c:pt>
                <c:pt idx="12">
                  <c:v>-8.8393210563220705</c:v>
                </c:pt>
                <c:pt idx="13">
                  <c:v>-5.5270995258692537</c:v>
                </c:pt>
                <c:pt idx="14">
                  <c:v>-5.6232284682178175</c:v>
                </c:pt>
                <c:pt idx="15">
                  <c:v>-5.8858699309919089</c:v>
                </c:pt>
                <c:pt idx="16">
                  <c:v>-6.2446403361145641</c:v>
                </c:pt>
                <c:pt idx="17">
                  <c:v>-6.6034107412372194</c:v>
                </c:pt>
                <c:pt idx="18">
                  <c:v>-6.8660522040113108</c:v>
                </c:pt>
                <c:pt idx="19">
                  <c:v>-6.9621811463598746</c:v>
                </c:pt>
                <c:pt idx="20">
                  <c:v>-6.8660522040113108</c:v>
                </c:pt>
                <c:pt idx="21">
                  <c:v>-6.6034107412372194</c:v>
                </c:pt>
                <c:pt idx="22">
                  <c:v>-6.2446403361145641</c:v>
                </c:pt>
                <c:pt idx="23">
                  <c:v>-5.8858699309919089</c:v>
                </c:pt>
                <c:pt idx="24">
                  <c:v>-5.6232284682178175</c:v>
                </c:pt>
                <c:pt idx="25">
                  <c:v>-5.5270995258692537</c:v>
                </c:pt>
              </c:numCache>
            </c:numRef>
          </c:xVal>
          <c:yVal>
            <c:numRef>
              <c:f>Plot_Data!$BH$382:$BH$407</c:f>
              <c:numCache>
                <c:formatCode>0.000</c:formatCode>
                <c:ptCount val="26"/>
                <c:pt idx="0">
                  <c:v>-1.389649804612751</c:v>
                </c:pt>
                <c:pt idx="1">
                  <c:v>-0.93221222567127193</c:v>
                </c:pt>
                <c:pt idx="2">
                  <c:v>-0.69417822276041674</c:v>
                </c:pt>
                <c:pt idx="3">
                  <c:v>-0.73933698077083843</c:v>
                </c:pt>
                <c:pt idx="4">
                  <c:v>-1.0555725538822456</c:v>
                </c:pt>
                <c:pt idx="5">
                  <c:v>-1.5581688908341467</c:v>
                </c:pt>
                <c:pt idx="6">
                  <c:v>-2.1124384668564082</c:v>
                </c:pt>
                <c:pt idx="7">
                  <c:v>-2.5698760457978875</c:v>
                </c:pt>
                <c:pt idx="8">
                  <c:v>-2.8079100487087429</c:v>
                </c:pt>
                <c:pt idx="9">
                  <c:v>-2.7627512906983207</c:v>
                </c:pt>
                <c:pt idx="10">
                  <c:v>-2.4465157175869141</c:v>
                </c:pt>
                <c:pt idx="11">
                  <c:v>-1.943919380635013</c:v>
                </c:pt>
                <c:pt idx="12">
                  <c:v>-1.389649804612751</c:v>
                </c:pt>
                <c:pt idx="13">
                  <c:v>-2.5642259203456952</c:v>
                </c:pt>
                <c:pt idx="14">
                  <c:v>-2.1067883414042163</c:v>
                </c:pt>
                <c:pt idx="15">
                  <c:v>-1.8687543384933609</c:v>
                </c:pt>
                <c:pt idx="16">
                  <c:v>-1.9139130965037827</c:v>
                </c:pt>
                <c:pt idx="17">
                  <c:v>-2.2301486696151898</c:v>
                </c:pt>
                <c:pt idx="18">
                  <c:v>-2.7327450065670909</c:v>
                </c:pt>
                <c:pt idx="19">
                  <c:v>-3.2870145825893529</c:v>
                </c:pt>
                <c:pt idx="20">
                  <c:v>-3.7444521615308322</c:v>
                </c:pt>
                <c:pt idx="21">
                  <c:v>-3.9824861644416871</c:v>
                </c:pt>
                <c:pt idx="22">
                  <c:v>-3.9373274064312649</c:v>
                </c:pt>
                <c:pt idx="23">
                  <c:v>-3.6210918333198583</c:v>
                </c:pt>
                <c:pt idx="24">
                  <c:v>-3.1184954963679576</c:v>
                </c:pt>
                <c:pt idx="25">
                  <c:v>-2.5642259203456952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F7BD-41E4-A9D8-98901D700C0E}"/>
            </c:ext>
          </c:extLst>
        </c:ser>
        <c:ser>
          <c:idx val="15"/>
          <c:order val="15"/>
          <c:spPr>
            <a:ln w="12000">
              <a:solidFill>
                <a:srgbClr val="C00000"/>
              </a:solidFill>
              <a:prstDash val="solid"/>
            </a:ln>
          </c:spPr>
          <c:marker>
            <c:symbol val="none"/>
          </c:marker>
          <c:xVal>
            <c:numRef>
              <c:f>Plot_Data!$BG$408:$BG$433</c:f>
              <c:numCache>
                <c:formatCode>0.000</c:formatCode>
                <c:ptCount val="26"/>
                <c:pt idx="0">
                  <c:v>-1.1013217893802993</c:v>
                </c:pt>
                <c:pt idx="1">
                  <c:v>-1.1974507317288632</c:v>
                </c:pt>
                <c:pt idx="2">
                  <c:v>-1.4600921945029546</c:v>
                </c:pt>
                <c:pt idx="3">
                  <c:v>-1.8188625996256098</c:v>
                </c:pt>
                <c:pt idx="4">
                  <c:v>-2.177633004748265</c:v>
                </c:pt>
                <c:pt idx="5">
                  <c:v>-2.440274467522356</c:v>
                </c:pt>
                <c:pt idx="6">
                  <c:v>-2.5364034098709203</c:v>
                </c:pt>
                <c:pt idx="7">
                  <c:v>-2.440274467522356</c:v>
                </c:pt>
                <c:pt idx="8">
                  <c:v>-2.177633004748265</c:v>
                </c:pt>
                <c:pt idx="9">
                  <c:v>-1.8188625996256098</c:v>
                </c:pt>
                <c:pt idx="10">
                  <c:v>-1.4600921945029546</c:v>
                </c:pt>
                <c:pt idx="11">
                  <c:v>-1.1974507317288632</c:v>
                </c:pt>
                <c:pt idx="12">
                  <c:v>-1.1013217893802993</c:v>
                </c:pt>
                <c:pt idx="13">
                  <c:v>2.2108997410725189</c:v>
                </c:pt>
                <c:pt idx="14">
                  <c:v>2.114770798723955</c:v>
                </c:pt>
                <c:pt idx="15">
                  <c:v>1.8521293359498636</c:v>
                </c:pt>
                <c:pt idx="16">
                  <c:v>1.4933589308272084</c:v>
                </c:pt>
                <c:pt idx="17">
                  <c:v>1.1345885257045532</c:v>
                </c:pt>
                <c:pt idx="18">
                  <c:v>0.8719470629304622</c:v>
                </c:pt>
                <c:pt idx="19">
                  <c:v>0.77581812058189792</c:v>
                </c:pt>
                <c:pt idx="20">
                  <c:v>0.8719470629304622</c:v>
                </c:pt>
                <c:pt idx="21">
                  <c:v>1.1345885257045532</c:v>
                </c:pt>
                <c:pt idx="22">
                  <c:v>1.4933589308272084</c:v>
                </c:pt>
                <c:pt idx="23">
                  <c:v>1.8521293359498636</c:v>
                </c:pt>
                <c:pt idx="24">
                  <c:v>2.114770798723955</c:v>
                </c:pt>
                <c:pt idx="25">
                  <c:v>2.2108997410725189</c:v>
                </c:pt>
              </c:numCache>
            </c:numRef>
          </c:xVal>
          <c:yVal>
            <c:numRef>
              <c:f>Plot_Data!$BH$408:$BH$433</c:f>
              <c:numCache>
                <c:formatCode>0.000</c:formatCode>
                <c:ptCount val="26"/>
                <c:pt idx="0">
                  <c:v>2.5076463900686008</c:v>
                </c:pt>
                <c:pt idx="1">
                  <c:v>2.9650839690100783</c:v>
                </c:pt>
                <c:pt idx="2">
                  <c:v>3.2031179719209351</c:v>
                </c:pt>
                <c:pt idx="3">
                  <c:v>3.1579592139105124</c:v>
                </c:pt>
                <c:pt idx="4">
                  <c:v>2.8417236407991058</c:v>
                </c:pt>
                <c:pt idx="5">
                  <c:v>2.3391273038472047</c:v>
                </c:pt>
                <c:pt idx="6">
                  <c:v>1.7848577278249429</c:v>
                </c:pt>
                <c:pt idx="7">
                  <c:v>1.3274201488834638</c:v>
                </c:pt>
                <c:pt idx="8">
                  <c:v>1.0893861459726084</c:v>
                </c:pt>
                <c:pt idx="9">
                  <c:v>1.1345449039830302</c:v>
                </c:pt>
                <c:pt idx="10">
                  <c:v>1.4507804770944377</c:v>
                </c:pt>
                <c:pt idx="11">
                  <c:v>1.9533768140463375</c:v>
                </c:pt>
                <c:pt idx="12">
                  <c:v>2.5076463900686008</c:v>
                </c:pt>
                <c:pt idx="13">
                  <c:v>1.3330702743356559</c:v>
                </c:pt>
                <c:pt idx="14">
                  <c:v>1.7905078532771352</c:v>
                </c:pt>
                <c:pt idx="15">
                  <c:v>2.0285418561879904</c:v>
                </c:pt>
                <c:pt idx="16">
                  <c:v>1.9833830981775682</c:v>
                </c:pt>
                <c:pt idx="17">
                  <c:v>1.6671475250661616</c:v>
                </c:pt>
                <c:pt idx="18">
                  <c:v>1.1645511881142603</c:v>
                </c:pt>
                <c:pt idx="19">
                  <c:v>0.61028161209199827</c:v>
                </c:pt>
                <c:pt idx="20">
                  <c:v>0.1528440331505192</c:v>
                </c:pt>
                <c:pt idx="21">
                  <c:v>-8.5189969760335771E-2</c:v>
                </c:pt>
                <c:pt idx="22">
                  <c:v>-4.0031211749913975E-2</c:v>
                </c:pt>
                <c:pt idx="23">
                  <c:v>0.27620436136149307</c:v>
                </c:pt>
                <c:pt idx="24">
                  <c:v>0.77880069831339416</c:v>
                </c:pt>
                <c:pt idx="25">
                  <c:v>1.3330702743356559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F7BD-41E4-A9D8-98901D700C0E}"/>
            </c:ext>
          </c:extLst>
        </c:ser>
        <c:ser>
          <c:idx val="16"/>
          <c:order val="16"/>
          <c:spPr>
            <a:ln w="12000">
              <a:solidFill>
                <a:srgbClr val="C00000"/>
              </a:solidFill>
              <a:prstDash val="solid"/>
            </a:ln>
          </c:spPr>
          <c:marker>
            <c:symbol val="none"/>
          </c:marker>
          <c:xVal>
            <c:numRef>
              <c:f>Plot_Data!$BG$434:$BG$459</c:f>
              <c:numCache>
                <c:formatCode>0.000</c:formatCode>
                <c:ptCount val="26"/>
                <c:pt idx="0">
                  <c:v>-8.8393210563220705</c:v>
                </c:pt>
                <c:pt idx="1">
                  <c:v>-8.9354499986706362</c:v>
                </c:pt>
                <c:pt idx="2">
                  <c:v>-9.1980914614447258</c:v>
                </c:pt>
                <c:pt idx="3">
                  <c:v>-9.556861866567381</c:v>
                </c:pt>
                <c:pt idx="4">
                  <c:v>-9.9156322716900362</c:v>
                </c:pt>
                <c:pt idx="5">
                  <c:v>-10.178273734464128</c:v>
                </c:pt>
                <c:pt idx="6">
                  <c:v>-10.274402676812691</c:v>
                </c:pt>
                <c:pt idx="7">
                  <c:v>-10.178273734464128</c:v>
                </c:pt>
                <c:pt idx="8">
                  <c:v>-9.9156322716900362</c:v>
                </c:pt>
                <c:pt idx="9">
                  <c:v>-9.556861866567381</c:v>
                </c:pt>
                <c:pt idx="10">
                  <c:v>-9.1980914614447258</c:v>
                </c:pt>
                <c:pt idx="11">
                  <c:v>-8.9354499986706362</c:v>
                </c:pt>
                <c:pt idx="12">
                  <c:v>-8.8393210563220705</c:v>
                </c:pt>
                <c:pt idx="13">
                  <c:v>-5.5270995258692537</c:v>
                </c:pt>
                <c:pt idx="14">
                  <c:v>-5.6232284682178175</c:v>
                </c:pt>
                <c:pt idx="15">
                  <c:v>-5.8858699309919089</c:v>
                </c:pt>
                <c:pt idx="16">
                  <c:v>-6.2446403361145641</c:v>
                </c:pt>
                <c:pt idx="17">
                  <c:v>-6.6034107412372194</c:v>
                </c:pt>
                <c:pt idx="18">
                  <c:v>-6.8660522040113108</c:v>
                </c:pt>
                <c:pt idx="19">
                  <c:v>-6.9621811463598746</c:v>
                </c:pt>
                <c:pt idx="20">
                  <c:v>-6.8660522040113108</c:v>
                </c:pt>
                <c:pt idx="21">
                  <c:v>-6.6034107412372194</c:v>
                </c:pt>
                <c:pt idx="22">
                  <c:v>-6.2446403361145641</c:v>
                </c:pt>
                <c:pt idx="23">
                  <c:v>-5.8858699309919089</c:v>
                </c:pt>
                <c:pt idx="24">
                  <c:v>-5.6232284682178175</c:v>
                </c:pt>
                <c:pt idx="25">
                  <c:v>-5.5270995258692537</c:v>
                </c:pt>
              </c:numCache>
            </c:numRef>
          </c:xVal>
          <c:yVal>
            <c:numRef>
              <c:f>Plot_Data!$BH$434:$BH$459</c:f>
              <c:numCache>
                <c:formatCode>0.000</c:formatCode>
                <c:ptCount val="26"/>
                <c:pt idx="0">
                  <c:v>-1.389649804612751</c:v>
                </c:pt>
                <c:pt idx="1">
                  <c:v>-0.93221222567127193</c:v>
                </c:pt>
                <c:pt idx="2">
                  <c:v>-0.69417822276041674</c:v>
                </c:pt>
                <c:pt idx="3">
                  <c:v>-0.73933698077083843</c:v>
                </c:pt>
                <c:pt idx="4">
                  <c:v>-1.0555725538822456</c:v>
                </c:pt>
                <c:pt idx="5">
                  <c:v>-1.5581688908341467</c:v>
                </c:pt>
                <c:pt idx="6">
                  <c:v>-2.1124384668564082</c:v>
                </c:pt>
                <c:pt idx="7">
                  <c:v>-2.5698760457978875</c:v>
                </c:pt>
                <c:pt idx="8">
                  <c:v>-2.8079100487087429</c:v>
                </c:pt>
                <c:pt idx="9">
                  <c:v>-2.7627512906983207</c:v>
                </c:pt>
                <c:pt idx="10">
                  <c:v>-2.4465157175869141</c:v>
                </c:pt>
                <c:pt idx="11">
                  <c:v>-1.943919380635013</c:v>
                </c:pt>
                <c:pt idx="12">
                  <c:v>-1.389649804612751</c:v>
                </c:pt>
                <c:pt idx="13">
                  <c:v>-2.5642259203456952</c:v>
                </c:pt>
                <c:pt idx="14">
                  <c:v>-2.1067883414042163</c:v>
                </c:pt>
                <c:pt idx="15">
                  <c:v>-1.8687543384933609</c:v>
                </c:pt>
                <c:pt idx="16">
                  <c:v>-1.9139130965037827</c:v>
                </c:pt>
                <c:pt idx="17">
                  <c:v>-2.2301486696151898</c:v>
                </c:pt>
                <c:pt idx="18">
                  <c:v>-2.7327450065670909</c:v>
                </c:pt>
                <c:pt idx="19">
                  <c:v>-3.2870145825893529</c:v>
                </c:pt>
                <c:pt idx="20">
                  <c:v>-3.7444521615308322</c:v>
                </c:pt>
                <c:pt idx="21">
                  <c:v>-3.9824861644416871</c:v>
                </c:pt>
                <c:pt idx="22">
                  <c:v>-3.9373274064312649</c:v>
                </c:pt>
                <c:pt idx="23">
                  <c:v>-3.6210918333198583</c:v>
                </c:pt>
                <c:pt idx="24">
                  <c:v>-3.1184954963679576</c:v>
                </c:pt>
                <c:pt idx="25">
                  <c:v>-2.5642259203456952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F7BD-41E4-A9D8-98901D700C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spPr>
          <a:ln>
            <a:noFill/>
            <a:prstDash val="solid"/>
          </a:ln>
        </c:spPr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one"/>
        <c:spPr>
          <a:ln>
            <a:noFill/>
            <a:prstDash val="solid"/>
          </a:ln>
        </c:spPr>
        <c:crossAx val="10"/>
        <c:crosses val="autoZero"/>
        <c:crossBetween val="midCat"/>
      </c:valAx>
    </c:plotArea>
    <c:legend>
      <c:legendPos val="r"/>
      <c:legendEntry>
        <c:idx val="0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4"/>
        <c:delete val="1"/>
      </c:legendEntry>
      <c:legendEntry>
        <c:idx val="15"/>
        <c:delete val="1"/>
      </c:legendEntry>
      <c:legendEntry>
        <c:idx val="16"/>
        <c:delete val="1"/>
      </c:legendEntry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Side view - fuselage outline, tail, engines and landing gear (to scale)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0000000000000007E-2"/>
          <c:y val="0.09"/>
          <c:w val="0.54923076923076919"/>
          <c:h val="0.84"/>
        </c:manualLayout>
      </c:layout>
      <c:scatterChart>
        <c:scatterStyle val="lineMarker"/>
        <c:varyColors val="0"/>
        <c:ser>
          <c:idx val="0"/>
          <c:order val="0"/>
          <c:spPr>
            <a:ln>
              <a:noFill/>
              <a:prstDash val="solid"/>
            </a:ln>
          </c:spPr>
          <c:marker>
            <c:symbol val="none"/>
          </c:marker>
          <c:xVal>
            <c:numRef>
              <c:f>Plot_Data!$AS$5:$AS$6</c:f>
              <c:numCache>
                <c:formatCode>0.000</c:formatCode>
                <c:ptCount val="2"/>
                <c:pt idx="0">
                  <c:v>-19.591528</c:v>
                </c:pt>
                <c:pt idx="1">
                  <c:v>19.591528</c:v>
                </c:pt>
              </c:numCache>
            </c:numRef>
          </c:xVal>
          <c:yVal>
            <c:numRef>
              <c:f>Plot_Data!$AT$5:$AT$6</c:f>
              <c:numCache>
                <c:formatCode>0.000</c:formatCode>
                <c:ptCount val="2"/>
                <c:pt idx="0">
                  <c:v>-19.591528</c:v>
                </c:pt>
                <c:pt idx="1">
                  <c:v>19.591528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1D-4E3F-B879-9B2B154883DE}"/>
            </c:ext>
          </c:extLst>
        </c:ser>
        <c:ser>
          <c:idx val="1"/>
          <c:order val="1"/>
          <c:tx>
            <c:strRef>
              <c:f>Plot_Data!$BK$5</c:f>
              <c:strCache>
                <c:ptCount val="1"/>
                <c:pt idx="0">
                  <c:v>Fuselage: L = 35.6 m, d = 3.98 m</c:v>
                </c:pt>
              </c:strCache>
            </c:strRef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xVal>
            <c:numRef>
              <c:f>Plot_Data!$X$5:$X$43</c:f>
              <c:numCache>
                <c:formatCode>0.000</c:formatCode>
                <c:ptCount val="39"/>
                <c:pt idx="0">
                  <c:v>-17.810479999999998</c:v>
                </c:pt>
                <c:pt idx="1">
                  <c:v>-17.73048</c:v>
                </c:pt>
                <c:pt idx="2">
                  <c:v>-17.530479999999997</c:v>
                </c:pt>
                <c:pt idx="3">
                  <c:v>-17.210479999999997</c:v>
                </c:pt>
                <c:pt idx="4">
                  <c:v>-16.610479999999999</c:v>
                </c:pt>
                <c:pt idx="5">
                  <c:v>-16.010479999999998</c:v>
                </c:pt>
                <c:pt idx="6">
                  <c:v>-15.410479999999998</c:v>
                </c:pt>
                <c:pt idx="7">
                  <c:v>-14.610479999999999</c:v>
                </c:pt>
                <c:pt idx="8">
                  <c:v>-13.810479999999998</c:v>
                </c:pt>
                <c:pt idx="9">
                  <c:v>-5.3938133333333411</c:v>
                </c:pt>
                <c:pt idx="10">
                  <c:v>3.0228533333333161</c:v>
                </c:pt>
                <c:pt idx="11">
                  <c:v>11.439519999999998</c:v>
                </c:pt>
                <c:pt idx="12">
                  <c:v>12.395163999999998</c:v>
                </c:pt>
                <c:pt idx="13">
                  <c:v>13.350807999999997</c:v>
                </c:pt>
                <c:pt idx="14">
                  <c:v>14.306452</c:v>
                </c:pt>
                <c:pt idx="15">
                  <c:v>15.262096</c:v>
                </c:pt>
                <c:pt idx="16">
                  <c:v>16.217739999999999</c:v>
                </c:pt>
                <c:pt idx="17">
                  <c:v>17.173383999999999</c:v>
                </c:pt>
                <c:pt idx="18">
                  <c:v>17.810479999999998</c:v>
                </c:pt>
                <c:pt idx="19">
                  <c:v>17.810479999999998</c:v>
                </c:pt>
                <c:pt idx="20">
                  <c:v>17.173383999999999</c:v>
                </c:pt>
                <c:pt idx="21">
                  <c:v>16.217739999999999</c:v>
                </c:pt>
                <c:pt idx="22">
                  <c:v>15.262096</c:v>
                </c:pt>
                <c:pt idx="23">
                  <c:v>14.306452</c:v>
                </c:pt>
                <c:pt idx="24">
                  <c:v>13.350807999999997</c:v>
                </c:pt>
                <c:pt idx="25">
                  <c:v>12.395163999999998</c:v>
                </c:pt>
                <c:pt idx="26">
                  <c:v>11.439519999999998</c:v>
                </c:pt>
                <c:pt idx="27">
                  <c:v>3.0228533333333161</c:v>
                </c:pt>
                <c:pt idx="28">
                  <c:v>-5.3938133333333411</c:v>
                </c:pt>
                <c:pt idx="29">
                  <c:v>-13.810479999999998</c:v>
                </c:pt>
                <c:pt idx="30">
                  <c:v>-14.610479999999999</c:v>
                </c:pt>
                <c:pt idx="31">
                  <c:v>-15.410479999999998</c:v>
                </c:pt>
                <c:pt idx="32">
                  <c:v>-16.010479999999998</c:v>
                </c:pt>
                <c:pt idx="33">
                  <c:v>-16.610479999999999</c:v>
                </c:pt>
                <c:pt idx="34">
                  <c:v>-17.210479999999997</c:v>
                </c:pt>
                <c:pt idx="35">
                  <c:v>-17.530479999999997</c:v>
                </c:pt>
                <c:pt idx="36">
                  <c:v>-17.73048</c:v>
                </c:pt>
                <c:pt idx="37">
                  <c:v>-17.810479999999998</c:v>
                </c:pt>
                <c:pt idx="38">
                  <c:v>-17.810479999999998</c:v>
                </c:pt>
              </c:numCache>
            </c:numRef>
          </c:xVal>
          <c:yVal>
            <c:numRef>
              <c:f>Plot_Data!$Y$5:$Y$43</c:f>
              <c:numCache>
                <c:formatCode>0.000</c:formatCode>
                <c:ptCount val="39"/>
                <c:pt idx="0">
                  <c:v>-0.59727749999999991</c:v>
                </c:pt>
                <c:pt idx="1">
                  <c:v>-8.2231705562410107E-2</c:v>
                </c:pt>
                <c:pt idx="2">
                  <c:v>0.35404096594815199</c:v>
                </c:pt>
                <c:pt idx="3">
                  <c:v>0.76614276911339219</c:v>
                </c:pt>
                <c:pt idx="4">
                  <c:v>1.2510687912325673</c:v>
                </c:pt>
                <c:pt idx="5">
                  <c:v>1.5642977464931354</c:v>
                </c:pt>
                <c:pt idx="6">
                  <c:v>1.7748492740247883</c:v>
                </c:pt>
                <c:pt idx="7">
                  <c:v>1.9386326903983113</c:v>
                </c:pt>
                <c:pt idx="8">
                  <c:v>1.9909249999999998</c:v>
                </c:pt>
                <c:pt idx="9">
                  <c:v>1.9909249999999998</c:v>
                </c:pt>
                <c:pt idx="10">
                  <c:v>1.9909249999999998</c:v>
                </c:pt>
                <c:pt idx="11">
                  <c:v>1.9909249999999998</c:v>
                </c:pt>
                <c:pt idx="12">
                  <c:v>1.9537375655408802</c:v>
                </c:pt>
                <c:pt idx="13">
                  <c:v>1.8993587956380491</c:v>
                </c:pt>
                <c:pt idx="14">
                  <c:v>1.8358099815686222</c:v>
                </c:pt>
                <c:pt idx="15">
                  <c:v>1.7654625580971708</c:v>
                </c:pt>
                <c:pt idx="16">
                  <c:v>1.6895846951487399</c:v>
                </c:pt>
                <c:pt idx="17">
                  <c:v>1.6089870232646308</c:v>
                </c:pt>
                <c:pt idx="18">
                  <c:v>1.5529215000000001</c:v>
                </c:pt>
                <c:pt idx="19">
                  <c:v>1.0750994999999999</c:v>
                </c:pt>
                <c:pt idx="20">
                  <c:v>0.68264083714758272</c:v>
                </c:pt>
                <c:pt idx="21">
                  <c:v>0.1184571339588194</c:v>
                </c:pt>
                <c:pt idx="22">
                  <c:v>-0.4126879066801965</c:v>
                </c:pt>
                <c:pt idx="23">
                  <c:v>-0.90511987098035585</c:v>
                </c:pt>
                <c:pt idx="24">
                  <c:v>-1.3499615694663452</c:v>
                </c:pt>
                <c:pt idx="25">
                  <c:v>-1.7306129587861623</c:v>
                </c:pt>
                <c:pt idx="26">
                  <c:v>-1.9909249999999998</c:v>
                </c:pt>
                <c:pt idx="27">
                  <c:v>-1.9909249999999998</c:v>
                </c:pt>
                <c:pt idx="28">
                  <c:v>-1.9909249999999998</c:v>
                </c:pt>
                <c:pt idx="29">
                  <c:v>-1.9909249999999998</c:v>
                </c:pt>
                <c:pt idx="30">
                  <c:v>-1.9627676025221674</c:v>
                </c:pt>
                <c:pt idx="31">
                  <c:v>-1.8745765321671937</c:v>
                </c:pt>
                <c:pt idx="32">
                  <c:v>-1.7612026327270727</c:v>
                </c:pt>
                <c:pt idx="33">
                  <c:v>-1.592540887586767</c:v>
                </c:pt>
                <c:pt idx="34">
                  <c:v>-1.3314268756764418</c:v>
                </c:pt>
                <c:pt idx="35">
                  <c:v>-1.1095259047413124</c:v>
                </c:pt>
                <c:pt idx="36">
                  <c:v>-0.87460985085100984</c:v>
                </c:pt>
                <c:pt idx="37">
                  <c:v>-0.59727749999999991</c:v>
                </c:pt>
                <c:pt idx="38">
                  <c:v>-0.59727749999999991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D1D-4E3F-B879-9B2B154883DE}"/>
            </c:ext>
          </c:extLst>
        </c:ser>
        <c:ser>
          <c:idx val="2"/>
          <c:order val="2"/>
          <c:tx>
            <c:strRef>
              <c:f>Plot_Data!$BK$6</c:f>
              <c:strCache>
                <c:ptCount val="1"/>
                <c:pt idx="0">
                  <c:v>Wing: S = 132.0 m2, b = 35.4 m, c/4 sweep 26 deg</c:v>
                </c:pt>
              </c:strCache>
            </c:strRef>
          </c:tx>
          <c:spPr>
            <a:ln w="22000">
              <a:solidFill>
                <a:srgbClr val="0070C0"/>
              </a:solidFill>
              <a:prstDash val="solid"/>
            </a:ln>
          </c:spPr>
          <c:marker>
            <c:symbol val="none"/>
          </c:marker>
          <c:xVal>
            <c:numRef>
              <c:f>Plot_Data!$AC$5:$AC$11</c:f>
              <c:numCache>
                <c:formatCode>0.000</c:formatCode>
                <c:ptCount val="7"/>
                <c:pt idx="0">
                  <c:v>-7.304846666540648</c:v>
                </c:pt>
                <c:pt idx="1">
                  <c:v>2.5154720114824372</c:v>
                </c:pt>
                <c:pt idx="2">
                  <c:v>4.0062695138737334</c:v>
                </c:pt>
                <c:pt idx="3">
                  <c:v>-1.3416566569754629</c:v>
                </c:pt>
                <c:pt idx="4">
                  <c:v>4.0062695138737334</c:v>
                </c:pt>
                <c:pt idx="5">
                  <c:v>2.5154720114824372</c:v>
                </c:pt>
                <c:pt idx="6">
                  <c:v>-7.304846666540648</c:v>
                </c:pt>
              </c:numCache>
            </c:numRef>
          </c:xVal>
          <c:yVal>
            <c:numRef>
              <c:f>Plot_Data!$AE$5:$AE$11</c:f>
              <c:numCache>
                <c:formatCode>0.000</c:formatCode>
                <c:ptCount val="7"/>
                <c:pt idx="0">
                  <c:v>-1.1945549999999998</c:v>
                </c:pt>
                <c:pt idx="1">
                  <c:v>0.35427608773000063</c:v>
                </c:pt>
                <c:pt idx="2">
                  <c:v>0.35427608773000063</c:v>
                </c:pt>
                <c:pt idx="3">
                  <c:v>-1.1945549999999998</c:v>
                </c:pt>
                <c:pt idx="4">
                  <c:v>0.35427608773000063</c:v>
                </c:pt>
                <c:pt idx="5">
                  <c:v>0.35427608773000063</c:v>
                </c:pt>
                <c:pt idx="6">
                  <c:v>-1.1945549999999998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D1D-4E3F-B879-9B2B154883DE}"/>
            </c:ext>
          </c:extLst>
        </c:ser>
        <c:ser>
          <c:idx val="3"/>
          <c:order val="3"/>
          <c:tx>
            <c:strRef>
              <c:f>Plot_Data!$BK$7</c:f>
              <c:strCache>
                <c:ptCount val="1"/>
                <c:pt idx="0">
                  <c:v>Horizontal tail: S = 34.4 m2, b = 12.4 m</c:v>
                </c:pt>
              </c:strCache>
            </c:strRef>
          </c:tx>
          <c:spPr>
            <a:ln w="22000">
              <a:solidFill>
                <a:srgbClr val="008080"/>
              </a:solidFill>
              <a:prstDash val="solid"/>
            </a:ln>
          </c:spPr>
          <c:marker>
            <c:symbol val="none"/>
          </c:marker>
          <c:xVal>
            <c:numRef>
              <c:f>Plot_Data!$AC$13:$AC$19</c:f>
              <c:numCache>
                <c:formatCode>0.000</c:formatCode>
                <c:ptCount val="7"/>
                <c:pt idx="0">
                  <c:v>11.164541131575625</c:v>
                </c:pt>
                <c:pt idx="1">
                  <c:v>15.36123581003578</c:v>
                </c:pt>
                <c:pt idx="2">
                  <c:v>16.940320560185818</c:v>
                </c:pt>
                <c:pt idx="3">
                  <c:v>15.112253006950716</c:v>
                </c:pt>
                <c:pt idx="4">
                  <c:v>16.940320560185818</c:v>
                </c:pt>
                <c:pt idx="5">
                  <c:v>15.36123581003578</c:v>
                </c:pt>
                <c:pt idx="6">
                  <c:v>11.164541131575625</c:v>
                </c:pt>
              </c:numCache>
            </c:numRef>
          </c:xVal>
          <c:yVal>
            <c:numRef>
              <c:f>Plot_Data!$AE$13:$AE$19</c:f>
              <c:numCache>
                <c:formatCode>0.000</c:formatCode>
                <c:ptCount val="7"/>
                <c:pt idx="0">
                  <c:v>1.1945549999999998</c:v>
                </c:pt>
                <c:pt idx="1">
                  <c:v>1.1945549999999998</c:v>
                </c:pt>
                <c:pt idx="2">
                  <c:v>1.1945549999999998</c:v>
                </c:pt>
                <c:pt idx="3">
                  <c:v>1.1945549999999998</c:v>
                </c:pt>
                <c:pt idx="4">
                  <c:v>1.1945549999999998</c:v>
                </c:pt>
                <c:pt idx="5">
                  <c:v>1.1945549999999998</c:v>
                </c:pt>
                <c:pt idx="6">
                  <c:v>1.1945549999999998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D1D-4E3F-B879-9B2B154883DE}"/>
            </c:ext>
          </c:extLst>
        </c:ser>
        <c:ser>
          <c:idx val="4"/>
          <c:order val="4"/>
          <c:tx>
            <c:strRef>
              <c:f>Plot_Data!$BK$8</c:f>
              <c:strCache>
                <c:ptCount val="1"/>
                <c:pt idx="0">
                  <c:v>Vertical tail: S = 26.2 m2, h = 6.7 m</c:v>
                </c:pt>
              </c:strCache>
            </c:strRef>
          </c:tx>
          <c:spPr>
            <a:ln w="22000">
              <a:solidFill>
                <a:srgbClr val="7030A0"/>
              </a:solidFill>
              <a:prstDash val="solid"/>
            </a:ln>
          </c:spPr>
          <c:marker>
            <c:symbol val="none"/>
          </c:marker>
          <c:xVal>
            <c:numRef>
              <c:f>Plot_Data!$AC$21:$AC$25</c:f>
              <c:numCache>
                <c:formatCode>0.000</c:formatCode>
                <c:ptCount val="5"/>
                <c:pt idx="0">
                  <c:v>10.524635261689589</c:v>
                </c:pt>
                <c:pt idx="1">
                  <c:v>15.560176773717274</c:v>
                </c:pt>
                <c:pt idx="2">
                  <c:v>17.597048134347531</c:v>
                </c:pt>
                <c:pt idx="3">
                  <c:v>16.344267720633177</c:v>
                </c:pt>
                <c:pt idx="4">
                  <c:v>10.524635261689589</c:v>
                </c:pt>
              </c:numCache>
            </c:numRef>
          </c:xVal>
          <c:yVal>
            <c:numRef>
              <c:f>Plot_Data!$AE$21:$AE$25</c:f>
              <c:numCache>
                <c:formatCode>0.000</c:formatCode>
                <c:ptCount val="5"/>
                <c:pt idx="0">
                  <c:v>1.59274</c:v>
                </c:pt>
                <c:pt idx="1">
                  <c:v>8.2707682466377648</c:v>
                </c:pt>
                <c:pt idx="2">
                  <c:v>8.2707682466377648</c:v>
                </c:pt>
                <c:pt idx="3">
                  <c:v>1.59274</c:v>
                </c:pt>
                <c:pt idx="4">
                  <c:v>1.59274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D1D-4E3F-B879-9B2B154883DE}"/>
            </c:ext>
          </c:extLst>
        </c:ser>
        <c:ser>
          <c:idx val="5"/>
          <c:order val="5"/>
          <c:tx>
            <c:strRef>
              <c:f>Plot_Data!$BK$9</c:f>
              <c:strCache>
                <c:ptCount val="1"/>
                <c:pt idx="0">
                  <c:v>2 engines: 95 kN each, nacelle 4.3 x 2.2 m</c:v>
                </c:pt>
              </c:strCache>
            </c:strRef>
          </c:tx>
          <c:spPr>
            <a:ln w="22000">
              <a:solidFill>
                <a:srgbClr val="C00000"/>
              </a:solidFill>
              <a:prstDash val="solid"/>
            </a:ln>
          </c:spPr>
          <c:marker>
            <c:symbol val="none"/>
          </c:marker>
          <c:xVal>
            <c:numRef>
              <c:f>Plot_Data!$AL$5:$AL$9</c:f>
              <c:numCache>
                <c:formatCode>0.000</c:formatCode>
                <c:ptCount val="5"/>
                <c:pt idx="0">
                  <c:v>-7.4249768198019375</c:v>
                </c:pt>
                <c:pt idx="1">
                  <c:v>-3.1011786900655132</c:v>
                </c:pt>
                <c:pt idx="2">
                  <c:v>-3.1011786900655132</c:v>
                </c:pt>
                <c:pt idx="3">
                  <c:v>-7.4249768198019375</c:v>
                </c:pt>
                <c:pt idx="4">
                  <c:v>-7.4249768198019375</c:v>
                </c:pt>
              </c:numCache>
            </c:numRef>
          </c:xVal>
          <c:yVal>
            <c:numRef>
              <c:f>Plot_Data!$AN$5:$AN$9</c:f>
              <c:numCache>
                <c:formatCode>0.000</c:formatCode>
                <c:ptCount val="5"/>
                <c:pt idx="0">
                  <c:v>-3.1238021677071828</c:v>
                </c:pt>
                <c:pt idx="1">
                  <c:v>-3.1238021677071828</c:v>
                </c:pt>
                <c:pt idx="2">
                  <c:v>-0.89121149722047099</c:v>
                </c:pt>
                <c:pt idx="3">
                  <c:v>-0.89121149722047099</c:v>
                </c:pt>
                <c:pt idx="4">
                  <c:v>-3.1238021677071828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D1D-4E3F-B879-9B2B154883DE}"/>
            </c:ext>
          </c:extLst>
        </c:ser>
        <c:ser>
          <c:idx val="6"/>
          <c:order val="6"/>
          <c:spPr>
            <a:ln w="22000">
              <a:solidFill>
                <a:srgbClr val="C00000"/>
              </a:solidFill>
              <a:prstDash val="solid"/>
            </a:ln>
          </c:spPr>
          <c:marker>
            <c:symbol val="none"/>
          </c:marker>
          <c:xVal>
            <c:numRef>
              <c:f>Plot_Data!$AL$11:$AL$15</c:f>
              <c:numCache>
                <c:formatCode>0.000</c:formatCode>
                <c:ptCount val="5"/>
                <c:pt idx="0">
                  <c:v>-7.4249768198019375</c:v>
                </c:pt>
                <c:pt idx="1">
                  <c:v>-3.1011786900655132</c:v>
                </c:pt>
                <c:pt idx="2">
                  <c:v>-3.1011786900655132</c:v>
                </c:pt>
                <c:pt idx="3">
                  <c:v>-7.4249768198019375</c:v>
                </c:pt>
                <c:pt idx="4">
                  <c:v>-7.4249768198019375</c:v>
                </c:pt>
              </c:numCache>
            </c:numRef>
          </c:xVal>
          <c:yVal>
            <c:numRef>
              <c:f>Plot_Data!$AN$11:$AN$15</c:f>
              <c:numCache>
                <c:formatCode>0.000</c:formatCode>
                <c:ptCount val="5"/>
                <c:pt idx="0">
                  <c:v>-3.1238021677071828</c:v>
                </c:pt>
                <c:pt idx="1">
                  <c:v>-3.1238021677071828</c:v>
                </c:pt>
                <c:pt idx="2">
                  <c:v>-0.89121149722047099</c:v>
                </c:pt>
                <c:pt idx="3">
                  <c:v>-0.89121149722047099</c:v>
                </c:pt>
                <c:pt idx="4">
                  <c:v>-3.1238021677071828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D1D-4E3F-B879-9B2B154883DE}"/>
            </c:ext>
          </c:extLst>
        </c:ser>
        <c:ser>
          <c:idx val="7"/>
          <c:order val="7"/>
          <c:spPr>
            <a:ln w="22000">
              <a:solidFill>
                <a:srgbClr val="C00000"/>
              </a:solidFill>
              <a:prstDash val="solid"/>
            </a:ln>
          </c:spPr>
          <c:marker>
            <c:symbol val="none"/>
          </c:marker>
          <c:xVal>
            <c:numRef>
              <c:f>Plot_Data!$AL$17:$AL$21</c:f>
              <c:numCache>
                <c:formatCode>0.000</c:formatCode>
                <c:ptCount val="5"/>
                <c:pt idx="0">
                  <c:v>-7.4249768198019375</c:v>
                </c:pt>
                <c:pt idx="1">
                  <c:v>-3.1011786900655132</c:v>
                </c:pt>
                <c:pt idx="2">
                  <c:v>-3.1011786900655132</c:v>
                </c:pt>
                <c:pt idx="3">
                  <c:v>-7.4249768198019375</c:v>
                </c:pt>
                <c:pt idx="4">
                  <c:v>-7.4249768198019375</c:v>
                </c:pt>
              </c:numCache>
            </c:numRef>
          </c:xVal>
          <c:yVal>
            <c:numRef>
              <c:f>Plot_Data!$AN$17:$AN$21</c:f>
              <c:numCache>
                <c:formatCode>0.000</c:formatCode>
                <c:ptCount val="5"/>
                <c:pt idx="0">
                  <c:v>-3.1238021677071828</c:v>
                </c:pt>
                <c:pt idx="1">
                  <c:v>-3.1238021677071828</c:v>
                </c:pt>
                <c:pt idx="2">
                  <c:v>-0.89121149722047099</c:v>
                </c:pt>
                <c:pt idx="3">
                  <c:v>-0.89121149722047099</c:v>
                </c:pt>
                <c:pt idx="4">
                  <c:v>-3.1238021677071828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D1D-4E3F-B879-9B2B154883DE}"/>
            </c:ext>
          </c:extLst>
        </c:ser>
        <c:ser>
          <c:idx val="8"/>
          <c:order val="8"/>
          <c:spPr>
            <a:ln w="22000">
              <a:solidFill>
                <a:srgbClr val="C00000"/>
              </a:solidFill>
              <a:prstDash val="solid"/>
            </a:ln>
          </c:spPr>
          <c:marker>
            <c:symbol val="none"/>
          </c:marker>
          <c:xVal>
            <c:numRef>
              <c:f>Plot_Data!$AL$23:$AL$27</c:f>
              <c:numCache>
                <c:formatCode>0.000</c:formatCode>
                <c:ptCount val="5"/>
                <c:pt idx="0">
                  <c:v>-7.4249768198019375</c:v>
                </c:pt>
                <c:pt idx="1">
                  <c:v>-3.1011786900655132</c:v>
                </c:pt>
                <c:pt idx="2">
                  <c:v>-3.1011786900655132</c:v>
                </c:pt>
                <c:pt idx="3">
                  <c:v>-7.4249768198019375</c:v>
                </c:pt>
                <c:pt idx="4">
                  <c:v>-7.4249768198019375</c:v>
                </c:pt>
              </c:numCache>
            </c:numRef>
          </c:xVal>
          <c:yVal>
            <c:numRef>
              <c:f>Plot_Data!$AN$23:$AN$27</c:f>
              <c:numCache>
                <c:formatCode>0.000</c:formatCode>
                <c:ptCount val="5"/>
                <c:pt idx="0">
                  <c:v>-3.1238021677071828</c:v>
                </c:pt>
                <c:pt idx="1">
                  <c:v>-3.1238021677071828</c:v>
                </c:pt>
                <c:pt idx="2">
                  <c:v>-0.89121149722047099</c:v>
                </c:pt>
                <c:pt idx="3">
                  <c:v>-0.89121149722047099</c:v>
                </c:pt>
                <c:pt idx="4">
                  <c:v>-3.1238021677071828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D1D-4E3F-B879-9B2B154883DE}"/>
            </c:ext>
          </c:extLst>
        </c:ser>
        <c:ser>
          <c:idx val="9"/>
          <c:order val="9"/>
          <c:tx>
            <c:strRef>
              <c:f>Plot_Data!$BK$16</c:f>
              <c:strCache>
                <c:ptCount val="1"/>
                <c:pt idx="0">
                  <c:v>Main gear: 2 x 2 wheels, tyre 1.15 m, wheelbase 13.5 m</c:v>
                </c:pt>
              </c:strCache>
            </c:strRef>
          </c:tx>
          <c:spPr>
            <a:ln w="180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Plot_Data!$AP$5:$AP$18</c:f>
              <c:numCache>
                <c:formatCode>0.000</c:formatCode>
                <c:ptCount val="14"/>
                <c:pt idx="0">
                  <c:v>-0.30456748022266567</c:v>
                </c:pt>
                <c:pt idx="1">
                  <c:v>-0.59269007090413706</c:v>
                </c:pt>
                <c:pt idx="2">
                  <c:v>-0.80361309463841502</c:v>
                </c:pt>
                <c:pt idx="3">
                  <c:v>-0.88081266158560845</c:v>
                </c:pt>
                <c:pt idx="4">
                  <c:v>-0.80361309463841502</c:v>
                </c:pt>
                <c:pt idx="5">
                  <c:v>-0.59269007090413706</c:v>
                </c:pt>
                <c:pt idx="6">
                  <c:v>-0.30456748022266567</c:v>
                </c:pt>
                <c:pt idx="7">
                  <c:v>-1.6444889541194274E-2</c:v>
                </c:pt>
                <c:pt idx="8">
                  <c:v>0.19447813419308363</c:v>
                </c:pt>
                <c:pt idx="9">
                  <c:v>0.27167770114027712</c:v>
                </c:pt>
                <c:pt idx="10">
                  <c:v>0.19447813419308363</c:v>
                </c:pt>
                <c:pt idx="11">
                  <c:v>-1.6444889541194274E-2</c:v>
                </c:pt>
                <c:pt idx="12">
                  <c:v>-0.30456748022266567</c:v>
                </c:pt>
                <c:pt idx="13">
                  <c:v>-0.30456748022266567</c:v>
                </c:pt>
              </c:numCache>
            </c:numRef>
          </c:xVal>
          <c:yVal>
            <c:numRef>
              <c:f>Plot_Data!$AQ$5:$AQ$18</c:f>
              <c:numCache>
                <c:formatCode>0.000</c:formatCode>
                <c:ptCount val="14"/>
                <c:pt idx="0">
                  <c:v>-2.5108116372741147</c:v>
                </c:pt>
                <c:pt idx="1">
                  <c:v>-2.5880112042213081</c:v>
                </c:pt>
                <c:pt idx="2">
                  <c:v>-2.798934227955586</c:v>
                </c:pt>
                <c:pt idx="3">
                  <c:v>-3.0870568186370573</c:v>
                </c:pt>
                <c:pt idx="4">
                  <c:v>-3.3751794093185286</c:v>
                </c:pt>
                <c:pt idx="5">
                  <c:v>-3.5861024330528064</c:v>
                </c:pt>
                <c:pt idx="6">
                  <c:v>-3.6633019999999998</c:v>
                </c:pt>
                <c:pt idx="7">
                  <c:v>-3.5861024330528064</c:v>
                </c:pt>
                <c:pt idx="8">
                  <c:v>-3.3751794093185286</c:v>
                </c:pt>
                <c:pt idx="9">
                  <c:v>-3.0870568186370573</c:v>
                </c:pt>
                <c:pt idx="10">
                  <c:v>-2.798934227955586</c:v>
                </c:pt>
                <c:pt idx="11">
                  <c:v>-2.5880112042213081</c:v>
                </c:pt>
                <c:pt idx="12">
                  <c:v>-2.5108116372741147</c:v>
                </c:pt>
                <c:pt idx="13">
                  <c:v>-1.1945549999999998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D1D-4E3F-B879-9B2B154883DE}"/>
            </c:ext>
          </c:extLst>
        </c:ser>
        <c:ser>
          <c:idx val="10"/>
          <c:order val="10"/>
          <c:tx>
            <c:strRef>
              <c:f>Plot_Data!$BK$17</c:f>
              <c:strCache>
                <c:ptCount val="1"/>
                <c:pt idx="0">
                  <c:v>Nose gear: 2 wheels, tyre 0.75 m</c:v>
                </c:pt>
              </c:strCache>
            </c:strRef>
          </c:tx>
          <c:spPr>
            <a:ln w="18000">
              <a:solidFill>
                <a:srgbClr val="7F7F7F"/>
              </a:solidFill>
              <a:prstDash val="solid"/>
            </a:ln>
          </c:spPr>
          <c:marker>
            <c:symbol val="none"/>
          </c:marker>
          <c:xVal>
            <c:numRef>
              <c:f>Plot_Data!$AP$20:$AP$33</c:f>
              <c:numCache>
                <c:formatCode>0.000</c:formatCode>
                <c:ptCount val="14"/>
                <c:pt idx="0">
                  <c:v>-13.840532280222666</c:v>
                </c:pt>
                <c:pt idx="1">
                  <c:v>-14.027811964165622</c:v>
                </c:pt>
                <c:pt idx="2">
                  <c:v>-14.164911929592902</c:v>
                </c:pt>
                <c:pt idx="3">
                  <c:v>-14.215091648108579</c:v>
                </c:pt>
                <c:pt idx="4">
                  <c:v>-14.164911929592902</c:v>
                </c:pt>
                <c:pt idx="5">
                  <c:v>-14.027811964165622</c:v>
                </c:pt>
                <c:pt idx="6">
                  <c:v>-13.840532280222666</c:v>
                </c:pt>
                <c:pt idx="7">
                  <c:v>-13.65325259627971</c:v>
                </c:pt>
                <c:pt idx="8">
                  <c:v>-13.51615263085243</c:v>
                </c:pt>
                <c:pt idx="9">
                  <c:v>-13.465972912336753</c:v>
                </c:pt>
                <c:pt idx="10">
                  <c:v>-13.51615263085243</c:v>
                </c:pt>
                <c:pt idx="11">
                  <c:v>-13.65325259627971</c:v>
                </c:pt>
                <c:pt idx="12">
                  <c:v>-13.840532280222666</c:v>
                </c:pt>
                <c:pt idx="13">
                  <c:v>-13.840532280222666</c:v>
                </c:pt>
              </c:numCache>
            </c:numRef>
          </c:xVal>
          <c:yVal>
            <c:numRef>
              <c:f>Plot_Data!$AQ$20:$AQ$33</c:f>
              <c:numCache>
                <c:formatCode>0.000</c:formatCode>
                <c:ptCount val="14"/>
                <c:pt idx="0">
                  <c:v>-2.914183264228174</c:v>
                </c:pt>
                <c:pt idx="1">
                  <c:v>-2.9643629827438498</c:v>
                </c:pt>
                <c:pt idx="2">
                  <c:v>-3.1014629481711307</c:v>
                </c:pt>
                <c:pt idx="3">
                  <c:v>-3.2887426321140869</c:v>
                </c:pt>
                <c:pt idx="4">
                  <c:v>-3.4760223160570431</c:v>
                </c:pt>
                <c:pt idx="5">
                  <c:v>-3.613122281484324</c:v>
                </c:pt>
                <c:pt idx="6">
                  <c:v>-3.6633019999999998</c:v>
                </c:pt>
                <c:pt idx="7">
                  <c:v>-3.613122281484324</c:v>
                </c:pt>
                <c:pt idx="8">
                  <c:v>-3.4760223160570431</c:v>
                </c:pt>
                <c:pt idx="9">
                  <c:v>-3.2887426321140869</c:v>
                </c:pt>
                <c:pt idx="10">
                  <c:v>-3.1014629481711307</c:v>
                </c:pt>
                <c:pt idx="11">
                  <c:v>-2.9643629827438498</c:v>
                </c:pt>
                <c:pt idx="12">
                  <c:v>-2.914183264228174</c:v>
                </c:pt>
                <c:pt idx="13">
                  <c:v>-1.3936474999999997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D1D-4E3F-B879-9B2B154883DE}"/>
            </c:ext>
          </c:extLst>
        </c:ser>
        <c:ser>
          <c:idx val="11"/>
          <c:order val="11"/>
          <c:tx>
            <c:strRef>
              <c:f>Plot_Data!$BK$18</c:f>
              <c:strCache>
                <c:ptCount val="1"/>
                <c:pt idx="0">
                  <c:v>Ground</c:v>
                </c:pt>
              </c:strCache>
            </c:strRef>
          </c:tx>
          <c:spPr>
            <a:ln w="12000">
              <a:solidFill>
                <a:srgbClr val="00B050"/>
              </a:solidFill>
              <a:prstDash val="solid"/>
            </a:ln>
          </c:spPr>
          <c:marker>
            <c:symbol val="none"/>
          </c:marker>
          <c:xVal>
            <c:numRef>
              <c:f>Plot_Data!$AP$35:$AP$36</c:f>
              <c:numCache>
                <c:formatCode>0.000</c:formatCode>
                <c:ptCount val="2"/>
                <c:pt idx="0">
                  <c:v>-18.807866879999999</c:v>
                </c:pt>
                <c:pt idx="1">
                  <c:v>18.807866879999999</c:v>
                </c:pt>
              </c:numCache>
            </c:numRef>
          </c:xVal>
          <c:yVal>
            <c:numRef>
              <c:f>Plot_Data!$AQ$35:$AQ$36</c:f>
              <c:numCache>
                <c:formatCode>0.000</c:formatCode>
                <c:ptCount val="2"/>
                <c:pt idx="0">
                  <c:v>-3.6633019999999998</c:v>
                </c:pt>
                <c:pt idx="1">
                  <c:v>-3.6633019999999998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D1D-4E3F-B879-9B2B154883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x from fuselage mid-length (m)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low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z (m)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low"/>
        <c:crossAx val="10"/>
        <c:crosses val="autoZero"/>
        <c:crossBetween val="midCat"/>
      </c:valAx>
    </c:plotArea>
    <c:legend>
      <c:legendPos val="r"/>
      <c:legendEntry>
        <c:idx val="0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Payload-range diagram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Payload-range boundary</c:v>
          </c:tx>
          <c:spPr>
            <a:ln w="25000">
              <a:solidFill>
                <a:srgbClr val="0070C0"/>
              </a:solidFill>
              <a:prstDash val="solid"/>
            </a:ln>
          </c:spPr>
          <c:marker>
            <c:symbol val="circle"/>
            <c:size val="8"/>
            <c:spPr>
              <a:solidFill>
                <a:srgbClr val="0070C0"/>
              </a:solidFill>
              <a:ln>
                <a:solidFill>
                  <a:srgbClr val="0070C0"/>
                </a:solidFill>
                <a:prstDash val="solid"/>
              </a:ln>
            </c:spPr>
          </c:marker>
          <c:xVal>
            <c:numRef>
              <c:f>Design!$C$216:$C$219</c:f>
              <c:numCache>
                <c:formatCode>#,##0</c:formatCode>
                <c:ptCount val="4"/>
                <c:pt idx="0">
                  <c:v>0</c:v>
                </c:pt>
                <c:pt idx="1">
                  <c:v>3590.0086218269566</c:v>
                </c:pt>
                <c:pt idx="2">
                  <c:v>5000</c:v>
                </c:pt>
                <c:pt idx="3">
                  <c:v>7485.7559782027347</c:v>
                </c:pt>
              </c:numCache>
            </c:numRef>
          </c:xVal>
          <c:yVal>
            <c:numRef>
              <c:f>Design!$D$216:$D$219</c:f>
              <c:numCache>
                <c:formatCode>#,##0</c:formatCode>
                <c:ptCount val="4"/>
                <c:pt idx="0">
                  <c:v>17500</c:v>
                </c:pt>
                <c:pt idx="1">
                  <c:v>17500</c:v>
                </c:pt>
                <c:pt idx="2">
                  <c:v>14250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15-4418-84A8-65503DFA7C54}"/>
            </c:ext>
          </c:extLst>
        </c:ser>
        <c:ser>
          <c:idx val="1"/>
          <c:order val="1"/>
          <c:tx>
            <c:strRef>
              <c:f>Plot_Data!$BK$19</c:f>
              <c:strCache>
                <c:ptCount val="1"/>
                <c:pt idx="0">
                  <c:v>Design mission: 5,000 km with 14,250 kg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diamond"/>
            <c:size val="11"/>
            <c:spPr>
              <a:solidFill>
                <a:srgbClr val="C00000"/>
              </a:solidFill>
              <a:ln>
                <a:solidFill>
                  <a:srgbClr val="C00000"/>
                </a:solidFill>
                <a:prstDash val="solid"/>
              </a:ln>
            </c:spPr>
          </c:marker>
          <c:xVal>
            <c:numRef>
              <c:f>Design!$E$210</c:f>
              <c:numCache>
                <c:formatCode>#,##0</c:formatCode>
                <c:ptCount val="1"/>
                <c:pt idx="0">
                  <c:v>5000</c:v>
                </c:pt>
              </c:numCache>
            </c:numRef>
          </c:xVal>
          <c:yVal>
            <c:numRef>
              <c:f>Design!$D$210</c:f>
              <c:numCache>
                <c:formatCode>#,##0</c:formatCode>
                <c:ptCount val="1"/>
                <c:pt idx="0">
                  <c:v>14250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C15-4418-84A8-65503DFA7C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Range (km)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low"/>
        <c:crossAx val="20"/>
        <c:crosses val="autoZero"/>
        <c:crossBetween val="midCat"/>
      </c:valAx>
      <c:valAx>
        <c:axId val="20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Payload (kg)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low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Front view - dihedral, engines and landing gear (to scale)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0000000000000007E-2"/>
          <c:y val="0.09"/>
          <c:w val="0.54923076923076919"/>
          <c:h val="0.84"/>
        </c:manualLayout>
      </c:layout>
      <c:scatterChart>
        <c:scatterStyle val="lineMarker"/>
        <c:varyColors val="0"/>
        <c:ser>
          <c:idx val="0"/>
          <c:order val="0"/>
          <c:spPr>
            <a:ln>
              <a:noFill/>
              <a:prstDash val="solid"/>
            </a:ln>
          </c:spPr>
          <c:marker>
            <c:symbol val="none"/>
          </c:marker>
          <c:xVal>
            <c:numRef>
              <c:f>Plot_Data!$AS$5:$AS$6</c:f>
              <c:numCache>
                <c:formatCode>0.000</c:formatCode>
                <c:ptCount val="2"/>
                <c:pt idx="0">
                  <c:v>-19.591528</c:v>
                </c:pt>
                <c:pt idx="1">
                  <c:v>19.591528</c:v>
                </c:pt>
              </c:numCache>
            </c:numRef>
          </c:xVal>
          <c:yVal>
            <c:numRef>
              <c:f>Plot_Data!$AT$5:$AT$6</c:f>
              <c:numCache>
                <c:formatCode>0.000</c:formatCode>
                <c:ptCount val="2"/>
                <c:pt idx="0">
                  <c:v>-19.591528</c:v>
                </c:pt>
                <c:pt idx="1">
                  <c:v>19.591528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76-409E-9FE1-4F4F55F569D7}"/>
            </c:ext>
          </c:extLst>
        </c:ser>
        <c:ser>
          <c:idx val="1"/>
          <c:order val="1"/>
          <c:tx>
            <c:strRef>
              <c:f>Plot_Data!$BK$5</c:f>
              <c:strCache>
                <c:ptCount val="1"/>
                <c:pt idx="0">
                  <c:v>Fuselage: L = 35.6 m, d = 3.98 m</c:v>
                </c:pt>
              </c:strCache>
            </c:strRef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xVal>
            <c:numRef>
              <c:f>Plot_Data!$DX$5:$DX$29</c:f>
              <c:numCache>
                <c:formatCode>0.000</c:formatCode>
                <c:ptCount val="25"/>
                <c:pt idx="0">
                  <c:v>1.9909249999999998</c:v>
                </c:pt>
                <c:pt idx="1">
                  <c:v>1.9230941852499996</c:v>
                </c:pt>
                <c:pt idx="2">
                  <c:v>1.7242007777499997</c:v>
                </c:pt>
                <c:pt idx="3">
                  <c:v>1.40780297675</c:v>
                </c:pt>
                <c:pt idx="4">
                  <c:v>0.99546249999999992</c:v>
                </c:pt>
                <c:pt idx="5">
                  <c:v>0.51529120849999999</c:v>
                </c:pt>
                <c:pt idx="6">
                  <c:v>0</c:v>
                </c:pt>
                <c:pt idx="7">
                  <c:v>-0.51529120849999999</c:v>
                </c:pt>
                <c:pt idx="8">
                  <c:v>-0.99546249999999992</c:v>
                </c:pt>
                <c:pt idx="9">
                  <c:v>-1.40780297675</c:v>
                </c:pt>
                <c:pt idx="10">
                  <c:v>-1.7242007777499997</c:v>
                </c:pt>
                <c:pt idx="11">
                  <c:v>-1.9230941852499996</c:v>
                </c:pt>
                <c:pt idx="12">
                  <c:v>-1.9909249999999998</c:v>
                </c:pt>
                <c:pt idx="13">
                  <c:v>-1.9230941852499996</c:v>
                </c:pt>
                <c:pt idx="14">
                  <c:v>-1.7242007777499997</c:v>
                </c:pt>
                <c:pt idx="15">
                  <c:v>-1.40780297675</c:v>
                </c:pt>
                <c:pt idx="16">
                  <c:v>-0.99546249999999992</c:v>
                </c:pt>
                <c:pt idx="17">
                  <c:v>-0.51529120849999999</c:v>
                </c:pt>
                <c:pt idx="18">
                  <c:v>0</c:v>
                </c:pt>
                <c:pt idx="19">
                  <c:v>0.51529120849999999</c:v>
                </c:pt>
                <c:pt idx="20">
                  <c:v>0.99546249999999992</c:v>
                </c:pt>
                <c:pt idx="21">
                  <c:v>1.40780297675</c:v>
                </c:pt>
                <c:pt idx="22">
                  <c:v>1.7242007777499997</c:v>
                </c:pt>
                <c:pt idx="23">
                  <c:v>1.9230941852499996</c:v>
                </c:pt>
                <c:pt idx="24">
                  <c:v>1.9909249999999998</c:v>
                </c:pt>
              </c:numCache>
            </c:numRef>
          </c:xVal>
          <c:yVal>
            <c:numRef>
              <c:f>Plot_Data!$DY$5:$DY$29</c:f>
              <c:numCache>
                <c:formatCode>0.000</c:formatCode>
                <c:ptCount val="25"/>
                <c:pt idx="0">
                  <c:v>0</c:v>
                </c:pt>
                <c:pt idx="1">
                  <c:v>0.51529120849999999</c:v>
                </c:pt>
                <c:pt idx="2">
                  <c:v>0.99546249999999992</c:v>
                </c:pt>
                <c:pt idx="3">
                  <c:v>1.40780297675</c:v>
                </c:pt>
                <c:pt idx="4">
                  <c:v>1.7242007777499997</c:v>
                </c:pt>
                <c:pt idx="5">
                  <c:v>1.9230941852499996</c:v>
                </c:pt>
                <c:pt idx="6">
                  <c:v>1.9909249999999998</c:v>
                </c:pt>
                <c:pt idx="7">
                  <c:v>1.9230941852499996</c:v>
                </c:pt>
                <c:pt idx="8">
                  <c:v>1.7242007777499997</c:v>
                </c:pt>
                <c:pt idx="9">
                  <c:v>1.40780297675</c:v>
                </c:pt>
                <c:pt idx="10">
                  <c:v>0.99546249999999992</c:v>
                </c:pt>
                <c:pt idx="11">
                  <c:v>0.51529120849999999</c:v>
                </c:pt>
                <c:pt idx="12">
                  <c:v>0</c:v>
                </c:pt>
                <c:pt idx="13">
                  <c:v>-0.51529120849999999</c:v>
                </c:pt>
                <c:pt idx="14">
                  <c:v>-0.99546249999999992</c:v>
                </c:pt>
                <c:pt idx="15">
                  <c:v>-1.40780297675</c:v>
                </c:pt>
                <c:pt idx="16">
                  <c:v>-1.7242007777499997</c:v>
                </c:pt>
                <c:pt idx="17">
                  <c:v>-1.9230941852499996</c:v>
                </c:pt>
                <c:pt idx="18">
                  <c:v>-1.9909249999999998</c:v>
                </c:pt>
                <c:pt idx="19">
                  <c:v>-1.9230941852499996</c:v>
                </c:pt>
                <c:pt idx="20">
                  <c:v>-1.7242007777499997</c:v>
                </c:pt>
                <c:pt idx="21">
                  <c:v>-1.40780297675</c:v>
                </c:pt>
                <c:pt idx="22">
                  <c:v>-0.99546249999999992</c:v>
                </c:pt>
                <c:pt idx="23">
                  <c:v>-0.51529120849999999</c:v>
                </c:pt>
                <c:pt idx="2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E76-409E-9FE1-4F4F55F569D7}"/>
            </c:ext>
          </c:extLst>
        </c:ser>
        <c:ser>
          <c:idx val="2"/>
          <c:order val="2"/>
          <c:tx>
            <c:strRef>
              <c:f>Plot_Data!$BK$6</c:f>
              <c:strCache>
                <c:ptCount val="1"/>
                <c:pt idx="0">
                  <c:v>Wing: S = 132.0 m2, b = 35.4 m, c/4 sweep 26 deg</c:v>
                </c:pt>
              </c:strCache>
            </c:strRef>
          </c:tx>
          <c:spPr>
            <a:ln w="22000">
              <a:solidFill>
                <a:srgbClr val="0070C0"/>
              </a:solidFill>
              <a:prstDash val="solid"/>
            </a:ln>
          </c:spPr>
          <c:marker>
            <c:symbol val="none"/>
          </c:marker>
          <c:xVal>
            <c:numRef>
              <c:f>Plot_Data!$DZ$5:$DZ$7</c:f>
              <c:numCache>
                <c:formatCode>0.000</c:formatCode>
                <c:ptCount val="3"/>
                <c:pt idx="0">
                  <c:v>-17.703220340896646</c:v>
                </c:pt>
                <c:pt idx="1">
                  <c:v>0</c:v>
                </c:pt>
                <c:pt idx="2">
                  <c:v>17.703220340896646</c:v>
                </c:pt>
              </c:numCache>
            </c:numRef>
          </c:xVal>
          <c:yVal>
            <c:numRef>
              <c:f>Plot_Data!$EA$5:$EA$7</c:f>
              <c:numCache>
                <c:formatCode>0.000</c:formatCode>
                <c:ptCount val="3"/>
                <c:pt idx="0">
                  <c:v>0.35427608773000063</c:v>
                </c:pt>
                <c:pt idx="1">
                  <c:v>-1.1945549999999998</c:v>
                </c:pt>
                <c:pt idx="2">
                  <c:v>0.35427608773000063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E76-409E-9FE1-4F4F55F569D7}"/>
            </c:ext>
          </c:extLst>
        </c:ser>
        <c:ser>
          <c:idx val="3"/>
          <c:order val="3"/>
          <c:tx>
            <c:strRef>
              <c:f>Plot_Data!$BK$7</c:f>
              <c:strCache>
                <c:ptCount val="1"/>
                <c:pt idx="0">
                  <c:v>Horizontal tail: S = 34.4 m2, b = 12.4 m</c:v>
                </c:pt>
              </c:strCache>
            </c:strRef>
          </c:tx>
          <c:spPr>
            <a:ln w="22000">
              <a:solidFill>
                <a:srgbClr val="008080"/>
              </a:solidFill>
              <a:prstDash val="solid"/>
            </a:ln>
          </c:spPr>
          <c:marker>
            <c:symbol val="none"/>
          </c:marker>
          <c:xVal>
            <c:numRef>
              <c:f>Plot_Data!$DZ$9:$DZ$10</c:f>
              <c:numCache>
                <c:formatCode>0.000</c:formatCode>
                <c:ptCount val="2"/>
                <c:pt idx="0">
                  <c:v>-6.2176462037157743</c:v>
                </c:pt>
                <c:pt idx="1">
                  <c:v>6.2176462037157743</c:v>
                </c:pt>
              </c:numCache>
            </c:numRef>
          </c:xVal>
          <c:yVal>
            <c:numRef>
              <c:f>Plot_Data!$EA$9:$EA$10</c:f>
              <c:numCache>
                <c:formatCode>0.000</c:formatCode>
                <c:ptCount val="2"/>
                <c:pt idx="0">
                  <c:v>1.1945549999999998</c:v>
                </c:pt>
                <c:pt idx="1">
                  <c:v>1.1945549999999998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E76-409E-9FE1-4F4F55F569D7}"/>
            </c:ext>
          </c:extLst>
        </c:ser>
        <c:ser>
          <c:idx val="4"/>
          <c:order val="4"/>
          <c:tx>
            <c:strRef>
              <c:f>Plot_Data!$BK$8</c:f>
              <c:strCache>
                <c:ptCount val="1"/>
                <c:pt idx="0">
                  <c:v>Vertical tail: S = 26.2 m2, h = 6.7 m</c:v>
                </c:pt>
              </c:strCache>
            </c:strRef>
          </c:tx>
          <c:spPr>
            <a:ln w="22000">
              <a:solidFill>
                <a:srgbClr val="7030A0"/>
              </a:solidFill>
              <a:prstDash val="solid"/>
            </a:ln>
          </c:spPr>
          <c:marker>
            <c:symbol val="none"/>
          </c:marker>
          <c:xVal>
            <c:numRef>
              <c:f>Plot_Data!$DZ$12:$DZ$13</c:f>
              <c:numCache>
                <c:formatCode>0.000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Plot_Data!$EA$12:$EA$13</c:f>
              <c:numCache>
                <c:formatCode>0.000</c:formatCode>
                <c:ptCount val="2"/>
                <c:pt idx="0">
                  <c:v>1.59274</c:v>
                </c:pt>
                <c:pt idx="1">
                  <c:v>8.2707682466377648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E76-409E-9FE1-4F4F55F569D7}"/>
            </c:ext>
          </c:extLst>
        </c:ser>
        <c:ser>
          <c:idx val="5"/>
          <c:order val="5"/>
          <c:tx>
            <c:strRef>
              <c:f>Plot_Data!$BK$9</c:f>
              <c:strCache>
                <c:ptCount val="1"/>
                <c:pt idx="0">
                  <c:v>2 engines: 95 kN each, nacelle 4.3 x 2.2 m</c:v>
                </c:pt>
              </c:strCache>
            </c:strRef>
          </c:tx>
          <c:spPr>
            <a:ln w="22000">
              <a:solidFill>
                <a:srgbClr val="C00000"/>
              </a:solidFill>
              <a:prstDash val="solid"/>
            </a:ln>
          </c:spPr>
          <c:marker>
            <c:symbol val="none"/>
          </c:marker>
          <c:xVal>
            <c:numRef>
              <c:f>Plot_Data!$EB$5:$EB$17</c:f>
              <c:numCache>
                <c:formatCode>0.000</c:formatCode>
                <c:ptCount val="13"/>
                <c:pt idx="0">
                  <c:v>7.1353902511482161</c:v>
                </c:pt>
                <c:pt idx="1">
                  <c:v>6.9858401650856639</c:v>
                </c:pt>
                <c:pt idx="2">
                  <c:v>6.5772425835265382</c:v>
                </c:pt>
                <c:pt idx="3">
                  <c:v>6.0190949159048603</c:v>
                </c:pt>
                <c:pt idx="4">
                  <c:v>5.4609472482831825</c:v>
                </c:pt>
                <c:pt idx="5">
                  <c:v>5.0523496667240568</c:v>
                </c:pt>
                <c:pt idx="6">
                  <c:v>4.9027995806615046</c:v>
                </c:pt>
                <c:pt idx="7">
                  <c:v>5.0523496667240568</c:v>
                </c:pt>
                <c:pt idx="8">
                  <c:v>5.4609472482831825</c:v>
                </c:pt>
                <c:pt idx="9">
                  <c:v>6.0190949159048603</c:v>
                </c:pt>
                <c:pt idx="10">
                  <c:v>6.5772425835265382</c:v>
                </c:pt>
                <c:pt idx="11">
                  <c:v>6.9858401650856639</c:v>
                </c:pt>
                <c:pt idx="12">
                  <c:v>7.1353902511482161</c:v>
                </c:pt>
              </c:numCache>
            </c:numRef>
          </c:xVal>
          <c:yVal>
            <c:numRef>
              <c:f>Plot_Data!$EC$5:$EC$17</c:f>
              <c:numCache>
                <c:formatCode>0.000</c:formatCode>
                <c:ptCount val="13"/>
                <c:pt idx="0">
                  <c:v>-2.007506832463827</c:v>
                </c:pt>
                <c:pt idx="1">
                  <c:v>-1.4493591648421491</c:v>
                </c:pt>
                <c:pt idx="2">
                  <c:v>-1.0407615832830235</c:v>
                </c:pt>
                <c:pt idx="3">
                  <c:v>-0.89121149722047099</c:v>
                </c:pt>
                <c:pt idx="4">
                  <c:v>-1.0407615832830235</c:v>
                </c:pt>
                <c:pt idx="5">
                  <c:v>-1.4493591648421491</c:v>
                </c:pt>
                <c:pt idx="6">
                  <c:v>-2.007506832463827</c:v>
                </c:pt>
                <c:pt idx="7">
                  <c:v>-2.5656545000855049</c:v>
                </c:pt>
                <c:pt idx="8">
                  <c:v>-2.9742520816446305</c:v>
                </c:pt>
                <c:pt idx="9">
                  <c:v>-3.1238021677071828</c:v>
                </c:pt>
                <c:pt idx="10">
                  <c:v>-2.9742520816446305</c:v>
                </c:pt>
                <c:pt idx="11">
                  <c:v>-2.5656545000855049</c:v>
                </c:pt>
                <c:pt idx="12">
                  <c:v>-2.007506832463827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E76-409E-9FE1-4F4F55F569D7}"/>
            </c:ext>
          </c:extLst>
        </c:ser>
        <c:ser>
          <c:idx val="6"/>
          <c:order val="6"/>
          <c:spPr>
            <a:ln w="22000">
              <a:solidFill>
                <a:srgbClr val="C00000"/>
              </a:solidFill>
              <a:prstDash val="solid"/>
            </a:ln>
          </c:spPr>
          <c:marker>
            <c:symbol val="none"/>
          </c:marker>
          <c:xVal>
            <c:numRef>
              <c:f>Plot_Data!$EB$19:$EB$31</c:f>
              <c:numCache>
                <c:formatCode>0.000</c:formatCode>
                <c:ptCount val="13"/>
                <c:pt idx="0">
                  <c:v>-4.9027995806615046</c:v>
                </c:pt>
                <c:pt idx="1">
                  <c:v>-5.0523496667240568</c:v>
                </c:pt>
                <c:pt idx="2">
                  <c:v>-5.4609472482831825</c:v>
                </c:pt>
                <c:pt idx="3">
                  <c:v>-6.0190949159048603</c:v>
                </c:pt>
                <c:pt idx="4">
                  <c:v>-6.5772425835265382</c:v>
                </c:pt>
                <c:pt idx="5">
                  <c:v>-6.9858401650856639</c:v>
                </c:pt>
                <c:pt idx="6">
                  <c:v>-7.1353902511482161</c:v>
                </c:pt>
                <c:pt idx="7">
                  <c:v>-6.9858401650856639</c:v>
                </c:pt>
                <c:pt idx="8">
                  <c:v>-6.5772425835265382</c:v>
                </c:pt>
                <c:pt idx="9">
                  <c:v>-6.0190949159048603</c:v>
                </c:pt>
                <c:pt idx="10">
                  <c:v>-5.4609472482831825</c:v>
                </c:pt>
                <c:pt idx="11">
                  <c:v>-5.0523496667240568</c:v>
                </c:pt>
                <c:pt idx="12">
                  <c:v>-4.9027995806615046</c:v>
                </c:pt>
              </c:numCache>
            </c:numRef>
          </c:xVal>
          <c:yVal>
            <c:numRef>
              <c:f>Plot_Data!$EC$19:$EC$31</c:f>
              <c:numCache>
                <c:formatCode>0.000</c:formatCode>
                <c:ptCount val="13"/>
                <c:pt idx="0">
                  <c:v>-2.007506832463827</c:v>
                </c:pt>
                <c:pt idx="1">
                  <c:v>-1.4493591648421491</c:v>
                </c:pt>
                <c:pt idx="2">
                  <c:v>-1.0407615832830235</c:v>
                </c:pt>
                <c:pt idx="3">
                  <c:v>-0.89121149722047099</c:v>
                </c:pt>
                <c:pt idx="4">
                  <c:v>-1.0407615832830235</c:v>
                </c:pt>
                <c:pt idx="5">
                  <c:v>-1.4493591648421491</c:v>
                </c:pt>
                <c:pt idx="6">
                  <c:v>-2.007506832463827</c:v>
                </c:pt>
                <c:pt idx="7">
                  <c:v>-2.5656545000855049</c:v>
                </c:pt>
                <c:pt idx="8">
                  <c:v>-2.9742520816446305</c:v>
                </c:pt>
                <c:pt idx="9">
                  <c:v>-3.1238021677071828</c:v>
                </c:pt>
                <c:pt idx="10">
                  <c:v>-2.9742520816446305</c:v>
                </c:pt>
                <c:pt idx="11">
                  <c:v>-2.5656545000855049</c:v>
                </c:pt>
                <c:pt idx="12">
                  <c:v>-2.007506832463827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E76-409E-9FE1-4F4F55F569D7}"/>
            </c:ext>
          </c:extLst>
        </c:ser>
        <c:ser>
          <c:idx val="7"/>
          <c:order val="7"/>
          <c:spPr>
            <a:ln w="22000">
              <a:solidFill>
                <a:srgbClr val="C00000"/>
              </a:solidFill>
              <a:prstDash val="solid"/>
            </a:ln>
          </c:spPr>
          <c:marker>
            <c:symbol val="none"/>
          </c:marker>
          <c:xVal>
            <c:numRef>
              <c:f>Plot_Data!$EB$33:$EB$45</c:f>
              <c:numCache>
                <c:formatCode>0.000</c:formatCode>
                <c:ptCount val="13"/>
                <c:pt idx="0">
                  <c:v>7.1353902511482161</c:v>
                </c:pt>
                <c:pt idx="1">
                  <c:v>6.9858401650856639</c:v>
                </c:pt>
                <c:pt idx="2">
                  <c:v>6.5772425835265382</c:v>
                </c:pt>
                <c:pt idx="3">
                  <c:v>6.0190949159048603</c:v>
                </c:pt>
                <c:pt idx="4">
                  <c:v>5.4609472482831825</c:v>
                </c:pt>
                <c:pt idx="5">
                  <c:v>5.0523496667240568</c:v>
                </c:pt>
                <c:pt idx="6">
                  <c:v>4.9027995806615046</c:v>
                </c:pt>
                <c:pt idx="7">
                  <c:v>5.0523496667240568</c:v>
                </c:pt>
                <c:pt idx="8">
                  <c:v>5.4609472482831825</c:v>
                </c:pt>
                <c:pt idx="9">
                  <c:v>6.0190949159048603</c:v>
                </c:pt>
                <c:pt idx="10">
                  <c:v>6.5772425835265382</c:v>
                </c:pt>
                <c:pt idx="11">
                  <c:v>6.9858401650856639</c:v>
                </c:pt>
                <c:pt idx="12">
                  <c:v>7.1353902511482161</c:v>
                </c:pt>
              </c:numCache>
            </c:numRef>
          </c:xVal>
          <c:yVal>
            <c:numRef>
              <c:f>Plot_Data!$EC$33:$EC$45</c:f>
              <c:numCache>
                <c:formatCode>0.000</c:formatCode>
                <c:ptCount val="13"/>
                <c:pt idx="0">
                  <c:v>-2.007506832463827</c:v>
                </c:pt>
                <c:pt idx="1">
                  <c:v>-1.4493591648421491</c:v>
                </c:pt>
                <c:pt idx="2">
                  <c:v>-1.0407615832830235</c:v>
                </c:pt>
                <c:pt idx="3">
                  <c:v>-0.89121149722047099</c:v>
                </c:pt>
                <c:pt idx="4">
                  <c:v>-1.0407615832830235</c:v>
                </c:pt>
                <c:pt idx="5">
                  <c:v>-1.4493591648421491</c:v>
                </c:pt>
                <c:pt idx="6">
                  <c:v>-2.007506832463827</c:v>
                </c:pt>
                <c:pt idx="7">
                  <c:v>-2.5656545000855049</c:v>
                </c:pt>
                <c:pt idx="8">
                  <c:v>-2.9742520816446305</c:v>
                </c:pt>
                <c:pt idx="9">
                  <c:v>-3.1238021677071828</c:v>
                </c:pt>
                <c:pt idx="10">
                  <c:v>-2.9742520816446305</c:v>
                </c:pt>
                <c:pt idx="11">
                  <c:v>-2.5656545000855049</c:v>
                </c:pt>
                <c:pt idx="12">
                  <c:v>-2.007506832463827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E76-409E-9FE1-4F4F55F569D7}"/>
            </c:ext>
          </c:extLst>
        </c:ser>
        <c:ser>
          <c:idx val="8"/>
          <c:order val="8"/>
          <c:spPr>
            <a:ln w="22000">
              <a:solidFill>
                <a:srgbClr val="C00000"/>
              </a:solidFill>
              <a:prstDash val="solid"/>
            </a:ln>
          </c:spPr>
          <c:marker>
            <c:symbol val="none"/>
          </c:marker>
          <c:xVal>
            <c:numRef>
              <c:f>Plot_Data!$EB$47:$EB$59</c:f>
              <c:numCache>
                <c:formatCode>0.000</c:formatCode>
                <c:ptCount val="13"/>
                <c:pt idx="0">
                  <c:v>-4.9027995806615046</c:v>
                </c:pt>
                <c:pt idx="1">
                  <c:v>-5.0523496667240568</c:v>
                </c:pt>
                <c:pt idx="2">
                  <c:v>-5.4609472482831825</c:v>
                </c:pt>
                <c:pt idx="3">
                  <c:v>-6.0190949159048603</c:v>
                </c:pt>
                <c:pt idx="4">
                  <c:v>-6.5772425835265382</c:v>
                </c:pt>
                <c:pt idx="5">
                  <c:v>-6.9858401650856639</c:v>
                </c:pt>
                <c:pt idx="6">
                  <c:v>-7.1353902511482161</c:v>
                </c:pt>
                <c:pt idx="7">
                  <c:v>-6.9858401650856639</c:v>
                </c:pt>
                <c:pt idx="8">
                  <c:v>-6.5772425835265382</c:v>
                </c:pt>
                <c:pt idx="9">
                  <c:v>-6.0190949159048603</c:v>
                </c:pt>
                <c:pt idx="10">
                  <c:v>-5.4609472482831825</c:v>
                </c:pt>
                <c:pt idx="11">
                  <c:v>-5.0523496667240568</c:v>
                </c:pt>
                <c:pt idx="12">
                  <c:v>-4.9027995806615046</c:v>
                </c:pt>
              </c:numCache>
            </c:numRef>
          </c:xVal>
          <c:yVal>
            <c:numRef>
              <c:f>Plot_Data!$EC$47:$EC$59</c:f>
              <c:numCache>
                <c:formatCode>0.000</c:formatCode>
                <c:ptCount val="13"/>
                <c:pt idx="0">
                  <c:v>-2.007506832463827</c:v>
                </c:pt>
                <c:pt idx="1">
                  <c:v>-1.4493591648421491</c:v>
                </c:pt>
                <c:pt idx="2">
                  <c:v>-1.0407615832830235</c:v>
                </c:pt>
                <c:pt idx="3">
                  <c:v>-0.89121149722047099</c:v>
                </c:pt>
                <c:pt idx="4">
                  <c:v>-1.0407615832830235</c:v>
                </c:pt>
                <c:pt idx="5">
                  <c:v>-1.4493591648421491</c:v>
                </c:pt>
                <c:pt idx="6">
                  <c:v>-2.007506832463827</c:v>
                </c:pt>
                <c:pt idx="7">
                  <c:v>-2.5656545000855049</c:v>
                </c:pt>
                <c:pt idx="8">
                  <c:v>-2.9742520816446305</c:v>
                </c:pt>
                <c:pt idx="9">
                  <c:v>-3.1238021677071828</c:v>
                </c:pt>
                <c:pt idx="10">
                  <c:v>-2.9742520816446305</c:v>
                </c:pt>
                <c:pt idx="11">
                  <c:v>-2.5656545000855049</c:v>
                </c:pt>
                <c:pt idx="12">
                  <c:v>-2.007506832463827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E76-409E-9FE1-4F4F55F569D7}"/>
            </c:ext>
          </c:extLst>
        </c:ser>
        <c:ser>
          <c:idx val="9"/>
          <c:order val="9"/>
          <c:tx>
            <c:strRef>
              <c:f>Plot_Data!$BK$16</c:f>
              <c:strCache>
                <c:ptCount val="1"/>
                <c:pt idx="0">
                  <c:v>Main gear: 2 x 2 wheels, tyre 1.15 m, wheelbase 13.5 m</c:v>
                </c:pt>
              </c:strCache>
            </c:strRef>
          </c:tx>
          <c:spPr>
            <a:ln w="180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Plot_Data!$ED$5:$ED$11</c:f>
              <c:numCache>
                <c:formatCode>0.000</c:formatCode>
                <c:ptCount val="7"/>
                <c:pt idx="0">
                  <c:v>-3.5406440681793292</c:v>
                </c:pt>
                <c:pt idx="1">
                  <c:v>-3.5406440681793292</c:v>
                </c:pt>
                <c:pt idx="2">
                  <c:v>-4.003909933027253</c:v>
                </c:pt>
                <c:pt idx="3">
                  <c:v>-4.003909933027253</c:v>
                </c:pt>
                <c:pt idx="4">
                  <c:v>-3.0773782033314054</c:v>
                </c:pt>
                <c:pt idx="5">
                  <c:v>-3.0773782033314054</c:v>
                </c:pt>
                <c:pt idx="6">
                  <c:v>-3.5406440681793292</c:v>
                </c:pt>
              </c:numCache>
            </c:numRef>
          </c:xVal>
          <c:yVal>
            <c:numRef>
              <c:f>Plot_Data!$EE$5:$EE$11</c:f>
              <c:numCache>
                <c:formatCode>0.000</c:formatCode>
                <c:ptCount val="7"/>
                <c:pt idx="0">
                  <c:v>-0.88478878245399972</c:v>
                </c:pt>
                <c:pt idx="1">
                  <c:v>-2.5108116372741143</c:v>
                </c:pt>
                <c:pt idx="2">
                  <c:v>-2.5108116372741143</c:v>
                </c:pt>
                <c:pt idx="3">
                  <c:v>-3.6633019999999998</c:v>
                </c:pt>
                <c:pt idx="4">
                  <c:v>-3.6633019999999998</c:v>
                </c:pt>
                <c:pt idx="5">
                  <c:v>-2.5108116372741143</c:v>
                </c:pt>
                <c:pt idx="6">
                  <c:v>-2.5108116372741143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E76-409E-9FE1-4F4F55F569D7}"/>
            </c:ext>
          </c:extLst>
        </c:ser>
        <c:ser>
          <c:idx val="10"/>
          <c:order val="10"/>
          <c:spPr>
            <a:ln w="180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Plot_Data!$ED$13:$ED$19</c:f>
              <c:numCache>
                <c:formatCode>0.000</c:formatCode>
                <c:ptCount val="7"/>
                <c:pt idx="0">
                  <c:v>3.5406440681793292</c:v>
                </c:pt>
                <c:pt idx="1">
                  <c:v>3.5406440681793292</c:v>
                </c:pt>
                <c:pt idx="2">
                  <c:v>3.0773782033314054</c:v>
                </c:pt>
                <c:pt idx="3">
                  <c:v>3.0773782033314054</c:v>
                </c:pt>
                <c:pt idx="4">
                  <c:v>4.003909933027253</c:v>
                </c:pt>
                <c:pt idx="5">
                  <c:v>4.003909933027253</c:v>
                </c:pt>
                <c:pt idx="6">
                  <c:v>3.5406440681793292</c:v>
                </c:pt>
              </c:numCache>
            </c:numRef>
          </c:xVal>
          <c:yVal>
            <c:numRef>
              <c:f>Plot_Data!$EE$13:$EE$19</c:f>
              <c:numCache>
                <c:formatCode>0.000</c:formatCode>
                <c:ptCount val="7"/>
                <c:pt idx="0">
                  <c:v>-0.88478878245399972</c:v>
                </c:pt>
                <c:pt idx="1">
                  <c:v>-2.5108116372741143</c:v>
                </c:pt>
                <c:pt idx="2">
                  <c:v>-2.5108116372741143</c:v>
                </c:pt>
                <c:pt idx="3">
                  <c:v>-3.6633019999999998</c:v>
                </c:pt>
                <c:pt idx="4">
                  <c:v>-3.6633019999999998</c:v>
                </c:pt>
                <c:pt idx="5">
                  <c:v>-2.5108116372741143</c:v>
                </c:pt>
                <c:pt idx="6">
                  <c:v>-2.5108116372741143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5E76-409E-9FE1-4F4F55F569D7}"/>
            </c:ext>
          </c:extLst>
        </c:ser>
        <c:ser>
          <c:idx val="11"/>
          <c:order val="11"/>
          <c:tx>
            <c:strRef>
              <c:f>Plot_Data!$BK$17</c:f>
              <c:strCache>
                <c:ptCount val="1"/>
                <c:pt idx="0">
                  <c:v>Nose gear: 2 wheels, tyre 0.75 m</c:v>
                </c:pt>
              </c:strCache>
            </c:strRef>
          </c:tx>
          <c:spPr>
            <a:ln w="18000">
              <a:solidFill>
                <a:srgbClr val="7F7F7F"/>
              </a:solidFill>
              <a:prstDash val="solid"/>
            </a:ln>
          </c:spPr>
          <c:marker>
            <c:symbol val="none"/>
          </c:marker>
          <c:xVal>
            <c:numRef>
              <c:f>Plot_Data!$ED$21:$ED$27</c:f>
              <c:numCache>
                <c:formatCode>0.000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-0.30112281215115055</c:v>
                </c:pt>
                <c:pt idx="3">
                  <c:v>-0.30112281215115055</c:v>
                </c:pt>
                <c:pt idx="4">
                  <c:v>0.30112281215115055</c:v>
                </c:pt>
                <c:pt idx="5">
                  <c:v>0.30112281215115055</c:v>
                </c:pt>
                <c:pt idx="6">
                  <c:v>0</c:v>
                </c:pt>
              </c:numCache>
            </c:numRef>
          </c:xVal>
          <c:yVal>
            <c:numRef>
              <c:f>Plot_Data!$EE$21:$EE$27</c:f>
              <c:numCache>
                <c:formatCode>0.000</c:formatCode>
                <c:ptCount val="7"/>
                <c:pt idx="0">
                  <c:v>-1.3936474999999997</c:v>
                </c:pt>
                <c:pt idx="1">
                  <c:v>-2.914183264228174</c:v>
                </c:pt>
                <c:pt idx="2">
                  <c:v>-2.914183264228174</c:v>
                </c:pt>
                <c:pt idx="3">
                  <c:v>-3.6633019999999998</c:v>
                </c:pt>
                <c:pt idx="4">
                  <c:v>-3.6633019999999998</c:v>
                </c:pt>
                <c:pt idx="5">
                  <c:v>-2.914183264228174</c:v>
                </c:pt>
                <c:pt idx="6">
                  <c:v>-2.914183264228174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5E76-409E-9FE1-4F4F55F569D7}"/>
            </c:ext>
          </c:extLst>
        </c:ser>
        <c:ser>
          <c:idx val="12"/>
          <c:order val="12"/>
          <c:tx>
            <c:strRef>
              <c:f>Plot_Data!$BK$18</c:f>
              <c:strCache>
                <c:ptCount val="1"/>
                <c:pt idx="0">
                  <c:v>Ground</c:v>
                </c:pt>
              </c:strCache>
            </c:strRef>
          </c:tx>
          <c:spPr>
            <a:ln w="12000">
              <a:solidFill>
                <a:srgbClr val="00B050"/>
              </a:solidFill>
              <a:prstDash val="solid"/>
            </a:ln>
          </c:spPr>
          <c:marker>
            <c:symbol val="none"/>
          </c:marker>
          <c:xVal>
            <c:numRef>
              <c:f>Plot_Data!$ED$29:$ED$30</c:f>
              <c:numCache>
                <c:formatCode>0.000</c:formatCode>
                <c:ptCount val="2"/>
                <c:pt idx="0">
                  <c:v>-18.807866879999999</c:v>
                </c:pt>
                <c:pt idx="1">
                  <c:v>18.807866879999999</c:v>
                </c:pt>
              </c:numCache>
            </c:numRef>
          </c:xVal>
          <c:yVal>
            <c:numRef>
              <c:f>Plot_Data!$EE$29:$EE$30</c:f>
              <c:numCache>
                <c:formatCode>0.000</c:formatCode>
                <c:ptCount val="2"/>
                <c:pt idx="0">
                  <c:v>-3.6633019999999998</c:v>
                </c:pt>
                <c:pt idx="1">
                  <c:v>-3.6633019999999998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5E76-409E-9FE1-4F4F55F56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y (m)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low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z (m)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low"/>
        <c:crossAx val="10"/>
        <c:crosses val="autoZero"/>
        <c:crossBetween val="midCat"/>
      </c:valAx>
    </c:plotArea>
    <c:legend>
      <c:legendPos val="r"/>
      <c:legendEntry>
        <c:idx val="0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10"/>
        <c:delete val="1"/>
      </c:legendEntry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2.xml"/><Relationship Id="rId2" Type="http://schemas.openxmlformats.org/officeDocument/2006/relationships/chart" Target="../charts/chart21.xml"/><Relationship Id="rId1" Type="http://schemas.openxmlformats.org/officeDocument/2006/relationships/chart" Target="../charts/chart20.xml"/><Relationship Id="rId6" Type="http://schemas.openxmlformats.org/officeDocument/2006/relationships/chart" Target="../charts/chart25.xml"/><Relationship Id="rId5" Type="http://schemas.openxmlformats.org/officeDocument/2006/relationships/chart" Target="../charts/chart24.xml"/><Relationship Id="rId4" Type="http://schemas.openxmlformats.org/officeDocument/2006/relationships/chart" Target="../charts/chart2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3</xdr:row>
      <xdr:rowOff>26096</xdr:rowOff>
    </xdr:from>
    <xdr:ext cx="9360000" cy="46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10</xdr:col>
      <xdr:colOff>0</xdr:colOff>
      <xdr:row>29</xdr:row>
      <xdr:rowOff>0</xdr:rowOff>
    </xdr:from>
    <xdr:ext cx="9360000" cy="61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10</xdr:col>
      <xdr:colOff>0</xdr:colOff>
      <xdr:row>63</xdr:row>
      <xdr:rowOff>0</xdr:rowOff>
    </xdr:from>
    <xdr:ext cx="9360000" cy="61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26</xdr:col>
      <xdr:colOff>0</xdr:colOff>
      <xdr:row>3</xdr:row>
      <xdr:rowOff>26096</xdr:rowOff>
    </xdr:from>
    <xdr:ext cx="18000000" cy="378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26</xdr:col>
      <xdr:colOff>0</xdr:colOff>
      <xdr:row>29</xdr:row>
      <xdr:rowOff>0</xdr:rowOff>
    </xdr:from>
    <xdr:ext cx="9360000" cy="612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26</xdr:col>
      <xdr:colOff>0</xdr:colOff>
      <xdr:row>63</xdr:row>
      <xdr:rowOff>0</xdr:rowOff>
    </xdr:from>
    <xdr:ext cx="9360000" cy="468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10</xdr:col>
      <xdr:colOff>0</xdr:colOff>
      <xdr:row>97</xdr:row>
      <xdr:rowOff>0</xdr:rowOff>
    </xdr:from>
    <xdr:ext cx="9360000" cy="468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26</xdr:col>
      <xdr:colOff>0</xdr:colOff>
      <xdr:row>97</xdr:row>
      <xdr:rowOff>0</xdr:rowOff>
    </xdr:from>
    <xdr:ext cx="9360000" cy="468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10</xdr:col>
      <xdr:colOff>0</xdr:colOff>
      <xdr:row>124</xdr:row>
      <xdr:rowOff>0</xdr:rowOff>
    </xdr:from>
    <xdr:ext cx="9360000" cy="46800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26</xdr:col>
      <xdr:colOff>0</xdr:colOff>
      <xdr:row>124</xdr:row>
      <xdr:rowOff>0</xdr:rowOff>
    </xdr:from>
    <xdr:ext cx="9360000" cy="468000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10</xdr:col>
      <xdr:colOff>0</xdr:colOff>
      <xdr:row>151</xdr:row>
      <xdr:rowOff>0</xdr:rowOff>
    </xdr:from>
    <xdr:ext cx="9360000" cy="468000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>
    <xdr:from>
      <xdr:col>26</xdr:col>
      <xdr:colOff>0</xdr:colOff>
      <xdr:row>151</xdr:row>
      <xdr:rowOff>0</xdr:rowOff>
    </xdr:from>
    <xdr:ext cx="9360000" cy="4680000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  <xdr:oneCellAnchor>
    <xdr:from>
      <xdr:col>10</xdr:col>
      <xdr:colOff>0</xdr:colOff>
      <xdr:row>178</xdr:row>
      <xdr:rowOff>0</xdr:rowOff>
    </xdr:from>
    <xdr:ext cx="9360000" cy="6120000"/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oneCellAnchor>
  <xdr:oneCellAnchor>
    <xdr:from>
      <xdr:col>26</xdr:col>
      <xdr:colOff>0</xdr:colOff>
      <xdr:row>178</xdr:row>
      <xdr:rowOff>0</xdr:rowOff>
    </xdr:from>
    <xdr:ext cx="9360000" cy="6120000"/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oneCellAnchor>
  <xdr:oneCellAnchor>
    <xdr:from>
      <xdr:col>10</xdr:col>
      <xdr:colOff>0</xdr:colOff>
      <xdr:row>213</xdr:row>
      <xdr:rowOff>0</xdr:rowOff>
    </xdr:from>
    <xdr:ext cx="9360000" cy="4680000"/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oneCellAnchor>
  <xdr:oneCellAnchor>
    <xdr:from>
      <xdr:col>10</xdr:col>
      <xdr:colOff>0</xdr:colOff>
      <xdr:row>240</xdr:row>
      <xdr:rowOff>0</xdr:rowOff>
    </xdr:from>
    <xdr:ext cx="9360000" cy="4680000"/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oneCellAnchor>
  <xdr:oneCellAnchor>
    <xdr:from>
      <xdr:col>26</xdr:col>
      <xdr:colOff>0</xdr:colOff>
      <xdr:row>213</xdr:row>
      <xdr:rowOff>0</xdr:rowOff>
    </xdr:from>
    <xdr:ext cx="9360000" cy="4680000"/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oneCellAnchor>
  <xdr:oneCellAnchor>
    <xdr:from>
      <xdr:col>26</xdr:col>
      <xdr:colOff>0</xdr:colOff>
      <xdr:row>240</xdr:row>
      <xdr:rowOff>0</xdr:rowOff>
    </xdr:from>
    <xdr:ext cx="9360000" cy="4680000"/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oneCellAnchor>
  <xdr:oneCellAnchor>
    <xdr:from>
      <xdr:col>10</xdr:col>
      <xdr:colOff>0</xdr:colOff>
      <xdr:row>267</xdr:row>
      <xdr:rowOff>0</xdr:rowOff>
    </xdr:from>
    <xdr:ext cx="9360000" cy="4680000"/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6739200" cy="33696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0</xdr:colOff>
      <xdr:row>21</xdr:row>
      <xdr:rowOff>0</xdr:rowOff>
    </xdr:from>
    <xdr:ext cx="6739200" cy="44064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16</xdr:col>
      <xdr:colOff>0</xdr:colOff>
      <xdr:row>47</xdr:row>
      <xdr:rowOff>0</xdr:rowOff>
    </xdr:from>
    <xdr:ext cx="6739200" cy="44064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16</xdr:col>
      <xdr:colOff>0</xdr:colOff>
      <xdr:row>21</xdr:row>
      <xdr:rowOff>0</xdr:rowOff>
    </xdr:from>
    <xdr:ext cx="6739200" cy="44064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16</xdr:col>
      <xdr:colOff>0</xdr:colOff>
      <xdr:row>1</xdr:row>
      <xdr:rowOff>0</xdr:rowOff>
    </xdr:from>
    <xdr:ext cx="6739200" cy="33696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4</xdr:col>
      <xdr:colOff>0</xdr:colOff>
      <xdr:row>47</xdr:row>
      <xdr:rowOff>0</xdr:rowOff>
    </xdr:from>
    <xdr:ext cx="6739200" cy="44064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71"/>
  <sheetViews>
    <sheetView tabSelected="1" zoomScale="57" zoomScaleNormal="57" workbookViewId="0">
      <pane ySplit="3" topLeftCell="A4" activePane="bottomLeft" state="frozen"/>
      <selection pane="bottomLeft"/>
    </sheetView>
  </sheetViews>
  <sheetFormatPr defaultRowHeight="15" x14ac:dyDescent="0.25"/>
  <cols>
    <col min="1" max="1" width="46" customWidth="1"/>
    <col min="2" max="2" width="14" customWidth="1"/>
    <col min="3" max="3" width="16" customWidth="1"/>
    <col min="4" max="4" width="12" customWidth="1"/>
    <col min="5" max="5" width="78" customWidth="1"/>
    <col min="6" max="6" width="3" customWidth="1"/>
    <col min="7" max="7" width="40" customWidth="1"/>
    <col min="8" max="8" width="16" customWidth="1"/>
    <col min="9" max="9" width="10" customWidth="1"/>
  </cols>
  <sheetData>
    <row r="1" spans="1:9" ht="18" x14ac:dyDescent="0.25">
      <c r="A1" s="1" t="s">
        <v>0</v>
      </c>
    </row>
    <row r="2" spans="1:9" x14ac:dyDescent="0.25">
      <c r="A2" s="2" t="s">
        <v>1</v>
      </c>
    </row>
    <row r="3" spans="1:9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G3" s="4" t="s">
        <v>7</v>
      </c>
      <c r="H3" s="4" t="s">
        <v>4</v>
      </c>
      <c r="I3" s="4" t="s">
        <v>5</v>
      </c>
    </row>
    <row r="4" spans="1:9" x14ac:dyDescent="0.25">
      <c r="A4" s="5" t="s">
        <v>8</v>
      </c>
      <c r="B4" s="5" t="s">
        <v>9</v>
      </c>
      <c r="C4" s="6">
        <v>9.5</v>
      </c>
      <c r="D4" s="5" t="s">
        <v>10</v>
      </c>
      <c r="E4" s="7" t="s">
        <v>11</v>
      </c>
      <c r="G4" s="8" t="s">
        <v>12</v>
      </c>
      <c r="H4" s="9">
        <f>(MTOW)*IF(unit_sys="Imperial",2.20462,1)</f>
        <v>71061.950546004198</v>
      </c>
      <c r="I4" s="8" t="str">
        <f>IF(unit_sys="Imperial","lb","kg")</f>
        <v>kg</v>
      </c>
    </row>
    <row r="5" spans="1:9" x14ac:dyDescent="0.25">
      <c r="A5" s="10" t="s">
        <v>13</v>
      </c>
      <c r="B5" s="10" t="s">
        <v>14</v>
      </c>
      <c r="C5" s="6">
        <v>0.8</v>
      </c>
      <c r="D5" s="10" t="s">
        <v>10</v>
      </c>
      <c r="E5" s="11" t="s">
        <v>15</v>
      </c>
      <c r="G5" s="8" t="s">
        <v>16</v>
      </c>
      <c r="H5" s="9">
        <f>(OEW)*IF(unit_sys="Imperial",2.20462,1)</f>
        <v>35727.299588860682</v>
      </c>
      <c r="I5" s="8" t="str">
        <f>IF(unit_sys="Imperial","lb","kg")</f>
        <v>kg</v>
      </c>
    </row>
    <row r="6" spans="1:9" x14ac:dyDescent="0.25">
      <c r="A6" s="10" t="s">
        <v>17</v>
      </c>
      <c r="B6" s="10" t="s">
        <v>18</v>
      </c>
      <c r="C6" s="12">
        <v>1.7999999999999999E-2</v>
      </c>
      <c r="D6" s="10" t="s">
        <v>10</v>
      </c>
      <c r="E6" s="11" t="s">
        <v>19</v>
      </c>
      <c r="G6" s="8" t="s">
        <v>20</v>
      </c>
      <c r="H6" s="9">
        <f>(W_fuel)*IF(unit_sys="Imperial",2.20462,1)</f>
        <v>21084.650957143516</v>
      </c>
      <c r="I6" s="8" t="str">
        <f>IF(unit_sys="Imperial","lb","kg")</f>
        <v>kg</v>
      </c>
    </row>
    <row r="7" spans="1:9" x14ac:dyDescent="0.25">
      <c r="A7" s="13" t="s">
        <v>21</v>
      </c>
      <c r="B7" s="13" t="s">
        <v>22</v>
      </c>
      <c r="C7" s="14">
        <v>17500</v>
      </c>
      <c r="D7" s="13" t="s">
        <v>23</v>
      </c>
      <c r="E7" s="15" t="s">
        <v>24</v>
      </c>
      <c r="G7" s="8" t="s">
        <v>25</v>
      </c>
      <c r="H7" s="9">
        <f>(W_pl)*IF(unit_sys="Imperial",2.20462,1)</f>
        <v>14250</v>
      </c>
      <c r="I7" s="8" t="str">
        <f>IF(unit_sys="Imperial","lb","kg")</f>
        <v>kg</v>
      </c>
    </row>
    <row r="8" spans="1:9" x14ac:dyDescent="0.25">
      <c r="A8" s="10" t="s">
        <v>26</v>
      </c>
      <c r="B8" s="10" t="s">
        <v>27</v>
      </c>
      <c r="C8" s="14">
        <v>2200</v>
      </c>
      <c r="D8" s="10" t="s">
        <v>28</v>
      </c>
      <c r="E8" s="11" t="s">
        <v>29</v>
      </c>
      <c r="G8" s="16" t="s">
        <v>30</v>
      </c>
      <c r="H8" s="17">
        <f>(WS_des)*IF(unit_sys="Imperial",0.0208854,1)</f>
        <v>5281.0084699453055</v>
      </c>
      <c r="I8" s="16" t="str">
        <f>IF(unit_sys="Imperial","lb/ft2","N/m2")</f>
        <v>N/m2</v>
      </c>
    </row>
    <row r="9" spans="1:9" x14ac:dyDescent="0.25">
      <c r="A9" s="10" t="s">
        <v>31</v>
      </c>
      <c r="B9" s="10" t="s">
        <v>32</v>
      </c>
      <c r="C9" s="14">
        <v>1670</v>
      </c>
      <c r="D9" s="10" t="s">
        <v>28</v>
      </c>
      <c r="E9" s="11" t="s">
        <v>33</v>
      </c>
      <c r="G9" s="16" t="s">
        <v>34</v>
      </c>
      <c r="H9" s="18">
        <f>(WS_des/grav)*IF(unit_sys="Imperial",0.204816,1)</f>
        <v>538.51299576769907</v>
      </c>
      <c r="I9" s="16" t="str">
        <f>IF(unit_sys="Imperial","lb/ft2","kg/m2")</f>
        <v>kg/m2</v>
      </c>
    </row>
    <row r="10" spans="1:9" x14ac:dyDescent="0.25">
      <c r="A10" s="10" t="s">
        <v>35</v>
      </c>
      <c r="B10" s="10" t="s">
        <v>36</v>
      </c>
      <c r="C10" s="6">
        <v>2.1</v>
      </c>
      <c r="D10" s="10" t="s">
        <v>10</v>
      </c>
      <c r="E10" s="11" t="s">
        <v>37</v>
      </c>
      <c r="G10" s="16" t="s">
        <v>38</v>
      </c>
      <c r="H10" s="19">
        <f>TW_des</f>
        <v>0.27275333551870468</v>
      </c>
      <c r="I10" s="16" t="s">
        <v>10</v>
      </c>
    </row>
    <row r="11" spans="1:9" x14ac:dyDescent="0.25">
      <c r="A11" s="10" t="s">
        <v>39</v>
      </c>
      <c r="B11" s="10" t="s">
        <v>40</v>
      </c>
      <c r="C11" s="6">
        <v>2.7</v>
      </c>
      <c r="D11" s="10" t="s">
        <v>10</v>
      </c>
      <c r="E11" s="11" t="s">
        <v>41</v>
      </c>
      <c r="G11" s="16" t="s">
        <v>42</v>
      </c>
      <c r="H11" s="20" t="str">
        <f>crit_con</f>
        <v>Take-off + cruise</v>
      </c>
      <c r="I11" s="16"/>
    </row>
    <row r="12" spans="1:9" x14ac:dyDescent="0.25">
      <c r="A12" s="21" t="s">
        <v>43</v>
      </c>
      <c r="B12" s="21" t="s">
        <v>44</v>
      </c>
      <c r="C12" s="6">
        <v>0.22</v>
      </c>
      <c r="D12" s="21" t="s">
        <v>10</v>
      </c>
      <c r="E12" s="22" t="s">
        <v>45</v>
      </c>
      <c r="G12" s="23" t="s">
        <v>46</v>
      </c>
      <c r="H12" s="24">
        <f>(S_ref)*IF(unit_sys="Imperial",10.7639,1)</f>
        <v>131.95958334245759</v>
      </c>
      <c r="I12" s="23" t="str">
        <f>IF(unit_sys="Imperial","ft2","m2")</f>
        <v>m2</v>
      </c>
    </row>
    <row r="13" spans="1:9" x14ac:dyDescent="0.25">
      <c r="A13" s="5" t="s">
        <v>47</v>
      </c>
      <c r="B13" s="5" t="s">
        <v>48</v>
      </c>
      <c r="C13" s="6">
        <v>0.78</v>
      </c>
      <c r="D13" s="5" t="s">
        <v>10</v>
      </c>
      <c r="E13" s="7" t="s">
        <v>49</v>
      </c>
      <c r="G13" s="23" t="s">
        <v>50</v>
      </c>
      <c r="H13" s="25">
        <f>(b_w)*IF(unit_sys="Imperial",3.28084,1)</f>
        <v>35.406440681793292</v>
      </c>
      <c r="I13" s="23" t="str">
        <f>IF(unit_sys="Imperial","ft","m")</f>
        <v>m</v>
      </c>
    </row>
    <row r="14" spans="1:9" x14ac:dyDescent="0.25">
      <c r="A14" s="13" t="s">
        <v>51</v>
      </c>
      <c r="B14" s="13" t="s">
        <v>52</v>
      </c>
      <c r="C14" s="12">
        <v>0.6</v>
      </c>
      <c r="D14" s="26" t="s">
        <v>53</v>
      </c>
      <c r="E14" s="15" t="s">
        <v>54</v>
      </c>
      <c r="G14" s="23" t="s">
        <v>55</v>
      </c>
      <c r="H14" s="25">
        <f>(MAC)*IF(unit_sys="Imperial",3.28084,1)</f>
        <v>4.1742330066956299</v>
      </c>
      <c r="I14" s="23" t="str">
        <f>IF(unit_sys="Imperial","ft","m")</f>
        <v>m</v>
      </c>
    </row>
    <row r="15" spans="1:9" x14ac:dyDescent="0.25">
      <c r="A15" s="27" t="s">
        <v>56</v>
      </c>
      <c r="B15" s="27" t="s">
        <v>57</v>
      </c>
      <c r="C15" s="14">
        <v>150</v>
      </c>
      <c r="D15" s="27" t="s">
        <v>58</v>
      </c>
      <c r="E15" s="28" t="s">
        <v>59</v>
      </c>
      <c r="G15" s="23" t="s">
        <v>60</v>
      </c>
      <c r="H15" s="24">
        <f>sweep25</f>
        <v>26.176952171666557</v>
      </c>
      <c r="I15" s="23" t="s">
        <v>61</v>
      </c>
    </row>
    <row r="16" spans="1:9" x14ac:dyDescent="0.25">
      <c r="A16" s="13" t="s">
        <v>62</v>
      </c>
      <c r="B16" s="13" t="s">
        <v>63</v>
      </c>
      <c r="C16" s="14">
        <v>5000</v>
      </c>
      <c r="D16" s="26" t="s">
        <v>64</v>
      </c>
      <c r="E16" s="15" t="s">
        <v>65</v>
      </c>
      <c r="G16" s="29" t="s">
        <v>66</v>
      </c>
      <c r="H16" s="30">
        <f>(T_SL/1000)*IF(unit_sys="Imperial",224.809,1)</f>
        <v>190.07625644476647</v>
      </c>
      <c r="I16" s="29" t="str">
        <f>IF(unit_sys="Imperial","lbf","kN")</f>
        <v>kN</v>
      </c>
    </row>
    <row r="17" spans="1:9" x14ac:dyDescent="0.25">
      <c r="A17" s="13" t="s">
        <v>67</v>
      </c>
      <c r="B17" s="13" t="s">
        <v>68</v>
      </c>
      <c r="C17" s="14">
        <v>14250</v>
      </c>
      <c r="D17" s="13" t="s">
        <v>23</v>
      </c>
      <c r="E17" s="15" t="s">
        <v>69</v>
      </c>
      <c r="G17" s="29" t="s">
        <v>70</v>
      </c>
      <c r="H17" s="30">
        <f>(T_eng/1000)*IF(unit_sys="Imperial",224.809,1)</f>
        <v>95.038128222383236</v>
      </c>
      <c r="I17" s="29" t="str">
        <f>IF(unit_sys="Imperial","lbf","kN")</f>
        <v>kN</v>
      </c>
    </row>
    <row r="18" spans="1:9" x14ac:dyDescent="0.25">
      <c r="G18" s="23" t="s">
        <v>71</v>
      </c>
      <c r="H18" s="25">
        <f>LD_cr</f>
        <v>17.459659129583972</v>
      </c>
      <c r="I18" s="23" t="s">
        <v>10</v>
      </c>
    </row>
    <row r="19" spans="1:9" x14ac:dyDescent="0.25">
      <c r="A19" s="31" t="s">
        <v>72</v>
      </c>
      <c r="B19" s="31" t="s">
        <v>3</v>
      </c>
      <c r="C19" s="31" t="s">
        <v>4</v>
      </c>
      <c r="D19" s="31" t="s">
        <v>5</v>
      </c>
      <c r="E19" s="31" t="s">
        <v>6</v>
      </c>
      <c r="G19" s="32" t="s">
        <v>73</v>
      </c>
      <c r="H19" s="33">
        <f>(L_fus)*IF(unit_sys="Imperial",3.28084,1)</f>
        <v>35.620959999999997</v>
      </c>
      <c r="I19" s="32" t="str">
        <f>IF(unit_sys="Imperial","ft","m")</f>
        <v>m</v>
      </c>
    </row>
    <row r="20" spans="1:9" x14ac:dyDescent="0.25">
      <c r="A20" s="34" t="s">
        <v>74</v>
      </c>
      <c r="B20" s="34" t="s">
        <v>75</v>
      </c>
      <c r="C20" s="35">
        <v>10668</v>
      </c>
      <c r="D20" s="34" t="s">
        <v>28</v>
      </c>
      <c r="E20" s="36" t="s">
        <v>76</v>
      </c>
      <c r="G20" s="32" t="s">
        <v>77</v>
      </c>
      <c r="H20" s="33">
        <f>(d_fus)*IF(unit_sys="Imperial",3.28084,1)</f>
        <v>3.9818499999999997</v>
      </c>
      <c r="I20" s="32" t="str">
        <f>IF(unit_sys="Imperial","ft","m")</f>
        <v>m</v>
      </c>
    </row>
    <row r="21" spans="1:9" x14ac:dyDescent="0.25">
      <c r="A21" s="34" t="s">
        <v>78</v>
      </c>
      <c r="B21" s="34" t="s">
        <v>79</v>
      </c>
      <c r="C21" s="35">
        <v>0</v>
      </c>
      <c r="D21" s="34" t="s">
        <v>28</v>
      </c>
      <c r="E21" s="36" t="s">
        <v>80</v>
      </c>
      <c r="G21" s="32" t="s">
        <v>81</v>
      </c>
      <c r="H21" s="37" t="str">
        <f>n_SA&amp;" x "&amp;n_rows</f>
        <v>6 x 25</v>
      </c>
      <c r="I21" s="32"/>
    </row>
    <row r="22" spans="1:9" x14ac:dyDescent="0.25">
      <c r="A22" s="34" t="s">
        <v>82</v>
      </c>
      <c r="B22" s="34" t="s">
        <v>83</v>
      </c>
      <c r="C22" s="38" t="s">
        <v>84</v>
      </c>
      <c r="D22" s="34"/>
      <c r="E22" s="36" t="s">
        <v>85</v>
      </c>
      <c r="G22" s="39" t="s">
        <v>86</v>
      </c>
      <c r="H22" s="40">
        <f>(S_HT)*IF(unit_sys="Imperial",10.7639,1)</f>
        <v>34.363666057405489</v>
      </c>
      <c r="I22" s="39" t="str">
        <f>IF(unit_sys="Imperial","ft2","m2")</f>
        <v>m2</v>
      </c>
    </row>
    <row r="23" spans="1:9" x14ac:dyDescent="0.25">
      <c r="A23" s="34" t="s">
        <v>87</v>
      </c>
      <c r="B23" s="34" t="s">
        <v>88</v>
      </c>
      <c r="C23" s="38" t="s">
        <v>89</v>
      </c>
      <c r="D23" s="34"/>
      <c r="E23" s="36" t="s">
        <v>90</v>
      </c>
      <c r="G23" s="39" t="s">
        <v>91</v>
      </c>
      <c r="H23" s="40">
        <f>(S_VT)*IF(unit_sys="Imperial",10.7639,1)</f>
        <v>26.232977213465798</v>
      </c>
      <c r="I23" s="39" t="str">
        <f>IF(unit_sys="Imperial","ft2","m2")</f>
        <v>m2</v>
      </c>
    </row>
    <row r="24" spans="1:9" x14ac:dyDescent="0.25">
      <c r="A24" s="34" t="s">
        <v>92</v>
      </c>
      <c r="B24" s="34" t="s">
        <v>93</v>
      </c>
      <c r="C24" s="38" t="s">
        <v>94</v>
      </c>
      <c r="D24" s="34"/>
      <c r="E24" s="36" t="s">
        <v>95</v>
      </c>
      <c r="G24" s="41" t="s">
        <v>96</v>
      </c>
      <c r="H24" s="42" t="str">
        <f>n_struts&amp;" x "&amp;n_wps</f>
        <v>2 x 2</v>
      </c>
      <c r="I24" s="41"/>
    </row>
    <row r="25" spans="1:9" x14ac:dyDescent="0.25">
      <c r="A25" s="34" t="s">
        <v>97</v>
      </c>
      <c r="B25" s="34" t="s">
        <v>98</v>
      </c>
      <c r="C25" s="43">
        <v>0.1</v>
      </c>
      <c r="D25" s="34" t="s">
        <v>99</v>
      </c>
      <c r="E25" s="36" t="s">
        <v>100</v>
      </c>
      <c r="G25" s="41" t="s">
        <v>101</v>
      </c>
      <c r="H25" s="42" t="str">
        <f>TEXT(D_tyre,"0.00")&amp;" x "&amp;TEXT(w_tyre,"0.00")</f>
        <v>1.15 x 0.42</v>
      </c>
      <c r="I25" s="41" t="s">
        <v>28</v>
      </c>
    </row>
    <row r="26" spans="1:9" x14ac:dyDescent="0.25">
      <c r="A26" s="34" t="s">
        <v>102</v>
      </c>
      <c r="B26" s="34" t="s">
        <v>103</v>
      </c>
      <c r="C26" s="43">
        <v>0</v>
      </c>
      <c r="D26" s="34" t="s">
        <v>10</v>
      </c>
      <c r="E26" s="36" t="s">
        <v>104</v>
      </c>
      <c r="G26" s="8" t="s">
        <v>105</v>
      </c>
      <c r="H26" s="9">
        <f>(R_maxpl)*IF(unit_sys="Imperial",0.539957,1)</f>
        <v>3590.0086218269566</v>
      </c>
      <c r="I26" s="8" t="str">
        <f>IF(unit_sys="Imperial","nm","km")</f>
        <v>km</v>
      </c>
    </row>
    <row r="27" spans="1:9" x14ac:dyDescent="0.25">
      <c r="A27" s="34" t="s">
        <v>106</v>
      </c>
      <c r="B27" s="34" t="s">
        <v>107</v>
      </c>
      <c r="C27" s="44">
        <v>0.97</v>
      </c>
      <c r="D27" s="34" t="s">
        <v>28</v>
      </c>
      <c r="E27" s="36" t="s">
        <v>108</v>
      </c>
      <c r="G27" s="45" t="s">
        <v>109</v>
      </c>
      <c r="H27" s="46">
        <f>(TOFL)*IF(unit_sys="Imperial",3.28084,1)</f>
        <v>2200</v>
      </c>
      <c r="I27" s="45" t="str">
        <f>IF(unit_sys="Imperial","ft","m")</f>
        <v>m</v>
      </c>
    </row>
    <row r="28" spans="1:9" x14ac:dyDescent="0.25">
      <c r="A28" s="34" t="s">
        <v>110</v>
      </c>
      <c r="B28" s="34" t="s">
        <v>111</v>
      </c>
      <c r="C28" s="47">
        <v>2</v>
      </c>
      <c r="D28" s="34" t="s">
        <v>10</v>
      </c>
      <c r="E28" s="36" t="s">
        <v>112</v>
      </c>
      <c r="G28" s="45" t="s">
        <v>113</v>
      </c>
      <c r="H28" s="46">
        <f>(LFL)*IF(unit_sys="Imperial",3.28084,1)</f>
        <v>1584.4099910091525</v>
      </c>
      <c r="I28" s="45" t="str">
        <f>IF(unit_sys="Imperial","ft","m")</f>
        <v>m</v>
      </c>
    </row>
    <row r="29" spans="1:9" x14ac:dyDescent="0.25">
      <c r="A29" s="34" t="s">
        <v>114</v>
      </c>
      <c r="B29" s="34" t="s">
        <v>115</v>
      </c>
      <c r="C29" s="44">
        <v>0.85</v>
      </c>
      <c r="D29" s="34" t="s">
        <v>10</v>
      </c>
      <c r="E29" s="36" t="s">
        <v>116</v>
      </c>
      <c r="G29" s="45" t="s">
        <v>117</v>
      </c>
      <c r="H29" s="46">
        <f>(h_serv)*IF(unit_sys="Imperial",3.28084,1)</f>
        <v>11258.710573237038</v>
      </c>
      <c r="I29" s="45" t="str">
        <f>IF(unit_sys="Imperial","ft","m")</f>
        <v>m</v>
      </c>
    </row>
    <row r="30" spans="1:9" x14ac:dyDescent="0.25">
      <c r="A30" s="34" t="s">
        <v>118</v>
      </c>
      <c r="B30" s="34" t="s">
        <v>119</v>
      </c>
      <c r="C30" s="44">
        <v>1.5</v>
      </c>
      <c r="D30" s="34" t="s">
        <v>120</v>
      </c>
      <c r="E30" s="36" t="s">
        <v>121</v>
      </c>
      <c r="G30" s="45" t="s">
        <v>122</v>
      </c>
      <c r="H30" s="48">
        <f>t_climb</f>
        <v>18.76234157365796</v>
      </c>
      <c r="I30" s="45" t="s">
        <v>123</v>
      </c>
    </row>
    <row r="31" spans="1:9" x14ac:dyDescent="0.25">
      <c r="A31" s="34" t="s">
        <v>124</v>
      </c>
      <c r="B31" s="34" t="s">
        <v>125</v>
      </c>
      <c r="C31" s="49">
        <v>0.107</v>
      </c>
      <c r="D31" s="34" t="s">
        <v>126</v>
      </c>
      <c r="E31" s="36" t="s">
        <v>127</v>
      </c>
      <c r="G31" s="45" t="s">
        <v>128</v>
      </c>
      <c r="H31" s="50">
        <f>n_lim</f>
        <v>2.5</v>
      </c>
      <c r="I31" s="45" t="s">
        <v>10</v>
      </c>
    </row>
    <row r="32" spans="1:9" x14ac:dyDescent="0.25">
      <c r="A32" s="34" t="s">
        <v>129</v>
      </c>
      <c r="B32" s="34" t="s">
        <v>130</v>
      </c>
      <c r="C32" s="44">
        <v>2.34</v>
      </c>
      <c r="D32" s="34" t="s">
        <v>131</v>
      </c>
      <c r="E32" s="36" t="s">
        <v>132</v>
      </c>
      <c r="G32" s="45" t="s">
        <v>133</v>
      </c>
      <c r="H32" s="51">
        <f>SM_MTOM</f>
        <v>0.11294174248146471</v>
      </c>
      <c r="I32" s="45" t="s">
        <v>99</v>
      </c>
    </row>
    <row r="33" spans="1:9" x14ac:dyDescent="0.25">
      <c r="A33" s="34" t="s">
        <v>134</v>
      </c>
      <c r="B33" s="34" t="s">
        <v>135</v>
      </c>
      <c r="C33" s="52">
        <v>1.4999999999999999E-2</v>
      </c>
      <c r="D33" s="34" t="s">
        <v>10</v>
      </c>
      <c r="E33" s="36" t="s">
        <v>136</v>
      </c>
      <c r="G33" s="45" t="s">
        <v>137</v>
      </c>
      <c r="H33" s="53">
        <f>CD0_est</f>
        <v>1.9308434548413776E-2</v>
      </c>
      <c r="I33" s="45" t="s">
        <v>10</v>
      </c>
    </row>
    <row r="34" spans="1:9" x14ac:dyDescent="0.25">
      <c r="A34" s="34" t="s">
        <v>138</v>
      </c>
      <c r="B34" s="34" t="s">
        <v>139</v>
      </c>
      <c r="C34" s="49">
        <v>0.97</v>
      </c>
      <c r="D34" s="34" t="s">
        <v>10</v>
      </c>
      <c r="E34" s="36" t="s">
        <v>140</v>
      </c>
      <c r="G34" s="8" t="s">
        <v>141</v>
      </c>
      <c r="H34" s="9">
        <f>(W_e_build)*IF(unit_sys="Imperial",2.20462,1)</f>
        <v>35844.58907959269</v>
      </c>
      <c r="I34" s="8" t="str">
        <f>IF(unit_sys="Imperial","lb","kg")</f>
        <v>kg</v>
      </c>
    </row>
    <row r="35" spans="1:9" x14ac:dyDescent="0.25">
      <c r="A35" s="34" t="s">
        <v>142</v>
      </c>
      <c r="B35" s="34" t="s">
        <v>143</v>
      </c>
      <c r="C35" s="49">
        <v>0.98499999999999999</v>
      </c>
      <c r="D35" s="34" t="s">
        <v>10</v>
      </c>
      <c r="E35" s="36" t="s">
        <v>140</v>
      </c>
      <c r="G35" s="45" t="s">
        <v>144</v>
      </c>
      <c r="H35" s="50">
        <f>cost_skm</f>
        <v>4.595379288503838</v>
      </c>
      <c r="I35" s="45" t="s">
        <v>145</v>
      </c>
    </row>
    <row r="36" spans="1:9" x14ac:dyDescent="0.25">
      <c r="A36" s="34" t="s">
        <v>146</v>
      </c>
      <c r="B36" s="34" t="s">
        <v>147</v>
      </c>
      <c r="C36" s="49">
        <v>0.98499999999999999</v>
      </c>
      <c r="D36" s="34" t="s">
        <v>10</v>
      </c>
      <c r="E36" s="36" t="s">
        <v>140</v>
      </c>
      <c r="G36" s="45" t="s">
        <v>148</v>
      </c>
      <c r="H36" s="54" t="str">
        <f>cmp_name</f>
        <v>Airbus A320-200</v>
      </c>
      <c r="I36" s="45"/>
    </row>
    <row r="37" spans="1:9" x14ac:dyDescent="0.25">
      <c r="A37" s="34" t="s">
        <v>149</v>
      </c>
      <c r="B37" s="34" t="s">
        <v>150</v>
      </c>
      <c r="C37" s="49">
        <v>0.99</v>
      </c>
      <c r="D37" s="34" t="s">
        <v>10</v>
      </c>
      <c r="E37" s="36" t="s">
        <v>140</v>
      </c>
      <c r="G37" s="45" t="s">
        <v>151</v>
      </c>
      <c r="H37" s="46">
        <f>(BFL)*IF(unit_sys="Imperial",3.28084,1)</f>
        <v>2247.102962676719</v>
      </c>
      <c r="I37" s="45" t="str">
        <f>IF(unit_sys="Imperial","ft","m")</f>
        <v>m</v>
      </c>
    </row>
    <row r="38" spans="1:9" x14ac:dyDescent="0.25">
      <c r="A38" s="34" t="s">
        <v>152</v>
      </c>
      <c r="B38" s="34" t="s">
        <v>153</v>
      </c>
      <c r="C38" s="49">
        <v>0.95</v>
      </c>
      <c r="D38" s="34" t="s">
        <v>10</v>
      </c>
      <c r="E38" s="36" t="s">
        <v>140</v>
      </c>
      <c r="G38" s="45" t="s">
        <v>154</v>
      </c>
      <c r="H38" s="46">
        <f>(h_best)*IF(unit_sys="Imperial",3.28084,1)</f>
        <v>11258.710573237038</v>
      </c>
      <c r="I38" s="45" t="str">
        <f>IF(unit_sys="Imperial","ft","m")</f>
        <v>m</v>
      </c>
    </row>
    <row r="39" spans="1:9" x14ac:dyDescent="0.25">
      <c r="A39" s="34" t="s">
        <v>155</v>
      </c>
      <c r="B39" s="34" t="s">
        <v>156</v>
      </c>
      <c r="C39" s="44">
        <v>1.06</v>
      </c>
      <c r="D39" s="34" t="s">
        <v>10</v>
      </c>
      <c r="E39" s="36" t="s">
        <v>157</v>
      </c>
      <c r="G39" s="45" t="s">
        <v>158</v>
      </c>
      <c r="H39" s="48">
        <f>co2_skm</f>
        <v>72.460829589048302</v>
      </c>
      <c r="I39" s="45" t="s">
        <v>159</v>
      </c>
    </row>
    <row r="40" spans="1:9" x14ac:dyDescent="0.25">
      <c r="A40" s="34" t="s">
        <v>160</v>
      </c>
      <c r="B40" s="34" t="s">
        <v>161</v>
      </c>
      <c r="C40" s="38" t="s">
        <v>162</v>
      </c>
      <c r="D40" s="34"/>
      <c r="E40" s="36" t="s">
        <v>163</v>
      </c>
      <c r="G40" s="41" t="s">
        <v>164</v>
      </c>
      <c r="H40" s="55">
        <f>p_tyre</f>
        <v>1.0849083482918176</v>
      </c>
      <c r="I40" s="41" t="s">
        <v>165</v>
      </c>
    </row>
    <row r="41" spans="1:9" x14ac:dyDescent="0.25">
      <c r="A41" s="34" t="s">
        <v>166</v>
      </c>
      <c r="B41" s="34" t="s">
        <v>167</v>
      </c>
      <c r="C41" s="44">
        <v>0.97</v>
      </c>
      <c r="D41" s="34" t="s">
        <v>10</v>
      </c>
      <c r="E41" s="36" t="s">
        <v>168</v>
      </c>
      <c r="G41" s="45" t="s">
        <v>169</v>
      </c>
      <c r="H41" s="54" t="str">
        <f>n_met&amp;" of 14"</f>
        <v>14 of 14</v>
      </c>
      <c r="I41" s="45"/>
    </row>
    <row r="42" spans="1:9" x14ac:dyDescent="0.25">
      <c r="A42" s="34" t="s">
        <v>170</v>
      </c>
      <c r="B42" s="34" t="s">
        <v>171</v>
      </c>
      <c r="C42" s="44">
        <v>-0.06</v>
      </c>
      <c r="D42" s="34" t="s">
        <v>10</v>
      </c>
      <c r="E42" s="36" t="s">
        <v>172</v>
      </c>
      <c r="G42" s="45"/>
      <c r="H42" s="54"/>
      <c r="I42" s="45"/>
    </row>
    <row r="43" spans="1:9" x14ac:dyDescent="0.25">
      <c r="A43" s="34" t="s">
        <v>173</v>
      </c>
      <c r="B43" s="34" t="s">
        <v>174</v>
      </c>
      <c r="C43" s="47">
        <v>2</v>
      </c>
      <c r="D43" s="34" t="s">
        <v>10</v>
      </c>
      <c r="E43" s="36"/>
      <c r="G43" s="56" t="s">
        <v>175</v>
      </c>
      <c r="H43" s="54"/>
      <c r="I43" s="45"/>
    </row>
    <row r="44" spans="1:9" x14ac:dyDescent="0.25">
      <c r="A44" s="34" t="s">
        <v>176</v>
      </c>
      <c r="B44" s="34" t="s">
        <v>177</v>
      </c>
      <c r="C44" s="47">
        <v>50</v>
      </c>
      <c r="D44" s="34" t="s">
        <v>58</v>
      </c>
      <c r="E44" s="36" t="s">
        <v>178</v>
      </c>
      <c r="G44" s="8" t="s">
        <v>179</v>
      </c>
      <c r="H44" s="57" t="str">
        <f>chk_weight</f>
        <v>OK - converged</v>
      </c>
      <c r="I44" s="8"/>
    </row>
    <row r="45" spans="1:9" x14ac:dyDescent="0.25">
      <c r="A45" s="34" t="s">
        <v>180</v>
      </c>
      <c r="B45" s="34" t="s">
        <v>181</v>
      </c>
      <c r="C45" s="35">
        <v>93</v>
      </c>
      <c r="D45" s="34" t="s">
        <v>23</v>
      </c>
      <c r="E45" s="36"/>
      <c r="G45" s="8" t="s">
        <v>182</v>
      </c>
      <c r="H45" s="57" t="str">
        <f>IF(PyldMax&gt;=W_pl,"OK","FAIL - PyldMax is below Payload_typPax")</f>
        <v>OK</v>
      </c>
      <c r="I45" s="8"/>
    </row>
    <row r="46" spans="1:9" x14ac:dyDescent="0.25">
      <c r="A46" s="34" t="s">
        <v>183</v>
      </c>
      <c r="B46" s="34" t="s">
        <v>184</v>
      </c>
      <c r="C46" s="44">
        <v>0.25</v>
      </c>
      <c r="D46" s="34" t="s">
        <v>10</v>
      </c>
      <c r="E46" s="36"/>
      <c r="G46" s="8" t="s">
        <v>185</v>
      </c>
      <c r="H46" s="57" t="str">
        <f>IF(OR(PaxTyp&lt;=0,AND(W_pl/MAX(1,PaxTyp)&gt;=60,W_pl/MAX(1,PaxTyp)&lt;=200)),"OK","CHECK - Payload_typPax must be the total payload in kg: "&amp;TEXT(W_pl/MAX(1,PaxTyp),"#,##0")&amp;" kg per passenger")</f>
        <v>OK</v>
      </c>
      <c r="I46" s="8"/>
    </row>
    <row r="47" spans="1:9" x14ac:dyDescent="0.25">
      <c r="A47" s="34" t="s">
        <v>186</v>
      </c>
      <c r="B47" s="34" t="s">
        <v>187</v>
      </c>
      <c r="C47" s="58">
        <v>5</v>
      </c>
      <c r="D47" s="34" t="s">
        <v>61</v>
      </c>
      <c r="E47" s="36" t="s">
        <v>188</v>
      </c>
      <c r="G47" s="8" t="s">
        <v>105</v>
      </c>
      <c r="H47" s="57" t="str">
        <f>IF(R_maxpl&gt;0,"OK","ZERO - at PyldMax the fuel left is below the fixed allowances; raise RangeTyp (check km / nm) or lower PyldMax")</f>
        <v>OK</v>
      </c>
      <c r="I47" s="8"/>
    </row>
    <row r="48" spans="1:9" x14ac:dyDescent="0.25">
      <c r="A48" s="34" t="s">
        <v>189</v>
      </c>
      <c r="B48" s="34" t="s">
        <v>190</v>
      </c>
      <c r="C48" s="44">
        <v>0.46</v>
      </c>
      <c r="D48" s="34" t="s">
        <v>10</v>
      </c>
      <c r="E48" s="36" t="s">
        <v>191</v>
      </c>
      <c r="G48" s="8" t="s">
        <v>192</v>
      </c>
      <c r="H48" s="57" t="str">
        <f>chk_fuel</f>
        <v>OK</v>
      </c>
      <c r="I48" s="8"/>
    </row>
    <row r="49" spans="1:9" x14ac:dyDescent="0.25">
      <c r="A49" s="34" t="s">
        <v>193</v>
      </c>
      <c r="B49" s="34" t="s">
        <v>194</v>
      </c>
      <c r="C49" s="44">
        <v>0.95</v>
      </c>
      <c r="D49" s="34" t="s">
        <v>10</v>
      </c>
      <c r="E49" s="36" t="s">
        <v>195</v>
      </c>
      <c r="G49" s="41" t="s">
        <v>196</v>
      </c>
      <c r="H49" s="42" t="str">
        <f>chk_tipback</f>
        <v>OK</v>
      </c>
      <c r="I49" s="41"/>
    </row>
    <row r="50" spans="1:9" x14ac:dyDescent="0.25">
      <c r="A50" s="34" t="s">
        <v>197</v>
      </c>
      <c r="B50" s="34" t="s">
        <v>198</v>
      </c>
      <c r="C50" s="35">
        <v>800</v>
      </c>
      <c r="D50" s="34" t="s">
        <v>126</v>
      </c>
      <c r="E50" s="36" t="s">
        <v>199</v>
      </c>
      <c r="G50" s="29" t="s">
        <v>200</v>
      </c>
      <c r="H50" s="59" t="str">
        <f>chk_clear</f>
        <v>OK</v>
      </c>
      <c r="I50" s="29"/>
    </row>
    <row r="51" spans="1:9" x14ac:dyDescent="0.25">
      <c r="A51" s="34" t="s">
        <v>201</v>
      </c>
      <c r="B51" s="34" t="s">
        <v>202</v>
      </c>
      <c r="C51" s="44">
        <v>0.53</v>
      </c>
      <c r="D51" s="34" t="s">
        <v>28</v>
      </c>
      <c r="E51" s="36" t="s">
        <v>203</v>
      </c>
      <c r="G51" s="29" t="s">
        <v>204</v>
      </c>
      <c r="H51" s="59" t="str">
        <f>IF(AND(TSFC_s&gt;0.00005,TSFC_s&lt;0.0005,alpha_cr&gt;0.05,alpha_cr&lt;=1),"OK","CHECK - TSFC unit or thrust lapse looks out of range")</f>
        <v>OK</v>
      </c>
      <c r="I51" s="29"/>
    </row>
    <row r="52" spans="1:9" x14ac:dyDescent="0.25">
      <c r="A52" s="34" t="s">
        <v>205</v>
      </c>
      <c r="B52" s="34" t="s">
        <v>206</v>
      </c>
      <c r="C52" s="44">
        <v>0.5</v>
      </c>
      <c r="D52" s="34" t="s">
        <v>28</v>
      </c>
      <c r="E52" s="36"/>
      <c r="G52" s="45" t="s">
        <v>207</v>
      </c>
      <c r="H52" s="54" t="str">
        <f>chk_TO</f>
        <v>OK - 0 m margin on TODA</v>
      </c>
      <c r="I52" s="45"/>
    </row>
    <row r="53" spans="1:9" x14ac:dyDescent="0.25">
      <c r="A53" s="34" t="s">
        <v>208</v>
      </c>
      <c r="B53" s="34" t="s">
        <v>209</v>
      </c>
      <c r="C53" s="44">
        <v>0.81</v>
      </c>
      <c r="D53" s="34" t="s">
        <v>28</v>
      </c>
      <c r="E53" s="36" t="s">
        <v>210</v>
      </c>
      <c r="G53" s="45" t="s">
        <v>211</v>
      </c>
      <c r="H53" s="54" t="str">
        <f>chk_LD</f>
        <v>OK - 86 m margin on LDA</v>
      </c>
      <c r="I53" s="45"/>
    </row>
    <row r="54" spans="1:9" x14ac:dyDescent="0.25">
      <c r="A54" s="34" t="s">
        <v>212</v>
      </c>
      <c r="B54" s="34" t="s">
        <v>213</v>
      </c>
      <c r="C54" s="44">
        <v>1.5</v>
      </c>
      <c r="D54" s="34" t="s">
        <v>28</v>
      </c>
      <c r="E54" s="36" t="s">
        <v>214</v>
      </c>
      <c r="G54" s="45" t="s">
        <v>117</v>
      </c>
      <c r="H54" s="54" t="str">
        <f>chk_ceil</f>
        <v>OK - 591 m above cruise altitude</v>
      </c>
      <c r="I54" s="45"/>
    </row>
    <row r="55" spans="1:9" x14ac:dyDescent="0.25">
      <c r="A55" s="34" t="s">
        <v>215</v>
      </c>
      <c r="B55" s="34" t="s">
        <v>216</v>
      </c>
      <c r="C55" s="44">
        <v>1</v>
      </c>
      <c r="D55" s="34" t="s">
        <v>28</v>
      </c>
      <c r="E55" s="36"/>
      <c r="G55" s="45" t="s">
        <v>217</v>
      </c>
      <c r="H55" s="54" t="str">
        <f>chk_SM</f>
        <v>OK</v>
      </c>
      <c r="I55" s="45"/>
    </row>
    <row r="56" spans="1:9" x14ac:dyDescent="0.25">
      <c r="A56" s="34" t="s">
        <v>218</v>
      </c>
      <c r="B56" s="34" t="s">
        <v>219</v>
      </c>
      <c r="C56" s="47">
        <v>50</v>
      </c>
      <c r="D56" s="34" t="s">
        <v>58</v>
      </c>
      <c r="E56" s="36" t="s">
        <v>220</v>
      </c>
      <c r="G56" s="41" t="s">
        <v>221</v>
      </c>
      <c r="H56" s="42" t="str">
        <f>chk_gear</f>
        <v>OK</v>
      </c>
      <c r="I56" s="41"/>
    </row>
    <row r="57" spans="1:9" x14ac:dyDescent="0.25">
      <c r="A57" s="34" t="s">
        <v>222</v>
      </c>
      <c r="B57" s="34" t="s">
        <v>223</v>
      </c>
      <c r="C57" s="44">
        <v>4</v>
      </c>
      <c r="D57" s="34" t="s">
        <v>28</v>
      </c>
      <c r="E57" s="36" t="s">
        <v>224</v>
      </c>
      <c r="G57" s="45" t="s">
        <v>225</v>
      </c>
      <c r="H57" s="54" t="str">
        <f>chk_CD0</f>
        <v>OK - within 20 % of the build-up</v>
      </c>
      <c r="I57" s="45"/>
    </row>
    <row r="58" spans="1:9" x14ac:dyDescent="0.25">
      <c r="A58" s="34" t="s">
        <v>226</v>
      </c>
      <c r="B58" s="34" t="s">
        <v>227</v>
      </c>
      <c r="C58" s="44">
        <v>1</v>
      </c>
      <c r="D58" s="34" t="s">
        <v>10</v>
      </c>
      <c r="E58" s="36" t="s">
        <v>228</v>
      </c>
      <c r="G58" s="45" t="s">
        <v>229</v>
      </c>
      <c r="H58" s="54" t="str">
        <f>chk_hold</f>
        <v>OK</v>
      </c>
      <c r="I58" s="45"/>
    </row>
    <row r="59" spans="1:9" x14ac:dyDescent="0.25">
      <c r="A59" s="34" t="s">
        <v>230</v>
      </c>
      <c r="B59" s="34" t="s">
        <v>231</v>
      </c>
      <c r="C59" s="44">
        <v>0.09</v>
      </c>
      <c r="D59" s="34" t="s">
        <v>10</v>
      </c>
      <c r="E59" s="36" t="s">
        <v>228</v>
      </c>
      <c r="G59" s="29" t="s">
        <v>232</v>
      </c>
      <c r="H59" s="59" t="str">
        <f>chk_climb</f>
        <v>OK - every climb requirement is met</v>
      </c>
      <c r="I59" s="29"/>
    </row>
    <row r="60" spans="1:9" x14ac:dyDescent="0.25">
      <c r="A60" s="34" t="s">
        <v>233</v>
      </c>
      <c r="B60" s="34" t="s">
        <v>234</v>
      </c>
      <c r="C60" s="44">
        <v>0.45</v>
      </c>
      <c r="D60" s="34" t="s">
        <v>10</v>
      </c>
      <c r="E60" s="36" t="s">
        <v>235</v>
      </c>
      <c r="G60" s="45" t="s">
        <v>236</v>
      </c>
      <c r="H60" s="54" t="str">
        <f>chk_BFL</f>
        <v>NOTE - Raymer BFL is 47 m over TODA (the sizing used the Loftin correlation)</v>
      </c>
      <c r="I60" s="45"/>
    </row>
    <row r="61" spans="1:9" x14ac:dyDescent="0.25">
      <c r="A61" s="34" t="s">
        <v>237</v>
      </c>
      <c r="B61" s="34" t="s">
        <v>238</v>
      </c>
      <c r="C61" s="58">
        <v>4.5</v>
      </c>
      <c r="D61" s="34" t="s">
        <v>10</v>
      </c>
      <c r="E61" s="36"/>
      <c r="G61" s="45" t="s">
        <v>239</v>
      </c>
      <c r="H61" s="54" t="str">
        <f>chk_trim</f>
        <v>OK</v>
      </c>
      <c r="I61" s="45"/>
    </row>
    <row r="62" spans="1:9" x14ac:dyDescent="0.25">
      <c r="A62" s="34" t="s">
        <v>240</v>
      </c>
      <c r="B62" s="34" t="s">
        <v>241</v>
      </c>
      <c r="C62" s="58">
        <v>1.7</v>
      </c>
      <c r="D62" s="34" t="s">
        <v>10</v>
      </c>
      <c r="E62" s="36"/>
      <c r="G62" s="45" t="s">
        <v>242</v>
      </c>
      <c r="H62" s="54" t="str">
        <f>chk_rot</f>
        <v>OK</v>
      </c>
      <c r="I62" s="45"/>
    </row>
    <row r="63" spans="1:9" x14ac:dyDescent="0.25">
      <c r="A63" s="34" t="s">
        <v>243</v>
      </c>
      <c r="B63" s="34" t="s">
        <v>244</v>
      </c>
      <c r="C63" s="44">
        <v>0.4</v>
      </c>
      <c r="D63" s="34" t="s">
        <v>10</v>
      </c>
      <c r="E63" s="36"/>
      <c r="G63" s="29" t="s">
        <v>245</v>
      </c>
      <c r="H63" s="59" t="str">
        <f>chk_fin</f>
        <v>OK</v>
      </c>
      <c r="I63" s="29"/>
    </row>
    <row r="64" spans="1:9" x14ac:dyDescent="0.25">
      <c r="A64" s="34" t="s">
        <v>246</v>
      </c>
      <c r="B64" s="34" t="s">
        <v>247</v>
      </c>
      <c r="C64" s="44">
        <v>0.35</v>
      </c>
      <c r="D64" s="34" t="s">
        <v>10</v>
      </c>
      <c r="E64" s="36"/>
      <c r="G64" s="45" t="s">
        <v>248</v>
      </c>
      <c r="H64" s="54" t="str">
        <f>chk_xw</f>
        <v>OK</v>
      </c>
      <c r="I64" s="45"/>
    </row>
    <row r="65" spans="1:9" x14ac:dyDescent="0.25">
      <c r="A65" s="34" t="s">
        <v>249</v>
      </c>
      <c r="B65" s="34" t="s">
        <v>250</v>
      </c>
      <c r="C65" s="58">
        <v>5</v>
      </c>
      <c r="D65" s="34" t="s">
        <v>10</v>
      </c>
      <c r="E65" s="36" t="s">
        <v>251</v>
      </c>
      <c r="G65" s="32" t="s">
        <v>252</v>
      </c>
      <c r="H65" s="37" t="str">
        <f>IF(AND(n_rows&lt;=60,n_rows_b&lt;=20),"OK","Drawings show the first 60 economy and 20 business rows only")</f>
        <v>OK</v>
      </c>
      <c r="I65" s="32"/>
    </row>
    <row r="66" spans="1:9" x14ac:dyDescent="0.25">
      <c r="A66" s="34" t="s">
        <v>253</v>
      </c>
      <c r="B66" s="34" t="s">
        <v>254</v>
      </c>
      <c r="C66" s="44">
        <v>0.34</v>
      </c>
      <c r="D66" s="34" t="s">
        <v>10</v>
      </c>
      <c r="E66" s="36" t="s">
        <v>255</v>
      </c>
      <c r="G66" s="39" t="s">
        <v>256</v>
      </c>
      <c r="H66" s="60" t="str">
        <f>chk_tailfit</f>
        <v>OK</v>
      </c>
      <c r="I66" s="39"/>
    </row>
    <row r="67" spans="1:9" x14ac:dyDescent="0.25">
      <c r="A67" s="34" t="s">
        <v>257</v>
      </c>
      <c r="B67" s="34" t="s">
        <v>258</v>
      </c>
      <c r="C67" s="44">
        <v>0.62</v>
      </c>
      <c r="D67" s="34" t="s">
        <v>10</v>
      </c>
      <c r="E67" s="36" t="s">
        <v>259</v>
      </c>
      <c r="G67" s="41" t="s">
        <v>260</v>
      </c>
      <c r="H67" s="42" t="str">
        <f>chk_ACN</f>
        <v>OK for major airports (PCN 60-80)</v>
      </c>
      <c r="I67" s="41"/>
    </row>
    <row r="68" spans="1:9" x14ac:dyDescent="0.25">
      <c r="A68" s="34" t="s">
        <v>261</v>
      </c>
      <c r="B68" s="34" t="s">
        <v>262</v>
      </c>
      <c r="C68" s="44">
        <v>0.92</v>
      </c>
      <c r="D68" s="34" t="s">
        <v>10</v>
      </c>
      <c r="E68" s="36" t="s">
        <v>263</v>
      </c>
    </row>
    <row r="69" spans="1:9" x14ac:dyDescent="0.25">
      <c r="A69" s="34" t="s">
        <v>264</v>
      </c>
      <c r="B69" s="34" t="s">
        <v>265</v>
      </c>
      <c r="C69" s="44">
        <v>1.07</v>
      </c>
      <c r="D69" s="34" t="s">
        <v>10</v>
      </c>
      <c r="E69" s="36" t="s">
        <v>266</v>
      </c>
      <c r="G69" s="4" t="s">
        <v>267</v>
      </c>
      <c r="H69" s="61"/>
      <c r="I69" s="61"/>
    </row>
    <row r="70" spans="1:9" x14ac:dyDescent="0.25">
      <c r="A70" s="34" t="s">
        <v>268</v>
      </c>
      <c r="B70" s="34" t="s">
        <v>269</v>
      </c>
      <c r="C70" s="44">
        <v>0.65</v>
      </c>
      <c r="D70" s="34" t="s">
        <v>10</v>
      </c>
      <c r="E70" s="36" t="s">
        <v>270</v>
      </c>
      <c r="G70" s="3" t="s">
        <v>271</v>
      </c>
      <c r="H70" s="62" t="s">
        <v>272</v>
      </c>
      <c r="I70" s="63"/>
    </row>
    <row r="71" spans="1:9" x14ac:dyDescent="0.25">
      <c r="A71" s="34" t="s">
        <v>273</v>
      </c>
      <c r="B71" s="34" t="s">
        <v>274</v>
      </c>
      <c r="C71" s="44">
        <v>0.38</v>
      </c>
      <c r="D71" s="34" t="s">
        <v>10</v>
      </c>
      <c r="E71" s="36" t="s">
        <v>275</v>
      </c>
      <c r="G71" s="31" t="s">
        <v>276</v>
      </c>
      <c r="H71" s="64" t="s">
        <v>272</v>
      </c>
      <c r="I71" s="65"/>
    </row>
    <row r="72" spans="1:9" x14ac:dyDescent="0.25">
      <c r="A72" s="34" t="s">
        <v>277</v>
      </c>
      <c r="B72" s="34" t="s">
        <v>278</v>
      </c>
      <c r="C72" s="44">
        <v>0.92</v>
      </c>
      <c r="D72" s="34" t="s">
        <v>10</v>
      </c>
      <c r="E72" s="36" t="s">
        <v>279</v>
      </c>
      <c r="G72" s="66" t="s">
        <v>280</v>
      </c>
      <c r="H72" s="16" t="s">
        <v>272</v>
      </c>
      <c r="I72" s="67"/>
    </row>
    <row r="73" spans="1:9" x14ac:dyDescent="0.25">
      <c r="A73" s="34" t="s">
        <v>281</v>
      </c>
      <c r="B73" s="34" t="s">
        <v>282</v>
      </c>
      <c r="C73" s="44">
        <v>3.05</v>
      </c>
      <c r="D73" s="34" t="s">
        <v>120</v>
      </c>
      <c r="E73" s="36" t="s">
        <v>283</v>
      </c>
      <c r="G73" s="68" t="s">
        <v>284</v>
      </c>
      <c r="H73" s="8" t="s">
        <v>272</v>
      </c>
      <c r="I73" s="69"/>
    </row>
    <row r="74" spans="1:9" x14ac:dyDescent="0.25">
      <c r="A74" s="34" t="s">
        <v>285</v>
      </c>
      <c r="B74" s="34" t="s">
        <v>286</v>
      </c>
      <c r="C74" s="58">
        <v>3</v>
      </c>
      <c r="D74" s="34" t="s">
        <v>10</v>
      </c>
      <c r="E74" s="36" t="s">
        <v>287</v>
      </c>
      <c r="G74" s="70" t="s">
        <v>288</v>
      </c>
      <c r="H74" s="23" t="s">
        <v>272</v>
      </c>
      <c r="I74" s="71"/>
    </row>
    <row r="75" spans="1:9" x14ac:dyDescent="0.25">
      <c r="A75" s="34" t="s">
        <v>289</v>
      </c>
      <c r="B75" s="34" t="s">
        <v>290</v>
      </c>
      <c r="C75" s="47">
        <v>40</v>
      </c>
      <c r="D75" s="34" t="s">
        <v>61</v>
      </c>
      <c r="E75" s="36" t="s">
        <v>291</v>
      </c>
      <c r="G75" s="72" t="s">
        <v>292</v>
      </c>
      <c r="H75" s="32" t="s">
        <v>272</v>
      </c>
      <c r="I75" s="73"/>
    </row>
    <row r="76" spans="1:9" x14ac:dyDescent="0.25">
      <c r="A76" s="34" t="s">
        <v>293</v>
      </c>
      <c r="B76" s="34" t="s">
        <v>294</v>
      </c>
      <c r="C76" s="47">
        <v>25</v>
      </c>
      <c r="D76" s="34" t="s">
        <v>61</v>
      </c>
      <c r="E76" s="36" t="s">
        <v>295</v>
      </c>
      <c r="G76" s="74" t="s">
        <v>296</v>
      </c>
      <c r="H76" s="39" t="s">
        <v>272</v>
      </c>
      <c r="I76" s="75"/>
    </row>
    <row r="77" spans="1:9" x14ac:dyDescent="0.25">
      <c r="A77" s="34" t="s">
        <v>297</v>
      </c>
      <c r="B77" s="34" t="s">
        <v>298</v>
      </c>
      <c r="C77" s="76">
        <v>9.8066499999999994</v>
      </c>
      <c r="D77" s="34" t="s">
        <v>299</v>
      </c>
      <c r="E77" s="36"/>
      <c r="G77" s="77" t="s">
        <v>300</v>
      </c>
      <c r="H77" s="29" t="s">
        <v>272</v>
      </c>
      <c r="I77" s="78"/>
    </row>
    <row r="78" spans="1:9" x14ac:dyDescent="0.25">
      <c r="A78" s="34" t="s">
        <v>301</v>
      </c>
      <c r="B78" s="34" t="s">
        <v>302</v>
      </c>
      <c r="C78" s="49">
        <v>1.2250000000000001</v>
      </c>
      <c r="D78" s="34" t="s">
        <v>126</v>
      </c>
      <c r="E78" s="36" t="s">
        <v>303</v>
      </c>
      <c r="G78" s="79" t="s">
        <v>304</v>
      </c>
      <c r="H78" s="41" t="s">
        <v>272</v>
      </c>
      <c r="I78" s="80"/>
    </row>
    <row r="79" spans="1:9" x14ac:dyDescent="0.25">
      <c r="G79" s="81" t="s">
        <v>305</v>
      </c>
      <c r="H79" s="82" t="s">
        <v>272</v>
      </c>
      <c r="I79" s="83"/>
    </row>
    <row r="80" spans="1:9" x14ac:dyDescent="0.25">
      <c r="A80" s="66" t="s">
        <v>306</v>
      </c>
      <c r="B80" s="66" t="s">
        <v>3</v>
      </c>
      <c r="C80" s="66" t="s">
        <v>4</v>
      </c>
      <c r="D80" s="66" t="s">
        <v>5</v>
      </c>
      <c r="E80" s="66" t="s">
        <v>6</v>
      </c>
      <c r="G80" s="84" t="s">
        <v>307</v>
      </c>
      <c r="H80" s="85" t="s">
        <v>272</v>
      </c>
      <c r="I80" s="86"/>
    </row>
    <row r="81" spans="1:9" x14ac:dyDescent="0.25">
      <c r="A81" s="10" t="s">
        <v>308</v>
      </c>
      <c r="B81" s="10" t="s">
        <v>309</v>
      </c>
      <c r="C81" s="87">
        <f>IF(h_cr&lt;=11000,288.15-0.0065*h_cr,216.65)</f>
        <v>218.80799999999999</v>
      </c>
      <c r="D81" s="10" t="s">
        <v>310</v>
      </c>
      <c r="E81" s="11" t="s">
        <v>303</v>
      </c>
      <c r="G81" s="88" t="s">
        <v>311</v>
      </c>
      <c r="H81" s="89" t="s">
        <v>272</v>
      </c>
      <c r="I81" s="90"/>
    </row>
    <row r="82" spans="1:9" x14ac:dyDescent="0.25">
      <c r="A82" s="10" t="s">
        <v>312</v>
      </c>
      <c r="B82" s="10" t="s">
        <v>313</v>
      </c>
      <c r="C82" s="91">
        <f>IF(h_cr&lt;=11000,rho_SL*(T_cr/288.15)^4.25588,0.36392*EXP(-(h_cr-11000)/6341.62))</f>
        <v>0.37959679444261846</v>
      </c>
      <c r="D82" s="10" t="s">
        <v>126</v>
      </c>
      <c r="E82" s="11" t="s">
        <v>303</v>
      </c>
      <c r="G82" s="92" t="s">
        <v>314</v>
      </c>
      <c r="H82" s="93" t="s">
        <v>272</v>
      </c>
      <c r="I82" s="94"/>
    </row>
    <row r="83" spans="1:9" x14ac:dyDescent="0.25">
      <c r="A83" s="10" t="s">
        <v>315</v>
      </c>
      <c r="B83" s="10" t="s">
        <v>316</v>
      </c>
      <c r="C83" s="95">
        <f>SQRT(1.4*287.053*T_cr)</f>
        <v>296.53547840621025</v>
      </c>
      <c r="D83" s="10" t="s">
        <v>120</v>
      </c>
      <c r="E83" s="11"/>
      <c r="G83" s="96" t="s">
        <v>317</v>
      </c>
      <c r="H83" s="97" t="s">
        <v>272</v>
      </c>
      <c r="I83" s="98"/>
    </row>
    <row r="84" spans="1:9" x14ac:dyDescent="0.25">
      <c r="A84" s="10" t="s">
        <v>318</v>
      </c>
      <c r="B84" s="10" t="s">
        <v>319</v>
      </c>
      <c r="C84" s="95">
        <f>MCR*a_cr</f>
        <v>231.29767315684401</v>
      </c>
      <c r="D84" s="10" t="s">
        <v>120</v>
      </c>
      <c r="E84" s="11"/>
      <c r="G84" s="99" t="s">
        <v>320</v>
      </c>
      <c r="H84" s="100" t="s">
        <v>272</v>
      </c>
      <c r="I84" s="101"/>
    </row>
    <row r="85" spans="1:9" x14ac:dyDescent="0.25">
      <c r="A85" s="10" t="s">
        <v>321</v>
      </c>
      <c r="B85" s="10" t="s">
        <v>322</v>
      </c>
      <c r="C85" s="102">
        <f>0.5*rho_cr*V_cr^2</f>
        <v>10153.951116316915</v>
      </c>
      <c r="D85" s="10" t="s">
        <v>323</v>
      </c>
      <c r="E85" s="11"/>
    </row>
    <row r="86" spans="1:9" x14ac:dyDescent="0.25">
      <c r="A86" s="10" t="s">
        <v>324</v>
      </c>
      <c r="B86" s="10" t="s">
        <v>325</v>
      </c>
      <c r="C86" s="87">
        <f>(1-0.0065*h_apt/288.15)^4.25588</f>
        <v>1</v>
      </c>
      <c r="D86" s="10" t="s">
        <v>10</v>
      </c>
      <c r="E86" s="11" t="s">
        <v>303</v>
      </c>
      <c r="G86" s="103" t="s">
        <v>326</v>
      </c>
    </row>
    <row r="87" spans="1:9" x14ac:dyDescent="0.25">
      <c r="A87" s="10" t="s">
        <v>327</v>
      </c>
      <c r="B87" s="10" t="s">
        <v>328</v>
      </c>
      <c r="C87" s="91">
        <f>1/(PI()*AR_*e_os)</f>
        <v>4.1882879761025088E-2</v>
      </c>
      <c r="D87" s="10" t="s">
        <v>10</v>
      </c>
      <c r="E87" s="11" t="s">
        <v>329</v>
      </c>
      <c r="G87" s="104" t="s">
        <v>330</v>
      </c>
    </row>
    <row r="88" spans="1:9" x14ac:dyDescent="0.25">
      <c r="A88" s="10" t="s">
        <v>331</v>
      </c>
      <c r="B88" s="10" t="s">
        <v>332</v>
      </c>
      <c r="C88" s="87">
        <f>ff_taxi*ff_TO*ff_climb</f>
        <v>0.94111824999999993</v>
      </c>
      <c r="D88" s="10" t="s">
        <v>10</v>
      </c>
      <c r="E88" s="11" t="s">
        <v>333</v>
      </c>
      <c r="G88" s="105" t="s">
        <v>334</v>
      </c>
    </row>
    <row r="89" spans="1:9" x14ac:dyDescent="0.25">
      <c r="A89" s="10" t="s">
        <v>335</v>
      </c>
      <c r="B89" s="10" t="s">
        <v>336</v>
      </c>
      <c r="C89" s="95">
        <f>q_cr*CD_0/alpha_cr</f>
        <v>830.77781860774758</v>
      </c>
      <c r="D89" s="10" t="s">
        <v>337</v>
      </c>
      <c r="E89" s="11" t="s">
        <v>338</v>
      </c>
    </row>
    <row r="90" spans="1:9" x14ac:dyDescent="0.25">
      <c r="A90" s="10" t="s">
        <v>339</v>
      </c>
      <c r="B90" s="10" t="s">
        <v>340</v>
      </c>
      <c r="C90" s="106">
        <f>K_ind*beta_cr^2/(alpha_cr*q_cr)</f>
        <v>1.660608193647026E-5</v>
      </c>
      <c r="D90" s="10" t="s">
        <v>341</v>
      </c>
      <c r="E90" s="11" t="s">
        <v>342</v>
      </c>
    </row>
    <row r="91" spans="1:9" x14ac:dyDescent="0.25">
      <c r="A91" s="10" t="s">
        <v>343</v>
      </c>
      <c r="B91" s="10" t="s">
        <v>344</v>
      </c>
      <c r="C91" s="91">
        <f>beta_cr*ROC_cr/(alpha_cr*V_cr)</f>
        <v>2.7742239052088894E-2</v>
      </c>
      <c r="D91" s="10" t="s">
        <v>10</v>
      </c>
      <c r="E91" s="11" t="s">
        <v>345</v>
      </c>
    </row>
    <row r="93" spans="1:9" x14ac:dyDescent="0.25">
      <c r="A93" s="66" t="s">
        <v>346</v>
      </c>
      <c r="B93" s="66" t="s">
        <v>3</v>
      </c>
      <c r="C93" s="66" t="s">
        <v>4</v>
      </c>
      <c r="D93" s="66" t="s">
        <v>5</v>
      </c>
      <c r="E93" s="66" t="s">
        <v>6</v>
      </c>
    </row>
    <row r="94" spans="1:9" x14ac:dyDescent="0.25">
      <c r="A94" s="10" t="s">
        <v>347</v>
      </c>
      <c r="B94" s="10" t="s">
        <v>348</v>
      </c>
      <c r="C94" s="95">
        <f>k_L*sigma*CLmaxL*LDA</f>
        <v>482.46299999999997</v>
      </c>
      <c r="D94" s="10" t="s">
        <v>349</v>
      </c>
      <c r="E94" s="11" t="s">
        <v>350</v>
      </c>
    </row>
    <row r="95" spans="1:9" x14ac:dyDescent="0.25">
      <c r="A95" s="10" t="s">
        <v>351</v>
      </c>
      <c r="B95" s="10" t="s">
        <v>352</v>
      </c>
      <c r="C95" s="102">
        <f>mS_L*grav/ML_ratio</f>
        <v>5566.2891517058815</v>
      </c>
      <c r="D95" s="10" t="s">
        <v>337</v>
      </c>
      <c r="E95" s="11" t="s">
        <v>353</v>
      </c>
    </row>
    <row r="97" spans="1:5" x14ac:dyDescent="0.25">
      <c r="A97" s="66" t="s">
        <v>354</v>
      </c>
      <c r="B97" s="66" t="s">
        <v>3</v>
      </c>
      <c r="C97" s="66" t="s">
        <v>4</v>
      </c>
      <c r="D97" s="66" t="s">
        <v>5</v>
      </c>
      <c r="E97" s="66" t="s">
        <v>6</v>
      </c>
    </row>
    <row r="98" spans="1:5" x14ac:dyDescent="0.25">
      <c r="A98" s="10" t="s">
        <v>355</v>
      </c>
      <c r="B98" s="10" t="s">
        <v>356</v>
      </c>
      <c r="C98" s="106">
        <f>k_TO/(TODA*sigma*CLmaxTO*grav)</f>
        <v>5.1647964033947013E-5</v>
      </c>
      <c r="D98" s="10" t="s">
        <v>341</v>
      </c>
      <c r="E98" s="11" t="s">
        <v>357</v>
      </c>
    </row>
    <row r="100" spans="1:5" x14ac:dyDescent="0.25">
      <c r="A100" s="66" t="s">
        <v>358</v>
      </c>
      <c r="B100" s="66" t="s">
        <v>3</v>
      </c>
      <c r="C100" s="66" t="s">
        <v>4</v>
      </c>
      <c r="D100" s="66" t="s">
        <v>5</v>
      </c>
      <c r="E100" s="66" t="s">
        <v>6</v>
      </c>
    </row>
    <row r="101" spans="1:5" x14ac:dyDescent="0.25">
      <c r="A101" s="10" t="s">
        <v>359</v>
      </c>
      <c r="B101" s="10" t="s">
        <v>360</v>
      </c>
      <c r="C101" s="87">
        <f>0.024+0.003*(N_eng-2)</f>
        <v>2.4E-2</v>
      </c>
      <c r="D101" s="10" t="s">
        <v>10</v>
      </c>
      <c r="E101" s="11" t="s">
        <v>361</v>
      </c>
    </row>
    <row r="102" spans="1:5" x14ac:dyDescent="0.25">
      <c r="A102" s="10" t="s">
        <v>362</v>
      </c>
      <c r="B102" s="10" t="s">
        <v>363</v>
      </c>
      <c r="C102" s="87">
        <f>CLmaxTO/1.44</f>
        <v>1.4583333333333335</v>
      </c>
      <c r="D102" s="10" t="s">
        <v>10</v>
      </c>
      <c r="E102" s="11"/>
    </row>
    <row r="103" spans="1:5" x14ac:dyDescent="0.25">
      <c r="A103" s="10" t="s">
        <v>364</v>
      </c>
      <c r="B103" s="10" t="s">
        <v>365</v>
      </c>
      <c r="C103" s="91">
        <f>MAX(0,0.05*CL_2-0.055)</f>
        <v>1.7916666666666671E-2</v>
      </c>
      <c r="D103" s="10" t="s">
        <v>10</v>
      </c>
      <c r="E103" s="11" t="s">
        <v>366</v>
      </c>
    </row>
    <row r="104" spans="1:5" x14ac:dyDescent="0.25">
      <c r="A104" s="10" t="s">
        <v>367</v>
      </c>
      <c r="B104" s="10" t="s">
        <v>368</v>
      </c>
      <c r="C104" s="107">
        <f>CL_2/(CD_0+dCD0_f2+K_ind*CL_2^2)</f>
        <v>11.667553448167746</v>
      </c>
      <c r="D104" s="10" t="s">
        <v>10</v>
      </c>
      <c r="E104" s="11"/>
    </row>
    <row r="105" spans="1:5" x14ac:dyDescent="0.25">
      <c r="A105" s="10" t="s">
        <v>369</v>
      </c>
      <c r="B105" s="10" t="s">
        <v>370</v>
      </c>
      <c r="C105" s="87">
        <f>N_eng/(N_eng-1)*(1/LD_2+grad_2)</f>
        <v>0.2194155421601327</v>
      </c>
      <c r="D105" s="10" t="s">
        <v>10</v>
      </c>
      <c r="E105" s="11" t="s">
        <v>371</v>
      </c>
    </row>
    <row r="107" spans="1:5" x14ac:dyDescent="0.25">
      <c r="A107" s="66" t="s">
        <v>372</v>
      </c>
      <c r="B107" s="66" t="s">
        <v>3</v>
      </c>
      <c r="C107" s="66" t="s">
        <v>4</v>
      </c>
      <c r="D107" s="66" t="s">
        <v>5</v>
      </c>
      <c r="E107" s="66" t="s">
        <v>6</v>
      </c>
    </row>
    <row r="108" spans="1:5" x14ac:dyDescent="0.25">
      <c r="A108" s="10" t="s">
        <v>359</v>
      </c>
      <c r="B108" s="10" t="s">
        <v>373</v>
      </c>
      <c r="C108" s="87">
        <f>0.021+0.003*(N_eng-2)</f>
        <v>2.1000000000000001E-2</v>
      </c>
      <c r="D108" s="10" t="s">
        <v>10</v>
      </c>
      <c r="E108" s="11" t="s">
        <v>374</v>
      </c>
    </row>
    <row r="109" spans="1:5" x14ac:dyDescent="0.25">
      <c r="A109" s="10" t="s">
        <v>375</v>
      </c>
      <c r="B109" s="10" t="s">
        <v>376</v>
      </c>
      <c r="C109" s="87">
        <f>CLmaxL/1.69</f>
        <v>1.5976331360946747</v>
      </c>
      <c r="D109" s="10" t="s">
        <v>10</v>
      </c>
      <c r="E109" s="11"/>
    </row>
    <row r="110" spans="1:5" x14ac:dyDescent="0.25">
      <c r="A110" s="10" t="s">
        <v>364</v>
      </c>
      <c r="B110" s="10" t="s">
        <v>377</v>
      </c>
      <c r="C110" s="91">
        <f>MAX(0,0.05*CL_MA-0.055)</f>
        <v>2.4881656804733747E-2</v>
      </c>
      <c r="D110" s="10" t="s">
        <v>10</v>
      </c>
      <c r="E110" s="11" t="s">
        <v>366</v>
      </c>
    </row>
    <row r="111" spans="1:5" x14ac:dyDescent="0.25">
      <c r="A111" s="10" t="s">
        <v>378</v>
      </c>
      <c r="B111" s="10" t="s">
        <v>379</v>
      </c>
      <c r="C111" s="107">
        <f>CL_MA/(CD_0+dCD0_fMA+dCD0_gear+K_ind*CL_MA^2)</f>
        <v>9.6952674504775835</v>
      </c>
      <c r="D111" s="10" t="s">
        <v>10</v>
      </c>
      <c r="E111" s="11"/>
    </row>
    <row r="112" spans="1:5" x14ac:dyDescent="0.25">
      <c r="A112" s="10" t="s">
        <v>369</v>
      </c>
      <c r="B112" s="10" t="s">
        <v>380</v>
      </c>
      <c r="C112" s="87">
        <f>N_eng/(N_eng-1)*(1/LD_MA+grad_MA)*ML_ratio</f>
        <v>0.21104328049055099</v>
      </c>
      <c r="D112" s="10" t="s">
        <v>10</v>
      </c>
      <c r="E112" s="11" t="s">
        <v>381</v>
      </c>
    </row>
    <row r="114" spans="1:5" x14ac:dyDescent="0.25">
      <c r="A114" s="66" t="s">
        <v>382</v>
      </c>
      <c r="B114" s="66" t="s">
        <v>3</v>
      </c>
      <c r="C114" s="66" t="s">
        <v>4</v>
      </c>
      <c r="D114" s="66" t="s">
        <v>5</v>
      </c>
      <c r="E114" s="66" t="s">
        <v>6</v>
      </c>
    </row>
    <row r="115" spans="1:5" x14ac:dyDescent="0.25">
      <c r="A115" s="10" t="s">
        <v>383</v>
      </c>
      <c r="B115" s="10" t="s">
        <v>384</v>
      </c>
      <c r="C115" s="87">
        <f>MAX(TW_2,TW_MA)</f>
        <v>0.2194155421601327</v>
      </c>
      <c r="D115" s="10" t="s">
        <v>10</v>
      </c>
      <c r="E115" s="11" t="s">
        <v>385</v>
      </c>
    </row>
    <row r="116" spans="1:5" x14ac:dyDescent="0.25">
      <c r="A116" s="10" t="s">
        <v>386</v>
      </c>
      <c r="B116" s="10" t="s">
        <v>387</v>
      </c>
      <c r="C116" s="106">
        <f>cr_b-TO_slope</f>
        <v>-3.5041882097476753E-5</v>
      </c>
      <c r="D116" s="10" t="s">
        <v>341</v>
      </c>
      <c r="E116" s="11" t="s">
        <v>388</v>
      </c>
    </row>
    <row r="117" spans="1:5" x14ac:dyDescent="0.25">
      <c r="A117" s="10" t="s">
        <v>389</v>
      </c>
      <c r="B117" s="10" t="s">
        <v>390</v>
      </c>
      <c r="C117" s="106">
        <f>cr_c^2-4*to_A*cr_a</f>
        <v>0.11721770530302972</v>
      </c>
      <c r="D117" s="10" t="s">
        <v>10</v>
      </c>
      <c r="E117" s="11" t="s">
        <v>391</v>
      </c>
    </row>
    <row r="118" spans="1:5" x14ac:dyDescent="0.25">
      <c r="A118" s="10" t="s">
        <v>392</v>
      </c>
      <c r="B118" s="10" t="s">
        <v>393</v>
      </c>
      <c r="C118" s="106">
        <f>(cr_c-TW_floor)^2-4*cr_b*cr_a</f>
        <v>-1.8445202982861092E-2</v>
      </c>
      <c r="D118" s="10" t="s">
        <v>10</v>
      </c>
      <c r="E118" s="11" t="s">
        <v>394</v>
      </c>
    </row>
    <row r="119" spans="1:5" x14ac:dyDescent="0.25">
      <c r="A119" s="66" t="s">
        <v>395</v>
      </c>
      <c r="B119" s="66"/>
      <c r="C119" s="66" t="s">
        <v>396</v>
      </c>
      <c r="D119" s="66" t="s">
        <v>397</v>
      </c>
      <c r="E119" s="66" t="s">
        <v>398</v>
      </c>
    </row>
    <row r="120" spans="1:5" x14ac:dyDescent="0.25">
      <c r="A120" s="16" t="s">
        <v>399</v>
      </c>
      <c r="B120" s="67"/>
      <c r="C120" s="108">
        <f>WS_max</f>
        <v>5566.2891517058815</v>
      </c>
      <c r="D120" s="109">
        <f t="shared" ref="D120:D126" si="0">MAX(TO_slope*C120,TW_floor,cr_a/C120+cr_b*C120+cr_c)</f>
        <v>0.28748750190985478</v>
      </c>
      <c r="E120" s="110" t="s">
        <v>400</v>
      </c>
    </row>
    <row r="121" spans="1:5" x14ac:dyDescent="0.25">
      <c r="A121" s="16" t="s">
        <v>401</v>
      </c>
      <c r="B121" s="67"/>
      <c r="C121" s="108">
        <f>MIN(WS_max,MAX(1,SQRT(cr_a/cr_b)))</f>
        <v>5566.2891517058815</v>
      </c>
      <c r="D121" s="109">
        <f t="shared" si="0"/>
        <v>0.28748750190985478</v>
      </c>
      <c r="E121" s="110" t="s">
        <v>402</v>
      </c>
    </row>
    <row r="122" spans="1:5" x14ac:dyDescent="0.25">
      <c r="A122" s="16" t="s">
        <v>403</v>
      </c>
      <c r="B122" s="67"/>
      <c r="C122" s="108">
        <f>IF(OR(ABS(to_A)&lt;0.000000000000001,to_disc&lt;0),WS_max,MIN(WS_max,MAX(1,(-cr_c+SQRT(MAX(0,to_disc)))/(2*to_A))))</f>
        <v>1</v>
      </c>
      <c r="D122" s="109">
        <f t="shared" si="0"/>
        <v>830.80557745288161</v>
      </c>
      <c r="E122" s="110" t="s">
        <v>404</v>
      </c>
    </row>
    <row r="123" spans="1:5" x14ac:dyDescent="0.25">
      <c r="A123" s="16" t="s">
        <v>405</v>
      </c>
      <c r="B123" s="67"/>
      <c r="C123" s="108">
        <f>IF(OR(ABS(to_A)&lt;0.000000000000001,to_disc&lt;0),WS_max,MIN(WS_max,MAX(1,(-cr_c-SQRT(MAX(0,to_disc)))/(2*to_A))))</f>
        <v>5281.0084699453055</v>
      </c>
      <c r="D123" s="109">
        <f t="shared" si="0"/>
        <v>0.27275333551870468</v>
      </c>
      <c r="E123" s="110" t="s">
        <v>406</v>
      </c>
    </row>
    <row r="124" spans="1:5" x14ac:dyDescent="0.25">
      <c r="A124" s="16" t="s">
        <v>407</v>
      </c>
      <c r="B124" s="67"/>
      <c r="C124" s="108">
        <f>MIN(WS_max,MAX(1,TW_floor/TO_slope))</f>
        <v>4248.290252369211</v>
      </c>
      <c r="D124" s="109">
        <f t="shared" si="0"/>
        <v>0.29384549970375812</v>
      </c>
      <c r="E124" s="110" t="s">
        <v>408</v>
      </c>
    </row>
    <row r="125" spans="1:5" x14ac:dyDescent="0.25">
      <c r="A125" s="16" t="s">
        <v>409</v>
      </c>
      <c r="B125" s="67"/>
      <c r="C125" s="108">
        <f>IF(fl_disc&lt;0,WS_max,MIN(WS_max,MAX(1,(TW_floor-cr_c+SQRT(MAX(0,fl_disc)))/(2*cr_b))))</f>
        <v>5566.2891517058815</v>
      </c>
      <c r="D125" s="109">
        <f t="shared" si="0"/>
        <v>0.28748750190985478</v>
      </c>
      <c r="E125" s="110" t="s">
        <v>404</v>
      </c>
    </row>
    <row r="126" spans="1:5" x14ac:dyDescent="0.25">
      <c r="A126" s="16" t="s">
        <v>410</v>
      </c>
      <c r="B126" s="67"/>
      <c r="C126" s="108">
        <f>IF(fl_disc&lt;0,WS_max,MIN(WS_max,MAX(1,(TW_floor-cr_c-SQRT(MAX(0,fl_disc)))/(2*cr_b))))</f>
        <v>5566.2891517058815</v>
      </c>
      <c r="D126" s="109">
        <f t="shared" si="0"/>
        <v>0.28748750190985478</v>
      </c>
      <c r="E126" s="110" t="s">
        <v>406</v>
      </c>
    </row>
    <row r="128" spans="1:5" x14ac:dyDescent="0.25">
      <c r="A128" s="10" t="s">
        <v>411</v>
      </c>
      <c r="B128" s="10" t="s">
        <v>412</v>
      </c>
      <c r="C128" s="87">
        <f>MIN(D120:D126)</f>
        <v>0.27275333551870468</v>
      </c>
      <c r="D128" s="10" t="s">
        <v>10</v>
      </c>
      <c r="E128" s="11" t="s">
        <v>413</v>
      </c>
    </row>
    <row r="129" spans="1:5" x14ac:dyDescent="0.25">
      <c r="A129" s="10" t="s">
        <v>414</v>
      </c>
      <c r="B129" s="10" t="s">
        <v>415</v>
      </c>
      <c r="C129" s="102">
        <f>SUMPRODUCT(MAX((D120:D126&lt;=TW_des+0.000000001)*C120:C126))</f>
        <v>5281.0084699453055</v>
      </c>
      <c r="D129" s="10" t="s">
        <v>337</v>
      </c>
      <c r="E129" s="11" t="s">
        <v>416</v>
      </c>
    </row>
    <row r="130" spans="1:5" x14ac:dyDescent="0.25">
      <c r="A130" s="10" t="s">
        <v>414</v>
      </c>
      <c r="B130" s="10"/>
      <c r="C130" s="95">
        <f>WS_des/grav</f>
        <v>538.51299576769907</v>
      </c>
      <c r="D130" s="10" t="s">
        <v>349</v>
      </c>
      <c r="E130" s="11"/>
    </row>
    <row r="131" spans="1:5" x14ac:dyDescent="0.25">
      <c r="A131" s="10" t="s">
        <v>417</v>
      </c>
      <c r="B131" s="10" t="s">
        <v>418</v>
      </c>
      <c r="C131" s="111" t="str">
        <f>IF(TW_des&lt;=TW_floor+0.000000001,IF(TW_2&gt;=TW_MA,"Second-segment climb","Missed approach"),IF(ABS(TW_des-TO_slope*WS_des)&lt;0.000000001,"Take-off","Cruise")&amp;IF(AND(ABS(TW_des-TO_slope*WS_des)&lt;0.000000001,ABS(TW_des-(cr_a/WS_des+cr_b*WS_des+cr_c))&lt;0.000000001)," + cruise",""))&amp;IF(WS_des&gt;=WS_max*(1-0.000000001)," + landing","")</f>
        <v>Take-off + cruise</v>
      </c>
      <c r="D131" s="10"/>
      <c r="E131" s="11"/>
    </row>
    <row r="133" spans="1:5" x14ac:dyDescent="0.25">
      <c r="A133" s="68" t="s">
        <v>419</v>
      </c>
      <c r="B133" s="68" t="s">
        <v>3</v>
      </c>
      <c r="C133" s="68" t="s">
        <v>4</v>
      </c>
      <c r="D133" s="68" t="s">
        <v>5</v>
      </c>
      <c r="E133" s="68" t="s">
        <v>6</v>
      </c>
    </row>
    <row r="134" spans="1:5" x14ac:dyDescent="0.25">
      <c r="A134" s="13" t="s">
        <v>25</v>
      </c>
      <c r="B134" s="13" t="s">
        <v>420</v>
      </c>
      <c r="C134" s="112">
        <f>IF(PayPax&gt;0,PayPax,PyldMax)</f>
        <v>14250</v>
      </c>
      <c r="D134" s="13" t="s">
        <v>23</v>
      </c>
      <c r="E134" s="15" t="s">
        <v>421</v>
      </c>
    </row>
    <row r="135" spans="1:5" x14ac:dyDescent="0.25">
      <c r="A135" s="13" t="s">
        <v>422</v>
      </c>
      <c r="B135" s="13"/>
      <c r="C135" s="113">
        <f>IF(PaxTyp&gt;0,W_pl/PaxTyp,0)</f>
        <v>95</v>
      </c>
      <c r="D135" s="13" t="s">
        <v>423</v>
      </c>
      <c r="E135" s="15" t="s">
        <v>424</v>
      </c>
    </row>
    <row r="136" spans="1:5" x14ac:dyDescent="0.25">
      <c r="A136" s="13" t="s">
        <v>425</v>
      </c>
      <c r="B136" s="13" t="s">
        <v>426</v>
      </c>
      <c r="C136" s="112">
        <f>RangeTyp*IF(Range_unit="nm",1.852,1)</f>
        <v>5000</v>
      </c>
      <c r="D136" s="13" t="s">
        <v>64</v>
      </c>
      <c r="E136" s="15" t="s">
        <v>427</v>
      </c>
    </row>
    <row r="137" spans="1:5" x14ac:dyDescent="0.25">
      <c r="A137" s="13" t="s">
        <v>428</v>
      </c>
      <c r="B137" s="13" t="s">
        <v>429</v>
      </c>
      <c r="C137" s="112">
        <f>(N_flight+ROUNDUP(PaxTyp/pax_per_cc,0))*m_crew</f>
        <v>465</v>
      </c>
      <c r="D137" s="13" t="s">
        <v>23</v>
      </c>
      <c r="E137" s="15" t="s">
        <v>430</v>
      </c>
    </row>
    <row r="138" spans="1:5" x14ac:dyDescent="0.25">
      <c r="A138" s="13" t="s">
        <v>431</v>
      </c>
      <c r="B138" s="13" t="s">
        <v>432</v>
      </c>
      <c r="C138" s="114">
        <f>TSFC_in*IF(TSFC_unit="1/h",1/3600,IF(TSFC_unit="mg/(N.s)",grav*0.000001,grav))</f>
        <v>1.6666666666666666E-4</v>
      </c>
      <c r="D138" s="13" t="s">
        <v>433</v>
      </c>
      <c r="E138" s="15" t="s">
        <v>434</v>
      </c>
    </row>
    <row r="139" spans="1:5" x14ac:dyDescent="0.25">
      <c r="A139" s="13" t="s">
        <v>435</v>
      </c>
      <c r="B139" s="13" t="s">
        <v>436</v>
      </c>
      <c r="C139" s="115">
        <f>beta_cr*WS_des/q_cr</f>
        <v>0.48946990117802164</v>
      </c>
      <c r="D139" s="13" t="s">
        <v>10</v>
      </c>
      <c r="E139" s="15" t="s">
        <v>437</v>
      </c>
    </row>
    <row r="140" spans="1:5" x14ac:dyDescent="0.25">
      <c r="A140" s="13" t="s">
        <v>438</v>
      </c>
      <c r="B140" s="13" t="s">
        <v>439</v>
      </c>
      <c r="C140" s="116">
        <f>CD_0+K_ind*CL_cr^2</f>
        <v>2.8034333175992809E-2</v>
      </c>
      <c r="D140" s="13" t="s">
        <v>10</v>
      </c>
      <c r="E140" s="15"/>
    </row>
    <row r="141" spans="1:5" x14ac:dyDescent="0.25">
      <c r="A141" s="13" t="s">
        <v>71</v>
      </c>
      <c r="B141" s="13" t="s">
        <v>440</v>
      </c>
      <c r="C141" s="117">
        <f>CL_cr/CD_cr</f>
        <v>17.459659129583972</v>
      </c>
      <c r="D141" s="13" t="s">
        <v>10</v>
      </c>
      <c r="E141" s="15"/>
    </row>
    <row r="142" spans="1:5" x14ac:dyDescent="0.25">
      <c r="A142" s="13" t="s">
        <v>441</v>
      </c>
      <c r="B142" s="13" t="s">
        <v>442</v>
      </c>
      <c r="C142" s="117">
        <f>0.5*SQRT(PI()*AR_*e_os/CD_0)</f>
        <v>18.210232230230417</v>
      </c>
      <c r="D142" s="13" t="s">
        <v>10</v>
      </c>
      <c r="E142" s="15" t="s">
        <v>443</v>
      </c>
    </row>
    <row r="144" spans="1:5" x14ac:dyDescent="0.25">
      <c r="A144" s="68" t="s">
        <v>444</v>
      </c>
      <c r="B144" s="68" t="s">
        <v>3</v>
      </c>
      <c r="C144" s="68" t="s">
        <v>4</v>
      </c>
      <c r="D144" s="68" t="s">
        <v>5</v>
      </c>
      <c r="E144" s="68" t="s">
        <v>6</v>
      </c>
    </row>
    <row r="145" spans="1:5" x14ac:dyDescent="0.25">
      <c r="A145" s="13" t="s">
        <v>445</v>
      </c>
      <c r="B145" s="13"/>
      <c r="C145" s="115">
        <f>ff_taxi</f>
        <v>0.97</v>
      </c>
      <c r="D145" s="13" t="s">
        <v>10</v>
      </c>
      <c r="E145" s="15" t="s">
        <v>140</v>
      </c>
    </row>
    <row r="146" spans="1:5" x14ac:dyDescent="0.25">
      <c r="A146" s="13" t="s">
        <v>446</v>
      </c>
      <c r="B146" s="13"/>
      <c r="C146" s="115">
        <f>ff_TO</f>
        <v>0.98499999999999999</v>
      </c>
      <c r="D146" s="13" t="s">
        <v>10</v>
      </c>
      <c r="E146" s="15" t="s">
        <v>140</v>
      </c>
    </row>
    <row r="147" spans="1:5" x14ac:dyDescent="0.25">
      <c r="A147" s="13" t="s">
        <v>447</v>
      </c>
      <c r="B147" s="13"/>
      <c r="C147" s="115">
        <f>ff_climb</f>
        <v>0.98499999999999999</v>
      </c>
      <c r="D147" s="13" t="s">
        <v>10</v>
      </c>
      <c r="E147" s="15" t="s">
        <v>140</v>
      </c>
    </row>
    <row r="148" spans="1:5" x14ac:dyDescent="0.25">
      <c r="A148" s="13" t="s">
        <v>448</v>
      </c>
      <c r="B148" s="13" t="s">
        <v>449</v>
      </c>
      <c r="C148" s="115">
        <f>EXP(-Range_km*1000*TSFC_s/(V_cr*LD_cr))</f>
        <v>0.81354547960387125</v>
      </c>
      <c r="D148" s="13" t="s">
        <v>10</v>
      </c>
      <c r="E148" s="15" t="s">
        <v>450</v>
      </c>
    </row>
    <row r="149" spans="1:5" x14ac:dyDescent="0.25">
      <c r="A149" s="13" t="s">
        <v>451</v>
      </c>
      <c r="B149" s="13"/>
      <c r="C149" s="115">
        <f>ff_desc</f>
        <v>0.99</v>
      </c>
      <c r="D149" s="13" t="s">
        <v>10</v>
      </c>
      <c r="E149" s="15" t="s">
        <v>140</v>
      </c>
    </row>
    <row r="150" spans="1:5" x14ac:dyDescent="0.25">
      <c r="A150" s="13" t="s">
        <v>452</v>
      </c>
      <c r="B150" s="13"/>
      <c r="C150" s="115">
        <f>ff_res</f>
        <v>0.95</v>
      </c>
      <c r="D150" s="13" t="s">
        <v>10</v>
      </c>
      <c r="E150" s="15" t="s">
        <v>140</v>
      </c>
    </row>
    <row r="151" spans="1:5" x14ac:dyDescent="0.25">
      <c r="A151" s="13" t="s">
        <v>453</v>
      </c>
      <c r="B151" s="13" t="s">
        <v>454</v>
      </c>
      <c r="C151" s="115">
        <f>ff_taxi*ff_TO*ff_climb*ff_cruise*ff_desc*ff_res</f>
        <v>0.72008676942562366</v>
      </c>
      <c r="D151" s="13" t="s">
        <v>10</v>
      </c>
      <c r="E151" s="15" t="s">
        <v>455</v>
      </c>
    </row>
    <row r="152" spans="1:5" x14ac:dyDescent="0.25">
      <c r="A152" s="13" t="s">
        <v>456</v>
      </c>
      <c r="B152" s="13" t="s">
        <v>457</v>
      </c>
      <c r="C152" s="115">
        <f>k_res*(1-M_ff)</f>
        <v>0.29670802440883892</v>
      </c>
      <c r="D152" s="13" t="s">
        <v>10</v>
      </c>
      <c r="E152" s="15" t="s">
        <v>458</v>
      </c>
    </row>
    <row r="153" spans="1:5" x14ac:dyDescent="0.25">
      <c r="A153" s="68" t="s">
        <v>459</v>
      </c>
      <c r="B153" s="68"/>
      <c r="C153" s="68" t="s">
        <v>460</v>
      </c>
      <c r="D153" s="68" t="s">
        <v>461</v>
      </c>
      <c r="E153" s="68" t="s">
        <v>462</v>
      </c>
    </row>
    <row r="154" spans="1:5" x14ac:dyDescent="0.25">
      <c r="A154" s="8" t="s">
        <v>463</v>
      </c>
      <c r="B154" s="69"/>
      <c r="C154" s="118">
        <v>0.97</v>
      </c>
      <c r="D154" s="118">
        <v>-0.06</v>
      </c>
      <c r="E154" s="119" t="s">
        <v>464</v>
      </c>
    </row>
    <row r="155" spans="1:5" x14ac:dyDescent="0.25">
      <c r="A155" s="8" t="s">
        <v>465</v>
      </c>
      <c r="B155" s="69"/>
      <c r="C155" s="118">
        <v>0.92</v>
      </c>
      <c r="D155" s="118">
        <v>-0.05</v>
      </c>
      <c r="E155" s="119" t="s">
        <v>466</v>
      </c>
    </row>
    <row r="156" spans="1:5" x14ac:dyDescent="0.25">
      <c r="A156" s="8" t="s">
        <v>467</v>
      </c>
      <c r="B156" s="69"/>
      <c r="C156" s="118">
        <v>2.0499999999999998</v>
      </c>
      <c r="D156" s="118">
        <v>-0.18</v>
      </c>
      <c r="E156" s="119" t="s">
        <v>468</v>
      </c>
    </row>
    <row r="157" spans="1:5" x14ac:dyDescent="0.25">
      <c r="A157" s="8" t="s">
        <v>469</v>
      </c>
      <c r="B157" s="69"/>
      <c r="C157" s="118">
        <v>1.4</v>
      </c>
      <c r="D157" s="118">
        <v>-0.1</v>
      </c>
      <c r="E157" s="119" t="s">
        <v>470</v>
      </c>
    </row>
    <row r="158" spans="1:5" x14ac:dyDescent="0.25">
      <c r="A158" s="8" t="s">
        <v>471</v>
      </c>
      <c r="B158" s="69"/>
      <c r="C158" s="118">
        <v>1.1100000000000001</v>
      </c>
      <c r="D158" s="118">
        <v>-0.09</v>
      </c>
      <c r="E158" s="69"/>
    </row>
    <row r="159" spans="1:5" x14ac:dyDescent="0.25">
      <c r="A159" s="8" t="s">
        <v>472</v>
      </c>
      <c r="B159" s="69"/>
      <c r="C159" s="118">
        <v>1.07</v>
      </c>
      <c r="D159" s="118">
        <v>-0.09</v>
      </c>
      <c r="E159" s="69"/>
    </row>
    <row r="160" spans="1:5" x14ac:dyDescent="0.25">
      <c r="A160" s="8" t="s">
        <v>473</v>
      </c>
      <c r="B160" s="69"/>
      <c r="C160" s="118">
        <v>0.72</v>
      </c>
      <c r="D160" s="118">
        <v>-0.03</v>
      </c>
      <c r="E160" s="69"/>
    </row>
    <row r="161" spans="1:5" x14ac:dyDescent="0.25">
      <c r="A161" s="8" t="s">
        <v>474</v>
      </c>
      <c r="B161" s="69"/>
      <c r="C161" s="118">
        <v>1.05</v>
      </c>
      <c r="D161" s="118">
        <v>-0.05</v>
      </c>
      <c r="E161" s="69"/>
    </row>
    <row r="162" spans="1:5" x14ac:dyDescent="0.25">
      <c r="A162" s="8" t="s">
        <v>475</v>
      </c>
      <c r="B162" s="69"/>
      <c r="C162" s="118">
        <v>1.47</v>
      </c>
      <c r="D162" s="118">
        <v>-0.1</v>
      </c>
      <c r="E162" s="69"/>
    </row>
    <row r="163" spans="1:5" x14ac:dyDescent="0.25">
      <c r="A163" s="8" t="s">
        <v>476</v>
      </c>
      <c r="B163" s="69"/>
      <c r="C163" s="118">
        <v>2.11</v>
      </c>
      <c r="D163" s="118">
        <v>-0.13</v>
      </c>
      <c r="E163" s="69"/>
    </row>
    <row r="164" spans="1:5" x14ac:dyDescent="0.25">
      <c r="A164" s="8" t="s">
        <v>477</v>
      </c>
      <c r="B164" s="69"/>
      <c r="C164" s="118">
        <v>0.88</v>
      </c>
      <c r="D164" s="118">
        <v>-7.0000000000000007E-2</v>
      </c>
      <c r="E164" s="119" t="s">
        <v>478</v>
      </c>
    </row>
    <row r="165" spans="1:5" x14ac:dyDescent="0.25">
      <c r="A165" s="8" t="s">
        <v>479</v>
      </c>
      <c r="B165" s="69"/>
      <c r="C165" s="118">
        <v>0.83</v>
      </c>
      <c r="D165" s="118">
        <v>-0.05</v>
      </c>
      <c r="E165" s="119" t="s">
        <v>480</v>
      </c>
    </row>
    <row r="166" spans="1:5" x14ac:dyDescent="0.25">
      <c r="A166" s="8" t="s">
        <v>481</v>
      </c>
      <c r="B166" s="69"/>
      <c r="C166" s="118">
        <v>0.88</v>
      </c>
      <c r="D166" s="118">
        <v>-0.05</v>
      </c>
      <c r="E166" s="69"/>
    </row>
    <row r="167" spans="1:5" x14ac:dyDescent="0.25">
      <c r="A167" s="8" t="s">
        <v>482</v>
      </c>
      <c r="B167" s="69"/>
      <c r="C167" s="120">
        <f>A_cust</f>
        <v>0.97</v>
      </c>
      <c r="D167" s="120">
        <f>C_cust</f>
        <v>-0.06</v>
      </c>
      <c r="E167" s="119" t="s">
        <v>483</v>
      </c>
    </row>
    <row r="169" spans="1:5" x14ac:dyDescent="0.25">
      <c r="A169" s="13" t="s">
        <v>484</v>
      </c>
      <c r="B169" s="13" t="s">
        <v>485</v>
      </c>
      <c r="C169" s="121" t="str">
        <f>IF(ac_type="Auto",IF(PaxTyp&lt;=0,"Military cargo/bomber",IF(MCR&gt;=0.6,"Jet transport",IF(PaxTyp&lt;=5,"GA single engine",IF(PaxTyp&lt;=9,"GA twin engine",IF(PaxTyp&lt;=80,"Twin turboprop","Jet transport"))))),ac_type)</f>
        <v>Jet transport</v>
      </c>
      <c r="D169" s="13"/>
      <c r="E169" s="15" t="s">
        <v>486</v>
      </c>
    </row>
    <row r="170" spans="1:5" x14ac:dyDescent="0.25">
      <c r="A170" s="13" t="s">
        <v>487</v>
      </c>
      <c r="B170" s="13" t="s">
        <v>488</v>
      </c>
      <c r="C170" s="117">
        <f>INDEX($C$154:$C$167,MATCH(type_used,$A$154:$A$167,0))</f>
        <v>0.97</v>
      </c>
      <c r="D170" s="13" t="s">
        <v>10</v>
      </c>
      <c r="E170" s="15" t="s">
        <v>489</v>
      </c>
    </row>
    <row r="171" spans="1:5" x14ac:dyDescent="0.25">
      <c r="A171" s="13" t="s">
        <v>490</v>
      </c>
      <c r="B171" s="13" t="s">
        <v>491</v>
      </c>
      <c r="C171" s="117">
        <f>INDEX($D$154:$D$167,MATCH(type_used,$A$154:$A$167,0))</f>
        <v>-0.06</v>
      </c>
      <c r="D171" s="13" t="s">
        <v>10</v>
      </c>
      <c r="E171" s="15" t="s">
        <v>489</v>
      </c>
    </row>
    <row r="172" spans="1:5" x14ac:dyDescent="0.25">
      <c r="A172" s="68" t="s">
        <v>492</v>
      </c>
      <c r="B172" s="68" t="s">
        <v>493</v>
      </c>
      <c r="C172" s="68" t="s">
        <v>494</v>
      </c>
      <c r="D172" s="68" t="s">
        <v>495</v>
      </c>
      <c r="E172" s="68" t="s">
        <v>496</v>
      </c>
    </row>
    <row r="173" spans="1:5" x14ac:dyDescent="0.25">
      <c r="A173" s="8" t="s">
        <v>497</v>
      </c>
      <c r="B173" s="122">
        <f>5*(W_pl+W_crew)</f>
        <v>73575</v>
      </c>
      <c r="C173" s="123">
        <f t="shared" ref="C173:C192" si="1">A_emp*B173^C_emp</f>
        <v>0.49518549864724604</v>
      </c>
      <c r="D173" s="123">
        <f t="shared" ref="D173:D192" si="2">fuel_frac</f>
        <v>0.29670802440883892</v>
      </c>
      <c r="E173" s="124">
        <f t="shared" ref="E173:E192" si="3">IF(1-C173-D173&gt;0.02,(W_crew+W_pl)/(1-C173-D173),B173)</f>
        <v>70708.995779913719</v>
      </c>
    </row>
    <row r="174" spans="1:5" x14ac:dyDescent="0.25">
      <c r="A174" s="8" t="s">
        <v>498</v>
      </c>
      <c r="B174" s="122">
        <f t="shared" ref="B174:B192" si="4">E173</f>
        <v>70708.995779913719</v>
      </c>
      <c r="C174" s="123">
        <f t="shared" si="1"/>
        <v>0.49636740407782565</v>
      </c>
      <c r="D174" s="123">
        <f t="shared" si="2"/>
        <v>0.29670802440883892</v>
      </c>
      <c r="E174" s="124">
        <f t="shared" si="3"/>
        <v>71112.869256571968</v>
      </c>
    </row>
    <row r="175" spans="1:5" x14ac:dyDescent="0.25">
      <c r="A175" s="8" t="s">
        <v>499</v>
      </c>
      <c r="B175" s="122">
        <f t="shared" si="4"/>
        <v>71112.869256571968</v>
      </c>
      <c r="C175" s="123">
        <f t="shared" si="1"/>
        <v>0.49619780885652259</v>
      </c>
      <c r="D175" s="123">
        <f t="shared" si="2"/>
        <v>0.29670802440883892</v>
      </c>
      <c r="E175" s="124">
        <f t="shared" si="3"/>
        <v>71054.632933505898</v>
      </c>
    </row>
    <row r="176" spans="1:5" x14ac:dyDescent="0.25">
      <c r="A176" s="8" t="s">
        <v>500</v>
      </c>
      <c r="B176" s="122">
        <f t="shared" si="4"/>
        <v>71054.632933505898</v>
      </c>
      <c r="C176" s="123">
        <f t="shared" si="1"/>
        <v>0.49622220046273802</v>
      </c>
      <c r="D176" s="123">
        <f t="shared" si="2"/>
        <v>0.29670802440883892</v>
      </c>
      <c r="E176" s="124">
        <f t="shared" si="3"/>
        <v>71063.002752931337</v>
      </c>
    </row>
    <row r="177" spans="1:5" x14ac:dyDescent="0.25">
      <c r="A177" s="8" t="s">
        <v>501</v>
      </c>
      <c r="B177" s="122">
        <f t="shared" si="4"/>
        <v>71063.002752931337</v>
      </c>
      <c r="C177" s="123">
        <f t="shared" si="1"/>
        <v>0.49621869355761278</v>
      </c>
      <c r="D177" s="123">
        <f t="shared" si="2"/>
        <v>0.29670802440883892</v>
      </c>
      <c r="E177" s="124">
        <f t="shared" si="3"/>
        <v>71061.799260109241</v>
      </c>
    </row>
    <row r="178" spans="1:5" x14ac:dyDescent="0.25">
      <c r="A178" s="8" t="s">
        <v>502</v>
      </c>
      <c r="B178" s="122">
        <f t="shared" si="4"/>
        <v>71061.799260109241</v>
      </c>
      <c r="C178" s="123">
        <f t="shared" si="1"/>
        <v>0.49621919778707668</v>
      </c>
      <c r="D178" s="123">
        <f t="shared" si="2"/>
        <v>0.29670802440883892</v>
      </c>
      <c r="E178" s="124">
        <f t="shared" si="3"/>
        <v>71061.972298078457</v>
      </c>
    </row>
    <row r="179" spans="1:5" x14ac:dyDescent="0.25">
      <c r="A179" s="8" t="s">
        <v>503</v>
      </c>
      <c r="B179" s="122">
        <f t="shared" si="4"/>
        <v>71061.972298078457</v>
      </c>
      <c r="C179" s="123">
        <f t="shared" si="1"/>
        <v>0.49621912528850304</v>
      </c>
      <c r="D179" s="123">
        <f t="shared" si="2"/>
        <v>0.29670802440883892</v>
      </c>
      <c r="E179" s="124">
        <f t="shared" si="3"/>
        <v>71061.947418469077</v>
      </c>
    </row>
    <row r="180" spans="1:5" x14ac:dyDescent="0.25">
      <c r="A180" s="8" t="s">
        <v>504</v>
      </c>
      <c r="B180" s="122">
        <f t="shared" si="4"/>
        <v>71061.947418469077</v>
      </c>
      <c r="C180" s="123">
        <f t="shared" si="1"/>
        <v>0.49621913571242443</v>
      </c>
      <c r="D180" s="123">
        <f t="shared" si="2"/>
        <v>0.29670802440883892</v>
      </c>
      <c r="E180" s="124">
        <f t="shared" si="3"/>
        <v>71061.950995684441</v>
      </c>
    </row>
    <row r="181" spans="1:5" x14ac:dyDescent="0.25">
      <c r="A181" s="8" t="s">
        <v>505</v>
      </c>
      <c r="B181" s="122">
        <f t="shared" si="4"/>
        <v>71061.950995684441</v>
      </c>
      <c r="C181" s="123">
        <f t="shared" si="1"/>
        <v>0.49621913421366221</v>
      </c>
      <c r="D181" s="123">
        <f t="shared" si="2"/>
        <v>0.29670802440883892</v>
      </c>
      <c r="E181" s="124">
        <f t="shared" si="3"/>
        <v>71061.950481348686</v>
      </c>
    </row>
    <row r="182" spans="1:5" x14ac:dyDescent="0.25">
      <c r="A182" s="8" t="s">
        <v>506</v>
      </c>
      <c r="B182" s="122">
        <f t="shared" si="4"/>
        <v>71061.950481348686</v>
      </c>
      <c r="C182" s="123">
        <f t="shared" si="1"/>
        <v>0.49621913442915577</v>
      </c>
      <c r="D182" s="123">
        <f t="shared" si="2"/>
        <v>0.29670802440883892</v>
      </c>
      <c r="E182" s="124">
        <f t="shared" si="3"/>
        <v>71061.950555300427</v>
      </c>
    </row>
    <row r="183" spans="1:5" x14ac:dyDescent="0.25">
      <c r="A183" s="8" t="s">
        <v>507</v>
      </c>
      <c r="B183" s="122">
        <f t="shared" si="4"/>
        <v>71061.950555300427</v>
      </c>
      <c r="C183" s="123">
        <f t="shared" si="1"/>
        <v>0.49621913439817189</v>
      </c>
      <c r="D183" s="123">
        <f t="shared" si="2"/>
        <v>0.29670802440883892</v>
      </c>
      <c r="E183" s="124">
        <f t="shared" si="3"/>
        <v>71061.950544667576</v>
      </c>
    </row>
    <row r="184" spans="1:5" x14ac:dyDescent="0.25">
      <c r="A184" s="8" t="s">
        <v>508</v>
      </c>
      <c r="B184" s="122">
        <f t="shared" si="4"/>
        <v>71061.950544667576</v>
      </c>
      <c r="C184" s="123">
        <f t="shared" si="1"/>
        <v>0.49621913440262677</v>
      </c>
      <c r="D184" s="123">
        <f t="shared" si="2"/>
        <v>0.29670802440883892</v>
      </c>
      <c r="E184" s="124">
        <f t="shared" si="3"/>
        <v>71061.950546196371</v>
      </c>
    </row>
    <row r="185" spans="1:5" x14ac:dyDescent="0.25">
      <c r="A185" s="8" t="s">
        <v>509</v>
      </c>
      <c r="B185" s="122">
        <f t="shared" si="4"/>
        <v>71061.950546196371</v>
      </c>
      <c r="C185" s="123">
        <f t="shared" si="1"/>
        <v>0.49621913440198623</v>
      </c>
      <c r="D185" s="123">
        <f t="shared" si="2"/>
        <v>0.29670802440883892</v>
      </c>
      <c r="E185" s="124">
        <f t="shared" si="3"/>
        <v>71061.950545976535</v>
      </c>
    </row>
    <row r="186" spans="1:5" x14ac:dyDescent="0.25">
      <c r="A186" s="8" t="s">
        <v>510</v>
      </c>
      <c r="B186" s="122">
        <f t="shared" si="4"/>
        <v>71061.950545976535</v>
      </c>
      <c r="C186" s="123">
        <f t="shared" si="1"/>
        <v>0.49621913440207832</v>
      </c>
      <c r="D186" s="123">
        <f t="shared" si="2"/>
        <v>0.29670802440883892</v>
      </c>
      <c r="E186" s="124">
        <f t="shared" si="3"/>
        <v>71061.950546008156</v>
      </c>
    </row>
    <row r="187" spans="1:5" x14ac:dyDescent="0.25">
      <c r="A187" s="8" t="s">
        <v>511</v>
      </c>
      <c r="B187" s="122">
        <f t="shared" si="4"/>
        <v>71061.950546008156</v>
      </c>
      <c r="C187" s="123">
        <f t="shared" si="1"/>
        <v>0.49621913440206505</v>
      </c>
      <c r="D187" s="123">
        <f t="shared" si="2"/>
        <v>0.29670802440883892</v>
      </c>
      <c r="E187" s="124">
        <f t="shared" si="3"/>
        <v>71061.950546003587</v>
      </c>
    </row>
    <row r="188" spans="1:5" x14ac:dyDescent="0.25">
      <c r="A188" s="8" t="s">
        <v>512</v>
      </c>
      <c r="B188" s="122">
        <f t="shared" si="4"/>
        <v>71061.950546003587</v>
      </c>
      <c r="C188" s="123">
        <f t="shared" si="1"/>
        <v>0.49621913440206711</v>
      </c>
      <c r="D188" s="123">
        <f t="shared" si="2"/>
        <v>0.29670802440883892</v>
      </c>
      <c r="E188" s="124">
        <f t="shared" si="3"/>
        <v>71061.950546004315</v>
      </c>
    </row>
    <row r="189" spans="1:5" x14ac:dyDescent="0.25">
      <c r="A189" s="8" t="s">
        <v>513</v>
      </c>
      <c r="B189" s="122">
        <f t="shared" si="4"/>
        <v>71061.950546004315</v>
      </c>
      <c r="C189" s="123">
        <f t="shared" si="1"/>
        <v>0.49621913440206677</v>
      </c>
      <c r="D189" s="123">
        <f t="shared" si="2"/>
        <v>0.29670802440883892</v>
      </c>
      <c r="E189" s="124">
        <f t="shared" si="3"/>
        <v>71061.950546004198</v>
      </c>
    </row>
    <row r="190" spans="1:5" x14ac:dyDescent="0.25">
      <c r="A190" s="8" t="s">
        <v>514</v>
      </c>
      <c r="B190" s="122">
        <f t="shared" si="4"/>
        <v>71061.950546004198</v>
      </c>
      <c r="C190" s="123">
        <f t="shared" si="1"/>
        <v>0.49621913440206677</v>
      </c>
      <c r="D190" s="123">
        <f t="shared" si="2"/>
        <v>0.29670802440883892</v>
      </c>
      <c r="E190" s="124">
        <f t="shared" si="3"/>
        <v>71061.950546004198</v>
      </c>
    </row>
    <row r="191" spans="1:5" x14ac:dyDescent="0.25">
      <c r="A191" s="8" t="s">
        <v>515</v>
      </c>
      <c r="B191" s="122">
        <f t="shared" si="4"/>
        <v>71061.950546004198</v>
      </c>
      <c r="C191" s="123">
        <f t="shared" si="1"/>
        <v>0.49621913440206677</v>
      </c>
      <c r="D191" s="123">
        <f t="shared" si="2"/>
        <v>0.29670802440883892</v>
      </c>
      <c r="E191" s="124">
        <f t="shared" si="3"/>
        <v>71061.950546004198</v>
      </c>
    </row>
    <row r="192" spans="1:5" x14ac:dyDescent="0.25">
      <c r="A192" s="8" t="s">
        <v>516</v>
      </c>
      <c r="B192" s="122">
        <f t="shared" si="4"/>
        <v>71061.950546004198</v>
      </c>
      <c r="C192" s="123">
        <f t="shared" si="1"/>
        <v>0.49621913440206677</v>
      </c>
      <c r="D192" s="123">
        <f t="shared" si="2"/>
        <v>0.29670802440883892</v>
      </c>
      <c r="E192" s="124">
        <f t="shared" si="3"/>
        <v>71061.950546004198</v>
      </c>
    </row>
    <row r="194" spans="1:5" x14ac:dyDescent="0.25">
      <c r="A194" s="13" t="s">
        <v>517</v>
      </c>
      <c r="B194" s="13" t="s">
        <v>518</v>
      </c>
      <c r="C194" s="112">
        <f>E192</f>
        <v>71061.950546004198</v>
      </c>
      <c r="D194" s="13" t="s">
        <v>23</v>
      </c>
      <c r="E194" s="15" t="s">
        <v>519</v>
      </c>
    </row>
    <row r="195" spans="1:5" x14ac:dyDescent="0.25">
      <c r="A195" s="13" t="s">
        <v>520</v>
      </c>
      <c r="B195" s="13" t="s">
        <v>521</v>
      </c>
      <c r="C195" s="112">
        <f>Plot_Data!$HR$44</f>
        <v>72991.527898177286</v>
      </c>
      <c r="D195" s="13" t="s">
        <v>23</v>
      </c>
      <c r="E195" s="15" t="s">
        <v>522</v>
      </c>
    </row>
    <row r="196" spans="1:5" x14ac:dyDescent="0.25">
      <c r="A196" s="13" t="s">
        <v>12</v>
      </c>
      <c r="B196" s="13" t="s">
        <v>523</v>
      </c>
      <c r="C196" s="112">
        <f>IF(ew_mode="Build-up",MTOW_bu,MTOW_frac)</f>
        <v>71061.950546004198</v>
      </c>
      <c r="D196" s="13" t="s">
        <v>23</v>
      </c>
      <c r="E196" s="15" t="s">
        <v>524</v>
      </c>
    </row>
    <row r="197" spans="1:5" x14ac:dyDescent="0.25">
      <c r="A197" s="13" t="s">
        <v>525</v>
      </c>
      <c r="B197" s="13" t="s">
        <v>526</v>
      </c>
      <c r="C197" s="115">
        <f>A_emp*MTOW^C_emp</f>
        <v>0.49621913440206677</v>
      </c>
      <c r="D197" s="13" t="s">
        <v>10</v>
      </c>
      <c r="E197" s="15" t="s">
        <v>527</v>
      </c>
    </row>
    <row r="198" spans="1:5" x14ac:dyDescent="0.25">
      <c r="A198" s="13" t="s">
        <v>528</v>
      </c>
      <c r="B198" s="13" t="s">
        <v>529</v>
      </c>
      <c r="C198" s="112">
        <f>IF(ew_mode="Build-up",MTOW*(1-fuel_frac)-W_crew-W_pl,emp_frac*MTOW)</f>
        <v>35262.299588860682</v>
      </c>
      <c r="D198" s="13" t="s">
        <v>23</v>
      </c>
      <c r="E198" s="15"/>
    </row>
    <row r="199" spans="1:5" x14ac:dyDescent="0.25">
      <c r="A199" s="13" t="s">
        <v>16</v>
      </c>
      <c r="B199" s="13" t="s">
        <v>530</v>
      </c>
      <c r="C199" s="112">
        <f>W_empty+W_crew</f>
        <v>35727.299588860682</v>
      </c>
      <c r="D199" s="13" t="s">
        <v>23</v>
      </c>
      <c r="E199" s="15"/>
    </row>
    <row r="200" spans="1:5" x14ac:dyDescent="0.25">
      <c r="A200" s="13" t="s">
        <v>531</v>
      </c>
      <c r="B200" s="13" t="s">
        <v>532</v>
      </c>
      <c r="C200" s="112">
        <f>fuel_frac*MTOW</f>
        <v>21084.650957143516</v>
      </c>
      <c r="D200" s="13" t="s">
        <v>23</v>
      </c>
      <c r="E200" s="15"/>
    </row>
    <row r="201" spans="1:5" x14ac:dyDescent="0.25">
      <c r="A201" s="13" t="s">
        <v>533</v>
      </c>
      <c r="B201" s="13" t="s">
        <v>534</v>
      </c>
      <c r="C201" s="112">
        <f>OEW+PyldMax</f>
        <v>53227.299588860682</v>
      </c>
      <c r="D201" s="13" t="s">
        <v>23</v>
      </c>
      <c r="E201" s="15"/>
    </row>
    <row r="202" spans="1:5" x14ac:dyDescent="0.25">
      <c r="A202" s="13" t="s">
        <v>535</v>
      </c>
      <c r="B202" s="13" t="s">
        <v>536</v>
      </c>
      <c r="C202" s="112">
        <f>ML_ratio*MTOW</f>
        <v>60402.657964103564</v>
      </c>
      <c r="D202" s="13" t="s">
        <v>23</v>
      </c>
      <c r="E202" s="15"/>
    </row>
    <row r="203" spans="1:5" x14ac:dyDescent="0.25">
      <c r="A203" s="13" t="s">
        <v>537</v>
      </c>
      <c r="B203" s="13"/>
      <c r="C203" s="125">
        <f>(W_empty+W_crew+W_pl+W_fuel)/MTOW</f>
        <v>1</v>
      </c>
      <c r="D203" s="13" t="s">
        <v>10</v>
      </c>
      <c r="E203" s="15" t="s">
        <v>538</v>
      </c>
    </row>
    <row r="204" spans="1:5" x14ac:dyDescent="0.25">
      <c r="A204" s="13" t="s">
        <v>539</v>
      </c>
      <c r="B204" s="13" t="s">
        <v>540</v>
      </c>
      <c r="C204" s="121" t="str">
        <f>IF(ew_mode="Build-up",IF(AND(MTOW_bu&gt;0,ABS(Plot_Data!$HR$44-Plot_Data!$HR$43)&lt;0.0005*MTOW_bu),"OK - converged (component build-up)","NOT CONVERGED - the build-up iteration diverges; use the Fraction method"),IF(AND(1-C192-D192&gt;0.02,ABS(E192-B192)&lt;1),"OK - converged","NOT FEASIBLE - fuel + empty fractions exceed 1; reduce range or TSFC"))</f>
        <v>OK - converged</v>
      </c>
      <c r="D204" s="13"/>
      <c r="E204" s="15"/>
    </row>
    <row r="206" spans="1:5" x14ac:dyDescent="0.25">
      <c r="A206" s="68" t="s">
        <v>541</v>
      </c>
      <c r="B206" s="68" t="s">
        <v>3</v>
      </c>
      <c r="C206" s="68" t="s">
        <v>4</v>
      </c>
      <c r="D206" s="68" t="s">
        <v>5</v>
      </c>
      <c r="E206" s="68" t="s">
        <v>6</v>
      </c>
    </row>
    <row r="207" spans="1:5" x14ac:dyDescent="0.25">
      <c r="A207" s="13" t="s">
        <v>542</v>
      </c>
      <c r="B207" s="13" t="s">
        <v>543</v>
      </c>
      <c r="C207" s="115">
        <f>ff_taxi*ff_TO*ff_climb*ff_desc*ff_res</f>
        <v>0.88512171412499985</v>
      </c>
      <c r="D207" s="13" t="s">
        <v>10</v>
      </c>
      <c r="E207" s="15" t="s">
        <v>544</v>
      </c>
    </row>
    <row r="208" spans="1:5" x14ac:dyDescent="0.25">
      <c r="A208" s="13" t="s">
        <v>545</v>
      </c>
      <c r="B208" s="13" t="s">
        <v>546</v>
      </c>
      <c r="C208" s="115">
        <f>W_fuel</f>
        <v>21084.650957143516</v>
      </c>
      <c r="D208" s="13" t="s">
        <v>23</v>
      </c>
      <c r="E208" s="15" t="s">
        <v>547</v>
      </c>
    </row>
    <row r="209" spans="1:5" x14ac:dyDescent="0.25">
      <c r="A209" s="68" t="s">
        <v>548</v>
      </c>
      <c r="B209" s="68" t="s">
        <v>549</v>
      </c>
      <c r="C209" s="68" t="s">
        <v>550</v>
      </c>
      <c r="D209" s="68" t="s">
        <v>551</v>
      </c>
      <c r="E209" s="68" t="s">
        <v>552</v>
      </c>
    </row>
    <row r="210" spans="1:5" x14ac:dyDescent="0.25">
      <c r="A210" s="8" t="s">
        <v>553</v>
      </c>
      <c r="B210" s="122">
        <f>OEW+C210+D210</f>
        <v>71061.950546004198</v>
      </c>
      <c r="C210" s="122">
        <f>W_fuel</f>
        <v>21084.650957143516</v>
      </c>
      <c r="D210" s="122">
        <f>W_pl</f>
        <v>14250</v>
      </c>
      <c r="E210" s="126">
        <f>IF(C210&lt;=0,0,MAX(0,-LN(MIN(1,(1-C210/B210/k_res)/ff_fixed))*V_cr*LD_cr/TSFC_s/1000))</f>
        <v>5000</v>
      </c>
    </row>
    <row r="211" spans="1:5" x14ac:dyDescent="0.25">
      <c r="A211" s="8" t="s">
        <v>554</v>
      </c>
      <c r="B211" s="122">
        <f>OEW+C211+D211</f>
        <v>71061.950546004198</v>
      </c>
      <c r="C211" s="122">
        <f>MAX(0,MIN(Wf_max,MTOW-OEW-PyldMax))</f>
        <v>17834.650957143516</v>
      </c>
      <c r="D211" s="122">
        <f>PyldMax</f>
        <v>17500</v>
      </c>
      <c r="E211" s="126">
        <f>IF(C211&lt;=0,0,MAX(0,-LN(MIN(1,(1-C211/B211/k_res)/ff_fixed))*V_cr*LD_cr/TSFC_s/1000))</f>
        <v>3590.0086218269566</v>
      </c>
    </row>
    <row r="212" spans="1:5" x14ac:dyDescent="0.25">
      <c r="A212" s="8" t="s">
        <v>555</v>
      </c>
      <c r="B212" s="122">
        <f>OEW+C212+D212</f>
        <v>71061.950546004198</v>
      </c>
      <c r="C212" s="122">
        <f>MIN(Wf_max,MTOW-OEW)</f>
        <v>21084.650957143516</v>
      </c>
      <c r="D212" s="122">
        <f>MIN(PyldMax,MTOW-OEW-C212)</f>
        <v>14250</v>
      </c>
      <c r="E212" s="126">
        <f>IF(C212&lt;=0,0,MAX(0,-LN(MIN(1,(1-C212/B212/k_res)/ff_fixed))*V_cr*LD_cr/TSFC_s/1000))</f>
        <v>5000</v>
      </c>
    </row>
    <row r="213" spans="1:5" x14ac:dyDescent="0.25">
      <c r="A213" s="8" t="s">
        <v>556</v>
      </c>
      <c r="B213" s="122">
        <f>OEW+C213+D213</f>
        <v>56811.950546004198</v>
      </c>
      <c r="C213" s="122">
        <f>C212</f>
        <v>21084.650957143516</v>
      </c>
      <c r="D213" s="122">
        <v>0</v>
      </c>
      <c r="E213" s="126">
        <f>IF(C213&lt;=0,0,MAX(0,-LN(MIN(1,(1-C213/B213/k_res)/ff_fixed))*V_cr*LD_cr/TSFC_s/1000))</f>
        <v>7485.7559782027347</v>
      </c>
    </row>
    <row r="215" spans="1:5" x14ac:dyDescent="0.25">
      <c r="A215" s="68" t="s">
        <v>557</v>
      </c>
      <c r="B215" s="68" t="s">
        <v>558</v>
      </c>
      <c r="C215" s="68" t="s">
        <v>559</v>
      </c>
      <c r="D215" s="68" t="s">
        <v>551</v>
      </c>
      <c r="E215" s="68"/>
    </row>
    <row r="216" spans="1:5" x14ac:dyDescent="0.25">
      <c r="A216" s="8" t="s">
        <v>560</v>
      </c>
      <c r="B216" s="122">
        <f>C216/1.852</f>
        <v>0</v>
      </c>
      <c r="C216" s="122">
        <v>0</v>
      </c>
      <c r="D216" s="122">
        <f>PyldMax</f>
        <v>17500</v>
      </c>
      <c r="E216" s="69"/>
    </row>
    <row r="217" spans="1:5" x14ac:dyDescent="0.25">
      <c r="A217" s="8" t="s">
        <v>561</v>
      </c>
      <c r="B217" s="122">
        <f>C217/1.852</f>
        <v>1938.4495798201708</v>
      </c>
      <c r="C217" s="122">
        <f>E211</f>
        <v>3590.0086218269566</v>
      </c>
      <c r="D217" s="122">
        <f>D211</f>
        <v>17500</v>
      </c>
      <c r="E217" s="69"/>
    </row>
    <row r="218" spans="1:5" x14ac:dyDescent="0.25">
      <c r="A218" s="8" t="s">
        <v>562</v>
      </c>
      <c r="B218" s="122">
        <f>C218/1.852</f>
        <v>2699.7840172786177</v>
      </c>
      <c r="C218" s="122">
        <f>E212</f>
        <v>5000</v>
      </c>
      <c r="D218" s="122">
        <f>D212</f>
        <v>14250</v>
      </c>
      <c r="E218" s="69"/>
    </row>
    <row r="219" spans="1:5" x14ac:dyDescent="0.25">
      <c r="A219" s="8" t="s">
        <v>563</v>
      </c>
      <c r="B219" s="122">
        <f>C219/1.852</f>
        <v>4041.9848694399216</v>
      </c>
      <c r="C219" s="122">
        <f>E213</f>
        <v>7485.7559782027347</v>
      </c>
      <c r="D219" s="122">
        <f>D213</f>
        <v>0</v>
      </c>
      <c r="E219" s="69"/>
    </row>
    <row r="221" spans="1:5" x14ac:dyDescent="0.25">
      <c r="A221" s="70" t="s">
        <v>564</v>
      </c>
      <c r="B221" s="70" t="s">
        <v>3</v>
      </c>
      <c r="C221" s="70" t="s">
        <v>4</v>
      </c>
      <c r="D221" s="70" t="s">
        <v>5</v>
      </c>
      <c r="E221" s="70" t="s">
        <v>6</v>
      </c>
    </row>
    <row r="222" spans="1:5" x14ac:dyDescent="0.25">
      <c r="A222" s="5" t="s">
        <v>565</v>
      </c>
      <c r="B222" s="5" t="s">
        <v>566</v>
      </c>
      <c r="C222" s="127">
        <f>MTOW*grav/WS_des</f>
        <v>131.95958334245759</v>
      </c>
      <c r="D222" s="5" t="s">
        <v>567</v>
      </c>
      <c r="E222" s="7" t="s">
        <v>568</v>
      </c>
    </row>
    <row r="223" spans="1:5" x14ac:dyDescent="0.25">
      <c r="A223" s="5" t="s">
        <v>569</v>
      </c>
      <c r="B223" s="5" t="s">
        <v>570</v>
      </c>
      <c r="C223" s="128">
        <f>SQRT(AR_*S_ref)</f>
        <v>35.406440681793292</v>
      </c>
      <c r="D223" s="5" t="s">
        <v>28</v>
      </c>
      <c r="E223" s="7"/>
    </row>
    <row r="224" spans="1:5" x14ac:dyDescent="0.25">
      <c r="A224" s="5" t="s">
        <v>60</v>
      </c>
      <c r="B224" s="5" t="s">
        <v>571</v>
      </c>
      <c r="C224" s="127">
        <f>IF(MCR&lt;=0.7,0,DEGREES(ACOS(0.7/MCR)))</f>
        <v>26.176952171666557</v>
      </c>
      <c r="D224" s="5" t="s">
        <v>61</v>
      </c>
      <c r="E224" s="7" t="s">
        <v>572</v>
      </c>
    </row>
    <row r="225" spans="1:5" x14ac:dyDescent="0.25">
      <c r="A225" s="5" t="s">
        <v>573</v>
      </c>
      <c r="B225" s="5" t="s">
        <v>574</v>
      </c>
      <c r="C225" s="127">
        <f>DEGREES(ATAN(TAN(RADIANS(sweep25))+(1-taper)/(AR_*(1+taper))))</f>
        <v>29.017979328423543</v>
      </c>
      <c r="D225" s="5" t="s">
        <v>61</v>
      </c>
      <c r="E225" s="7"/>
    </row>
    <row r="226" spans="1:5" x14ac:dyDescent="0.25">
      <c r="A226" s="5" t="s">
        <v>575</v>
      </c>
      <c r="B226" s="5" t="s">
        <v>576</v>
      </c>
      <c r="C226" s="129">
        <f>MIN(0.18,MAX(0.08,COS(RADIANS(sweep25))^2*(kappa/COS(RADIANS(sweep25))-(MCR+0.02)-CL_cr/(10*COS(RADIANS(sweep25))^3))))</f>
        <v>0.15371021871329191</v>
      </c>
      <c r="D226" s="5" t="s">
        <v>10</v>
      </c>
      <c r="E226" s="7" t="s">
        <v>577</v>
      </c>
    </row>
    <row r="227" spans="1:5" x14ac:dyDescent="0.25">
      <c r="A227" s="5" t="s">
        <v>578</v>
      </c>
      <c r="B227" s="5" t="s">
        <v>579</v>
      </c>
      <c r="C227" s="128">
        <f>2*S_ref/(b_w*(1+taper))</f>
        <v>5.963190009565186</v>
      </c>
      <c r="D227" s="5" t="s">
        <v>28</v>
      </c>
      <c r="E227" s="7"/>
    </row>
    <row r="228" spans="1:5" x14ac:dyDescent="0.25">
      <c r="A228" s="5" t="s">
        <v>580</v>
      </c>
      <c r="B228" s="5" t="s">
        <v>581</v>
      </c>
      <c r="C228" s="128">
        <f>taper*c_root</f>
        <v>1.4907975023912965</v>
      </c>
      <c r="D228" s="5" t="s">
        <v>28</v>
      </c>
      <c r="E228" s="7"/>
    </row>
    <row r="229" spans="1:5" x14ac:dyDescent="0.25">
      <c r="A229" s="5" t="s">
        <v>55</v>
      </c>
      <c r="B229" s="5" t="s">
        <v>99</v>
      </c>
      <c r="C229" s="128">
        <f>2/3*c_root*(1+taper+taper^2)/(1+taper)</f>
        <v>4.1742330066956299</v>
      </c>
      <c r="D229" s="5" t="s">
        <v>28</v>
      </c>
      <c r="E229" s="7"/>
    </row>
    <row r="230" spans="1:5" x14ac:dyDescent="0.25">
      <c r="A230" s="5" t="s">
        <v>582</v>
      </c>
      <c r="B230" s="5" t="s">
        <v>583</v>
      </c>
      <c r="C230" s="128">
        <f>b_w/6*(1+2*taper)/(1+taper)</f>
        <v>7.0812881363586584</v>
      </c>
      <c r="D230" s="5" t="s">
        <v>28</v>
      </c>
      <c r="E230" s="7"/>
    </row>
    <row r="231" spans="1:5" x14ac:dyDescent="0.25">
      <c r="A231" s="5" t="s">
        <v>584</v>
      </c>
      <c r="B231" s="5" t="s">
        <v>585</v>
      </c>
      <c r="C231" s="127">
        <f>0.54*S_ref^1.5*tc/SQRT(AR_)*(1+taper+taper^2)/(1+taper)^2</f>
        <v>34.29062391756743</v>
      </c>
      <c r="D231" s="5" t="s">
        <v>586</v>
      </c>
      <c r="E231" s="7" t="s">
        <v>587</v>
      </c>
    </row>
    <row r="232" spans="1:5" x14ac:dyDescent="0.25">
      <c r="A232" s="5" t="s">
        <v>588</v>
      </c>
      <c r="B232" s="5" t="s">
        <v>589</v>
      </c>
      <c r="C232" s="127">
        <f>W_fuel/rho_fuel</f>
        <v>26.355813696429394</v>
      </c>
      <c r="D232" s="5" t="s">
        <v>586</v>
      </c>
      <c r="E232" s="7"/>
    </row>
    <row r="233" spans="1:5" x14ac:dyDescent="0.25">
      <c r="A233" s="5" t="s">
        <v>590</v>
      </c>
      <c r="B233" s="5" t="s">
        <v>591</v>
      </c>
      <c r="C233" s="130" t="str">
        <f>IF(V_tank&gt;=V_fuel,"OK","SHORT - add a centre/tail tank or raise t/c")</f>
        <v>OK</v>
      </c>
      <c r="D233" s="5"/>
      <c r="E233" s="7"/>
    </row>
    <row r="234" spans="1:5" x14ac:dyDescent="0.25">
      <c r="A234" s="5" t="s">
        <v>592</v>
      </c>
      <c r="B234" s="5" t="s">
        <v>593</v>
      </c>
      <c r="C234" s="127">
        <f>MIN(0.4*V_tank,0.35*tc*c_root^2*d_fus)</f>
        <v>7.6175090037354112</v>
      </c>
      <c r="D234" s="5" t="s">
        <v>586</v>
      </c>
      <c r="E234" s="7" t="s">
        <v>594</v>
      </c>
    </row>
    <row r="235" spans="1:5" x14ac:dyDescent="0.25">
      <c r="A235" s="5" t="s">
        <v>595</v>
      </c>
      <c r="B235" s="5"/>
      <c r="C235" s="127">
        <f>(V_tank-V_ctr)/2</f>
        <v>13.33655745691601</v>
      </c>
      <c r="D235" s="5" t="s">
        <v>586</v>
      </c>
      <c r="E235" s="7" t="s">
        <v>596</v>
      </c>
    </row>
    <row r="236" spans="1:5" x14ac:dyDescent="0.25">
      <c r="A236" s="5" t="s">
        <v>597</v>
      </c>
      <c r="B236" s="5"/>
      <c r="C236" s="131">
        <f>V_tank*rho_fuel</f>
        <v>27432.499134053945</v>
      </c>
      <c r="D236" s="5" t="s">
        <v>23</v>
      </c>
      <c r="E236" s="7"/>
    </row>
    <row r="237" spans="1:5" x14ac:dyDescent="0.25">
      <c r="A237" s="5" t="s">
        <v>598</v>
      </c>
      <c r="B237" s="5" t="s">
        <v>599</v>
      </c>
      <c r="C237" s="127">
        <f>SQRT(2*WS_des*ML_ratio/(rho_SL*sigma*CLmaxL))</f>
        <v>52.09942932824363</v>
      </c>
      <c r="D237" s="5" t="s">
        <v>120</v>
      </c>
      <c r="E237" s="7"/>
    </row>
    <row r="238" spans="1:5" x14ac:dyDescent="0.25">
      <c r="A238" s="5" t="s">
        <v>600</v>
      </c>
      <c r="B238" s="5" t="s">
        <v>601</v>
      </c>
      <c r="C238" s="127">
        <f>1.3*Vs_L</f>
        <v>67.729258126716715</v>
      </c>
      <c r="D238" s="5" t="s">
        <v>120</v>
      </c>
      <c r="E238" s="7"/>
    </row>
    <row r="239" spans="1:5" x14ac:dyDescent="0.25">
      <c r="A239" s="5" t="s">
        <v>602</v>
      </c>
      <c r="B239" s="5" t="s">
        <v>603</v>
      </c>
      <c r="C239" s="127">
        <f>SQRT(2*WS_des/(rho_SL*sigma*CLmaxTO))</f>
        <v>64.076050963302535</v>
      </c>
      <c r="D239" s="5" t="s">
        <v>120</v>
      </c>
      <c r="E239" s="7"/>
    </row>
    <row r="240" spans="1:5" x14ac:dyDescent="0.25">
      <c r="A240" s="5" t="s">
        <v>604</v>
      </c>
      <c r="B240" s="5" t="s">
        <v>605</v>
      </c>
      <c r="C240" s="127">
        <f>1.2*Vs_TO</f>
        <v>76.891261155963036</v>
      </c>
      <c r="D240" s="5" t="s">
        <v>120</v>
      </c>
      <c r="E240" s="7"/>
    </row>
    <row r="242" spans="1:5" x14ac:dyDescent="0.25">
      <c r="A242" s="72" t="s">
        <v>606</v>
      </c>
      <c r="B242" s="72" t="s">
        <v>3</v>
      </c>
      <c r="C242" s="72" t="s">
        <v>4</v>
      </c>
      <c r="D242" s="72" t="s">
        <v>5</v>
      </c>
      <c r="E242" s="72" t="s">
        <v>6</v>
      </c>
    </row>
    <row r="243" spans="1:5" x14ac:dyDescent="0.25">
      <c r="A243" s="27" t="s">
        <v>607</v>
      </c>
      <c r="B243" s="27" t="s">
        <v>608</v>
      </c>
      <c r="C243" s="132">
        <f>MIN(10,MAX(1,ROUND(0.45*SQRT(PaxTyp),0)))</f>
        <v>6</v>
      </c>
      <c r="D243" s="27" t="s">
        <v>10</v>
      </c>
      <c r="E243" s="28" t="s">
        <v>609</v>
      </c>
    </row>
    <row r="244" spans="1:5" x14ac:dyDescent="0.25">
      <c r="A244" s="27" t="s">
        <v>610</v>
      </c>
      <c r="B244" s="27" t="s">
        <v>611</v>
      </c>
      <c r="C244" s="132">
        <f>IF(n_SA&lt;=6,1,2)</f>
        <v>1</v>
      </c>
      <c r="D244" s="27" t="s">
        <v>10</v>
      </c>
      <c r="E244" s="28" t="s">
        <v>612</v>
      </c>
    </row>
    <row r="245" spans="1:5" x14ac:dyDescent="0.25">
      <c r="A245" s="27" t="s">
        <v>613</v>
      </c>
      <c r="B245" s="27" t="s">
        <v>614</v>
      </c>
      <c r="C245" s="132">
        <f>IF(n_aisle=1,ROUNDUP(n_SA/2,0),IF(n_SA&gt;=9,3,2))</f>
        <v>3</v>
      </c>
      <c r="D245" s="27" t="s">
        <v>10</v>
      </c>
      <c r="E245" s="28" t="s">
        <v>615</v>
      </c>
    </row>
    <row r="246" spans="1:5" x14ac:dyDescent="0.25">
      <c r="A246" s="27" t="s">
        <v>616</v>
      </c>
      <c r="B246" s="27" t="s">
        <v>617</v>
      </c>
      <c r="C246" s="132">
        <f>IF(n_aisle=1,99,n_SA-aisle1)</f>
        <v>99</v>
      </c>
      <c r="D246" s="27" t="s">
        <v>10</v>
      </c>
      <c r="E246" s="28" t="s">
        <v>618</v>
      </c>
    </row>
    <row r="247" spans="1:5" x14ac:dyDescent="0.25">
      <c r="A247" s="27" t="s">
        <v>619</v>
      </c>
      <c r="B247" s="27" t="s">
        <v>620</v>
      </c>
      <c r="C247" s="132">
        <f>ROUND(bus_frac*PaxTyp,0)</f>
        <v>0</v>
      </c>
      <c r="D247" s="27" t="s">
        <v>10</v>
      </c>
      <c r="E247" s="28"/>
    </row>
    <row r="248" spans="1:5" x14ac:dyDescent="0.25">
      <c r="A248" s="27" t="s">
        <v>621</v>
      </c>
      <c r="B248" s="27" t="s">
        <v>622</v>
      </c>
      <c r="C248" s="132">
        <f>PaxTyp-pax_b</f>
        <v>150</v>
      </c>
      <c r="D248" s="27" t="s">
        <v>10</v>
      </c>
      <c r="E248" s="28"/>
    </row>
    <row r="249" spans="1:5" x14ac:dyDescent="0.25">
      <c r="A249" s="27" t="s">
        <v>623</v>
      </c>
      <c r="B249" s="27" t="s">
        <v>624</v>
      </c>
      <c r="C249" s="132">
        <f>MAX(1,ROUNDUP(pax_e/n_SA,0))</f>
        <v>25</v>
      </c>
      <c r="D249" s="27" t="s">
        <v>10</v>
      </c>
      <c r="E249" s="28"/>
    </row>
    <row r="250" spans="1:5" x14ac:dyDescent="0.25">
      <c r="A250" s="27" t="s">
        <v>625</v>
      </c>
      <c r="B250" s="27" t="s">
        <v>626</v>
      </c>
      <c r="C250" s="132">
        <f>MAX(1,ROUND(0.67*n_SA,0))</f>
        <v>4</v>
      </c>
      <c r="D250" s="27" t="s">
        <v>10</v>
      </c>
      <c r="E250" s="28" t="s">
        <v>627</v>
      </c>
    </row>
    <row r="251" spans="1:5" x14ac:dyDescent="0.25">
      <c r="A251" s="27" t="s">
        <v>628</v>
      </c>
      <c r="B251" s="27" t="s">
        <v>629</v>
      </c>
      <c r="C251" s="132">
        <f>IF(n_aisle=1,ROUNDUP(n_SA_b/2,0),IF(n_SA_b&gt;=6,2,1))</f>
        <v>2</v>
      </c>
      <c r="D251" s="27" t="s">
        <v>10</v>
      </c>
      <c r="E251" s="28"/>
    </row>
    <row r="252" spans="1:5" x14ac:dyDescent="0.25">
      <c r="A252" s="27" t="s">
        <v>630</v>
      </c>
      <c r="B252" s="27" t="s">
        <v>631</v>
      </c>
      <c r="C252" s="132">
        <f>IF(n_aisle=1,99,n_SA_b-aisle1_b)</f>
        <v>99</v>
      </c>
      <c r="D252" s="27" t="s">
        <v>10</v>
      </c>
      <c r="E252" s="28" t="s">
        <v>618</v>
      </c>
    </row>
    <row r="253" spans="1:5" x14ac:dyDescent="0.25">
      <c r="A253" s="27" t="s">
        <v>632</v>
      </c>
      <c r="B253" s="27" t="s">
        <v>633</v>
      </c>
      <c r="C253" s="133">
        <f>(w_cabin-0.05-n_aisle*aisle_w)/n_SA_b</f>
        <v>0.79500000000000004</v>
      </c>
      <c r="D253" s="27" t="s">
        <v>28</v>
      </c>
      <c r="E253" s="28" t="s">
        <v>634</v>
      </c>
    </row>
    <row r="254" spans="1:5" x14ac:dyDescent="0.25">
      <c r="A254" s="27" t="s">
        <v>635</v>
      </c>
      <c r="B254" s="27" t="s">
        <v>636</v>
      </c>
      <c r="C254" s="132">
        <f>IF(pax_b&gt;0,ROUNDUP(pax_b/n_SA_b,0),0)</f>
        <v>0</v>
      </c>
      <c r="D254" s="27" t="s">
        <v>10</v>
      </c>
      <c r="E254" s="28"/>
    </row>
    <row r="255" spans="1:5" x14ac:dyDescent="0.25">
      <c r="A255" s="27" t="s">
        <v>637</v>
      </c>
      <c r="B255" s="27" t="s">
        <v>638</v>
      </c>
      <c r="C255" s="133">
        <f>n_SA*seat_w+n_aisle*aisle_w+0.05</f>
        <v>3.73</v>
      </c>
      <c r="D255" s="27" t="s">
        <v>28</v>
      </c>
      <c r="E255" s="28" t="s">
        <v>639</v>
      </c>
    </row>
    <row r="256" spans="1:5" x14ac:dyDescent="0.25">
      <c r="A256" s="27" t="s">
        <v>77</v>
      </c>
      <c r="B256" s="27" t="s">
        <v>640</v>
      </c>
      <c r="C256" s="133">
        <f>1.045*w_cabin+0.084</f>
        <v>3.9818499999999997</v>
      </c>
      <c r="D256" s="27" t="s">
        <v>28</v>
      </c>
      <c r="E256" s="28" t="s">
        <v>641</v>
      </c>
    </row>
    <row r="257" spans="1:5" x14ac:dyDescent="0.25">
      <c r="A257" s="27" t="s">
        <v>642</v>
      </c>
      <c r="B257" s="27" t="s">
        <v>643</v>
      </c>
      <c r="C257" s="132">
        <f>MAX(1,ROUNDUP(PaxTyp/pax_per_lav,0))</f>
        <v>3</v>
      </c>
      <c r="D257" s="27" t="s">
        <v>10</v>
      </c>
      <c r="E257" s="28" t="s">
        <v>644</v>
      </c>
    </row>
    <row r="258" spans="1:5" x14ac:dyDescent="0.25">
      <c r="A258" s="27" t="s">
        <v>645</v>
      </c>
      <c r="B258" s="27" t="s">
        <v>646</v>
      </c>
      <c r="C258" s="132">
        <f>IF(n_lav&gt;=3,ROUND(n_lav/3,0),0)</f>
        <v>1</v>
      </c>
      <c r="D258" s="27" t="s">
        <v>10</v>
      </c>
      <c r="E258" s="28" t="s">
        <v>647</v>
      </c>
    </row>
    <row r="259" spans="1:5" x14ac:dyDescent="0.25">
      <c r="A259" s="27" t="s">
        <v>648</v>
      </c>
      <c r="B259" s="27" t="s">
        <v>649</v>
      </c>
      <c r="C259" s="132">
        <f>IF(n_aisle=2,3,IF(n_SA&gt;=3,2,1))</f>
        <v>2</v>
      </c>
      <c r="D259" s="27" t="s">
        <v>10</v>
      </c>
      <c r="E259" s="28" t="s">
        <v>650</v>
      </c>
    </row>
    <row r="260" spans="1:5" x14ac:dyDescent="0.25">
      <c r="A260" s="27" t="s">
        <v>651</v>
      </c>
      <c r="B260" s="27" t="s">
        <v>652</v>
      </c>
      <c r="C260" s="133">
        <f>MIN(lav_len,(w_cabin-n_aisle*aisle_w)/lav_slots)</f>
        <v>1</v>
      </c>
      <c r="D260" s="27" t="s">
        <v>28</v>
      </c>
      <c r="E260" s="28" t="s">
        <v>653</v>
      </c>
    </row>
    <row r="261" spans="1:5" x14ac:dyDescent="0.25">
      <c r="A261" s="27" t="s">
        <v>654</v>
      </c>
      <c r="B261" s="27" t="s">
        <v>655</v>
      </c>
      <c r="C261" s="133">
        <f>door_len+ROUNDUP(n_lav_front/lav_slots,0)*lav_len</f>
        <v>2.5</v>
      </c>
      <c r="D261" s="27" t="s">
        <v>28</v>
      </c>
      <c r="E261" s="28" t="s">
        <v>656</v>
      </c>
    </row>
    <row r="262" spans="1:5" x14ac:dyDescent="0.25">
      <c r="A262" s="27" t="s">
        <v>657</v>
      </c>
      <c r="B262" s="27" t="s">
        <v>658</v>
      </c>
      <c r="C262" s="133">
        <f>nose_len+L_front</f>
        <v>6.5</v>
      </c>
      <c r="D262" s="27" t="s">
        <v>28</v>
      </c>
      <c r="E262" s="28" t="s">
        <v>659</v>
      </c>
    </row>
    <row r="263" spans="1:5" x14ac:dyDescent="0.25">
      <c r="A263" s="27" t="s">
        <v>660</v>
      </c>
      <c r="B263" s="27" t="s">
        <v>661</v>
      </c>
      <c r="C263" s="133">
        <f>x_seat0+n_rows_b*bus_pitch</f>
        <v>6.5</v>
      </c>
      <c r="D263" s="27" t="s">
        <v>28</v>
      </c>
      <c r="E263" s="28" t="s">
        <v>662</v>
      </c>
    </row>
    <row r="264" spans="1:5" x14ac:dyDescent="0.25">
      <c r="A264" s="27" t="s">
        <v>663</v>
      </c>
      <c r="B264" s="27" t="s">
        <v>664</v>
      </c>
      <c r="C264" s="133">
        <f>x_eco0+n_rows*seat_pitch</f>
        <v>26.75</v>
      </c>
      <c r="D264" s="27" t="s">
        <v>28</v>
      </c>
      <c r="E264" s="28" t="s">
        <v>659</v>
      </c>
    </row>
    <row r="265" spans="1:5" x14ac:dyDescent="0.25">
      <c r="A265" s="27" t="s">
        <v>665</v>
      </c>
      <c r="B265" s="27" t="s">
        <v>666</v>
      </c>
      <c r="C265" s="133">
        <f>door_len+ROUNDUP((n_lav-n_lav_front)/lav_slots,0)*lav_len</f>
        <v>2.5</v>
      </c>
      <c r="D265" s="27" t="s">
        <v>28</v>
      </c>
      <c r="E265" s="28" t="s">
        <v>667</v>
      </c>
    </row>
    <row r="266" spans="1:5" x14ac:dyDescent="0.25">
      <c r="A266" s="27" t="s">
        <v>668</v>
      </c>
      <c r="B266" s="27" t="s">
        <v>669</v>
      </c>
      <c r="C266" s="133">
        <f>L_front+n_rows_b*bus_pitch+n_rows*seat_pitch+L_rear</f>
        <v>25.25</v>
      </c>
      <c r="D266" s="27" t="s">
        <v>28</v>
      </c>
      <c r="E266" s="28" t="s">
        <v>670</v>
      </c>
    </row>
    <row r="267" spans="1:5" x14ac:dyDescent="0.25">
      <c r="A267" s="27" t="s">
        <v>671</v>
      </c>
      <c r="B267" s="27" t="s">
        <v>672</v>
      </c>
      <c r="C267" s="133">
        <f>1.6*d_fus</f>
        <v>6.3709600000000002</v>
      </c>
      <c r="D267" s="27" t="s">
        <v>28</v>
      </c>
      <c r="E267" s="28" t="s">
        <v>366</v>
      </c>
    </row>
    <row r="268" spans="1:5" x14ac:dyDescent="0.25">
      <c r="A268" s="27" t="s">
        <v>73</v>
      </c>
      <c r="B268" s="27" t="s">
        <v>673</v>
      </c>
      <c r="C268" s="133">
        <f>L_cabin+tail_len+nose_len</f>
        <v>35.620959999999997</v>
      </c>
      <c r="D268" s="27" t="s">
        <v>28</v>
      </c>
      <c r="E268" s="28" t="s">
        <v>674</v>
      </c>
    </row>
    <row r="269" spans="1:5" x14ac:dyDescent="0.25">
      <c r="A269" s="27" t="s">
        <v>675</v>
      </c>
      <c r="B269" s="27" t="s">
        <v>676</v>
      </c>
      <c r="C269" s="133">
        <f>L_fus/d_fus</f>
        <v>8.9458317113904346</v>
      </c>
      <c r="D269" s="27" t="s">
        <v>10</v>
      </c>
      <c r="E269" s="28" t="s">
        <v>677</v>
      </c>
    </row>
    <row r="270" spans="1:5" x14ac:dyDescent="0.25">
      <c r="A270" s="27" t="s">
        <v>678</v>
      </c>
      <c r="B270" s="27" t="s">
        <v>679</v>
      </c>
      <c r="C270" s="134">
        <f>PI()*d_fus*L_fus*(1-2/fineness)^(2/3)*(1+1/fineness^2)</f>
        <v>381.12658099226996</v>
      </c>
      <c r="D270" s="27" t="s">
        <v>567</v>
      </c>
      <c r="E270" s="28" t="s">
        <v>587</v>
      </c>
    </row>
    <row r="272" spans="1:5" x14ac:dyDescent="0.25">
      <c r="A272" s="74" t="s">
        <v>680</v>
      </c>
      <c r="B272" s="74" t="s">
        <v>3</v>
      </c>
      <c r="C272" s="74" t="s">
        <v>4</v>
      </c>
      <c r="D272" s="74" t="s">
        <v>5</v>
      </c>
      <c r="E272" s="74" t="s">
        <v>6</v>
      </c>
    </row>
    <row r="273" spans="1:5" x14ac:dyDescent="0.25">
      <c r="A273" s="135" t="s">
        <v>681</v>
      </c>
      <c r="B273" s="135" t="s">
        <v>682</v>
      </c>
      <c r="C273" s="136">
        <f>arm_frac*L_fus</f>
        <v>16.029432</v>
      </c>
      <c r="D273" s="135" t="s">
        <v>28</v>
      </c>
      <c r="E273" s="137" t="s">
        <v>683</v>
      </c>
    </row>
    <row r="274" spans="1:5" x14ac:dyDescent="0.25">
      <c r="A274" s="135" t="s">
        <v>86</v>
      </c>
      <c r="B274" s="135" t="s">
        <v>684</v>
      </c>
      <c r="C274" s="138">
        <f>c_HT*MAC*S_ref/L_tail</f>
        <v>34.363666057405489</v>
      </c>
      <c r="D274" s="135" t="s">
        <v>567</v>
      </c>
      <c r="E274" s="137" t="s">
        <v>685</v>
      </c>
    </row>
    <row r="275" spans="1:5" x14ac:dyDescent="0.25">
      <c r="A275" s="135" t="s">
        <v>686</v>
      </c>
      <c r="B275" s="135" t="s">
        <v>687</v>
      </c>
      <c r="C275" s="136">
        <f>SQRT(AR_HT*S_HT)</f>
        <v>12.435292407431549</v>
      </c>
      <c r="D275" s="135" t="s">
        <v>28</v>
      </c>
      <c r="E275" s="137"/>
    </row>
    <row r="276" spans="1:5" x14ac:dyDescent="0.25">
      <c r="A276" s="135" t="s">
        <v>688</v>
      </c>
      <c r="B276" s="135" t="s">
        <v>689</v>
      </c>
      <c r="C276" s="136">
        <f>2*S_HT/(b_HT*(1+taper_HT))</f>
        <v>3.9477118753750946</v>
      </c>
      <c r="D276" s="135" t="s">
        <v>28</v>
      </c>
      <c r="E276" s="137"/>
    </row>
    <row r="277" spans="1:5" x14ac:dyDescent="0.25">
      <c r="A277" s="135" t="s">
        <v>690</v>
      </c>
      <c r="B277" s="135" t="s">
        <v>691</v>
      </c>
      <c r="C277" s="136">
        <f>2/3*cr_HT*(1+taper_HT+taper_HT^2)/(1+taper_HT)</f>
        <v>2.9325859645643559</v>
      </c>
      <c r="D277" s="135" t="s">
        <v>28</v>
      </c>
      <c r="E277" s="137"/>
    </row>
    <row r="278" spans="1:5" x14ac:dyDescent="0.25">
      <c r="A278" s="135" t="s">
        <v>692</v>
      </c>
      <c r="B278" s="135" t="s">
        <v>693</v>
      </c>
      <c r="C278" s="138">
        <f>sweepLE+5</f>
        <v>34.017979328423543</v>
      </c>
      <c r="D278" s="135" t="s">
        <v>61</v>
      </c>
      <c r="E278" s="137" t="s">
        <v>694</v>
      </c>
    </row>
    <row r="279" spans="1:5" x14ac:dyDescent="0.25">
      <c r="A279" s="135" t="s">
        <v>91</v>
      </c>
      <c r="B279" s="135" t="s">
        <v>695</v>
      </c>
      <c r="C279" s="138">
        <f>c_VT*b_w*S_ref/L_tail</f>
        <v>26.232977213465798</v>
      </c>
      <c r="D279" s="135" t="s">
        <v>567</v>
      </c>
      <c r="E279" s="137" t="s">
        <v>696</v>
      </c>
    </row>
    <row r="280" spans="1:5" x14ac:dyDescent="0.25">
      <c r="A280" s="135" t="s">
        <v>697</v>
      </c>
      <c r="B280" s="135" t="s">
        <v>698</v>
      </c>
      <c r="C280" s="136">
        <f>SQRT(AR_VT*S_VT)</f>
        <v>6.6780282466377647</v>
      </c>
      <c r="D280" s="135" t="s">
        <v>28</v>
      </c>
      <c r="E280" s="137"/>
    </row>
    <row r="281" spans="1:5" x14ac:dyDescent="0.25">
      <c r="A281" s="135" t="s">
        <v>699</v>
      </c>
      <c r="B281" s="135" t="s">
        <v>700</v>
      </c>
      <c r="C281" s="136">
        <f>2*S_VT/(b_VT*(1+taper_VT))</f>
        <v>5.8196324589435857</v>
      </c>
      <c r="D281" s="135" t="s">
        <v>28</v>
      </c>
      <c r="E281" s="137"/>
    </row>
    <row r="282" spans="1:5" x14ac:dyDescent="0.25">
      <c r="A282" s="135" t="s">
        <v>701</v>
      </c>
      <c r="B282" s="135" t="s">
        <v>702</v>
      </c>
      <c r="C282" s="136">
        <f>2/3*cr_VT*(1+taper_VT+taper_VT^2)/(1+taper_VT)</f>
        <v>4.2318068127379904</v>
      </c>
      <c r="D282" s="135" t="s">
        <v>28</v>
      </c>
      <c r="E282" s="137"/>
    </row>
    <row r="283" spans="1:5" x14ac:dyDescent="0.25">
      <c r="A283" s="135" t="s">
        <v>703</v>
      </c>
      <c r="B283" s="135" t="s">
        <v>704</v>
      </c>
      <c r="C283" s="138">
        <f>MAX(35,sweepLE+8)</f>
        <v>37.017979328423543</v>
      </c>
      <c r="D283" s="135" t="s">
        <v>61</v>
      </c>
      <c r="E283" s="137" t="s">
        <v>705</v>
      </c>
    </row>
    <row r="285" spans="1:5" x14ac:dyDescent="0.25">
      <c r="A285" s="77" t="s">
        <v>706</v>
      </c>
      <c r="B285" s="77" t="s">
        <v>3</v>
      </c>
      <c r="C285" s="77" t="s">
        <v>4</v>
      </c>
      <c r="D285" s="77" t="s">
        <v>5</v>
      </c>
      <c r="E285" s="77" t="s">
        <v>6</v>
      </c>
    </row>
    <row r="286" spans="1:5" x14ac:dyDescent="0.25">
      <c r="A286" s="21" t="s">
        <v>707</v>
      </c>
      <c r="B286" s="21" t="s">
        <v>708</v>
      </c>
      <c r="C286" s="139">
        <f>TW_des*MTOW*grav</f>
        <v>190076.25644476648</v>
      </c>
      <c r="D286" s="21" t="s">
        <v>709</v>
      </c>
      <c r="E286" s="22" t="s">
        <v>710</v>
      </c>
    </row>
    <row r="287" spans="1:5" x14ac:dyDescent="0.25">
      <c r="A287" s="21" t="s">
        <v>70</v>
      </c>
      <c r="B287" s="21" t="s">
        <v>711</v>
      </c>
      <c r="C287" s="139">
        <f>T_SL/N_eng</f>
        <v>95038.128222383239</v>
      </c>
      <c r="D287" s="21" t="s">
        <v>709</v>
      </c>
      <c r="E287" s="22"/>
    </row>
    <row r="288" spans="1:5" x14ac:dyDescent="0.25">
      <c r="A288" s="21" t="s">
        <v>70</v>
      </c>
      <c r="B288" s="21"/>
      <c r="C288" s="140">
        <f>T_eng/1000</f>
        <v>95.038128222383236</v>
      </c>
      <c r="D288" s="21" t="s">
        <v>712</v>
      </c>
      <c r="E288" s="22"/>
    </row>
    <row r="289" spans="1:5" x14ac:dyDescent="0.25">
      <c r="A289" s="21" t="s">
        <v>70</v>
      </c>
      <c r="B289" s="21"/>
      <c r="C289" s="139">
        <f>T_eng/4.44822</f>
        <v>21365.428918170244</v>
      </c>
      <c r="D289" s="21" t="s">
        <v>713</v>
      </c>
      <c r="E289" s="22"/>
    </row>
    <row r="290" spans="1:5" x14ac:dyDescent="0.25">
      <c r="A290" s="21" t="s">
        <v>714</v>
      </c>
      <c r="B290" s="21"/>
      <c r="C290" s="140">
        <f>T_SL*(N_eng-1)/N_eng/1000</f>
        <v>95.038128222383236</v>
      </c>
      <c r="D290" s="21" t="s">
        <v>712</v>
      </c>
      <c r="E290" s="22"/>
    </row>
    <row r="291" spans="1:5" x14ac:dyDescent="0.25">
      <c r="A291" s="21" t="s">
        <v>715</v>
      </c>
      <c r="B291" s="21" t="s">
        <v>716</v>
      </c>
      <c r="C291" s="139">
        <f>beta_cr*MTOW*grav/LD_cr</f>
        <v>37563.515846110698</v>
      </c>
      <c r="D291" s="21" t="s">
        <v>709</v>
      </c>
      <c r="E291" s="22" t="s">
        <v>717</v>
      </c>
    </row>
    <row r="292" spans="1:5" x14ac:dyDescent="0.25">
      <c r="A292" s="21" t="s">
        <v>718</v>
      </c>
      <c r="B292" s="21" t="s">
        <v>719</v>
      </c>
      <c r="C292" s="139">
        <f>alpha_cr*T_SL</f>
        <v>41816.776417848625</v>
      </c>
      <c r="D292" s="21" t="s">
        <v>709</v>
      </c>
      <c r="E292" s="22" t="s">
        <v>720</v>
      </c>
    </row>
    <row r="293" spans="1:5" x14ac:dyDescent="0.25">
      <c r="A293" s="21" t="s">
        <v>721</v>
      </c>
      <c r="B293" s="21"/>
      <c r="C293" s="141">
        <f>T_cr_av/T_cr_req-1</f>
        <v>0.11322850047270827</v>
      </c>
      <c r="D293" s="21" t="s">
        <v>10</v>
      </c>
      <c r="E293" s="22" t="s">
        <v>722</v>
      </c>
    </row>
    <row r="294" spans="1:5" x14ac:dyDescent="0.25">
      <c r="A294" s="21" t="s">
        <v>723</v>
      </c>
      <c r="B294" s="21"/>
      <c r="C294" s="139">
        <f>TSFC_s*T_cr_req/grav*3600</f>
        <v>2298.2475674839443</v>
      </c>
      <c r="D294" s="21" t="s">
        <v>724</v>
      </c>
      <c r="E294" s="22"/>
    </row>
    <row r="295" spans="1:5" x14ac:dyDescent="0.25">
      <c r="A295" s="21" t="s">
        <v>725</v>
      </c>
      <c r="B295" s="21" t="s">
        <v>726</v>
      </c>
      <c r="C295" s="139">
        <f>14.7*(T_eng/1000)^1.1*EXP(-0.045*BPR)</f>
        <v>1759.0927473326858</v>
      </c>
      <c r="D295" s="21" t="s">
        <v>23</v>
      </c>
      <c r="E295" s="22" t="s">
        <v>727</v>
      </c>
    </row>
    <row r="296" spans="1:5" x14ac:dyDescent="0.25">
      <c r="A296" s="21" t="s">
        <v>728</v>
      </c>
      <c r="B296" s="21" t="s">
        <v>729</v>
      </c>
      <c r="C296" s="142">
        <f>0.49*(T_eng/1000)^0.4*MCR^0.2</f>
        <v>2.8825320864909494</v>
      </c>
      <c r="D296" s="21" t="s">
        <v>28</v>
      </c>
      <c r="E296" s="22" t="s">
        <v>730</v>
      </c>
    </row>
    <row r="297" spans="1:5" x14ac:dyDescent="0.25">
      <c r="A297" s="21" t="s">
        <v>731</v>
      </c>
      <c r="B297" s="21" t="s">
        <v>732</v>
      </c>
      <c r="C297" s="142">
        <f>0.15*(T_eng/1000)^0.5*EXP(0.04*BPR)</f>
        <v>1.7860725363893695</v>
      </c>
      <c r="D297" s="21" t="s">
        <v>28</v>
      </c>
      <c r="E297" s="22" t="s">
        <v>733</v>
      </c>
    </row>
    <row r="298" spans="1:5" x14ac:dyDescent="0.25">
      <c r="A298" s="21" t="s">
        <v>734</v>
      </c>
      <c r="B298" s="21" t="s">
        <v>735</v>
      </c>
      <c r="C298" s="142">
        <f>1.5*L_eng</f>
        <v>4.3237981297364243</v>
      </c>
      <c r="D298" s="21" t="s">
        <v>28</v>
      </c>
      <c r="E298" s="22" t="s">
        <v>736</v>
      </c>
    </row>
    <row r="299" spans="1:5" x14ac:dyDescent="0.25">
      <c r="A299" s="21" t="s">
        <v>737</v>
      </c>
      <c r="B299" s="21" t="s">
        <v>738</v>
      </c>
      <c r="C299" s="142">
        <f>1.25*D_fan</f>
        <v>2.232590670486712</v>
      </c>
      <c r="D299" s="21" t="s">
        <v>28</v>
      </c>
      <c r="E299" s="22"/>
    </row>
    <row r="300" spans="1:5" x14ac:dyDescent="0.25">
      <c r="A300" s="21" t="s">
        <v>739</v>
      </c>
      <c r="B300" s="21"/>
      <c r="C300" s="141">
        <f>1.3*m_eng*N_eng/MTOW</f>
        <v>6.436132287283744E-2</v>
      </c>
      <c r="D300" s="21" t="s">
        <v>10</v>
      </c>
      <c r="E300" s="22" t="s">
        <v>740</v>
      </c>
    </row>
    <row r="302" spans="1:5" x14ac:dyDescent="0.25">
      <c r="A302" s="79" t="s">
        <v>741</v>
      </c>
      <c r="B302" s="79" t="s">
        <v>3</v>
      </c>
      <c r="C302" s="79" t="s">
        <v>4</v>
      </c>
      <c r="D302" s="79" t="s">
        <v>5</v>
      </c>
      <c r="E302" s="79" t="s">
        <v>6</v>
      </c>
    </row>
    <row r="303" spans="1:5" x14ac:dyDescent="0.25">
      <c r="A303" s="143" t="s">
        <v>742</v>
      </c>
      <c r="B303" s="143" t="s">
        <v>743</v>
      </c>
      <c r="C303" s="144">
        <f>IF(MTOW&lt;=250000,2,4)</f>
        <v>2</v>
      </c>
      <c r="D303" s="143" t="s">
        <v>10</v>
      </c>
      <c r="E303" s="145"/>
    </row>
    <row r="304" spans="1:5" x14ac:dyDescent="0.25">
      <c r="A304" s="143" t="s">
        <v>744</v>
      </c>
      <c r="B304" s="143" t="s">
        <v>745</v>
      </c>
      <c r="C304" s="144">
        <f>IF(MTOW&lt;=90000,2,4)</f>
        <v>2</v>
      </c>
      <c r="D304" s="143" t="s">
        <v>10</v>
      </c>
      <c r="E304" s="145" t="s">
        <v>746</v>
      </c>
    </row>
    <row r="305" spans="1:5" x14ac:dyDescent="0.25">
      <c r="A305" s="143" t="s">
        <v>747</v>
      </c>
      <c r="B305" s="143"/>
      <c r="C305" s="146">
        <f>main_frac*MTOW*grav/1000</f>
        <v>641.12930313621439</v>
      </c>
      <c r="D305" s="143" t="s">
        <v>712</v>
      </c>
      <c r="E305" s="145"/>
    </row>
    <row r="306" spans="1:5" x14ac:dyDescent="0.25">
      <c r="A306" s="143" t="s">
        <v>748</v>
      </c>
      <c r="B306" s="143"/>
      <c r="C306" s="146">
        <f>(1-main_frac)*MTOW*grav/1000</f>
        <v>55.750374185757735</v>
      </c>
      <c r="D306" s="143" t="s">
        <v>712</v>
      </c>
      <c r="E306" s="145"/>
    </row>
    <row r="307" spans="1:5" x14ac:dyDescent="0.25">
      <c r="A307" s="143" t="s">
        <v>749</v>
      </c>
      <c r="B307" s="143" t="s">
        <v>750</v>
      </c>
      <c r="C307" s="147">
        <f>main_frac*MTOW*tyre_margin/(n_struts*n_wps)</f>
        <v>17488.346029371634</v>
      </c>
      <c r="D307" s="143" t="s">
        <v>23</v>
      </c>
      <c r="E307" s="145" t="s">
        <v>751</v>
      </c>
    </row>
    <row r="308" spans="1:5" x14ac:dyDescent="0.25">
      <c r="A308" s="143" t="s">
        <v>752</v>
      </c>
      <c r="B308" s="143" t="s">
        <v>753</v>
      </c>
      <c r="C308" s="148">
        <f>1.63*(W_wheel*2.20462)^0.315*0.0254</f>
        <v>1.1524903627258856</v>
      </c>
      <c r="D308" s="143" t="s">
        <v>28</v>
      </c>
      <c r="E308" s="145" t="s">
        <v>754</v>
      </c>
    </row>
    <row r="309" spans="1:5" x14ac:dyDescent="0.25">
      <c r="A309" s="143" t="s">
        <v>755</v>
      </c>
      <c r="B309" s="143" t="s">
        <v>756</v>
      </c>
      <c r="C309" s="148">
        <f>0.1043*(W_wheel*2.20462)^0.48*0.0254</f>
        <v>0.42115078622538532</v>
      </c>
      <c r="D309" s="143" t="s">
        <v>28</v>
      </c>
      <c r="E309" s="145" t="s">
        <v>757</v>
      </c>
    </row>
    <row r="310" spans="1:5" x14ac:dyDescent="0.25">
      <c r="A310" s="143" t="s">
        <v>758</v>
      </c>
      <c r="B310" s="143" t="s">
        <v>759</v>
      </c>
      <c r="C310" s="149">
        <f>2.3*SQRT(w_tyre*D_tyre)*0.08*D_tyre</f>
        <v>0.14773812556278812</v>
      </c>
      <c r="D310" s="143" t="s">
        <v>567</v>
      </c>
      <c r="E310" s="145" t="s">
        <v>760</v>
      </c>
    </row>
    <row r="311" spans="1:5" x14ac:dyDescent="0.25">
      <c r="A311" s="143" t="s">
        <v>164</v>
      </c>
      <c r="B311" s="143" t="s">
        <v>761</v>
      </c>
      <c r="C311" s="148">
        <f>main_frac*MTOW*grav/(n_struts*n_wps)/A_tyre/1000000</f>
        <v>1.0849083482918176</v>
      </c>
      <c r="D311" s="143" t="s">
        <v>165</v>
      </c>
      <c r="E311" s="145" t="s">
        <v>762</v>
      </c>
    </row>
    <row r="312" spans="1:5" x14ac:dyDescent="0.25">
      <c r="A312" s="143" t="s">
        <v>164</v>
      </c>
      <c r="B312" s="143"/>
      <c r="C312" s="147">
        <f>p_tyre*145.038</f>
        <v>157.35293701954865</v>
      </c>
      <c r="D312" s="143" t="s">
        <v>763</v>
      </c>
      <c r="E312" s="145"/>
    </row>
    <row r="313" spans="1:5" x14ac:dyDescent="0.25">
      <c r="A313" s="143" t="s">
        <v>764</v>
      </c>
      <c r="B313" s="143" t="s">
        <v>765</v>
      </c>
      <c r="C313" s="147">
        <f>2.4*main_frac*MTOW/(n_struts*n_wps)/1000</f>
        <v>39.226196701394322</v>
      </c>
      <c r="D313" s="143" t="s">
        <v>10</v>
      </c>
      <c r="E313" s="145" t="s">
        <v>766</v>
      </c>
    </row>
    <row r="314" spans="1:5" x14ac:dyDescent="0.25">
      <c r="A314" s="143" t="s">
        <v>767</v>
      </c>
      <c r="B314" s="143" t="s">
        <v>768</v>
      </c>
      <c r="C314" s="150" t="str">
        <f>IF(p_tyre&gt;1.7,"HIGH tyre pressure - use larger or more tyres",IF(ACN&gt;80,"HIGH pavement loading - more wheels needed","OK for major airports (PCN 60-80)"))</f>
        <v>OK for major airports (PCN 60-80)</v>
      </c>
      <c r="D314" s="143"/>
      <c r="E314" s="145"/>
    </row>
    <row r="315" spans="1:5" x14ac:dyDescent="0.25">
      <c r="A315" s="143" t="s">
        <v>769</v>
      </c>
      <c r="B315" s="143"/>
      <c r="C315" s="151">
        <v>2</v>
      </c>
      <c r="D315" s="143" t="s">
        <v>10</v>
      </c>
      <c r="E315" s="145"/>
    </row>
    <row r="316" spans="1:5" x14ac:dyDescent="0.25">
      <c r="A316" s="143" t="s">
        <v>770</v>
      </c>
      <c r="B316" s="143" t="s">
        <v>771</v>
      </c>
      <c r="C316" s="148">
        <f>nose_scale*D_tyre</f>
        <v>0.74911873577182564</v>
      </c>
      <c r="D316" s="143" t="s">
        <v>28</v>
      </c>
      <c r="E316" s="145"/>
    </row>
    <row r="317" spans="1:5" x14ac:dyDescent="0.25">
      <c r="A317" s="143" t="s">
        <v>772</v>
      </c>
      <c r="B317" s="143"/>
      <c r="C317" s="148">
        <f>nose_scale*w_tyre</f>
        <v>0.27374801104650048</v>
      </c>
      <c r="D317" s="143" t="s">
        <v>28</v>
      </c>
      <c r="E317" s="145"/>
    </row>
    <row r="318" spans="1:5" x14ac:dyDescent="0.25">
      <c r="A318" s="143" t="s">
        <v>773</v>
      </c>
      <c r="B318" s="143" t="s">
        <v>774</v>
      </c>
      <c r="C318" s="148">
        <f>wb_frac*L_fus</f>
        <v>13.535964799999999</v>
      </c>
      <c r="D318" s="143" t="s">
        <v>28</v>
      </c>
      <c r="E318" s="145"/>
    </row>
    <row r="319" spans="1:5" x14ac:dyDescent="0.25">
      <c r="A319" s="143" t="s">
        <v>775</v>
      </c>
      <c r="B319" s="143" t="s">
        <v>776</v>
      </c>
      <c r="C319" s="148">
        <f>(1-main_frac)*wheelbase</f>
        <v>1.0828771839999993</v>
      </c>
      <c r="D319" s="143" t="s">
        <v>28</v>
      </c>
      <c r="E319" s="145" t="s">
        <v>777</v>
      </c>
    </row>
    <row r="320" spans="1:5" x14ac:dyDescent="0.25">
      <c r="A320" s="143" t="s">
        <v>778</v>
      </c>
      <c r="B320" s="143" t="s">
        <v>779</v>
      </c>
      <c r="C320" s="148">
        <f>main_frac*wheelbase</f>
        <v>12.453087615999999</v>
      </c>
      <c r="D320" s="143" t="s">
        <v>28</v>
      </c>
      <c r="E320" s="145"/>
    </row>
    <row r="321" spans="1:5" x14ac:dyDescent="0.25">
      <c r="A321" s="143" t="s">
        <v>780</v>
      </c>
      <c r="B321" s="143" t="s">
        <v>781</v>
      </c>
      <c r="C321" s="148">
        <f>hcg_fac*d_fus</f>
        <v>3.6633019999999998</v>
      </c>
      <c r="D321" s="143" t="s">
        <v>28</v>
      </c>
      <c r="E321" s="145"/>
    </row>
    <row r="322" spans="1:5" x14ac:dyDescent="0.25">
      <c r="A322" s="143" t="s">
        <v>782</v>
      </c>
      <c r="B322" s="143" t="s">
        <v>783</v>
      </c>
      <c r="C322" s="146">
        <f>DEGREES(ATAN(l_main/h_cg))</f>
        <v>16.4677528912767</v>
      </c>
      <c r="D322" s="143" t="s">
        <v>61</v>
      </c>
      <c r="E322" s="145" t="s">
        <v>784</v>
      </c>
    </row>
    <row r="323" spans="1:5" x14ac:dyDescent="0.25">
      <c r="A323" s="143" t="s">
        <v>785</v>
      </c>
      <c r="B323" s="143" t="s">
        <v>786</v>
      </c>
      <c r="C323" s="150" t="str">
        <f>IF(tipback&gt;=15,"OK","FAIL - move main gear aft (lower main_frac)")</f>
        <v>OK</v>
      </c>
      <c r="D323" s="143"/>
      <c r="E323" s="145"/>
    </row>
    <row r="324" spans="1:5" x14ac:dyDescent="0.25">
      <c r="A324" s="143" t="s">
        <v>787</v>
      </c>
      <c r="B324" s="143" t="s">
        <v>788</v>
      </c>
      <c r="C324" s="148">
        <f>2*wheelbase*TAN(ASIN(MIN(0.99,h_cg/(l_nose*TAN(RADIANS(63))))))</f>
        <v>4.1040704389730909</v>
      </c>
      <c r="D324" s="143" t="s">
        <v>28</v>
      </c>
      <c r="E324" s="145" t="s">
        <v>789</v>
      </c>
    </row>
    <row r="325" spans="1:5" x14ac:dyDescent="0.25">
      <c r="A325" s="143" t="s">
        <v>790</v>
      </c>
      <c r="B325" s="143" t="s">
        <v>791</v>
      </c>
      <c r="C325" s="148">
        <f>MAX(track_min,0.2*b_w)</f>
        <v>7.0812881363586584</v>
      </c>
      <c r="D325" s="143" t="s">
        <v>28</v>
      </c>
      <c r="E325" s="145" t="s">
        <v>792</v>
      </c>
    </row>
    <row r="326" spans="1:5" x14ac:dyDescent="0.25">
      <c r="A326" s="143" t="s">
        <v>793</v>
      </c>
      <c r="B326" s="143" t="s">
        <v>794</v>
      </c>
      <c r="C326" s="149">
        <f>V_vert^2/(2*grav*0.8*N_gear)-0.47/0.8*0.08*D_tyre+0.025</f>
        <v>0.16845607943578289</v>
      </c>
      <c r="D326" s="143" t="s">
        <v>28</v>
      </c>
      <c r="E326" s="145" t="s">
        <v>795</v>
      </c>
    </row>
    <row r="327" spans="1:5" x14ac:dyDescent="0.25">
      <c r="A327" s="143" t="s">
        <v>796</v>
      </c>
      <c r="B327" s="143"/>
      <c r="C327" s="148">
        <f>2.5*stroke</f>
        <v>0.42114019858945723</v>
      </c>
      <c r="D327" s="143" t="s">
        <v>28</v>
      </c>
      <c r="E327" s="145" t="s">
        <v>797</v>
      </c>
    </row>
    <row r="329" spans="1:5" x14ac:dyDescent="0.25">
      <c r="A329" s="81" t="s">
        <v>798</v>
      </c>
      <c r="B329" s="81" t="s">
        <v>3</v>
      </c>
      <c r="C329" s="81" t="s">
        <v>4</v>
      </c>
      <c r="D329" s="81" t="s">
        <v>5</v>
      </c>
      <c r="E329" s="81" t="s">
        <v>6</v>
      </c>
    </row>
    <row r="330" spans="1:5" x14ac:dyDescent="0.25">
      <c r="A330" s="152" t="s">
        <v>799</v>
      </c>
      <c r="B330" s="152" t="s">
        <v>800</v>
      </c>
      <c r="C330" s="153">
        <f>IF(wing_auto="Yes",xw_auto,xw_in)</f>
        <v>0.43450033509322866</v>
      </c>
      <c r="D330" s="152" t="s">
        <v>10</v>
      </c>
      <c r="E330" s="154" t="s">
        <v>801</v>
      </c>
    </row>
    <row r="331" spans="1:5" x14ac:dyDescent="0.25">
      <c r="A331" s="152" t="s">
        <v>802</v>
      </c>
      <c r="B331" s="152" t="s">
        <v>803</v>
      </c>
      <c r="C331" s="155">
        <f>xw_frac*L_fus</f>
        <v>15.477319056342493</v>
      </c>
      <c r="D331" s="152" t="s">
        <v>28</v>
      </c>
      <c r="E331" s="154" t="s">
        <v>804</v>
      </c>
    </row>
    <row r="332" spans="1:5" x14ac:dyDescent="0.25">
      <c r="A332" s="152" t="s">
        <v>805</v>
      </c>
      <c r="B332" s="152" t="s">
        <v>806</v>
      </c>
      <c r="C332" s="155">
        <f>x_ac_w-0.25*MAC-y_MAC*TAN(RADIANS(sweepLE))</f>
        <v>10.50563333345935</v>
      </c>
      <c r="D332" s="152" t="s">
        <v>28</v>
      </c>
      <c r="E332" s="154" t="s">
        <v>807</v>
      </c>
    </row>
    <row r="333" spans="1:5" x14ac:dyDescent="0.25">
      <c r="A333" s="152" t="s">
        <v>808</v>
      </c>
      <c r="B333" s="152" t="s">
        <v>809</v>
      </c>
      <c r="C333" s="155">
        <f>-0.3*d_fus</f>
        <v>-1.1945549999999998</v>
      </c>
      <c r="D333" s="152" t="s">
        <v>28</v>
      </c>
      <c r="E333" s="154" t="s">
        <v>810</v>
      </c>
    </row>
    <row r="334" spans="1:5" x14ac:dyDescent="0.25">
      <c r="A334" s="152" t="s">
        <v>811</v>
      </c>
      <c r="B334" s="152" t="s">
        <v>812</v>
      </c>
      <c r="C334" s="155">
        <f>x_ac_w+L_tail-0.25*MAC_HT-b_HT/6*(1+2*taper_HT)/(1+taper_HT)*TAN(RADIANS(sweepLE_HT))</f>
        <v>28.975021131575623</v>
      </c>
      <c r="D334" s="152" t="s">
        <v>28</v>
      </c>
      <c r="E334" s="154" t="s">
        <v>813</v>
      </c>
    </row>
    <row r="335" spans="1:5" x14ac:dyDescent="0.25">
      <c r="A335" s="152" t="s">
        <v>814</v>
      </c>
      <c r="B335" s="152" t="s">
        <v>815</v>
      </c>
      <c r="C335" s="155">
        <f>0.3*d_fus</f>
        <v>1.1945549999999998</v>
      </c>
      <c r="D335" s="152" t="s">
        <v>28</v>
      </c>
      <c r="E335" s="154" t="s">
        <v>816</v>
      </c>
    </row>
    <row r="336" spans="1:5" x14ac:dyDescent="0.25">
      <c r="A336" s="152" t="s">
        <v>817</v>
      </c>
      <c r="B336" s="152" t="s">
        <v>818</v>
      </c>
      <c r="C336" s="155">
        <f>x_ac_w+L_tail-0.25*MAC_VT-b_VT/3*(1+2*taper_VT)/(1+taper_VT)*TAN(RADIANS(sweepLE_VT))</f>
        <v>28.335115261689587</v>
      </c>
      <c r="D336" s="152" t="s">
        <v>28</v>
      </c>
      <c r="E336" s="154"/>
    </row>
    <row r="337" spans="1:5" x14ac:dyDescent="0.25">
      <c r="A337" s="152" t="s">
        <v>819</v>
      </c>
      <c r="B337" s="152" t="s">
        <v>820</v>
      </c>
      <c r="C337" s="155">
        <f>0.4*d_fus</f>
        <v>1.59274</v>
      </c>
      <c r="D337" s="152" t="s">
        <v>28</v>
      </c>
      <c r="E337" s="154"/>
    </row>
    <row r="338" spans="1:5" x14ac:dyDescent="0.25">
      <c r="A338" s="152" t="s">
        <v>821</v>
      </c>
      <c r="B338" s="152" t="s">
        <v>822</v>
      </c>
      <c r="C338" s="155">
        <f>eta_in*b_w/2</f>
        <v>6.0190949159048603</v>
      </c>
      <c r="D338" s="152" t="s">
        <v>28</v>
      </c>
      <c r="E338" s="154" t="s">
        <v>823</v>
      </c>
    </row>
    <row r="339" spans="1:5" x14ac:dyDescent="0.25">
      <c r="A339" s="152" t="s">
        <v>824</v>
      </c>
      <c r="B339" s="152" t="s">
        <v>825</v>
      </c>
      <c r="C339" s="155">
        <f>IF(N_eng=4,eta_out*b_w/2,0)</f>
        <v>0</v>
      </c>
      <c r="D339" s="152" t="s">
        <v>28</v>
      </c>
      <c r="E339" s="154" t="s">
        <v>826</v>
      </c>
    </row>
    <row r="340" spans="1:5" x14ac:dyDescent="0.25">
      <c r="A340" s="152" t="s">
        <v>827</v>
      </c>
      <c r="B340" s="152" t="s">
        <v>828</v>
      </c>
      <c r="C340" s="155">
        <f>h_cg+z_w0+y_eng_in*TAN(RADIANS(dihedral))-1.1*D_nac</f>
        <v>0.53949983229281662</v>
      </c>
      <c r="D340" s="152" t="s">
        <v>28</v>
      </c>
      <c r="E340" s="154" t="s">
        <v>829</v>
      </c>
    </row>
    <row r="341" spans="1:5" x14ac:dyDescent="0.25">
      <c r="A341" s="152" t="s">
        <v>830</v>
      </c>
      <c r="B341" s="152" t="s">
        <v>831</v>
      </c>
      <c r="C341" s="156" t="str">
        <f>IF(clear_eng&gt;=0.3,"OK","LOW - raise hcg_fac (longer gear) or move engines outboard")</f>
        <v>OK</v>
      </c>
      <c r="D341" s="152"/>
      <c r="E341" s="154"/>
    </row>
    <row r="342" spans="1:5" x14ac:dyDescent="0.25">
      <c r="A342" s="152" t="s">
        <v>832</v>
      </c>
      <c r="B342" s="152" t="s">
        <v>833</v>
      </c>
      <c r="C342" s="155">
        <f>x_cg_gear+l_main</f>
        <v>17.505912519777333</v>
      </c>
      <c r="D342" s="152" t="s">
        <v>28</v>
      </c>
      <c r="E342" s="154" t="s">
        <v>834</v>
      </c>
    </row>
    <row r="343" spans="1:5" x14ac:dyDescent="0.25">
      <c r="A343" s="152" t="s">
        <v>835</v>
      </c>
      <c r="B343" s="152" t="s">
        <v>836</v>
      </c>
      <c r="C343" s="155">
        <f>x_cg_gear-l_nose</f>
        <v>3.9699477197773323</v>
      </c>
      <c r="D343" s="152" t="s">
        <v>28</v>
      </c>
      <c r="E343" s="154" t="s">
        <v>837</v>
      </c>
    </row>
    <row r="344" spans="1:5" x14ac:dyDescent="0.25">
      <c r="A344" s="152" t="s">
        <v>838</v>
      </c>
      <c r="B344" s="152"/>
      <c r="C344" s="155">
        <f>nose_len</f>
        <v>4</v>
      </c>
      <c r="D344" s="152" t="s">
        <v>28</v>
      </c>
      <c r="E344" s="154" t="s">
        <v>839</v>
      </c>
    </row>
    <row r="346" spans="1:5" x14ac:dyDescent="0.25">
      <c r="A346" s="84" t="s">
        <v>840</v>
      </c>
      <c r="B346" s="84" t="s">
        <v>3</v>
      </c>
      <c r="C346" s="84" t="s">
        <v>4</v>
      </c>
      <c r="D346" s="84" t="s">
        <v>5</v>
      </c>
      <c r="E346" s="84" t="s">
        <v>6</v>
      </c>
    </row>
    <row r="347" spans="1:5" x14ac:dyDescent="0.25">
      <c r="A347" s="157" t="s">
        <v>109</v>
      </c>
      <c r="B347" s="157" t="s">
        <v>841</v>
      </c>
      <c r="C347" s="158">
        <f>k_TO*(WS_des/grav)/(sigma*CLmaxTO*TW_des)</f>
        <v>2200</v>
      </c>
      <c r="D347" s="157" t="s">
        <v>28</v>
      </c>
      <c r="E347" s="159" t="s">
        <v>842</v>
      </c>
    </row>
    <row r="348" spans="1:5" x14ac:dyDescent="0.25">
      <c r="A348" s="157" t="s">
        <v>843</v>
      </c>
      <c r="B348" s="157" t="s">
        <v>844</v>
      </c>
      <c r="C348" s="160" t="str">
        <f>IF(TOFL&lt;=TODA*1.0001,"OK - "&amp;TEXT(TODA-TOFL,"0")&amp;" m margin on TODA","FAIL - longer than TODA")</f>
        <v>OK - 0 m margin on TODA</v>
      </c>
      <c r="D348" s="157"/>
      <c r="E348" s="159"/>
    </row>
    <row r="349" spans="1:5" x14ac:dyDescent="0.25">
      <c r="A349" s="157" t="s">
        <v>845</v>
      </c>
      <c r="B349" s="157"/>
      <c r="C349" s="158">
        <f>1.21*WS_des/(grav*rho_SL*sigma*CLmaxTO*MAX(0.01,0.9*TW_des-0.03))</f>
        <v>1175.501629443982</v>
      </c>
      <c r="D349" s="157" t="s">
        <v>28</v>
      </c>
      <c r="E349" s="159" t="s">
        <v>846</v>
      </c>
    </row>
    <row r="350" spans="1:5" x14ac:dyDescent="0.25">
      <c r="A350" s="157" t="s">
        <v>113</v>
      </c>
      <c r="B350" s="157" t="s">
        <v>847</v>
      </c>
      <c r="C350" s="158">
        <f>WS_des*ML_ratio/grav/(k_L*sigma*CLmaxL)</f>
        <v>1584.4099910091525</v>
      </c>
      <c r="D350" s="157" t="s">
        <v>28</v>
      </c>
      <c r="E350" s="159" t="s">
        <v>848</v>
      </c>
    </row>
    <row r="351" spans="1:5" x14ac:dyDescent="0.25">
      <c r="A351" s="157" t="s">
        <v>849</v>
      </c>
      <c r="B351" s="157" t="s">
        <v>850</v>
      </c>
      <c r="C351" s="160" t="str">
        <f>IF(LFL&lt;=LDA*1.0001,"OK - "&amp;TEXT(LDA-LFL,"0")&amp;" m margin on LDA","FAIL - longer than LDA")</f>
        <v>OK - 86 m margin on LDA</v>
      </c>
      <c r="D351" s="157"/>
      <c r="E351" s="159"/>
    </row>
    <row r="352" spans="1:5" x14ac:dyDescent="0.25">
      <c r="A352" s="157" t="s">
        <v>851</v>
      </c>
      <c r="B352" s="157" t="s">
        <v>852</v>
      </c>
      <c r="C352" s="161">
        <v>0.35</v>
      </c>
      <c r="D352" s="157" t="s">
        <v>10</v>
      </c>
      <c r="E352" s="159" t="s">
        <v>853</v>
      </c>
    </row>
    <row r="353" spans="1:5" x14ac:dyDescent="0.25">
      <c r="A353" s="157" t="s">
        <v>854</v>
      </c>
      <c r="B353" s="157"/>
      <c r="C353" s="158">
        <f>(1.15*Vs_L)^2/(2*brake_g*grav)</f>
        <v>522.92920537079328</v>
      </c>
      <c r="D353" s="157" t="s">
        <v>28</v>
      </c>
      <c r="E353" s="159" t="s">
        <v>855</v>
      </c>
    </row>
    <row r="355" spans="1:5" x14ac:dyDescent="0.25">
      <c r="A355" s="84" t="s">
        <v>856</v>
      </c>
      <c r="B355" s="84" t="s">
        <v>3</v>
      </c>
      <c r="C355" s="84" t="s">
        <v>4</v>
      </c>
      <c r="D355" s="84" t="s">
        <v>5</v>
      </c>
      <c r="E355" s="84" t="s">
        <v>6</v>
      </c>
    </row>
    <row r="356" spans="1:5" x14ac:dyDescent="0.25">
      <c r="A356" s="157" t="s">
        <v>857</v>
      </c>
      <c r="B356" s="157" t="s">
        <v>858</v>
      </c>
      <c r="C356" s="161">
        <v>1.5</v>
      </c>
      <c r="D356" s="157" t="s">
        <v>10</v>
      </c>
      <c r="E356" s="159" t="s">
        <v>859</v>
      </c>
    </row>
    <row r="357" spans="1:5" x14ac:dyDescent="0.25">
      <c r="A357" s="157" t="s">
        <v>860</v>
      </c>
      <c r="B357" s="157" t="s">
        <v>861</v>
      </c>
      <c r="C357" s="162">
        <f>MCR+0.04</f>
        <v>0.82000000000000006</v>
      </c>
      <c r="D357" s="157" t="s">
        <v>10</v>
      </c>
      <c r="E357" s="159"/>
    </row>
    <row r="358" spans="1:5" x14ac:dyDescent="0.25">
      <c r="A358" s="157" t="s">
        <v>862</v>
      </c>
      <c r="B358" s="157" t="s">
        <v>863</v>
      </c>
      <c r="C358" s="158">
        <f>beta_cr*WS_des</f>
        <v>4970.0534494701033</v>
      </c>
      <c r="D358" s="157" t="s">
        <v>337</v>
      </c>
      <c r="E358" s="159"/>
    </row>
    <row r="359" spans="1:5" x14ac:dyDescent="0.25">
      <c r="A359" s="157" t="s">
        <v>864</v>
      </c>
      <c r="B359" s="157" t="s">
        <v>865</v>
      </c>
      <c r="C359" s="163">
        <f>TW_des/beta_cr</f>
        <v>0.28981834697043085</v>
      </c>
      <c r="D359" s="157" t="s">
        <v>10</v>
      </c>
      <c r="E359" s="159"/>
    </row>
    <row r="360" spans="1:5" x14ac:dyDescent="0.25">
      <c r="A360" s="157" t="s">
        <v>866</v>
      </c>
      <c r="B360" s="157" t="s">
        <v>867</v>
      </c>
      <c r="C360" s="163">
        <f>IF(rho_cr&gt;=0.999*rho_SL,1,MAX(0.3,LN(MIN(0.99,alpha_cr))/LN(rho_cr/rho_SL)))</f>
        <v>1.2923738294506284</v>
      </c>
      <c r="D360" s="157" t="s">
        <v>10</v>
      </c>
      <c r="E360" s="159" t="s">
        <v>868</v>
      </c>
    </row>
    <row r="361" spans="1:5" x14ac:dyDescent="0.25">
      <c r="A361" s="157" t="s">
        <v>869</v>
      </c>
      <c r="B361" s="157" t="s">
        <v>870</v>
      </c>
      <c r="C361" s="164">
        <f>rho_SL*MIN(1,1/(LD_max*TW_p))^(1/lapse_n)</f>
        <v>0.33816814319180749</v>
      </c>
      <c r="D361" s="157" t="s">
        <v>126</v>
      </c>
      <c r="E361" s="159" t="s">
        <v>871</v>
      </c>
    </row>
    <row r="362" spans="1:5" x14ac:dyDescent="0.25">
      <c r="A362" s="157" t="s">
        <v>872</v>
      </c>
      <c r="B362" s="157" t="s">
        <v>873</v>
      </c>
      <c r="C362" s="158">
        <f>MAX(500,IF(rho_abs&gt;=0.36392,44330.8*(1-(rho_abs/rho_SL)^(1/4.25588)),11000-6341.62*LN(rho_abs/0.36392)))</f>
        <v>11465.416732571432</v>
      </c>
      <c r="D362" s="157" t="s">
        <v>28</v>
      </c>
      <c r="E362" s="159" t="s">
        <v>874</v>
      </c>
    </row>
    <row r="363" spans="1:5" x14ac:dyDescent="0.25">
      <c r="A363" s="157" t="s">
        <v>875</v>
      </c>
      <c r="B363" s="157" t="s">
        <v>876</v>
      </c>
      <c r="C363" s="165">
        <f>Plot_Data!$CX$5</f>
        <v>38.702804230993934</v>
      </c>
      <c r="D363" s="157" t="s">
        <v>120</v>
      </c>
      <c r="E363" s="159" t="s">
        <v>877</v>
      </c>
    </row>
    <row r="364" spans="1:5" x14ac:dyDescent="0.25">
      <c r="A364" s="157" t="s">
        <v>878</v>
      </c>
      <c r="B364" s="157" t="s">
        <v>879</v>
      </c>
      <c r="C364" s="166">
        <f>COUNTIF(Plot_Data!$CX$5:$CX$33,"&gt;=0.5")</f>
        <v>28</v>
      </c>
      <c r="D364" s="157" t="s">
        <v>10</v>
      </c>
      <c r="E364" s="159"/>
    </row>
    <row r="365" spans="1:5" x14ac:dyDescent="0.25">
      <c r="A365" s="157" t="s">
        <v>880</v>
      </c>
      <c r="B365" s="157" t="s">
        <v>881</v>
      </c>
      <c r="C365" s="158">
        <f>IF(n_roc=0,0,IF(n_roc&gt;=29,INDEX(Plot_Data!$CR$5:$CR$33,29),INDEX(Plot_Data!$CR$5:$CR$33,n_roc)+(INDEX(Plot_Data!$CX$5:$CX$33,n_roc)-0.5)/MAX(0.000000001,INDEX(Plot_Data!$CX$5:$CX$33,n_roc)-INDEX(Plot_Data!$CX$5:$CX$33,n_roc+1))*(INDEX(Plot_Data!$CR$5:$CR$33,n_roc+1)-INDEX(Plot_Data!$CR$5:$CR$33,n_roc))))</f>
        <v>11258.710573237038</v>
      </c>
      <c r="D365" s="157" t="s">
        <v>28</v>
      </c>
      <c r="E365" s="159" t="s">
        <v>882</v>
      </c>
    </row>
    <row r="366" spans="1:5" x14ac:dyDescent="0.25">
      <c r="A366" s="157" t="s">
        <v>883</v>
      </c>
      <c r="B366" s="157" t="s">
        <v>884</v>
      </c>
      <c r="C366" s="160" t="str">
        <f>IF(h_serv&gt;=h_cr,"OK - "&amp;TEXT(h_serv-h_cr,"0")&amp;" m above cruise altitude","LOW - service ceiling is below the cruise altitude")</f>
        <v>OK - 591 m above cruise altitude</v>
      </c>
      <c r="D366" s="157"/>
      <c r="E366" s="159"/>
    </row>
    <row r="367" spans="1:5" x14ac:dyDescent="0.25">
      <c r="A367" s="157" t="s">
        <v>122</v>
      </c>
      <c r="B367" s="157" t="s">
        <v>885</v>
      </c>
      <c r="C367" s="165">
        <f>SUM(Plot_Data!$CY$5:$CY$32)/60</f>
        <v>18.76234157365796</v>
      </c>
      <c r="D367" s="157" t="s">
        <v>123</v>
      </c>
      <c r="E367" s="159" t="s">
        <v>886</v>
      </c>
    </row>
    <row r="369" spans="1:5" x14ac:dyDescent="0.25">
      <c r="A369" s="84" t="s">
        <v>887</v>
      </c>
      <c r="B369" s="84" t="s">
        <v>3</v>
      </c>
      <c r="C369" s="84" t="s">
        <v>4</v>
      </c>
      <c r="D369" s="84" t="s">
        <v>5</v>
      </c>
      <c r="E369" s="84" t="s">
        <v>6</v>
      </c>
    </row>
    <row r="370" spans="1:5" x14ac:dyDescent="0.25">
      <c r="A370" s="157" t="s">
        <v>888</v>
      </c>
      <c r="B370" s="157" t="s">
        <v>889</v>
      </c>
      <c r="C370" s="162">
        <f>MIN(3.8,MAX(2.5,2.1+24000/(MTOW*2.20462+10000)))</f>
        <v>2.5</v>
      </c>
      <c r="D370" s="157" t="s">
        <v>10</v>
      </c>
      <c r="E370" s="159" t="s">
        <v>890</v>
      </c>
    </row>
    <row r="371" spans="1:5" x14ac:dyDescent="0.25">
      <c r="A371" s="157" t="s">
        <v>891</v>
      </c>
      <c r="B371" s="157" t="s">
        <v>892</v>
      </c>
      <c r="C371" s="161">
        <v>-1</v>
      </c>
      <c r="D371" s="157" t="s">
        <v>10</v>
      </c>
      <c r="E371" s="159" t="s">
        <v>890</v>
      </c>
    </row>
    <row r="372" spans="1:5" x14ac:dyDescent="0.25">
      <c r="A372" s="157" t="s">
        <v>893</v>
      </c>
      <c r="B372" s="157" t="s">
        <v>894</v>
      </c>
      <c r="C372" s="165">
        <f>SQRT(2*WS_des/(rho_SL*CLmax_c))</f>
        <v>75.81580593697096</v>
      </c>
      <c r="D372" s="157" t="s">
        <v>120</v>
      </c>
      <c r="E372" s="159"/>
    </row>
    <row r="373" spans="1:5" x14ac:dyDescent="0.25">
      <c r="A373" s="157" t="s">
        <v>895</v>
      </c>
      <c r="B373" s="157" t="s">
        <v>896</v>
      </c>
      <c r="C373" s="165">
        <f>V_S1*SQRT(n_pos)</f>
        <v>119.87531470107223</v>
      </c>
      <c r="D373" s="157" t="s">
        <v>120</v>
      </c>
      <c r="E373" s="159"/>
    </row>
    <row r="374" spans="1:5" x14ac:dyDescent="0.25">
      <c r="A374" s="157" t="s">
        <v>897</v>
      </c>
      <c r="B374" s="157" t="s">
        <v>898</v>
      </c>
      <c r="C374" s="165">
        <f>MAX(1.05*V_A,V_cr*SQRT(rho_cr/rho_SL))</f>
        <v>128.75511397058619</v>
      </c>
      <c r="D374" s="157" t="s">
        <v>120</v>
      </c>
      <c r="E374" s="159" t="s">
        <v>899</v>
      </c>
    </row>
    <row r="375" spans="1:5" x14ac:dyDescent="0.25">
      <c r="A375" s="157" t="s">
        <v>900</v>
      </c>
      <c r="B375" s="157" t="s">
        <v>901</v>
      </c>
      <c r="C375" s="165">
        <f>1.25*V_C</f>
        <v>160.94389246323274</v>
      </c>
      <c r="D375" s="157" t="s">
        <v>120</v>
      </c>
      <c r="E375" s="159"/>
    </row>
    <row r="376" spans="1:5" x14ac:dyDescent="0.25">
      <c r="A376" s="157" t="s">
        <v>902</v>
      </c>
      <c r="B376" s="157" t="s">
        <v>903</v>
      </c>
      <c r="C376" s="163">
        <f>2*PI()*AR_/(2+SQRT(4+AR_^2*(1+TAN(RADIANS(sweep25))^2)))</f>
        <v>4.6731621315199749</v>
      </c>
      <c r="D376" s="157" t="s">
        <v>904</v>
      </c>
      <c r="E376" s="159" t="s">
        <v>905</v>
      </c>
    </row>
    <row r="377" spans="1:5" x14ac:dyDescent="0.25">
      <c r="A377" s="157" t="s">
        <v>906</v>
      </c>
      <c r="B377" s="157" t="s">
        <v>907</v>
      </c>
      <c r="C377" s="165">
        <f>2*WS_des/(rho_SL*MAC*CLa_w*grav)</f>
        <v>45.071556766594533</v>
      </c>
      <c r="D377" s="157" t="s">
        <v>10</v>
      </c>
      <c r="E377" s="159"/>
    </row>
    <row r="378" spans="1:5" x14ac:dyDescent="0.25">
      <c r="A378" s="157" t="s">
        <v>908</v>
      </c>
      <c r="B378" s="157" t="s">
        <v>909</v>
      </c>
      <c r="C378" s="163">
        <f>0.88*mu_g/(5.3+mu_g)</f>
        <v>0.78740806321290679</v>
      </c>
      <c r="D378" s="157" t="s">
        <v>10</v>
      </c>
      <c r="E378" s="159"/>
    </row>
    <row r="379" spans="1:5" x14ac:dyDescent="0.25">
      <c r="A379" s="157" t="s">
        <v>910</v>
      </c>
      <c r="B379" s="157" t="s">
        <v>911</v>
      </c>
      <c r="C379" s="162">
        <f>1+K_g*15.24*V_C*CLa_w*rho_SL/(2*WS_des)</f>
        <v>1.8374316875838907</v>
      </c>
      <c r="D379" s="157" t="s">
        <v>10</v>
      </c>
      <c r="E379" s="159" t="s">
        <v>912</v>
      </c>
    </row>
    <row r="380" spans="1:5" x14ac:dyDescent="0.25">
      <c r="A380" s="157" t="s">
        <v>913</v>
      </c>
      <c r="B380" s="157" t="s">
        <v>914</v>
      </c>
      <c r="C380" s="162">
        <f>1+K_g*7.62*V_D*CLa_w*rho_SL/(2*WS_des)</f>
        <v>1.5233948047399317</v>
      </c>
      <c r="D380" s="157" t="s">
        <v>10</v>
      </c>
      <c r="E380" s="159" t="s">
        <v>915</v>
      </c>
    </row>
    <row r="381" spans="1:5" x14ac:dyDescent="0.25">
      <c r="A381" s="157" t="s">
        <v>128</v>
      </c>
      <c r="B381" s="157" t="s">
        <v>916</v>
      </c>
      <c r="C381" s="162">
        <f>MAX(n_pos,n_gC,n_gD)</f>
        <v>2.5</v>
      </c>
      <c r="D381" s="157" t="s">
        <v>10</v>
      </c>
      <c r="E381" s="159" t="s">
        <v>917</v>
      </c>
    </row>
    <row r="382" spans="1:5" x14ac:dyDescent="0.25">
      <c r="A382" s="157" t="s">
        <v>918</v>
      </c>
      <c r="B382" s="157"/>
      <c r="C382" s="162">
        <f>1.5*n_lim</f>
        <v>3.75</v>
      </c>
      <c r="D382" s="157" t="s">
        <v>10</v>
      </c>
      <c r="E382" s="159" t="s">
        <v>919</v>
      </c>
    </row>
    <row r="384" spans="1:5" x14ac:dyDescent="0.25">
      <c r="A384" s="84" t="s">
        <v>920</v>
      </c>
      <c r="B384" s="84" t="s">
        <v>3</v>
      </c>
      <c r="C384" s="84" t="s">
        <v>4</v>
      </c>
      <c r="D384" s="84" t="s">
        <v>5</v>
      </c>
      <c r="E384" s="84" t="s">
        <v>6</v>
      </c>
    </row>
    <row r="385" spans="1:5" x14ac:dyDescent="0.25">
      <c r="A385" s="157" t="s">
        <v>921</v>
      </c>
      <c r="B385" s="157" t="s">
        <v>922</v>
      </c>
      <c r="C385" s="163">
        <f>0.75*TW_des*(5+BPR)/(4+BPR)</f>
        <v>0.22729444626558726</v>
      </c>
      <c r="D385" s="157" t="s">
        <v>10</v>
      </c>
      <c r="E385" s="159" t="s">
        <v>923</v>
      </c>
    </row>
    <row r="386" spans="1:5" x14ac:dyDescent="0.25">
      <c r="A386" s="157" t="s">
        <v>924</v>
      </c>
      <c r="B386" s="157" t="s">
        <v>925</v>
      </c>
      <c r="C386" s="167">
        <f>(N_eng-1)/N_eng*TW_des-1/LD_2</f>
        <v>5.0668896679285994E-2</v>
      </c>
      <c r="D386" s="157" t="s">
        <v>10</v>
      </c>
      <c r="E386" s="159" t="s">
        <v>926</v>
      </c>
    </row>
    <row r="387" spans="1:5" x14ac:dyDescent="0.25">
      <c r="A387" s="157" t="s">
        <v>927</v>
      </c>
      <c r="B387" s="157" t="s">
        <v>928</v>
      </c>
      <c r="C387" s="158">
        <f>0.863/(1+2.3*MAX(0,gam_2-grad_2))*(WS_des/(rho_SL*sigma*grav*CL_2)+10.67)*(1/MAX(0.02,TW_av-(0.01*CLmaxTO+0.02))+2.7)+199.6/SQRT(sigma)</f>
        <v>2247.102962676719</v>
      </c>
      <c r="D387" s="157" t="s">
        <v>28</v>
      </c>
      <c r="E387" s="159" t="s">
        <v>929</v>
      </c>
    </row>
    <row r="388" spans="1:5" x14ac:dyDescent="0.25">
      <c r="A388" s="157" t="s">
        <v>236</v>
      </c>
      <c r="B388" s="157" t="s">
        <v>930</v>
      </c>
      <c r="C388" s="160" t="str">
        <f>IF(BFL&lt;=TODA,"OK - "&amp;TEXT(TODA-BFL,"0")&amp;" m inside TODA","NOTE - Raymer BFL is "&amp;TEXT(BFL-TODA,"0")&amp;" m over TODA (the sizing used the Loftin correlation)")</f>
        <v>NOTE - Raymer BFL is 47 m over TODA (the sizing used the Loftin correlation)</v>
      </c>
      <c r="D388" s="157"/>
      <c r="E388" s="159" t="s">
        <v>931</v>
      </c>
    </row>
    <row r="389" spans="1:5" x14ac:dyDescent="0.25">
      <c r="A389" s="84" t="s">
        <v>932</v>
      </c>
      <c r="B389" s="84" t="s">
        <v>933</v>
      </c>
      <c r="C389" s="84" t="s">
        <v>934</v>
      </c>
      <c r="D389" s="84" t="s">
        <v>935</v>
      </c>
      <c r="E389" s="84" t="s">
        <v>936</v>
      </c>
    </row>
    <row r="390" spans="1:5" x14ac:dyDescent="0.25">
      <c r="A390" s="85" t="s">
        <v>937</v>
      </c>
      <c r="B390" s="168">
        <f>IF(N_eng=2,0,IF(N_eng=3,0.003,0.005))</f>
        <v>0</v>
      </c>
      <c r="C390" s="168">
        <f>(N_eng-1)/N_eng*TW_des-(CD_0+dCD0_f2+dCD0_gear+K_ind*(CLmaxTO/1.21)^2)/(CLmaxTO/1.21)</f>
        <v>3.4349673893635163E-2</v>
      </c>
      <c r="D390" s="168">
        <f>C390-B390</f>
        <v>3.4349673893635163E-2</v>
      </c>
      <c r="E390" s="169" t="s">
        <v>938</v>
      </c>
    </row>
    <row r="391" spans="1:5" x14ac:dyDescent="0.25">
      <c r="A391" s="85" t="s">
        <v>939</v>
      </c>
      <c r="B391" s="168">
        <f>grad_2</f>
        <v>2.4E-2</v>
      </c>
      <c r="C391" s="168">
        <f>gam_2</f>
        <v>5.0668896679285994E-2</v>
      </c>
      <c r="D391" s="168">
        <f>C391-B391</f>
        <v>2.6668896679285993E-2</v>
      </c>
      <c r="E391" s="169" t="s">
        <v>940</v>
      </c>
    </row>
    <row r="392" spans="1:5" x14ac:dyDescent="0.25">
      <c r="A392" s="85" t="s">
        <v>941</v>
      </c>
      <c r="B392" s="168">
        <f>IF(N_eng=2,0.012,IF(N_eng=3,0.015,0.017))</f>
        <v>1.2E-2</v>
      </c>
      <c r="C392" s="168">
        <f>(N_eng-1)/N_eng*TW_des-(CD_0+K_ind*(CLmax_c/1.5625)^2)/(CLmax_c/1.5625)</f>
        <v>7.7419103188768254E-2</v>
      </c>
      <c r="D392" s="168">
        <f>C392-B392</f>
        <v>6.5419103188768257E-2</v>
      </c>
      <c r="E392" s="169" t="s">
        <v>942</v>
      </c>
    </row>
    <row r="393" spans="1:5" x14ac:dyDescent="0.25">
      <c r="A393" s="85" t="s">
        <v>943</v>
      </c>
      <c r="B393" s="168">
        <f>grad_MA</f>
        <v>2.1000000000000001E-2</v>
      </c>
      <c r="C393" s="168">
        <f>(N_eng-1)/N_eng*TW_des/ML_ratio-1/LD_MA</f>
        <v>5.7300032369502193E-2</v>
      </c>
      <c r="D393" s="168">
        <f>C393-B393</f>
        <v>3.6300032369502189E-2</v>
      </c>
      <c r="E393" s="169" t="s">
        <v>944</v>
      </c>
    </row>
    <row r="394" spans="1:5" x14ac:dyDescent="0.25">
      <c r="A394" s="85" t="s">
        <v>945</v>
      </c>
      <c r="B394" s="168">
        <v>3.2000000000000001E-2</v>
      </c>
      <c r="C394" s="168">
        <f>TW_des/ML_ratio-1/LD_MA</f>
        <v>0.21774317090991674</v>
      </c>
      <c r="D394" s="168">
        <f>C394-B394</f>
        <v>0.18574317090991674</v>
      </c>
      <c r="E394" s="169" t="s">
        <v>946</v>
      </c>
    </row>
    <row r="396" spans="1:5" x14ac:dyDescent="0.25">
      <c r="A396" s="157" t="s">
        <v>947</v>
      </c>
      <c r="B396" s="157" t="s">
        <v>948</v>
      </c>
      <c r="C396" s="167">
        <f>MIN(D390:D394)</f>
        <v>2.6668896679285993E-2</v>
      </c>
      <c r="D396" s="157" t="s">
        <v>10</v>
      </c>
      <c r="E396" s="159"/>
    </row>
    <row r="397" spans="1:5" x14ac:dyDescent="0.25">
      <c r="A397" s="157" t="s">
        <v>949</v>
      </c>
      <c r="B397" s="157" t="s">
        <v>950</v>
      </c>
      <c r="C397" s="160" t="str">
        <f>IF(climb_min&gt;=-0.00001,"OK - every climb requirement is met","FAIL - a climb requirement is not met; more thrust needed")</f>
        <v>OK - every climb requirement is met</v>
      </c>
      <c r="D397" s="157"/>
      <c r="E397" s="159"/>
    </row>
    <row r="399" spans="1:5" x14ac:dyDescent="0.25">
      <c r="A399" s="84" t="s">
        <v>951</v>
      </c>
      <c r="B399" s="84" t="s">
        <v>3</v>
      </c>
      <c r="C399" s="84" t="s">
        <v>4</v>
      </c>
      <c r="D399" s="84" t="s">
        <v>5</v>
      </c>
      <c r="E399" s="84" t="s">
        <v>6</v>
      </c>
    </row>
    <row r="400" spans="1:5" x14ac:dyDescent="0.25">
      <c r="A400" s="157" t="s">
        <v>952</v>
      </c>
      <c r="B400" s="157" t="s">
        <v>953</v>
      </c>
      <c r="C400" s="162">
        <f>SQRT(CD_0/K_ind)</f>
        <v>0.65556836028829502</v>
      </c>
      <c r="D400" s="157" t="s">
        <v>10</v>
      </c>
      <c r="E400" s="159"/>
    </row>
    <row r="401" spans="1:5" x14ac:dyDescent="0.25">
      <c r="A401" s="157" t="s">
        <v>954</v>
      </c>
      <c r="B401" s="157" t="s">
        <v>955</v>
      </c>
      <c r="C401" s="158">
        <f>beta_cr*WS_des/CL_opt/(0.7*MCR^2)</f>
        <v>17801.468448091382</v>
      </c>
      <c r="D401" s="157" t="s">
        <v>323</v>
      </c>
      <c r="E401" s="159" t="s">
        <v>956</v>
      </c>
    </row>
    <row r="402" spans="1:5" x14ac:dyDescent="0.25">
      <c r="A402" s="157" t="s">
        <v>957</v>
      </c>
      <c r="B402" s="157" t="s">
        <v>958</v>
      </c>
      <c r="C402" s="158">
        <f>MAX(0,IF(p_opt1&gt;=22632,44330.8*(1-(p_opt1/101325)^0.190263),11000-6341.62*LN(p_opt1/22632)))</f>
        <v>12522.52075423817</v>
      </c>
      <c r="D402" s="157" t="s">
        <v>28</v>
      </c>
      <c r="E402" s="159" t="s">
        <v>959</v>
      </c>
    </row>
    <row r="403" spans="1:5" x14ac:dyDescent="0.25">
      <c r="A403" s="157" t="s">
        <v>960</v>
      </c>
      <c r="B403" s="157" t="s">
        <v>961</v>
      </c>
      <c r="C403" s="158">
        <f>MAX(0,IF((p_opt1*ff_cruise)&gt;=22632,44330.8*(1-((p_opt1*ff_cruise)/101325)^0.190263),11000-6341.62*LN((p_opt1*ff_cruise)/22632)))</f>
        <v>13831.135905851217</v>
      </c>
      <c r="D403" s="157" t="s">
        <v>28</v>
      </c>
      <c r="E403" s="159" t="s">
        <v>962</v>
      </c>
    </row>
    <row r="404" spans="1:5" x14ac:dyDescent="0.25">
      <c r="A404" s="157" t="s">
        <v>154</v>
      </c>
      <c r="B404" s="157" t="s">
        <v>963</v>
      </c>
      <c r="C404" s="158">
        <f>MIN(h_opt1,h_serv)</f>
        <v>11258.710573237038</v>
      </c>
      <c r="D404" s="157" t="s">
        <v>28</v>
      </c>
      <c r="E404" s="159" t="s">
        <v>964</v>
      </c>
    </row>
    <row r="405" spans="1:5" x14ac:dyDescent="0.25">
      <c r="A405" s="157" t="s">
        <v>965</v>
      </c>
      <c r="B405" s="157"/>
      <c r="C405" s="166">
        <f>ROUNDDOWN(h_best/0.3048/1000,0)*10</f>
        <v>360</v>
      </c>
      <c r="D405" s="157" t="s">
        <v>966</v>
      </c>
      <c r="E405" s="159" t="s">
        <v>967</v>
      </c>
    </row>
    <row r="406" spans="1:5" x14ac:dyDescent="0.25">
      <c r="A406" s="157" t="s">
        <v>968</v>
      </c>
      <c r="B406" s="157"/>
      <c r="C406" s="166">
        <f>MAX(0,ROUNDDOWN((MIN(h_opt2,h_abs)-h_best)/609.6,0))</f>
        <v>0</v>
      </c>
      <c r="D406" s="157" t="s">
        <v>10</v>
      </c>
      <c r="E406" s="159" t="s">
        <v>969</v>
      </c>
    </row>
    <row r="407" spans="1:5" x14ac:dyDescent="0.25">
      <c r="A407" s="157" t="s">
        <v>970</v>
      </c>
      <c r="B407" s="157"/>
      <c r="C407" s="167">
        <f>LD_cr/LD_max</f>
        <v>0.9587828924333851</v>
      </c>
      <c r="D407" s="157" t="s">
        <v>10</v>
      </c>
      <c r="E407" s="159"/>
    </row>
    <row r="408" spans="1:5" x14ac:dyDescent="0.25">
      <c r="A408" s="157" t="s">
        <v>971</v>
      </c>
      <c r="B408" s="157" t="s">
        <v>972</v>
      </c>
      <c r="C408" s="160" t="str">
        <f>IF(ABS(h_cr-h_best)&lt;=600,"OK - within 600 m of the best-range altitude",IF(h_cr&lt;h_best,"Cruise altitude is "&amp;TEXT(h_best-h_cr,"0")&amp;" m below the best-range altitude","Cruise altitude is "&amp;TEXT(h_cr-h_best,"0")&amp;" m above the best-range altitude"))</f>
        <v>OK - within 600 m of the best-range altitude</v>
      </c>
      <c r="D408" s="157"/>
      <c r="E408" s="159" t="s">
        <v>973</v>
      </c>
    </row>
    <row r="409" spans="1:5" x14ac:dyDescent="0.25">
      <c r="A409" s="157" t="s">
        <v>974</v>
      </c>
      <c r="B409" s="157" t="s">
        <v>975</v>
      </c>
      <c r="C409" s="158">
        <f>MIN(0.45*Range_km,0.75*V_cr*t_climb*60/1000)</f>
        <v>195.28586770324523</v>
      </c>
      <c r="D409" s="157" t="s">
        <v>64</v>
      </c>
      <c r="E409" s="159" t="s">
        <v>976</v>
      </c>
    </row>
    <row r="410" spans="1:5" x14ac:dyDescent="0.25">
      <c r="A410" s="157" t="s">
        <v>977</v>
      </c>
      <c r="B410" s="157" t="s">
        <v>978</v>
      </c>
      <c r="C410" s="158">
        <f>MIN(0.45*Range_km,h_cr/TAN(RADIANS(3))/1000)</f>
        <v>203.5575661846845</v>
      </c>
      <c r="D410" s="157" t="s">
        <v>64</v>
      </c>
      <c r="E410" s="159" t="s">
        <v>979</v>
      </c>
    </row>
    <row r="411" spans="1:5" x14ac:dyDescent="0.25">
      <c r="A411" s="84" t="s">
        <v>980</v>
      </c>
      <c r="B411" s="84" t="s">
        <v>981</v>
      </c>
      <c r="C411" s="84" t="s">
        <v>982</v>
      </c>
      <c r="D411" s="84" t="s">
        <v>983</v>
      </c>
      <c r="E411" s="84" t="s">
        <v>984</v>
      </c>
    </row>
    <row r="412" spans="1:5" x14ac:dyDescent="0.25">
      <c r="A412" s="85" t="s">
        <v>985</v>
      </c>
      <c r="B412" s="170">
        <v>0</v>
      </c>
      <c r="C412" s="170">
        <v>0</v>
      </c>
      <c r="D412" s="170">
        <f>MTOW</f>
        <v>71061.950546004198</v>
      </c>
      <c r="E412" s="171">
        <f>MTOW-D412</f>
        <v>0</v>
      </c>
    </row>
    <row r="413" spans="1:5" x14ac:dyDescent="0.25">
      <c r="A413" s="85" t="s">
        <v>986</v>
      </c>
      <c r="B413" s="170">
        <v>0</v>
      </c>
      <c r="C413" s="170">
        <v>0</v>
      </c>
      <c r="D413" s="170">
        <f>D412*ff_taxi*ff_TO</f>
        <v>67896.14064917971</v>
      </c>
      <c r="E413" s="171">
        <f>MTOW-D413</f>
        <v>3165.8098968244885</v>
      </c>
    </row>
    <row r="414" spans="1:5" x14ac:dyDescent="0.25">
      <c r="A414" s="85" t="s">
        <v>987</v>
      </c>
      <c r="B414" s="170">
        <f>d_climb</f>
        <v>195.28586770324523</v>
      </c>
      <c r="C414" s="170">
        <f>h_cr</f>
        <v>10668</v>
      </c>
      <c r="D414" s="170">
        <f>D413*ff_climb</f>
        <v>66877.698539442019</v>
      </c>
      <c r="E414" s="171">
        <f>MTOW-D414</f>
        <v>4184.2520065621793</v>
      </c>
    </row>
    <row r="415" spans="1:5" x14ac:dyDescent="0.25">
      <c r="A415" s="85" t="s">
        <v>988</v>
      </c>
      <c r="B415" s="170">
        <f>MAX(d_climb,Range_km-d_desc)</f>
        <v>4796.4424338153158</v>
      </c>
      <c r="C415" s="170">
        <f>h_cr</f>
        <v>10668</v>
      </c>
      <c r="D415" s="170">
        <f>D414*ff_cruise</f>
        <v>54408.049333073475</v>
      </c>
      <c r="E415" s="171">
        <f>MTOW-D415</f>
        <v>16653.901212930723</v>
      </c>
    </row>
    <row r="416" spans="1:5" x14ac:dyDescent="0.25">
      <c r="A416" s="85" t="s">
        <v>989</v>
      </c>
      <c r="B416" s="170">
        <f>Range_km</f>
        <v>5000</v>
      </c>
      <c r="C416" s="170">
        <v>0</v>
      </c>
      <c r="D416" s="170">
        <f>D415*ff_desc</f>
        <v>53863.968839742738</v>
      </c>
      <c r="E416" s="171">
        <f>MTOW-D416</f>
        <v>17197.98170626146</v>
      </c>
    </row>
    <row r="418" spans="1:5" x14ac:dyDescent="0.25">
      <c r="A418" s="157" t="s">
        <v>990</v>
      </c>
      <c r="B418" s="157"/>
      <c r="C418" s="158">
        <f>D416-OEW-W_pl</f>
        <v>3886.6692508820561</v>
      </c>
      <c r="D418" s="157" t="s">
        <v>23</v>
      </c>
      <c r="E418" s="159" t="s">
        <v>991</v>
      </c>
    </row>
    <row r="420" spans="1:5" x14ac:dyDescent="0.25">
      <c r="A420" s="88" t="s">
        <v>992</v>
      </c>
      <c r="B420" s="88" t="s">
        <v>3</v>
      </c>
      <c r="C420" s="88" t="s">
        <v>4</v>
      </c>
      <c r="D420" s="88" t="s">
        <v>5</v>
      </c>
      <c r="E420" s="88" t="s">
        <v>6</v>
      </c>
    </row>
    <row r="421" spans="1:5" x14ac:dyDescent="0.25">
      <c r="A421" s="172" t="s">
        <v>993</v>
      </c>
      <c r="B421" s="172" t="s">
        <v>994</v>
      </c>
      <c r="C421" s="173">
        <f>x_ac_w-0.25*MAC</f>
        <v>14.433760804668585</v>
      </c>
      <c r="D421" s="172" t="s">
        <v>28</v>
      </c>
      <c r="E421" s="174" t="s">
        <v>659</v>
      </c>
    </row>
    <row r="422" spans="1:5" x14ac:dyDescent="0.25">
      <c r="A422" s="172" t="s">
        <v>995</v>
      </c>
      <c r="B422" s="172" t="s">
        <v>996</v>
      </c>
      <c r="C422" s="175">
        <f>MAX(0.5*S_ref,S_ref-d_fus*c_root*(1-(1-taper)*d_fus/(2*b_w)))</f>
        <v>109.21643179797572</v>
      </c>
      <c r="D422" s="172" t="s">
        <v>567</v>
      </c>
      <c r="E422" s="174" t="s">
        <v>997</v>
      </c>
    </row>
    <row r="423" spans="1:5" x14ac:dyDescent="0.25">
      <c r="A423" s="172" t="s">
        <v>998</v>
      </c>
      <c r="B423" s="172" t="s">
        <v>999</v>
      </c>
      <c r="C423" s="173">
        <f>IF(N_eng=2,Plot_Data!$AI$5,IF(N_eng=4,(Plot_Data!$AI$5+Plot_Data!$AI$7)/2,(2*Plot_Data!$AI$5+Plot_Data!$AI$7)/3))+0.45*L_nac</f>
        <v>12.331212338579451</v>
      </c>
      <c r="D423" s="172" t="s">
        <v>28</v>
      </c>
      <c r="E423" s="174" t="s">
        <v>1000</v>
      </c>
    </row>
    <row r="424" spans="1:5" x14ac:dyDescent="0.25">
      <c r="A424" s="172" t="s">
        <v>1001</v>
      </c>
      <c r="B424" s="172" t="s">
        <v>1002</v>
      </c>
      <c r="C424" s="173">
        <f>(x_seat0+x_seat_end)/2</f>
        <v>16.625</v>
      </c>
      <c r="D424" s="172" t="s">
        <v>28</v>
      </c>
      <c r="E424" s="174" t="s">
        <v>1003</v>
      </c>
    </row>
    <row r="425" spans="1:5" x14ac:dyDescent="0.25">
      <c r="A425" s="172" t="s">
        <v>1004</v>
      </c>
      <c r="B425" s="172" t="s">
        <v>1005</v>
      </c>
      <c r="C425" s="173">
        <f>x_LEMAC+0.45*MAC</f>
        <v>16.312165657681618</v>
      </c>
      <c r="D425" s="172" t="s">
        <v>28</v>
      </c>
      <c r="E425" s="174" t="s">
        <v>1006</v>
      </c>
    </row>
    <row r="426" spans="1:5" x14ac:dyDescent="0.25">
      <c r="A426" s="88" t="s">
        <v>1007</v>
      </c>
      <c r="B426" s="88" t="s">
        <v>1008</v>
      </c>
      <c r="C426" s="88" t="s">
        <v>1009</v>
      </c>
      <c r="D426" s="88" t="s">
        <v>1010</v>
      </c>
      <c r="E426" s="88" t="s">
        <v>1011</v>
      </c>
    </row>
    <row r="427" spans="1:5" x14ac:dyDescent="0.25">
      <c r="A427" s="89" t="s">
        <v>1012</v>
      </c>
      <c r="B427" s="176">
        <f>49*S_exp</f>
        <v>5351.6051581008105</v>
      </c>
      <c r="C427" s="177">
        <f>x_LEMAC+0.4*MAC</f>
        <v>16.103454007346837</v>
      </c>
      <c r="D427" s="176">
        <f t="shared" ref="D427:D434" si="5">B427*C427</f>
        <v>86179.327528956506</v>
      </c>
      <c r="E427" s="178" t="s">
        <v>1013</v>
      </c>
    </row>
    <row r="428" spans="1:5" x14ac:dyDescent="0.25">
      <c r="A428" s="89" t="s">
        <v>1014</v>
      </c>
      <c r="B428" s="176">
        <f>27*S_HT</f>
        <v>927.81898354994814</v>
      </c>
      <c r="C428" s="177">
        <f>x_ac_w+L_tail+0.15*MAC_HT</f>
        <v>31.946638951027147</v>
      </c>
      <c r="D428" s="176">
        <f t="shared" si="5"/>
        <v>29640.698079379188</v>
      </c>
      <c r="E428" s="178" t="s">
        <v>1015</v>
      </c>
    </row>
    <row r="429" spans="1:5" x14ac:dyDescent="0.25">
      <c r="A429" s="89" t="s">
        <v>1016</v>
      </c>
      <c r="B429" s="176">
        <f>27*S_VT</f>
        <v>708.29038476357653</v>
      </c>
      <c r="C429" s="177">
        <f>x_ac_w+L_tail+0.15*MAC_VT</f>
        <v>32.141522078253196</v>
      </c>
      <c r="D429" s="176">
        <f t="shared" si="5"/>
        <v>22765.531039692945</v>
      </c>
      <c r="E429" s="178" t="s">
        <v>1015</v>
      </c>
    </row>
    <row r="430" spans="1:5" x14ac:dyDescent="0.25">
      <c r="A430" s="89" t="s">
        <v>1017</v>
      </c>
      <c r="B430" s="176">
        <f>24*S_wet_fus</f>
        <v>9147.0379438144791</v>
      </c>
      <c r="C430" s="177">
        <f>0.45*L_fus</f>
        <v>16.029432</v>
      </c>
      <c r="D430" s="176">
        <f t="shared" si="5"/>
        <v>146621.82272179401</v>
      </c>
      <c r="E430" s="178" t="s">
        <v>1018</v>
      </c>
    </row>
    <row r="431" spans="1:5" x14ac:dyDescent="0.25">
      <c r="A431" s="89" t="s">
        <v>1019</v>
      </c>
      <c r="B431" s="176">
        <f>0.15*0.043*MTOW</f>
        <v>458.34958102172703</v>
      </c>
      <c r="C431" s="177">
        <f>x_nose</f>
        <v>3.9699477197773323</v>
      </c>
      <c r="D431" s="176">
        <f t="shared" si="5"/>
        <v>1819.6238740381009</v>
      </c>
      <c r="E431" s="178" t="s">
        <v>1020</v>
      </c>
    </row>
    <row r="432" spans="1:5" x14ac:dyDescent="0.25">
      <c r="A432" s="89" t="s">
        <v>1021</v>
      </c>
      <c r="B432" s="176">
        <f>0.85*0.043*MTOW</f>
        <v>2597.3142924564536</v>
      </c>
      <c r="C432" s="177">
        <f>x_main</f>
        <v>17.505912519777333</v>
      </c>
      <c r="D432" s="176">
        <f t="shared" si="5"/>
        <v>45468.356790110032</v>
      </c>
      <c r="E432" s="178" t="s">
        <v>1022</v>
      </c>
    </row>
    <row r="433" spans="1:5" x14ac:dyDescent="0.25">
      <c r="A433" s="89" t="s">
        <v>1023</v>
      </c>
      <c r="B433" s="176">
        <f>1.3*m_eng*N_eng</f>
        <v>4573.6411430649832</v>
      </c>
      <c r="C433" s="177">
        <f>x_eng_cg</f>
        <v>12.331212338579451</v>
      </c>
      <c r="D433" s="176">
        <f t="shared" si="5"/>
        <v>56398.540095597549</v>
      </c>
      <c r="E433" s="178" t="s">
        <v>1024</v>
      </c>
    </row>
    <row r="434" spans="1:5" x14ac:dyDescent="0.25">
      <c r="A434" s="89" t="s">
        <v>1025</v>
      </c>
      <c r="B434" s="176">
        <f>0.17*MTOW</f>
        <v>12080.531592820715</v>
      </c>
      <c r="C434" s="177">
        <f>0.45*L_fus</f>
        <v>16.029432</v>
      </c>
      <c r="D434" s="176">
        <f t="shared" si="5"/>
        <v>193644.05969097133</v>
      </c>
      <c r="E434" s="178" t="s">
        <v>1026</v>
      </c>
    </row>
    <row r="435" spans="1:5" x14ac:dyDescent="0.25">
      <c r="A435" s="179" t="s">
        <v>1027</v>
      </c>
      <c r="B435" s="180">
        <f>SUM(B427:B434)</f>
        <v>35844.58907959269</v>
      </c>
      <c r="C435" s="181">
        <f>D435/B435</f>
        <v>16.251768391793185</v>
      </c>
      <c r="D435" s="180">
        <f>SUM(D427:D434)</f>
        <v>582537.95982053969</v>
      </c>
      <c r="E435" s="178" t="s">
        <v>1028</v>
      </c>
    </row>
    <row r="437" spans="1:5" x14ac:dyDescent="0.25">
      <c r="A437" s="172" t="s">
        <v>1029</v>
      </c>
      <c r="B437" s="172" t="s">
        <v>1030</v>
      </c>
      <c r="C437" s="173">
        <f>(D427+D428+D429+D430+D433+D434)/(B427+B428+B429+B430+B433+B434)</f>
        <v>16.324108698036181</v>
      </c>
      <c r="D437" s="172" t="s">
        <v>28</v>
      </c>
      <c r="E437" s="174" t="s">
        <v>1031</v>
      </c>
    </row>
    <row r="438" spans="1:5" x14ac:dyDescent="0.25">
      <c r="A438" s="172" t="s">
        <v>1032</v>
      </c>
      <c r="B438" s="172" t="s">
        <v>1033</v>
      </c>
      <c r="C438" s="173">
        <f>MAX(x_e_ng,(OEW*x_e_ng+W_pl*x_pay)/(OEW+W_pl),(OEW*x_e_ng+W_pl*x_pay+W_fuel*x_fuelcg)/(OEW+W_pl+W_fuel),(OEW*x_e_ng+W_fuel*x_fuelcg)/(OEW+W_fuel),(OEW*x_e_ng+PyldMax*x_pay)/(OEW+PyldMax))</f>
        <v>16.423035335777332</v>
      </c>
      <c r="D438" s="172" t="s">
        <v>28</v>
      </c>
      <c r="E438" s="174" t="s">
        <v>1034</v>
      </c>
    </row>
    <row r="439" spans="1:5" x14ac:dyDescent="0.25">
      <c r="A439" s="172" t="s">
        <v>1035</v>
      </c>
      <c r="B439" s="172"/>
      <c r="C439" s="182">
        <f>W_e_build/W_empty-1</f>
        <v>1.6513088979482005E-2</v>
      </c>
      <c r="D439" s="172" t="s">
        <v>10</v>
      </c>
      <c r="E439" s="174" t="s">
        <v>1036</v>
      </c>
    </row>
    <row r="440" spans="1:5" x14ac:dyDescent="0.25">
      <c r="A440" s="88" t="s">
        <v>548</v>
      </c>
      <c r="B440" s="88" t="s">
        <v>1008</v>
      </c>
      <c r="C440" s="88" t="s">
        <v>1009</v>
      </c>
      <c r="D440" s="88" t="s">
        <v>1037</v>
      </c>
      <c r="E440" s="88"/>
    </row>
    <row r="441" spans="1:5" x14ac:dyDescent="0.25">
      <c r="A441" s="89" t="s">
        <v>1038</v>
      </c>
      <c r="B441" s="176">
        <f>OEW</f>
        <v>35727.299588860682</v>
      </c>
      <c r="C441" s="177">
        <f>x_cg_e</f>
        <v>16.251768391793185</v>
      </c>
      <c r="D441" s="183">
        <f>(C441-x_LEMAC)/MAC</f>
        <v>0.43553093088201961</v>
      </c>
      <c r="E441" s="90"/>
    </row>
    <row r="442" spans="1:5" x14ac:dyDescent="0.25">
      <c r="A442" s="89" t="s">
        <v>1039</v>
      </c>
      <c r="B442" s="176">
        <f>OEW+W_pl</f>
        <v>49977.299588860682</v>
      </c>
      <c r="C442" s="177">
        <f>(OEW*x_cg_e+W_pl*x_pay)/B442</f>
        <v>16.358187715380097</v>
      </c>
      <c r="D442" s="183">
        <f>(C442-x_LEMAC)/MAC</f>
        <v>0.46102527281650479</v>
      </c>
      <c r="E442" s="90"/>
    </row>
    <row r="443" spans="1:5" x14ac:dyDescent="0.25">
      <c r="A443" s="89" t="s">
        <v>1040</v>
      </c>
      <c r="B443" s="176">
        <f>OEW+W_pl+W_fuel</f>
        <v>71061.950546004198</v>
      </c>
      <c r="C443" s="177">
        <f>(OEW*x_cg_e+W_pl*x_pay+W_fuel*x_fuelcg)/B443</f>
        <v>16.344532601561152</v>
      </c>
      <c r="D443" s="183">
        <f>(C443-x_LEMAC)/MAC</f>
        <v>0.45775398590055116</v>
      </c>
      <c r="E443" s="90"/>
    </row>
    <row r="444" spans="1:5" x14ac:dyDescent="0.25">
      <c r="A444" s="89" t="s">
        <v>1041</v>
      </c>
      <c r="B444" s="176">
        <f>OEW+W_fuel</f>
        <v>56811.950546004198</v>
      </c>
      <c r="C444" s="177">
        <f>(OEW*x_cg_e+W_fuel*x_fuelcg)/B444</f>
        <v>16.274183662837121</v>
      </c>
      <c r="D444" s="183">
        <f>(C444-x_LEMAC)/MAC</f>
        <v>0.4409008445902341</v>
      </c>
      <c r="E444" s="90"/>
    </row>
    <row r="445" spans="1:5" x14ac:dyDescent="0.25">
      <c r="A445" s="89" t="s">
        <v>1042</v>
      </c>
      <c r="B445" s="176">
        <f>OEW+PyldMax</f>
        <v>53227.299588860682</v>
      </c>
      <c r="C445" s="177">
        <f>(OEW*x_cg_e+PyldMax*x_pay)/B445</f>
        <v>16.37447897816654</v>
      </c>
      <c r="D445" s="183">
        <f>(C445-x_LEMAC)/MAC</f>
        <v>0.46492808867760083</v>
      </c>
      <c r="E445" s="90"/>
    </row>
    <row r="447" spans="1:5" x14ac:dyDescent="0.25">
      <c r="A447" s="172" t="s">
        <v>1043</v>
      </c>
      <c r="B447" s="172" t="s">
        <v>1044</v>
      </c>
      <c r="C447" s="182">
        <f>MIN(D441:D445)</f>
        <v>0.43553093088201961</v>
      </c>
      <c r="D447" s="172" t="s">
        <v>99</v>
      </c>
      <c r="E447" s="174"/>
    </row>
    <row r="448" spans="1:5" x14ac:dyDescent="0.25">
      <c r="A448" s="172" t="s">
        <v>1045</v>
      </c>
      <c r="B448" s="172" t="s">
        <v>1046</v>
      </c>
      <c r="C448" s="182">
        <f>MAX(D441:D445)</f>
        <v>0.46492808867760083</v>
      </c>
      <c r="D448" s="172" t="s">
        <v>99</v>
      </c>
      <c r="E448" s="174"/>
    </row>
    <row r="449" spans="1:5" x14ac:dyDescent="0.25">
      <c r="A449" s="172" t="s">
        <v>1047</v>
      </c>
      <c r="B449" s="172" t="s">
        <v>1048</v>
      </c>
      <c r="C449" s="184">
        <f>2*PI()*AR_HT/(2+SQRT(4+AR_HT^2*(1+TAN(RADIANS(sweep25+5))^2)))</f>
        <v>3.7071094384363352</v>
      </c>
      <c r="D449" s="172" t="s">
        <v>904</v>
      </c>
      <c r="E449" s="174" t="s">
        <v>905</v>
      </c>
    </row>
    <row r="450" spans="1:5" x14ac:dyDescent="0.25">
      <c r="A450" s="172" t="s">
        <v>1049</v>
      </c>
      <c r="B450" s="172" t="s">
        <v>1050</v>
      </c>
      <c r="C450" s="184">
        <f>2*CLa_w/(PI()*AR_)</f>
        <v>0.31316078025316296</v>
      </c>
      <c r="D450" s="172" t="s">
        <v>10</v>
      </c>
      <c r="E450" s="174" t="s">
        <v>1051</v>
      </c>
    </row>
    <row r="451" spans="1:5" x14ac:dyDescent="0.25">
      <c r="A451" s="172" t="s">
        <v>1052</v>
      </c>
      <c r="B451" s="172" t="s">
        <v>1053</v>
      </c>
      <c r="C451" s="182">
        <f>-1.8/CLa_w*d_fus^2*(x_wLE0+d_fus/2*TAN(RADIANS(sweepLE)))/(S_ref*MAC)</f>
        <v>-0.12872042440645587</v>
      </c>
      <c r="D451" s="172" t="s">
        <v>99</v>
      </c>
      <c r="E451" s="174" t="s">
        <v>1054</v>
      </c>
    </row>
    <row r="452" spans="1:5" x14ac:dyDescent="0.25">
      <c r="A452" s="172" t="s">
        <v>1055</v>
      </c>
      <c r="B452" s="172" t="s">
        <v>1056</v>
      </c>
      <c r="C452" s="184">
        <f>0.9*(S_HT/S_ref)*CLa_h*(1-deda)</f>
        <v>0.59674880376992079</v>
      </c>
      <c r="D452" s="172" t="s">
        <v>904</v>
      </c>
      <c r="E452" s="174" t="s">
        <v>1057</v>
      </c>
    </row>
    <row r="453" spans="1:5" x14ac:dyDescent="0.25">
      <c r="A453" s="172" t="s">
        <v>1058</v>
      </c>
      <c r="B453" s="172" t="s">
        <v>1059</v>
      </c>
      <c r="C453" s="182">
        <f>(CLa_w*(0.25+dx_fus)+tail_k*(0.25+L_tail/MAC))/(CLa_w+tail_k)</f>
        <v>0.57069572838201588</v>
      </c>
      <c r="D453" s="172" t="s">
        <v>99</v>
      </c>
      <c r="E453" s="174" t="s">
        <v>1060</v>
      </c>
    </row>
    <row r="454" spans="1:5" x14ac:dyDescent="0.25">
      <c r="A454" s="172" t="s">
        <v>1061</v>
      </c>
      <c r="B454" s="172" t="s">
        <v>1062</v>
      </c>
      <c r="C454" s="182">
        <f>x_np-cg_MTOM</f>
        <v>0.11294174248146471</v>
      </c>
      <c r="D454" s="172" t="s">
        <v>99</v>
      </c>
      <c r="E454" s="174"/>
    </row>
    <row r="455" spans="1:5" x14ac:dyDescent="0.25">
      <c r="A455" s="172" t="s">
        <v>1063</v>
      </c>
      <c r="B455" s="172" t="s">
        <v>1064</v>
      </c>
      <c r="C455" s="182">
        <f>x_np-cg_aft</f>
        <v>0.10576763970441505</v>
      </c>
      <c r="D455" s="172" t="s">
        <v>99</v>
      </c>
      <c r="E455" s="174" t="s">
        <v>1065</v>
      </c>
    </row>
    <row r="456" spans="1:5" x14ac:dyDescent="0.25">
      <c r="A456" s="172" t="s">
        <v>1066</v>
      </c>
      <c r="B456" s="172" t="s">
        <v>1067</v>
      </c>
      <c r="C456" s="185" t="str">
        <f>IF(SM_min&gt;=0.05,IF(x_np-cg_fwd&lt;=0.4,"OK","OK - but very stable; the wing could move forward"),IF(SM_min&gt;0,"LOW - under 5 %; switch on automatic wing placement or move the wing aft","UNSTABLE - switch on automatic wing placement or move the wing aft"))</f>
        <v>OK</v>
      </c>
      <c r="D456" s="172"/>
      <c r="E456" s="174"/>
    </row>
    <row r="457" spans="1:5" x14ac:dyDescent="0.25">
      <c r="A457" s="172" t="s">
        <v>1068</v>
      </c>
      <c r="B457" s="172"/>
      <c r="C457" s="182">
        <f>(x_main-(x_LEMAC+cg_aft*MAC))/wheelbase</f>
        <v>8.35872106885793E-2</v>
      </c>
      <c r="D457" s="172" t="s">
        <v>10</v>
      </c>
      <c r="E457" s="174" t="s">
        <v>1069</v>
      </c>
    </row>
    <row r="458" spans="1:5" x14ac:dyDescent="0.25">
      <c r="A458" s="172" t="s">
        <v>1070</v>
      </c>
      <c r="B458" s="172" t="s">
        <v>1071</v>
      </c>
      <c r="C458" s="182">
        <f>(x_main-(x_LEMAC+cg_fwd*MAC))/wheelbase</f>
        <v>9.2652732665509593E-2</v>
      </c>
      <c r="D458" s="172" t="s">
        <v>10</v>
      </c>
      <c r="E458" s="174" t="s">
        <v>1072</v>
      </c>
    </row>
    <row r="459" spans="1:5" x14ac:dyDescent="0.25">
      <c r="A459" s="172" t="s">
        <v>1073</v>
      </c>
      <c r="B459" s="172" t="s">
        <v>1074</v>
      </c>
      <c r="C459" s="175">
        <f>DEGREES(ATAN((x_main-(x_LEMAC+cg_aft*MAC))/h_cg))</f>
        <v>17.163627784218448</v>
      </c>
      <c r="D459" s="172" t="s">
        <v>61</v>
      </c>
      <c r="E459" s="174" t="s">
        <v>1075</v>
      </c>
    </row>
    <row r="460" spans="1:5" x14ac:dyDescent="0.25">
      <c r="A460" s="172" t="s">
        <v>1076</v>
      </c>
      <c r="B460" s="172" t="s">
        <v>1077</v>
      </c>
      <c r="C460" s="185" t="str">
        <f>IF(tip_aft&gt;=15,IF(ng_fwd&lt;=0.2,"OK","CHECK - nose gear heavily loaded at the forward CG"),"CHECK - main gear is close to the aft CG; lower main_frac")</f>
        <v>OK</v>
      </c>
      <c r="D460" s="172"/>
      <c r="E460" s="174"/>
    </row>
    <row r="461" spans="1:5" x14ac:dyDescent="0.25">
      <c r="A461" s="172" t="s">
        <v>1078</v>
      </c>
      <c r="B461" s="172" t="s">
        <v>1079</v>
      </c>
      <c r="C461" s="184">
        <f>(B427+B432+B433+W_fuel)/MTOW</f>
        <v>0.47292835747604584</v>
      </c>
      <c r="D461" s="172" t="s">
        <v>10</v>
      </c>
      <c r="E461" s="174" t="s">
        <v>1080</v>
      </c>
    </row>
    <row r="462" spans="1:5" x14ac:dyDescent="0.25">
      <c r="A462" s="172" t="s">
        <v>1081</v>
      </c>
      <c r="B462" s="172" t="s">
        <v>1082</v>
      </c>
      <c r="C462" s="184">
        <f>MIN(0.6,MAX(0.3,MAX(Plot_Data!$HC$25:$HC$29)))</f>
        <v>0.43450033509322866</v>
      </c>
      <c r="D462" s="172" t="s">
        <v>10</v>
      </c>
      <c r="E462" s="174" t="s">
        <v>1083</v>
      </c>
    </row>
    <row r="463" spans="1:5" x14ac:dyDescent="0.25">
      <c r="A463" s="172" t="s">
        <v>1084</v>
      </c>
      <c r="B463" s="172" t="s">
        <v>1085</v>
      </c>
      <c r="C463" s="185" t="str">
        <f>IF(x_hLE0+cr_HT&lt;=1.02*L_fus,"OK","CHECK - the tailplane overhangs the fuselage end; reduce arm_frac")</f>
        <v>OK</v>
      </c>
      <c r="D463" s="172"/>
      <c r="E463" s="174"/>
    </row>
    <row r="465" spans="1:5" x14ac:dyDescent="0.25">
      <c r="A465" s="88" t="s">
        <v>1086</v>
      </c>
      <c r="B465" s="88" t="s">
        <v>3</v>
      </c>
      <c r="C465" s="88" t="s">
        <v>4</v>
      </c>
      <c r="D465" s="88" t="s">
        <v>5</v>
      </c>
      <c r="E465" s="88" t="s">
        <v>6</v>
      </c>
    </row>
    <row r="466" spans="1:5" x14ac:dyDescent="0.25">
      <c r="A466" s="172" t="s">
        <v>1087</v>
      </c>
      <c r="B466" s="172" t="s">
        <v>1088</v>
      </c>
      <c r="C466" s="173">
        <f>S_HT*L_tail/(S_ref*MAC)</f>
        <v>1</v>
      </c>
      <c r="D466" s="172" t="s">
        <v>10</v>
      </c>
      <c r="E466" s="174"/>
    </row>
    <row r="467" spans="1:5" x14ac:dyDescent="0.25">
      <c r="A467" s="172" t="s">
        <v>1089</v>
      </c>
      <c r="B467" s="172" t="s">
        <v>1090</v>
      </c>
      <c r="C467" s="173">
        <f>-0.05-0.2*(CLmaxL-CLmax_c)</f>
        <v>-0.29000000000000004</v>
      </c>
      <c r="D467" s="172" t="s">
        <v>10</v>
      </c>
      <c r="E467" s="174" t="s">
        <v>1091</v>
      </c>
    </row>
    <row r="468" spans="1:5" x14ac:dyDescent="0.25">
      <c r="A468" s="172" t="s">
        <v>1092</v>
      </c>
      <c r="B468" s="172" t="s">
        <v>1093</v>
      </c>
      <c r="C468" s="173">
        <f>(Cm0_L+CLmaxL/1.69*(cg_fwd-(0.25+dx_fus)))/(0.9*Vbar_H)</f>
        <v>0.23562042030169872</v>
      </c>
      <c r="D468" s="172" t="s">
        <v>10</v>
      </c>
      <c r="E468" s="174" t="s">
        <v>1094</v>
      </c>
    </row>
    <row r="469" spans="1:5" x14ac:dyDescent="0.25">
      <c r="A469" s="172" t="s">
        <v>1095</v>
      </c>
      <c r="B469" s="172" t="s">
        <v>1096</v>
      </c>
      <c r="C469" s="185" t="str">
        <f>IF(ABS(CLh_trim)&lt;=0.8,"OK","CHECK - tailplane heavily loaded to trim; a larger tail or less forward CG is needed")</f>
        <v>OK</v>
      </c>
      <c r="D469" s="172"/>
      <c r="E469" s="174" t="s">
        <v>1097</v>
      </c>
    </row>
    <row r="470" spans="1:5" x14ac:dyDescent="0.25">
      <c r="A470" s="172" t="s">
        <v>1098</v>
      </c>
      <c r="B470" s="172" t="s">
        <v>1099</v>
      </c>
      <c r="C470" s="175">
        <f>1.1*Vs_TO</f>
        <v>70.483656059632793</v>
      </c>
      <c r="D470" s="172" t="s">
        <v>120</v>
      </c>
      <c r="E470" s="174"/>
    </row>
    <row r="471" spans="1:5" x14ac:dyDescent="0.25">
      <c r="A471" s="172" t="s">
        <v>1100</v>
      </c>
      <c r="B471" s="172" t="s">
        <v>1101</v>
      </c>
      <c r="C471" s="186">
        <f>MAX(0,(MTOW*grav*(x_main-(x_LEMAC+cg_fwd*MAC))-0.5*rho_SL*sigma*V_R^2*S_ref*(0.6*CLmaxTO/1.21*(x_main-x_ac_w)+MAC*(-0.05-0.2*(CLmaxTO-CLmax_c))))/(x_ac_w+L_tail-x_main))</f>
        <v>22192.502070159317</v>
      </c>
      <c r="D471" s="172" t="s">
        <v>709</v>
      </c>
      <c r="E471" s="174" t="s">
        <v>1102</v>
      </c>
    </row>
    <row r="472" spans="1:5" x14ac:dyDescent="0.25">
      <c r="A472" s="172" t="s">
        <v>1103</v>
      </c>
      <c r="B472" s="172" t="s">
        <v>1104</v>
      </c>
      <c r="C472" s="173">
        <f>L_rot/(0.9*0.5*rho_SL*sigma*V_R^2*S_HT)</f>
        <v>0.23582037739557854</v>
      </c>
      <c r="D472" s="172" t="s">
        <v>10</v>
      </c>
      <c r="E472" s="174"/>
    </row>
    <row r="473" spans="1:5" x14ac:dyDescent="0.25">
      <c r="A473" s="172" t="s">
        <v>1105</v>
      </c>
      <c r="B473" s="172" t="s">
        <v>1106</v>
      </c>
      <c r="C473" s="185" t="str">
        <f>IF(CLh_rot&lt;=1,"OK","CHECK - elevator power is marginal for rotation; move the main gear forward or enlarge the tail")</f>
        <v>OK</v>
      </c>
      <c r="D473" s="172"/>
      <c r="E473" s="174" t="s">
        <v>1107</v>
      </c>
    </row>
    <row r="474" spans="1:5" x14ac:dyDescent="0.25">
      <c r="A474" s="172" t="s">
        <v>1108</v>
      </c>
      <c r="B474" s="172" t="s">
        <v>1109</v>
      </c>
      <c r="C474" s="186">
        <f>1.25*0.9*T_eng*MAX(y_eng_in,y_eng_out)</f>
        <v>643548.95370051882</v>
      </c>
      <c r="D474" s="172" t="s">
        <v>1110</v>
      </c>
      <c r="E474" s="174" t="s">
        <v>1111</v>
      </c>
    </row>
    <row r="475" spans="1:5" x14ac:dyDescent="0.25">
      <c r="A475" s="172" t="s">
        <v>1112</v>
      </c>
      <c r="B475" s="172" t="s">
        <v>1113</v>
      </c>
      <c r="C475" s="173">
        <f>N_eo/(0.5*rho_SL*sigma*(1.13*Vs_TO)^2*S_VT*L_tail)</f>
        <v>0.47660809763968209</v>
      </c>
      <c r="D475" s="172" t="s">
        <v>10</v>
      </c>
      <c r="E475" s="174" t="s">
        <v>1114</v>
      </c>
    </row>
    <row r="476" spans="1:5" x14ac:dyDescent="0.25">
      <c r="A476" s="172" t="s">
        <v>1115</v>
      </c>
      <c r="B476" s="172" t="s">
        <v>1116</v>
      </c>
      <c r="C476" s="185" t="str">
        <f>IF(CLv_eo&lt;=1.1,"OK","CHECK - fin and rudder too small for an engine failure at take-off")</f>
        <v>OK</v>
      </c>
      <c r="D476" s="172"/>
      <c r="E476" s="174" t="s">
        <v>1117</v>
      </c>
    </row>
    <row r="477" spans="1:5" x14ac:dyDescent="0.25">
      <c r="A477" s="172" t="s">
        <v>1118</v>
      </c>
      <c r="B477" s="172" t="s">
        <v>1119</v>
      </c>
      <c r="C477" s="187">
        <v>13</v>
      </c>
      <c r="D477" s="172" t="s">
        <v>120</v>
      </c>
      <c r="E477" s="174" t="s">
        <v>1120</v>
      </c>
    </row>
    <row r="478" spans="1:5" x14ac:dyDescent="0.25">
      <c r="A478" s="172" t="s">
        <v>1121</v>
      </c>
      <c r="B478" s="172" t="s">
        <v>1122</v>
      </c>
      <c r="C478" s="175">
        <f>DEGREES(ATAN(V_xw/V_app))</f>
        <v>10.865247470400547</v>
      </c>
      <c r="D478" s="172" t="s">
        <v>61</v>
      </c>
      <c r="E478" s="174"/>
    </row>
    <row r="479" spans="1:5" x14ac:dyDescent="0.25">
      <c r="A479" s="172" t="s">
        <v>1123</v>
      </c>
      <c r="B479" s="172" t="s">
        <v>1124</v>
      </c>
      <c r="C479" s="175">
        <f>0.7*beta_xw/0.55</f>
        <v>13.828496780509786</v>
      </c>
      <c r="D479" s="172" t="s">
        <v>61</v>
      </c>
      <c r="E479" s="174" t="s">
        <v>1125</v>
      </c>
    </row>
    <row r="480" spans="1:5" x14ac:dyDescent="0.25">
      <c r="A480" s="172" t="s">
        <v>1126</v>
      </c>
      <c r="B480" s="172" t="s">
        <v>1127</v>
      </c>
      <c r="C480" s="185" t="str">
        <f>IF(dr_xw&lt;=30,"OK","CHECK - more than 30 deg of rudder needed in the design crosswind")</f>
        <v>OK</v>
      </c>
      <c r="D480" s="172"/>
      <c r="E480" s="174"/>
    </row>
    <row r="482" spans="1:5" x14ac:dyDescent="0.25">
      <c r="A482" s="92" t="s">
        <v>1128</v>
      </c>
      <c r="B482" s="92" t="s">
        <v>3</v>
      </c>
      <c r="C482" s="92" t="s">
        <v>4</v>
      </c>
      <c r="D482" s="92" t="s">
        <v>5</v>
      </c>
      <c r="E482" s="92" t="s">
        <v>6</v>
      </c>
    </row>
    <row r="483" spans="1:5" x14ac:dyDescent="0.25">
      <c r="A483" s="188" t="s">
        <v>1129</v>
      </c>
      <c r="B483" s="188" t="s">
        <v>1130</v>
      </c>
      <c r="C483" s="189">
        <f>0.000001458*T_cr^1.5/(T_cr+110.4)</f>
        <v>1.4334479847233059E-5</v>
      </c>
      <c r="D483" s="188" t="s">
        <v>1131</v>
      </c>
      <c r="E483" s="190" t="s">
        <v>1132</v>
      </c>
    </row>
    <row r="484" spans="1:5" x14ac:dyDescent="0.25">
      <c r="A484" s="92" t="s">
        <v>1133</v>
      </c>
      <c r="B484" s="92" t="s">
        <v>1134</v>
      </c>
      <c r="C484" s="92" t="s">
        <v>1135</v>
      </c>
      <c r="D484" s="92" t="s">
        <v>1136</v>
      </c>
      <c r="E484" s="92" t="s">
        <v>1137</v>
      </c>
    </row>
    <row r="485" spans="1:5" x14ac:dyDescent="0.25">
      <c r="A485" s="93" t="s">
        <v>1012</v>
      </c>
      <c r="B485" s="191">
        <f>S_exp*(1.977+0.52*tc)</f>
        <v>224.65048010634911</v>
      </c>
      <c r="C485" s="192">
        <f>0.455/(LOG10(rho_cr*V_cr*MAC/mu_cr)^2.58*(1+0.144*MCR^2)^0.65)</f>
        <v>2.4576640810198124E-3</v>
      </c>
      <c r="D485" s="193">
        <f>(1+2*tc+100*tc^4)*(1.34*MCR^0.18*COS(RADIANS(sweep25))^0.28)</f>
        <v>1.6947128188759195</v>
      </c>
      <c r="E485" s="194">
        <f>B485*C485*D485/S_ref</f>
        <v>7.0906337293247506E-3</v>
      </c>
    </row>
    <row r="486" spans="1:5" x14ac:dyDescent="0.25">
      <c r="A486" s="93" t="s">
        <v>1014</v>
      </c>
      <c r="B486" s="191">
        <f>2.03*S_HT</f>
        <v>69.758242096533138</v>
      </c>
      <c r="C486" s="192">
        <f>0.455/(LOG10(rho_cr*V_cr*MAC_HT/mu_cr)^2.58*(1+0.144*MCR^2)^0.65)</f>
        <v>2.5939275047334996E-3</v>
      </c>
      <c r="D486" s="193">
        <f>(1+2*0.1+100*0.1^4)*(1.34*MCR^0.18*COS(RADIANS(sweep25+5))^0.28)*1.04</f>
        <v>1.5435917741838061</v>
      </c>
      <c r="E486" s="194">
        <f>B486*C486*D486/S_ref</f>
        <v>2.1166296819248053E-3</v>
      </c>
    </row>
    <row r="487" spans="1:5" x14ac:dyDescent="0.25">
      <c r="A487" s="93" t="s">
        <v>1016</v>
      </c>
      <c r="B487" s="191">
        <f>2.03*S_VT</f>
        <v>53.252943743335564</v>
      </c>
      <c r="C487" s="192">
        <f>0.455/(LOG10(rho_cr*V_cr*MAC_VT/mu_cr)^2.58*(1+0.144*MCR^2)^0.65)</f>
        <v>2.4525790910226645E-3</v>
      </c>
      <c r="D487" s="193">
        <f>(1+2*0.1+100*0.1^4)*(1.34*MCR^0.18*COS(RADIANS(sweepLE_VT))^0.28)*1.04</f>
        <v>1.5140122360088761</v>
      </c>
      <c r="E487" s="194">
        <f>B487*C487*D487/S_ref</f>
        <v>1.4984942846131991E-3</v>
      </c>
    </row>
    <row r="488" spans="1:5" x14ac:dyDescent="0.25">
      <c r="A488" s="93" t="s">
        <v>1017</v>
      </c>
      <c r="B488" s="191">
        <f>S_wet_fus</f>
        <v>381.12658099226996</v>
      </c>
      <c r="C488" s="192">
        <f>0.455/(LOG10(rho_cr*V_cr*L_fus/mu_cr)^2.58*(1+0.144*MCR^2)^0.65)</f>
        <v>1.8107329216717634E-3</v>
      </c>
      <c r="D488" s="193">
        <f>1+60/fineness^3+fineness/400</f>
        <v>1.106173274317013</v>
      </c>
      <c r="E488" s="194">
        <f>B488*C488*D488/S_ref</f>
        <v>5.7850332914910728E-3</v>
      </c>
    </row>
    <row r="489" spans="1:5" x14ac:dyDescent="0.25">
      <c r="A489" s="93" t="s">
        <v>1138</v>
      </c>
      <c r="B489" s="191">
        <f>N_eng*PI()*D_nac*L_nac</f>
        <v>60.653292810036568</v>
      </c>
      <c r="C489" s="192">
        <f>0.455/(LOG10(rho_cr*V_cr*L_nac/mu_cr)^2.58*(1+0.144*MCR^2)^0.65)</f>
        <v>2.4446255602386248E-3</v>
      </c>
      <c r="D489" s="193">
        <f>(1+0.35/(L_nac/D_nac))*1.3</f>
        <v>1.5349389875732653</v>
      </c>
      <c r="E489" s="194">
        <f>B489*C489*D489/S_ref</f>
        <v>1.7247133036025607E-3</v>
      </c>
    </row>
    <row r="490" spans="1:5" x14ac:dyDescent="0.25">
      <c r="A490" s="93" t="s">
        <v>1139</v>
      </c>
      <c r="B490" s="191">
        <f>SUM(B485:B489)</f>
        <v>789.44153974852429</v>
      </c>
      <c r="C490" s="94"/>
      <c r="D490" s="94"/>
      <c r="E490" s="194">
        <f>SUM(E485:E489)</f>
        <v>1.8215504290956391E-2</v>
      </c>
    </row>
    <row r="492" spans="1:5" x14ac:dyDescent="0.25">
      <c r="A492" s="188" t="s">
        <v>1140</v>
      </c>
      <c r="B492" s="188" t="s">
        <v>1141</v>
      </c>
      <c r="C492" s="195">
        <f>1.06*E490</f>
        <v>1.9308434548413776E-2</v>
      </c>
      <c r="D492" s="188" t="s">
        <v>10</v>
      </c>
      <c r="E492" s="190" t="s">
        <v>1142</v>
      </c>
    </row>
    <row r="493" spans="1:5" x14ac:dyDescent="0.25">
      <c r="A493" s="188" t="s">
        <v>1143</v>
      </c>
      <c r="B493" s="188"/>
      <c r="C493" s="196">
        <f>CD0_est/CD_0-1</f>
        <v>7.2690808245209793E-2</v>
      </c>
      <c r="D493" s="188" t="s">
        <v>10</v>
      </c>
      <c r="E493" s="190"/>
    </row>
    <row r="494" spans="1:5" x14ac:dyDescent="0.25">
      <c r="A494" s="188" t="s">
        <v>1144</v>
      </c>
      <c r="B494" s="188" t="s">
        <v>1145</v>
      </c>
      <c r="C494" s="197" t="str">
        <f>IF(ABS(CD0_est/CD_0-1)&lt;=0.2,"OK - within 20 % of the build-up",IF(CD0_est&gt;CD_0,"CHECK - CDo input looks optimistic for this size","CHECK - CDo input looks pessimistic for this size"))</f>
        <v>OK - within 20 % of the build-up</v>
      </c>
      <c r="D494" s="188"/>
      <c r="E494" s="190"/>
    </row>
    <row r="496" spans="1:5" x14ac:dyDescent="0.25">
      <c r="A496" s="92" t="s">
        <v>1146</v>
      </c>
      <c r="B496" s="92" t="s">
        <v>3</v>
      </c>
      <c r="C496" s="92" t="s">
        <v>4</v>
      </c>
      <c r="D496" s="92" t="s">
        <v>5</v>
      </c>
      <c r="E496" s="92" t="s">
        <v>6</v>
      </c>
    </row>
    <row r="497" spans="1:5" x14ac:dyDescent="0.25">
      <c r="A497" s="188" t="s">
        <v>1147</v>
      </c>
      <c r="B497" s="188" t="s">
        <v>1148</v>
      </c>
      <c r="C497" s="198">
        <v>0.6</v>
      </c>
      <c r="D497" s="188" t="s">
        <v>10</v>
      </c>
      <c r="E497" s="190" t="s">
        <v>1149</v>
      </c>
    </row>
    <row r="498" spans="1:5" x14ac:dyDescent="0.25">
      <c r="A498" s="188" t="s">
        <v>1150</v>
      </c>
      <c r="B498" s="188" t="s">
        <v>1151</v>
      </c>
      <c r="C498" s="199">
        <f>CLmaxL-CLmax_c</f>
        <v>1.2000000000000002</v>
      </c>
      <c r="D498" s="188" t="s">
        <v>10</v>
      </c>
      <c r="E498" s="190" t="s">
        <v>1152</v>
      </c>
    </row>
    <row r="499" spans="1:5" x14ac:dyDescent="0.25">
      <c r="A499" s="188" t="s">
        <v>1153</v>
      </c>
      <c r="B499" s="188" t="s">
        <v>1154</v>
      </c>
      <c r="C499" s="199">
        <f>CLmaxTO-CLmax_c</f>
        <v>0.60000000000000009</v>
      </c>
      <c r="D499" s="188" t="s">
        <v>10</v>
      </c>
      <c r="E499" s="190"/>
    </row>
    <row r="500" spans="1:5" x14ac:dyDescent="0.25">
      <c r="A500" s="188" t="s">
        <v>1155</v>
      </c>
      <c r="B500" s="188" t="s">
        <v>1156</v>
      </c>
      <c r="C500" s="199">
        <f>dCL_L/(0.9*flap_ratio*COS(RADIANS(sweep25)))</f>
        <v>2.4761904761904767</v>
      </c>
      <c r="D500" s="188" t="s">
        <v>10</v>
      </c>
      <c r="E500" s="190" t="s">
        <v>1157</v>
      </c>
    </row>
    <row r="501" spans="1:5" x14ac:dyDescent="0.25">
      <c r="A501" s="188" t="s">
        <v>1158</v>
      </c>
      <c r="B501" s="188" t="s">
        <v>1159</v>
      </c>
      <c r="C501" s="197" t="str">
        <f>IF(dCl_req&lt;=0,"None needed",IF(dCl_req&lt;=0.9,"Plain flap",IF(dCl_req&lt;=1.3,"Single-slotted flap",IF(dCl_req&lt;=1.7,"Fowler flap",IF(dCl_req&lt;=2,"Double-slotted Fowler flap",IF(dCl_req&lt;=2.6,"Double-slotted Fowler flap + leading-edge slat","Triple-slotted Fowler flap + slat (very demanding CLmax)"))))))</f>
        <v>Double-slotted Fowler flap + leading-edge slat</v>
      </c>
      <c r="D501" s="188"/>
      <c r="E501" s="190" t="s">
        <v>1160</v>
      </c>
    </row>
    <row r="502" spans="1:5" x14ac:dyDescent="0.25">
      <c r="A502" s="188" t="s">
        <v>1161</v>
      </c>
      <c r="B502" s="188"/>
      <c r="C502" s="200">
        <f>flap_ratio*S_ref</f>
        <v>79.175750005474555</v>
      </c>
      <c r="D502" s="188" t="s">
        <v>567</v>
      </c>
      <c r="E502" s="190" t="s">
        <v>1162</v>
      </c>
    </row>
    <row r="503" spans="1:5" x14ac:dyDescent="0.25">
      <c r="A503" s="188" t="s">
        <v>1163</v>
      </c>
      <c r="B503" s="188"/>
      <c r="C503" s="201">
        <f>IF(dCL_L&gt;0,MAX(0,dCL_TO)/dCL_L,0)</f>
        <v>0.5</v>
      </c>
      <c r="D503" s="188" t="s">
        <v>10</v>
      </c>
      <c r="E503" s="190" t="s">
        <v>1164</v>
      </c>
    </row>
    <row r="504" spans="1:5" x14ac:dyDescent="0.25">
      <c r="A504" s="188" t="s">
        <v>1165</v>
      </c>
      <c r="B504" s="188"/>
      <c r="C504" s="199">
        <f>0.25*c_root*(1-(1-taper)*0.835)*0.23*b_w/2</f>
        <v>2.2687151366152025</v>
      </c>
      <c r="D504" s="188" t="s">
        <v>567</v>
      </c>
      <c r="E504" s="190" t="s">
        <v>1166</v>
      </c>
    </row>
    <row r="505" spans="1:5" x14ac:dyDescent="0.25">
      <c r="A505" s="188" t="s">
        <v>1167</v>
      </c>
      <c r="B505" s="188"/>
      <c r="C505" s="199">
        <f>0.3*0.9*S_HT</f>
        <v>9.2781898354994823</v>
      </c>
      <c r="D505" s="188" t="s">
        <v>567</v>
      </c>
      <c r="E505" s="190" t="s">
        <v>1168</v>
      </c>
    </row>
    <row r="506" spans="1:5" x14ac:dyDescent="0.25">
      <c r="A506" s="188" t="s">
        <v>1169</v>
      </c>
      <c r="B506" s="188"/>
      <c r="C506" s="199">
        <f>0.32*0.9*S_VT</f>
        <v>7.5550974374781505</v>
      </c>
      <c r="D506" s="188" t="s">
        <v>567</v>
      </c>
      <c r="E506" s="190" t="s">
        <v>1170</v>
      </c>
    </row>
    <row r="508" spans="1:5" x14ac:dyDescent="0.25">
      <c r="A508" s="72" t="s">
        <v>1171</v>
      </c>
      <c r="B508" s="72" t="s">
        <v>3</v>
      </c>
      <c r="C508" s="72" t="s">
        <v>4</v>
      </c>
      <c r="D508" s="72" t="s">
        <v>5</v>
      </c>
      <c r="E508" s="72" t="s">
        <v>6</v>
      </c>
    </row>
    <row r="509" spans="1:5" x14ac:dyDescent="0.25">
      <c r="A509" s="27" t="s">
        <v>1172</v>
      </c>
      <c r="B509" s="27" t="s">
        <v>1173</v>
      </c>
      <c r="C509" s="132">
        <f>IF(PaxTyp&lt;=19,1,IF(PaxTyp&lt;=220,2,ROUNDUP(PaxTyp/110,0)+1))</f>
        <v>2</v>
      </c>
      <c r="D509" s="27" t="s">
        <v>1174</v>
      </c>
      <c r="E509" s="28" t="s">
        <v>1175</v>
      </c>
    </row>
    <row r="510" spans="1:5" x14ac:dyDescent="0.25">
      <c r="A510" s="27" t="s">
        <v>1176</v>
      </c>
      <c r="B510" s="27" t="s">
        <v>1177</v>
      </c>
      <c r="C510" s="132">
        <f>IF(PaxTyp&lt;=19,1,IF(PaxTyp&lt;=110,0,IF(PaxTyp&lt;=145,1,IF(PaxTyp&lt;=220,2,0))))</f>
        <v>2</v>
      </c>
      <c r="D510" s="27" t="s">
        <v>1174</v>
      </c>
      <c r="E510" s="28" t="s">
        <v>1178</v>
      </c>
    </row>
    <row r="511" spans="1:5" x14ac:dyDescent="0.25">
      <c r="A511" s="27" t="s">
        <v>1179</v>
      </c>
      <c r="B511" s="27" t="s">
        <v>1180</v>
      </c>
      <c r="C511" s="133">
        <f>x_seat0-door_len/2</f>
        <v>5.75</v>
      </c>
      <c r="D511" s="27" t="s">
        <v>28</v>
      </c>
      <c r="E511" s="28"/>
    </row>
    <row r="512" spans="1:5" x14ac:dyDescent="0.25">
      <c r="A512" s="27" t="s">
        <v>1181</v>
      </c>
      <c r="B512" s="27" t="s">
        <v>1182</v>
      </c>
      <c r="C512" s="133">
        <f>x_seat_end+door_len/2</f>
        <v>27.5</v>
      </c>
      <c r="D512" s="27" t="s">
        <v>28</v>
      </c>
      <c r="E512" s="28"/>
    </row>
    <row r="513" spans="1:5" x14ac:dyDescent="0.25">
      <c r="A513" s="27" t="s">
        <v>1183</v>
      </c>
      <c r="B513" s="27"/>
      <c r="C513" s="202">
        <v>2</v>
      </c>
      <c r="D513" s="27" t="s">
        <v>10</v>
      </c>
      <c r="E513" s="28" t="s">
        <v>1184</v>
      </c>
    </row>
    <row r="514" spans="1:5" x14ac:dyDescent="0.25">
      <c r="A514" s="27" t="s">
        <v>1185</v>
      </c>
      <c r="B514" s="27" t="s">
        <v>1186</v>
      </c>
      <c r="C514" s="133">
        <f>MIN(1.6,(w_cabin-aisle_w)/2)</f>
        <v>1.6</v>
      </c>
      <c r="D514" s="27" t="s">
        <v>28</v>
      </c>
      <c r="E514" s="28"/>
    </row>
    <row r="515" spans="1:5" x14ac:dyDescent="0.25">
      <c r="A515" s="27" t="s">
        <v>1187</v>
      </c>
      <c r="B515" s="27"/>
      <c r="C515" s="132">
        <f>ROUNDUP(PaxTyp/30,0)</f>
        <v>5</v>
      </c>
      <c r="D515" s="27" t="s">
        <v>10</v>
      </c>
      <c r="E515" s="28" t="s">
        <v>1188</v>
      </c>
    </row>
    <row r="516" spans="1:5" x14ac:dyDescent="0.25">
      <c r="A516" s="27" t="s">
        <v>1189</v>
      </c>
      <c r="B516" s="27" t="s">
        <v>1190</v>
      </c>
      <c r="C516" s="133">
        <f>-MIN(0.6,0.7*w_cabin/2)</f>
        <v>-0.6</v>
      </c>
      <c r="D516" s="27" t="s">
        <v>28</v>
      </c>
      <c r="E516" s="28" t="s">
        <v>1191</v>
      </c>
    </row>
    <row r="517" spans="1:5" x14ac:dyDescent="0.25">
      <c r="A517" s="27" t="s">
        <v>1192</v>
      </c>
      <c r="B517" s="27"/>
      <c r="C517" s="133">
        <f>2*SQRT((w_cabin/2)^2-z_floor^2)</f>
        <v>3.5316993076987742</v>
      </c>
      <c r="D517" s="27" t="s">
        <v>28</v>
      </c>
      <c r="E517" s="28"/>
    </row>
    <row r="518" spans="1:5" x14ac:dyDescent="0.25">
      <c r="A518" s="27" t="s">
        <v>1193</v>
      </c>
      <c r="B518" s="27"/>
      <c r="C518" s="133">
        <f>w_cabin/2-z_floor</f>
        <v>2.4649999999999999</v>
      </c>
      <c r="D518" s="27" t="s">
        <v>28</v>
      </c>
      <c r="E518" s="28"/>
    </row>
    <row r="519" spans="1:5" x14ac:dyDescent="0.25">
      <c r="A519" s="27" t="s">
        <v>1194</v>
      </c>
      <c r="B519" s="27" t="s">
        <v>1195</v>
      </c>
      <c r="C519" s="133">
        <f>0.2-z_floor</f>
        <v>0.8</v>
      </c>
      <c r="D519" s="27" t="s">
        <v>28</v>
      </c>
      <c r="E519" s="28" t="s">
        <v>1196</v>
      </c>
    </row>
    <row r="520" spans="1:5" x14ac:dyDescent="0.25">
      <c r="A520" s="27" t="s">
        <v>1197</v>
      </c>
      <c r="B520" s="27" t="s">
        <v>1198</v>
      </c>
      <c r="C520" s="133">
        <f>IF(d_hold&lt;w_cabin/2,(w_cabin/2)^2*ACOS(d_hold/(w_cabin/2))-d_hold*SQRT((w_cabin/2)^2-d_hold^2),0)</f>
        <v>2.5738016368586552</v>
      </c>
      <c r="D520" s="27" t="s">
        <v>567</v>
      </c>
      <c r="E520" s="28" t="s">
        <v>1199</v>
      </c>
    </row>
    <row r="521" spans="1:5" x14ac:dyDescent="0.25">
      <c r="A521" s="27" t="s">
        <v>1200</v>
      </c>
      <c r="B521" s="27" t="s">
        <v>1201</v>
      </c>
      <c r="C521" s="134">
        <f>0.8*A_hold*0.72*L_cabin</f>
        <v>37.433371006472278</v>
      </c>
      <c r="D521" s="27" t="s">
        <v>586</v>
      </c>
      <c r="E521" s="28" t="s">
        <v>1202</v>
      </c>
    </row>
    <row r="522" spans="1:5" x14ac:dyDescent="0.25">
      <c r="A522" s="27" t="s">
        <v>1203</v>
      </c>
      <c r="B522" s="27" t="s">
        <v>1204</v>
      </c>
      <c r="C522" s="134">
        <f>MAX(0,PyldMax-80*PaxTyp)/160</f>
        <v>34.375</v>
      </c>
      <c r="D522" s="27" t="s">
        <v>586</v>
      </c>
      <c r="E522" s="28" t="s">
        <v>1205</v>
      </c>
    </row>
    <row r="523" spans="1:5" x14ac:dyDescent="0.25">
      <c r="A523" s="27" t="s">
        <v>1206</v>
      </c>
      <c r="B523" s="27" t="s">
        <v>1207</v>
      </c>
      <c r="C523" s="203" t="str">
        <f>IF(V_hold&gt;=V_bag,"OK","SHORT - needs an aft baggage bay or a larger fuselage")</f>
        <v>OK</v>
      </c>
      <c r="D523" s="27"/>
      <c r="E523" s="28"/>
    </row>
    <row r="525" spans="1:5" x14ac:dyDescent="0.25">
      <c r="A525" s="96" t="s">
        <v>1208</v>
      </c>
      <c r="B525" s="96" t="s">
        <v>3</v>
      </c>
      <c r="C525" s="96" t="s">
        <v>4</v>
      </c>
      <c r="D525" s="96" t="s">
        <v>5</v>
      </c>
      <c r="E525" s="96" t="s">
        <v>6</v>
      </c>
    </row>
    <row r="526" spans="1:5" x14ac:dyDescent="0.25">
      <c r="A526" s="204" t="s">
        <v>1209</v>
      </c>
      <c r="B526" s="204" t="s">
        <v>1210</v>
      </c>
      <c r="C526" s="205">
        <v>0.8</v>
      </c>
      <c r="D526" s="204" t="s">
        <v>1211</v>
      </c>
      <c r="E526" s="206" t="s">
        <v>1212</v>
      </c>
    </row>
    <row r="527" spans="1:5" x14ac:dyDescent="0.25">
      <c r="A527" s="204" t="s">
        <v>1213</v>
      </c>
      <c r="B527" s="204" t="s">
        <v>1214</v>
      </c>
      <c r="C527" s="207">
        <v>300</v>
      </c>
      <c r="D527" s="204" t="s">
        <v>1215</v>
      </c>
      <c r="E527" s="206" t="s">
        <v>1212</v>
      </c>
    </row>
    <row r="528" spans="1:5" x14ac:dyDescent="0.25">
      <c r="A528" s="204" t="s">
        <v>1216</v>
      </c>
      <c r="B528" s="204" t="s">
        <v>1217</v>
      </c>
      <c r="C528" s="207">
        <v>60</v>
      </c>
      <c r="D528" s="204" t="s">
        <v>1215</v>
      </c>
      <c r="E528" s="206" t="s">
        <v>1212</v>
      </c>
    </row>
    <row r="529" spans="1:5" x14ac:dyDescent="0.25">
      <c r="A529" s="204" t="s">
        <v>1218</v>
      </c>
      <c r="B529" s="204" t="s">
        <v>1219</v>
      </c>
      <c r="C529" s="207">
        <v>1200</v>
      </c>
      <c r="D529" s="204" t="s">
        <v>1211</v>
      </c>
      <c r="E529" s="206" t="s">
        <v>1212</v>
      </c>
    </row>
    <row r="530" spans="1:5" x14ac:dyDescent="0.25">
      <c r="A530" s="204" t="s">
        <v>1220</v>
      </c>
      <c r="B530" s="204" t="s">
        <v>1221</v>
      </c>
      <c r="C530" s="205">
        <v>0.1</v>
      </c>
      <c r="D530" s="204" t="s">
        <v>10</v>
      </c>
      <c r="E530" s="206" t="s">
        <v>1222</v>
      </c>
    </row>
    <row r="531" spans="1:5" x14ac:dyDescent="0.25">
      <c r="A531" s="204" t="s">
        <v>1223</v>
      </c>
      <c r="B531" s="204" t="s">
        <v>1224</v>
      </c>
      <c r="C531" s="207">
        <v>3500</v>
      </c>
      <c r="D531" s="204" t="s">
        <v>1225</v>
      </c>
      <c r="E531" s="206" t="s">
        <v>1212</v>
      </c>
    </row>
    <row r="532" spans="1:5" x14ac:dyDescent="0.25">
      <c r="A532" s="204" t="s">
        <v>1226</v>
      </c>
      <c r="B532" s="204" t="s">
        <v>1227</v>
      </c>
      <c r="C532" s="208">
        <f>MAX(1,Range_km)*1000/V_cr/3600+0.5</f>
        <v>6.5047680978920912</v>
      </c>
      <c r="D532" s="204" t="s">
        <v>1228</v>
      </c>
      <c r="E532" s="206" t="s">
        <v>1229</v>
      </c>
    </row>
    <row r="533" spans="1:5" x14ac:dyDescent="0.25">
      <c r="A533" s="204" t="s">
        <v>1230</v>
      </c>
      <c r="B533" s="204" t="s">
        <v>1231</v>
      </c>
      <c r="C533" s="209">
        <f>MTOW*(1-ff_taxi*ff_TO*ff_climb*ff_cruise*ff_desc)</f>
        <v>17197.981706261464</v>
      </c>
      <c r="D533" s="204" t="s">
        <v>23</v>
      </c>
      <c r="E533" s="206" t="s">
        <v>1232</v>
      </c>
    </row>
    <row r="534" spans="1:5" x14ac:dyDescent="0.25">
      <c r="A534" s="204" t="s">
        <v>1233</v>
      </c>
      <c r="B534" s="204" t="s">
        <v>1234</v>
      </c>
      <c r="C534" s="209">
        <f>W_trip*c_fuel</f>
        <v>13758.385365009171</v>
      </c>
      <c r="D534" s="204" t="s">
        <v>1235</v>
      </c>
      <c r="E534" s="206"/>
    </row>
    <row r="535" spans="1:5" x14ac:dyDescent="0.25">
      <c r="A535" s="204" t="s">
        <v>1236</v>
      </c>
      <c r="B535" s="204" t="s">
        <v>1237</v>
      </c>
      <c r="C535" s="209">
        <f>(N_flight*c_pilot+ROUNDUP(PaxTyp/pax_per_cc,0)*c_cabin)*t_block</f>
        <v>5073.7191163558309</v>
      </c>
      <c r="D535" s="204" t="s">
        <v>1235</v>
      </c>
      <c r="E535" s="206"/>
    </row>
    <row r="536" spans="1:5" x14ac:dyDescent="0.25">
      <c r="A536" s="204" t="s">
        <v>1238</v>
      </c>
      <c r="B536" s="204" t="s">
        <v>1239</v>
      </c>
      <c r="C536" s="209">
        <f>(300+0.02*OEW)*t_block</f>
        <v>6599.3864011567111</v>
      </c>
      <c r="D536" s="204" t="s">
        <v>1235</v>
      </c>
      <c r="E536" s="206" t="s">
        <v>1240</v>
      </c>
    </row>
    <row r="537" spans="1:5" x14ac:dyDescent="0.25">
      <c r="A537" s="204" t="s">
        <v>1241</v>
      </c>
      <c r="B537" s="204" t="s">
        <v>1242</v>
      </c>
      <c r="C537" s="209">
        <f>c_price*OEW*c_cap/util*t_block</f>
        <v>7967.9245230670022</v>
      </c>
      <c r="D537" s="204" t="s">
        <v>1235</v>
      </c>
      <c r="E537" s="206"/>
    </row>
    <row r="538" spans="1:5" x14ac:dyDescent="0.25">
      <c r="A538" s="204" t="s">
        <v>1243</v>
      </c>
      <c r="B538" s="204" t="s">
        <v>1244</v>
      </c>
      <c r="C538" s="209">
        <f>0.015*MTOW</f>
        <v>1065.9292581900629</v>
      </c>
      <c r="D538" s="204" t="s">
        <v>1235</v>
      </c>
      <c r="E538" s="206" t="s">
        <v>1245</v>
      </c>
    </row>
    <row r="539" spans="1:5" x14ac:dyDescent="0.25">
      <c r="A539" s="204" t="s">
        <v>1246</v>
      </c>
      <c r="B539" s="204" t="s">
        <v>1247</v>
      </c>
      <c r="C539" s="209">
        <f>k_fuel+k_crew+k_maint+k_own+k_fees</f>
        <v>34465.344663778786</v>
      </c>
      <c r="D539" s="204" t="s">
        <v>1235</v>
      </c>
      <c r="E539" s="206"/>
    </row>
    <row r="540" spans="1:5" x14ac:dyDescent="0.25">
      <c r="A540" s="204" t="s">
        <v>1248</v>
      </c>
      <c r="B540" s="204"/>
      <c r="C540" s="209">
        <f>k_total/t_block</f>
        <v>5298.4740032388681</v>
      </c>
      <c r="D540" s="204" t="s">
        <v>1215</v>
      </c>
      <c r="E540" s="206"/>
    </row>
    <row r="541" spans="1:5" x14ac:dyDescent="0.25">
      <c r="A541" s="204" t="s">
        <v>144</v>
      </c>
      <c r="B541" s="204" t="s">
        <v>1249</v>
      </c>
      <c r="C541" s="208">
        <f>k_total/(MAX(1,PaxTyp)*MAX(1,Range_km))*100</f>
        <v>4.595379288503838</v>
      </c>
      <c r="D541" s="204" t="s">
        <v>145</v>
      </c>
      <c r="E541" s="206"/>
    </row>
    <row r="542" spans="1:5" x14ac:dyDescent="0.25">
      <c r="A542" s="204" t="s">
        <v>1250</v>
      </c>
      <c r="B542" s="204"/>
      <c r="C542" s="208">
        <f>W_trip/0.8/(MAX(1,PaxTyp)*MAX(1,Range_km))*100</f>
        <v>2.8663302843769105</v>
      </c>
      <c r="D542" s="204" t="s">
        <v>1251</v>
      </c>
      <c r="E542" s="206"/>
    </row>
    <row r="544" spans="1:5" x14ac:dyDescent="0.25">
      <c r="A544" s="96" t="s">
        <v>1252</v>
      </c>
      <c r="B544" s="96" t="s">
        <v>3</v>
      </c>
      <c r="C544" s="96" t="s">
        <v>4</v>
      </c>
      <c r="D544" s="96" t="s">
        <v>5</v>
      </c>
      <c r="E544" s="96" t="s">
        <v>6</v>
      </c>
    </row>
    <row r="545" spans="1:5" x14ac:dyDescent="0.25">
      <c r="A545" s="204" t="s">
        <v>1253</v>
      </c>
      <c r="B545" s="204"/>
      <c r="C545" s="209">
        <f>3.16*W_trip</f>
        <v>54345.622191786228</v>
      </c>
      <c r="D545" s="204" t="s">
        <v>23</v>
      </c>
      <c r="E545" s="206" t="s">
        <v>1254</v>
      </c>
    </row>
    <row r="546" spans="1:5" x14ac:dyDescent="0.25">
      <c r="A546" s="204" t="s">
        <v>158</v>
      </c>
      <c r="B546" s="204" t="s">
        <v>1255</v>
      </c>
      <c r="C546" s="210">
        <f>3160*W_trip/(MAX(1,PaxTyp)*MAX(1,Range_km))</f>
        <v>72.460829589048302</v>
      </c>
      <c r="D546" s="204" t="s">
        <v>159</v>
      </c>
      <c r="E546" s="206"/>
    </row>
    <row r="547" spans="1:5" x14ac:dyDescent="0.25">
      <c r="A547" s="204" t="s">
        <v>1256</v>
      </c>
      <c r="B547" s="204" t="s">
        <v>1257</v>
      </c>
      <c r="C547" s="210">
        <f>MIN(103,MAX(94,80.87+8.51*LOG10(MTOW/1000)))</f>
        <v>96.627431925763872</v>
      </c>
      <c r="D547" s="204" t="s">
        <v>1258</v>
      </c>
      <c r="E547" s="206" t="s">
        <v>1259</v>
      </c>
    </row>
    <row r="548" spans="1:5" x14ac:dyDescent="0.25">
      <c r="A548" s="204" t="s">
        <v>1260</v>
      </c>
      <c r="B548" s="204" t="s">
        <v>1261</v>
      </c>
      <c r="C548" s="210">
        <f>MIN(IF(N_eng=2,101,IF(N_eng=3,104,106)),MAX(89,IF(N_eng=2,66.65,IF(N_eng=3,69.65,71.65))+13.29*LOG10(MTOW/1000)))</f>
        <v>91.258257378778126</v>
      </c>
      <c r="D548" s="204" t="s">
        <v>1258</v>
      </c>
      <c r="E548" s="206" t="s">
        <v>1262</v>
      </c>
    </row>
    <row r="549" spans="1:5" x14ac:dyDescent="0.25">
      <c r="A549" s="204" t="s">
        <v>1263</v>
      </c>
      <c r="B549" s="204" t="s">
        <v>1264</v>
      </c>
      <c r="C549" s="210">
        <f>MIN(105,MAX(98,86.03+7.75*LOG10(MTOW/1000)))</f>
        <v>100.38018771147708</v>
      </c>
      <c r="D549" s="204" t="s">
        <v>1258</v>
      </c>
      <c r="E549" s="206"/>
    </row>
    <row r="550" spans="1:5" x14ac:dyDescent="0.25">
      <c r="A550" s="204" t="s">
        <v>1265</v>
      </c>
      <c r="B550" s="204"/>
      <c r="C550" s="210">
        <f>nz_lat+nz_fly+nz_app-17</f>
        <v>271.26587701601909</v>
      </c>
      <c r="D550" s="204" t="s">
        <v>1258</v>
      </c>
      <c r="E550" s="206" t="s">
        <v>1266</v>
      </c>
    </row>
    <row r="552" spans="1:5" x14ac:dyDescent="0.25">
      <c r="A552" s="99" t="s">
        <v>1267</v>
      </c>
      <c r="B552" s="99" t="s">
        <v>3</v>
      </c>
      <c r="C552" s="99" t="s">
        <v>4</v>
      </c>
      <c r="D552" s="99" t="s">
        <v>5</v>
      </c>
      <c r="E552" s="99" t="s">
        <v>6</v>
      </c>
    </row>
    <row r="553" spans="1:5" x14ac:dyDescent="0.25">
      <c r="A553" s="211" t="s">
        <v>1268</v>
      </c>
      <c r="B553" s="211" t="s">
        <v>1269</v>
      </c>
      <c r="C553" s="212">
        <f>MATCH(MIN(Plot_Data!$GK$5:$GK$28),Plot_Data!$GK$5:$GK$28,0)</f>
        <v>5</v>
      </c>
      <c r="D553" s="211" t="s">
        <v>10</v>
      </c>
      <c r="E553" s="213" t="s">
        <v>1270</v>
      </c>
    </row>
    <row r="554" spans="1:5" x14ac:dyDescent="0.25">
      <c r="A554" s="211" t="s">
        <v>148</v>
      </c>
      <c r="B554" s="211" t="s">
        <v>1271</v>
      </c>
      <c r="C554" s="214" t="str">
        <f>INDEX(Plot_Data!$GA$5:$GA$28,cmp_i)</f>
        <v>Airbus A320-200</v>
      </c>
      <c r="D554" s="211"/>
      <c r="E554" s="213"/>
    </row>
    <row r="555" spans="1:5" x14ac:dyDescent="0.25">
      <c r="A555" s="99" t="s">
        <v>1272</v>
      </c>
      <c r="B555" s="99" t="s">
        <v>1273</v>
      </c>
      <c r="C555" s="99" t="s">
        <v>1274</v>
      </c>
      <c r="D555" s="99" t="s">
        <v>1275</v>
      </c>
      <c r="E555" s="99"/>
    </row>
    <row r="556" spans="1:5" x14ac:dyDescent="0.25">
      <c r="A556" s="100" t="s">
        <v>1276</v>
      </c>
      <c r="B556" s="215">
        <f>PaxTyp</f>
        <v>150</v>
      </c>
      <c r="C556" s="215">
        <f>INDEX(Plot_Data!$GB$5:$GB$28,cmp_i)</f>
        <v>150</v>
      </c>
      <c r="D556" s="216">
        <f t="shared" ref="D556:D566" si="6">IF(C556=0,"n/a",B556/C556-1)</f>
        <v>0</v>
      </c>
      <c r="E556" s="101"/>
    </row>
    <row r="557" spans="1:5" x14ac:dyDescent="0.25">
      <c r="A557" s="100" t="s">
        <v>1277</v>
      </c>
      <c r="B557" s="215">
        <f>MTOW</f>
        <v>71061.950546004198</v>
      </c>
      <c r="C557" s="215">
        <f>INDEX(Plot_Data!$GC$5:$GC$28,cmp_i)</f>
        <v>78000</v>
      </c>
      <c r="D557" s="216">
        <f t="shared" si="6"/>
        <v>-8.8949351974305202E-2</v>
      </c>
      <c r="E557" s="101"/>
    </row>
    <row r="558" spans="1:5" x14ac:dyDescent="0.25">
      <c r="A558" s="100" t="s">
        <v>1278</v>
      </c>
      <c r="B558" s="215">
        <f>OEW</f>
        <v>35727.299588860682</v>
      </c>
      <c r="C558" s="215">
        <f>INDEX(Plot_Data!$GD$5:$GD$28,cmp_i)</f>
        <v>42600</v>
      </c>
      <c r="D558" s="216">
        <f t="shared" si="6"/>
        <v>-0.16133099556665065</v>
      </c>
      <c r="E558" s="101"/>
    </row>
    <row r="559" spans="1:5" x14ac:dyDescent="0.25">
      <c r="A559" s="100" t="s">
        <v>1279</v>
      </c>
      <c r="B559" s="217">
        <f>OEW/MTOW</f>
        <v>0.50276272061701266</v>
      </c>
      <c r="C559" s="217">
        <f>INDEX(Plot_Data!$GD$5:$GD$28,cmp_i)/INDEX(Plot_Data!$GC$5:$GC$28,cmp_i)</f>
        <v>0.5461538461538461</v>
      </c>
      <c r="D559" s="216">
        <f t="shared" si="6"/>
        <v>-7.9448539715328836E-2</v>
      </c>
      <c r="E559" s="101"/>
    </row>
    <row r="560" spans="1:5" x14ac:dyDescent="0.25">
      <c r="A560" s="100" t="s">
        <v>1280</v>
      </c>
      <c r="B560" s="218">
        <f>S_ref</f>
        <v>131.95958334245759</v>
      </c>
      <c r="C560" s="218">
        <f>INDEX(Plot_Data!$GE$5:$GE$28,cmp_i)</f>
        <v>122.6</v>
      </c>
      <c r="D560" s="216">
        <f t="shared" si="6"/>
        <v>7.6342441618740597E-2</v>
      </c>
      <c r="E560" s="101"/>
    </row>
    <row r="561" spans="1:5" x14ac:dyDescent="0.25">
      <c r="A561" s="100" t="s">
        <v>1281</v>
      </c>
      <c r="B561" s="218">
        <f>b_w</f>
        <v>35.406440681793292</v>
      </c>
      <c r="C561" s="218">
        <f>INDEX(Plot_Data!$GF$5:$GF$28,cmp_i)</f>
        <v>34.1</v>
      </c>
      <c r="D561" s="216">
        <f t="shared" si="6"/>
        <v>3.8312043454348688E-2</v>
      </c>
      <c r="E561" s="101"/>
    </row>
    <row r="562" spans="1:5" x14ac:dyDescent="0.25">
      <c r="A562" s="100" t="s">
        <v>1282</v>
      </c>
      <c r="B562" s="215">
        <f>MTOW/S_ref</f>
        <v>538.51299576769907</v>
      </c>
      <c r="C562" s="215">
        <f>INDEX(Plot_Data!$GC$5:$GC$28,cmp_i)/INDEX(Plot_Data!$GE$5:$GE$28,cmp_i)</f>
        <v>636.21533442088094</v>
      </c>
      <c r="D562" s="216">
        <f t="shared" si="6"/>
        <v>-0.15356803485743709</v>
      </c>
      <c r="E562" s="101"/>
    </row>
    <row r="563" spans="1:5" x14ac:dyDescent="0.25">
      <c r="A563" s="100" t="s">
        <v>1283</v>
      </c>
      <c r="B563" s="218">
        <f>L_fus</f>
        <v>35.620959999999997</v>
      </c>
      <c r="C563" s="218">
        <f>INDEX(Plot_Data!$GG$5:$GG$28,cmp_i)</f>
        <v>37.57</v>
      </c>
      <c r="D563" s="216">
        <f t="shared" si="6"/>
        <v>-5.1877561884482448E-2</v>
      </c>
      <c r="E563" s="101"/>
    </row>
    <row r="564" spans="1:5" x14ac:dyDescent="0.25">
      <c r="A564" s="100" t="s">
        <v>1284</v>
      </c>
      <c r="B564" s="215">
        <f>T_eng/1000</f>
        <v>95.038128222383236</v>
      </c>
      <c r="C564" s="215">
        <f>INDEX(Plot_Data!$GH$5:$GH$28,cmp_i)</f>
        <v>118</v>
      </c>
      <c r="D564" s="216">
        <f t="shared" si="6"/>
        <v>-0.19459213370861661</v>
      </c>
      <c r="E564" s="101"/>
    </row>
    <row r="565" spans="1:5" x14ac:dyDescent="0.25">
      <c r="A565" s="100" t="s">
        <v>1285</v>
      </c>
      <c r="B565" s="217">
        <f>TW_des</f>
        <v>0.27275333551870468</v>
      </c>
      <c r="C565" s="217">
        <f>INDEX(Plot_Data!$GH$5:$GH$28,cmp_i)*INDEX(Plot_Data!$GI$5:$GI$28,cmp_i)*1000/(INDEX(Plot_Data!$GC$5:$GC$28,cmp_i)*grav)</f>
        <v>0.30852952084973218</v>
      </c>
      <c r="D565" s="216">
        <f t="shared" si="6"/>
        <v>-0.11595708972190089</v>
      </c>
      <c r="E565" s="101"/>
    </row>
    <row r="566" spans="1:5" x14ac:dyDescent="0.25">
      <c r="A566" s="100" t="s">
        <v>559</v>
      </c>
      <c r="B566" s="215">
        <f>Range_km</f>
        <v>5000</v>
      </c>
      <c r="C566" s="215">
        <f>INDEX(Plot_Data!$GJ$5:$GJ$28,cmp_i)</f>
        <v>6100</v>
      </c>
      <c r="D566" s="216">
        <f t="shared" si="6"/>
        <v>-0.18032786885245899</v>
      </c>
      <c r="E566" s="219" t="s">
        <v>1286</v>
      </c>
    </row>
    <row r="568" spans="1:5" x14ac:dyDescent="0.25">
      <c r="A568" s="99" t="s">
        <v>1287</v>
      </c>
      <c r="B568" s="99" t="s">
        <v>1276</v>
      </c>
      <c r="C568" s="99" t="s">
        <v>1288</v>
      </c>
      <c r="D568" s="99" t="s">
        <v>1280</v>
      </c>
      <c r="E568" s="99" t="s">
        <v>559</v>
      </c>
    </row>
    <row r="569" spans="1:5" x14ac:dyDescent="0.25">
      <c r="A569" s="100" t="str">
        <f>Plot_Data!$GA$5</f>
        <v>Cessna Citation CJ3</v>
      </c>
      <c r="B569" s="215">
        <f>Plot_Data!$GB$5</f>
        <v>7</v>
      </c>
      <c r="C569" s="215">
        <f>Plot_Data!$GC$5</f>
        <v>6291</v>
      </c>
      <c r="D569" s="218">
        <f>Plot_Data!$GE$5</f>
        <v>27.3</v>
      </c>
      <c r="E569" s="220">
        <f>Plot_Data!$GJ$5</f>
        <v>3480</v>
      </c>
    </row>
    <row r="570" spans="1:5" x14ac:dyDescent="0.25">
      <c r="A570" s="100" t="str">
        <f>Plot_Data!$GA$6</f>
        <v>Embraer ERJ 145</v>
      </c>
      <c r="B570" s="215">
        <f>Plot_Data!$GB$6</f>
        <v>50</v>
      </c>
      <c r="C570" s="215">
        <f>Plot_Data!$GC$6</f>
        <v>22000</v>
      </c>
      <c r="D570" s="218">
        <f>Plot_Data!$GE$6</f>
        <v>51.2</v>
      </c>
      <c r="E570" s="220">
        <f>Plot_Data!$GJ$6</f>
        <v>2870</v>
      </c>
    </row>
    <row r="571" spans="1:5" x14ac:dyDescent="0.25">
      <c r="A571" s="100" t="str">
        <f>Plot_Data!$GA$7</f>
        <v>Bombardier CRJ900</v>
      </c>
      <c r="B571" s="215">
        <f>Plot_Data!$GB$7</f>
        <v>90</v>
      </c>
      <c r="C571" s="215">
        <f>Plot_Data!$GC$7</f>
        <v>38330</v>
      </c>
      <c r="D571" s="218">
        <f>Plot_Data!$GE$7</f>
        <v>71.099999999999994</v>
      </c>
      <c r="E571" s="220">
        <f>Plot_Data!$GJ$7</f>
        <v>2880</v>
      </c>
    </row>
    <row r="572" spans="1:5" x14ac:dyDescent="0.25">
      <c r="A572" s="100" t="str">
        <f>Plot_Data!$GA$8</f>
        <v>Embraer E190</v>
      </c>
      <c r="B572" s="215">
        <f>Plot_Data!$GB$8</f>
        <v>100</v>
      </c>
      <c r="C572" s="215">
        <f>Plot_Data!$GC$8</f>
        <v>51800</v>
      </c>
      <c r="D572" s="218">
        <f>Plot_Data!$GE$8</f>
        <v>92.5</v>
      </c>
      <c r="E572" s="220">
        <f>Plot_Data!$GJ$8</f>
        <v>4540</v>
      </c>
    </row>
    <row r="573" spans="1:5" x14ac:dyDescent="0.25">
      <c r="A573" s="100" t="str">
        <f>Plot_Data!$GA$9</f>
        <v>Airbus A320-200</v>
      </c>
      <c r="B573" s="215">
        <f>Plot_Data!$GB$9</f>
        <v>150</v>
      </c>
      <c r="C573" s="215">
        <f>Plot_Data!$GC$9</f>
        <v>78000</v>
      </c>
      <c r="D573" s="218">
        <f>Plot_Data!$GE$9</f>
        <v>122.6</v>
      </c>
      <c r="E573" s="220">
        <f>Plot_Data!$GJ$9</f>
        <v>6100</v>
      </c>
    </row>
    <row r="574" spans="1:5" x14ac:dyDescent="0.25">
      <c r="A574" s="100" t="str">
        <f>Plot_Data!$GA$10</f>
        <v>Boeing 737-800</v>
      </c>
      <c r="B574" s="215">
        <f>Plot_Data!$GB$10</f>
        <v>162</v>
      </c>
      <c r="C574" s="215">
        <f>Plot_Data!$GC$10</f>
        <v>79010</v>
      </c>
      <c r="D574" s="218">
        <f>Plot_Data!$GE$10</f>
        <v>124.6</v>
      </c>
      <c r="E574" s="220">
        <f>Plot_Data!$GJ$10</f>
        <v>5765</v>
      </c>
    </row>
    <row r="575" spans="1:5" x14ac:dyDescent="0.25">
      <c r="A575" s="100" t="str">
        <f>Plot_Data!$GA$11</f>
        <v>Airbus A321-200</v>
      </c>
      <c r="B575" s="215">
        <f>Plot_Data!$GB$11</f>
        <v>185</v>
      </c>
      <c r="C575" s="215">
        <f>Plot_Data!$GC$11</f>
        <v>93500</v>
      </c>
      <c r="D575" s="218">
        <f>Plot_Data!$GE$11</f>
        <v>122.6</v>
      </c>
      <c r="E575" s="220">
        <f>Plot_Data!$GJ$11</f>
        <v>5950</v>
      </c>
    </row>
    <row r="576" spans="1:5" x14ac:dyDescent="0.25">
      <c r="A576" s="100" t="str">
        <f>Plot_Data!$GA$12</f>
        <v>Boeing 757-200</v>
      </c>
      <c r="B576" s="215">
        <f>Plot_Data!$GB$12</f>
        <v>200</v>
      </c>
      <c r="C576" s="215">
        <f>Plot_Data!$GC$12</f>
        <v>115680</v>
      </c>
      <c r="D576" s="218">
        <f>Plot_Data!$GE$12</f>
        <v>185.3</v>
      </c>
      <c r="E576" s="220">
        <f>Plot_Data!$GJ$12</f>
        <v>7250</v>
      </c>
    </row>
    <row r="577" spans="1:5" x14ac:dyDescent="0.25">
      <c r="A577" s="100" t="str">
        <f>Plot_Data!$GA$13</f>
        <v>Boeing 767-300ER</v>
      </c>
      <c r="B577" s="215">
        <f>Plot_Data!$GB$13</f>
        <v>261</v>
      </c>
      <c r="C577" s="215">
        <f>Plot_Data!$GC$13</f>
        <v>186880</v>
      </c>
      <c r="D577" s="218">
        <f>Plot_Data!$GE$13</f>
        <v>283.3</v>
      </c>
      <c r="E577" s="220">
        <f>Plot_Data!$GJ$13</f>
        <v>11070</v>
      </c>
    </row>
    <row r="578" spans="1:5" x14ac:dyDescent="0.25">
      <c r="A578" s="100" t="str">
        <f>Plot_Data!$GA$14</f>
        <v>Airbus A330-300</v>
      </c>
      <c r="B578" s="215">
        <f>Plot_Data!$GB$14</f>
        <v>295</v>
      </c>
      <c r="C578" s="215">
        <f>Plot_Data!$GC$14</f>
        <v>242000</v>
      </c>
      <c r="D578" s="218">
        <f>Plot_Data!$GE$14</f>
        <v>361.6</v>
      </c>
      <c r="E578" s="220">
        <f>Plot_Data!$GJ$14</f>
        <v>11750</v>
      </c>
    </row>
    <row r="579" spans="1:5" x14ac:dyDescent="0.25">
      <c r="A579" s="100" t="str">
        <f>Plot_Data!$GA$15</f>
        <v>Boeing 787-9</v>
      </c>
      <c r="B579" s="215">
        <f>Plot_Data!$GB$15</f>
        <v>290</v>
      </c>
      <c r="C579" s="215">
        <f>Plot_Data!$GC$15</f>
        <v>254000</v>
      </c>
      <c r="D579" s="218">
        <f>Plot_Data!$GE$15</f>
        <v>360.5</v>
      </c>
      <c r="E579" s="220">
        <f>Plot_Data!$GJ$15</f>
        <v>14140</v>
      </c>
    </row>
    <row r="580" spans="1:5" x14ac:dyDescent="0.25">
      <c r="A580" s="100" t="str">
        <f>Plot_Data!$GA$16</f>
        <v>Airbus A350-900</v>
      </c>
      <c r="B580" s="215">
        <f>Plot_Data!$GB$16</f>
        <v>315</v>
      </c>
      <c r="C580" s="215">
        <f>Plot_Data!$GC$16</f>
        <v>280000</v>
      </c>
      <c r="D580" s="218">
        <f>Plot_Data!$GE$16</f>
        <v>442</v>
      </c>
      <c r="E580" s="220">
        <f>Plot_Data!$GJ$16</f>
        <v>15000</v>
      </c>
    </row>
    <row r="581" spans="1:5" x14ac:dyDescent="0.25">
      <c r="A581" s="100" t="str">
        <f>Plot_Data!$GA$17</f>
        <v>Boeing 777-300ER</v>
      </c>
      <c r="B581" s="215">
        <f>Plot_Data!$GB$17</f>
        <v>396</v>
      </c>
      <c r="C581" s="215">
        <f>Plot_Data!$GC$17</f>
        <v>351530</v>
      </c>
      <c r="D581" s="218">
        <f>Plot_Data!$GE$17</f>
        <v>436.8</v>
      </c>
      <c r="E581" s="220">
        <f>Plot_Data!$GJ$17</f>
        <v>13650</v>
      </c>
    </row>
    <row r="582" spans="1:5" x14ac:dyDescent="0.25">
      <c r="A582" s="100" t="str">
        <f>Plot_Data!$GA$18</f>
        <v>Boeing 747-400</v>
      </c>
      <c r="B582" s="215">
        <f>Plot_Data!$GB$18</f>
        <v>416</v>
      </c>
      <c r="C582" s="215">
        <f>Plot_Data!$GC$18</f>
        <v>396890</v>
      </c>
      <c r="D582" s="218">
        <f>Plot_Data!$GE$18</f>
        <v>541.20000000000005</v>
      </c>
      <c r="E582" s="220">
        <f>Plot_Data!$GJ$18</f>
        <v>13450</v>
      </c>
    </row>
    <row r="583" spans="1:5" x14ac:dyDescent="0.25">
      <c r="A583" s="100" t="str">
        <f>Plot_Data!$GA$19</f>
        <v>Airbus A380-800</v>
      </c>
      <c r="B583" s="215">
        <f>Plot_Data!$GB$19</f>
        <v>525</v>
      </c>
      <c r="C583" s="215">
        <f>Plot_Data!$GC$19</f>
        <v>575000</v>
      </c>
      <c r="D583" s="218">
        <f>Plot_Data!$GE$19</f>
        <v>845</v>
      </c>
      <c r="E583" s="220">
        <f>Plot_Data!$GJ$19</f>
        <v>15200</v>
      </c>
    </row>
    <row r="584" spans="1:5" x14ac:dyDescent="0.25">
      <c r="A584" s="100" t="str">
        <f>Plot_Data!$GA$20</f>
        <v>Cessna 172S (piston)</v>
      </c>
      <c r="B584" s="215">
        <f>Plot_Data!$GB$20</f>
        <v>3</v>
      </c>
      <c r="C584" s="215">
        <f>Plot_Data!$GC$20</f>
        <v>1157</v>
      </c>
      <c r="D584" s="218">
        <f>Plot_Data!$GE$20</f>
        <v>16.2</v>
      </c>
      <c r="E584" s="220">
        <f>Plot_Data!$GJ$20</f>
        <v>1185</v>
      </c>
    </row>
    <row r="585" spans="1:5" x14ac:dyDescent="0.25">
      <c r="A585" s="100" t="str">
        <f>Plot_Data!$GA$21</f>
        <v>Pilatus PC-12 (turboprop)</v>
      </c>
      <c r="B585" s="215">
        <f>Plot_Data!$GB$21</f>
        <v>9</v>
      </c>
      <c r="C585" s="215">
        <f>Plot_Data!$GC$21</f>
        <v>4740</v>
      </c>
      <c r="D585" s="218">
        <f>Plot_Data!$GE$21</f>
        <v>25.8</v>
      </c>
      <c r="E585" s="220">
        <f>Plot_Data!$GJ$21</f>
        <v>3300</v>
      </c>
    </row>
    <row r="586" spans="1:5" x14ac:dyDescent="0.25">
      <c r="A586" s="100" t="str">
        <f>Plot_Data!$GA$22</f>
        <v>Beechcraft 1900D (turboprop)</v>
      </c>
      <c r="B586" s="215">
        <f>Plot_Data!$GB$22</f>
        <v>19</v>
      </c>
      <c r="C586" s="215">
        <f>Plot_Data!$GC$22</f>
        <v>7765</v>
      </c>
      <c r="D586" s="218">
        <f>Plot_Data!$GE$22</f>
        <v>28.8</v>
      </c>
      <c r="E586" s="220">
        <f>Plot_Data!$GJ$22</f>
        <v>1300</v>
      </c>
    </row>
    <row r="587" spans="1:5" x14ac:dyDescent="0.25">
      <c r="A587" s="100" t="str">
        <f>Plot_Data!$GA$23</f>
        <v>ATR 72-600 (turboprop)</v>
      </c>
      <c r="B587" s="215">
        <f>Plot_Data!$GB$23</f>
        <v>70</v>
      </c>
      <c r="C587" s="215">
        <f>Plot_Data!$GC$23</f>
        <v>23000</v>
      </c>
      <c r="D587" s="218">
        <f>Plot_Data!$GE$23</f>
        <v>61</v>
      </c>
      <c r="E587" s="220">
        <f>Plot_Data!$GJ$23</f>
        <v>1530</v>
      </c>
    </row>
    <row r="588" spans="1:5" x14ac:dyDescent="0.25">
      <c r="A588" s="100" t="str">
        <f>Plot_Data!$GA$24</f>
        <v>Dash 8 Q400 (turboprop)</v>
      </c>
      <c r="B588" s="215">
        <f>Plot_Data!$GB$24</f>
        <v>78</v>
      </c>
      <c r="C588" s="215">
        <f>Plot_Data!$GC$24</f>
        <v>29574</v>
      </c>
      <c r="D588" s="218">
        <f>Plot_Data!$GE$24</f>
        <v>63.1</v>
      </c>
      <c r="E588" s="220">
        <f>Plot_Data!$GJ$24</f>
        <v>2040</v>
      </c>
    </row>
    <row r="589" spans="1:5" x14ac:dyDescent="0.25">
      <c r="A589" s="100" t="str">
        <f>Plot_Data!$GA$25</f>
        <v>Learjet 45 (business jet)</v>
      </c>
      <c r="B589" s="215">
        <f>Plot_Data!$GB$25</f>
        <v>8</v>
      </c>
      <c r="C589" s="215">
        <f>Plot_Data!$GC$25</f>
        <v>9752</v>
      </c>
      <c r="D589" s="218">
        <f>Plot_Data!$GE$25</f>
        <v>28.95</v>
      </c>
      <c r="E589" s="220">
        <f>Plot_Data!$GJ$25</f>
        <v>3170</v>
      </c>
    </row>
    <row r="590" spans="1:5" x14ac:dyDescent="0.25">
      <c r="A590" s="100" t="str">
        <f>Plot_Data!$GA$26</f>
        <v>Gulfstream G650 (business jet)</v>
      </c>
      <c r="B590" s="215">
        <f>Plot_Data!$GB$26</f>
        <v>16</v>
      </c>
      <c r="C590" s="215">
        <f>Plot_Data!$GC$26</f>
        <v>45178</v>
      </c>
      <c r="D590" s="218">
        <f>Plot_Data!$GE$26</f>
        <v>119.2</v>
      </c>
      <c r="E590" s="220">
        <f>Plot_Data!$GJ$26</f>
        <v>12960</v>
      </c>
    </row>
    <row r="591" spans="1:5" x14ac:dyDescent="0.25">
      <c r="A591" s="100" t="str">
        <f>Plot_Data!$GA$27</f>
        <v>Boeing 777F (freighter)</v>
      </c>
      <c r="B591" s="215">
        <f>Plot_Data!$GB$27</f>
        <v>0</v>
      </c>
      <c r="C591" s="215">
        <f>Plot_Data!$GC$27</f>
        <v>347800</v>
      </c>
      <c r="D591" s="218">
        <f>Plot_Data!$GE$27</f>
        <v>436.8</v>
      </c>
      <c r="E591" s="220">
        <f>Plot_Data!$GJ$27</f>
        <v>9200</v>
      </c>
    </row>
    <row r="592" spans="1:5" x14ac:dyDescent="0.25">
      <c r="A592" s="100" t="str">
        <f>Plot_Data!$GA$28</f>
        <v>Boeing 747-8F (freighter)</v>
      </c>
      <c r="B592" s="215">
        <f>Plot_Data!$GB$28</f>
        <v>0</v>
      </c>
      <c r="C592" s="215">
        <f>Plot_Data!$GC$28</f>
        <v>447700</v>
      </c>
      <c r="D592" s="218">
        <f>Plot_Data!$GE$28</f>
        <v>554</v>
      </c>
      <c r="E592" s="220">
        <f>Plot_Data!$GJ$28</f>
        <v>8130</v>
      </c>
    </row>
    <row r="594" spans="1:5" x14ac:dyDescent="0.25">
      <c r="A594" s="68" t="s">
        <v>1289</v>
      </c>
      <c r="B594" s="68" t="s">
        <v>1290</v>
      </c>
      <c r="C594" s="68" t="s">
        <v>1291</v>
      </c>
      <c r="D594" s="68" t="s">
        <v>1292</v>
      </c>
      <c r="E594" s="68" t="s">
        <v>1293</v>
      </c>
    </row>
    <row r="595" spans="1:5" x14ac:dyDescent="0.25">
      <c r="A595" s="8" t="s">
        <v>425</v>
      </c>
      <c r="B595" s="122">
        <f>Plot_Data!$FY$5</f>
        <v>66571.641484176085</v>
      </c>
      <c r="C595" s="122">
        <f>Plot_Data!$FY$6</f>
        <v>76047.274195037695</v>
      </c>
      <c r="D595" s="221">
        <f t="shared" ref="D595:E600" si="7">B595/MTOW_frac-1</f>
        <v>-6.3188654791021648E-2</v>
      </c>
      <c r="E595" s="222">
        <f t="shared" si="7"/>
        <v>7.0154613133030841E-2</v>
      </c>
    </row>
    <row r="596" spans="1:5" x14ac:dyDescent="0.25">
      <c r="A596" s="8" t="s">
        <v>25</v>
      </c>
      <c r="B596" s="122">
        <f>Plot_Data!$FY$7</f>
        <v>65014.014516520554</v>
      </c>
      <c r="C596" s="122">
        <f>Plot_Data!$FY$8</f>
        <v>77049.561759664924</v>
      </c>
      <c r="D596" s="221">
        <f t="shared" si="7"/>
        <v>-8.5107937271836076E-2</v>
      </c>
      <c r="E596" s="222">
        <f t="shared" si="7"/>
        <v>8.4259032684227408E-2</v>
      </c>
    </row>
    <row r="597" spans="1:5" x14ac:dyDescent="0.25">
      <c r="A597" s="8" t="s">
        <v>1294</v>
      </c>
      <c r="B597" s="122">
        <f>Plot_Data!$FY$9</f>
        <v>66571.641484176085</v>
      </c>
      <c r="C597" s="122">
        <f>Plot_Data!$FY$10</f>
        <v>76047.274195037695</v>
      </c>
      <c r="D597" s="221">
        <f t="shared" si="7"/>
        <v>-6.3188654791021648E-2</v>
      </c>
      <c r="E597" s="222">
        <f t="shared" si="7"/>
        <v>7.0154613133030841E-2</v>
      </c>
    </row>
    <row r="598" spans="1:5" x14ac:dyDescent="0.25">
      <c r="A598" s="8" t="s">
        <v>1295</v>
      </c>
      <c r="B598" s="122">
        <f>Plot_Data!$FY$11</f>
        <v>68126.3877272299</v>
      </c>
      <c r="C598" s="122">
        <f>Plot_Data!$FY$12</f>
        <v>74201.313674357109</v>
      </c>
      <c r="D598" s="221">
        <f t="shared" si="7"/>
        <v>-4.1309910524815474E-2</v>
      </c>
      <c r="E598" s="222">
        <f t="shared" si="7"/>
        <v>4.417783503311723E-2</v>
      </c>
    </row>
    <row r="599" spans="1:5" x14ac:dyDescent="0.25">
      <c r="A599" s="8" t="s">
        <v>8</v>
      </c>
      <c r="B599" s="122">
        <f>Plot_Data!$FY$13</f>
        <v>72981.222499671072</v>
      </c>
      <c r="C599" s="122">
        <f>Plot_Data!$FY$14</f>
        <v>69549.963023707911</v>
      </c>
      <c r="D599" s="221">
        <f t="shared" si="7"/>
        <v>2.7008433330638404E-2</v>
      </c>
      <c r="E599" s="222">
        <f t="shared" si="7"/>
        <v>-2.1277033780791821E-2</v>
      </c>
    </row>
    <row r="600" spans="1:5" x14ac:dyDescent="0.25">
      <c r="A600" s="8" t="s">
        <v>487</v>
      </c>
      <c r="B600" s="122">
        <f>Plot_Data!$FY$15</f>
        <v>58518.20974190296</v>
      </c>
      <c r="C600" s="122">
        <f>Plot_Data!$FY$16</f>
        <v>89254.677190684786</v>
      </c>
      <c r="D600" s="221">
        <f t="shared" si="7"/>
        <v>-0.17651838582703483</v>
      </c>
      <c r="E600" s="222">
        <f t="shared" si="7"/>
        <v>0.25601220491271137</v>
      </c>
    </row>
    <row r="602" spans="1:5" x14ac:dyDescent="0.25">
      <c r="A602" s="68" t="s">
        <v>1296</v>
      </c>
      <c r="B602" s="68" t="s">
        <v>3</v>
      </c>
      <c r="C602" s="68" t="s">
        <v>4</v>
      </c>
      <c r="D602" s="68" t="s">
        <v>5</v>
      </c>
      <c r="E602" s="68" t="s">
        <v>6</v>
      </c>
    </row>
    <row r="603" spans="1:5" x14ac:dyDescent="0.25">
      <c r="A603" s="68" t="s">
        <v>1297</v>
      </c>
      <c r="B603" s="68"/>
      <c r="C603" s="68"/>
      <c r="D603" s="68"/>
      <c r="E603" s="68"/>
    </row>
    <row r="604" spans="1:5" x14ac:dyDescent="0.25">
      <c r="A604" s="223">
        <f>MTOW</f>
        <v>71061.950546004198</v>
      </c>
      <c r="B604" s="224">
        <v>7</v>
      </c>
      <c r="C604" s="224">
        <v>9</v>
      </c>
      <c r="D604" s="224">
        <v>11</v>
      </c>
      <c r="E604" s="225">
        <v>13</v>
      </c>
    </row>
    <row r="605" spans="1:5" x14ac:dyDescent="0.25">
      <c r="A605" s="226">
        <v>0.7</v>
      </c>
      <c r="B605" s="122">
        <f t="dataTable" ref="B605:E609" dt2D="1" dtr="1" r1="C4" r2="C13" ca="1"/>
        <v>84296.85185290224</v>
      </c>
      <c r="C605" s="122">
        <v>75993.419802995151</v>
      </c>
      <c r="D605" s="122">
        <v>71855.324035896861</v>
      </c>
      <c r="E605" s="126">
        <v>69580.64388481823</v>
      </c>
    </row>
    <row r="606" spans="1:5" x14ac:dyDescent="0.25">
      <c r="A606" s="226">
        <v>0.74</v>
      </c>
      <c r="B606" s="122">
        <v>80291.34805324176</v>
      </c>
      <c r="C606" s="122">
        <v>73543.197947511042</v>
      </c>
      <c r="D606" s="122">
        <v>70401.381153227354</v>
      </c>
      <c r="E606" s="126">
        <v>68602.492736795597</v>
      </c>
    </row>
    <row r="607" spans="1:5" x14ac:dyDescent="0.25">
      <c r="A607" s="226">
        <v>0.78</v>
      </c>
      <c r="B607" s="122">
        <v>77173.181802579347</v>
      </c>
      <c r="C607" s="122">
        <v>71833.016950441597</v>
      </c>
      <c r="D607" s="122">
        <v>69346.318699443</v>
      </c>
      <c r="E607" s="126">
        <v>67879.254205355901</v>
      </c>
    </row>
    <row r="608" spans="1:5" x14ac:dyDescent="0.25">
      <c r="A608" s="226">
        <v>0.82</v>
      </c>
      <c r="B608" s="122">
        <v>75062.271389369766</v>
      </c>
      <c r="C608" s="122">
        <v>70582.967269343048</v>
      </c>
      <c r="D608" s="122">
        <v>68553.467329495892</v>
      </c>
      <c r="E608" s="126">
        <v>67328.497181189043</v>
      </c>
    </row>
    <row r="609" spans="1:5" x14ac:dyDescent="0.25">
      <c r="A609" s="226">
        <v>0.86</v>
      </c>
      <c r="B609" s="122">
        <v>73669.770221915605</v>
      </c>
      <c r="C609" s="122">
        <v>69636.648156868629</v>
      </c>
      <c r="D609" s="122">
        <v>67940.890326727764</v>
      </c>
      <c r="E609" s="126">
        <v>66898.877005915114</v>
      </c>
    </row>
    <row r="611" spans="1:5" x14ac:dyDescent="0.25">
      <c r="A611" s="68" t="s">
        <v>1298</v>
      </c>
      <c r="B611" s="68"/>
      <c r="C611" s="68"/>
      <c r="D611" s="68"/>
      <c r="E611" s="68"/>
    </row>
    <row r="612" spans="1:5" x14ac:dyDescent="0.25">
      <c r="A612" s="225">
        <f>S_ref</f>
        <v>131.95958334245759</v>
      </c>
      <c r="B612" s="224">
        <v>7</v>
      </c>
      <c r="C612" s="224">
        <v>9</v>
      </c>
      <c r="D612" s="224">
        <v>11</v>
      </c>
      <c r="E612" s="225">
        <v>13</v>
      </c>
    </row>
    <row r="613" spans="1:5" x14ac:dyDescent="0.25">
      <c r="A613" s="226">
        <v>0.7</v>
      </c>
      <c r="B613" s="227">
        <f t="dataTable" ref="B613:E617" dt2D="1" dtr="1" r1="C4" r2="C13" ca="1"/>
        <v>169.05541310265238</v>
      </c>
      <c r="C613" s="227">
        <v>141.21860980976379</v>
      </c>
      <c r="D613" s="227">
        <v>143.02889177187271</v>
      </c>
      <c r="E613" s="228">
        <v>144.56098464298753</v>
      </c>
    </row>
    <row r="614" spans="1:5" x14ac:dyDescent="0.25">
      <c r="A614" s="226">
        <v>0.74</v>
      </c>
      <c r="B614" s="227">
        <v>144.08511439758459</v>
      </c>
      <c r="C614" s="227">
        <v>136.160777936709</v>
      </c>
      <c r="D614" s="227">
        <v>137.98663480934692</v>
      </c>
      <c r="E614" s="228">
        <v>139.40391886228207</v>
      </c>
    </row>
    <row r="615" spans="1:5" x14ac:dyDescent="0.25">
      <c r="A615" s="226">
        <v>0.78</v>
      </c>
      <c r="B615" s="227">
        <v>135.96318169930638</v>
      </c>
      <c r="C615" s="227">
        <v>131.48064648804902</v>
      </c>
      <c r="D615" s="227">
        <v>133.20168917533493</v>
      </c>
      <c r="E615" s="228">
        <v>134.48283187797833</v>
      </c>
    </row>
    <row r="616" spans="1:5" x14ac:dyDescent="0.25">
      <c r="A616" s="226">
        <v>0.82</v>
      </c>
      <c r="B616" s="227">
        <v>132.2441942303644</v>
      </c>
      <c r="C616" s="227">
        <v>127.06972081458883</v>
      </c>
      <c r="D616" s="227">
        <v>128.64648480720692</v>
      </c>
      <c r="E616" s="228">
        <v>129.79315619384607</v>
      </c>
    </row>
    <row r="617" spans="1:5" x14ac:dyDescent="0.25">
      <c r="A617" s="226">
        <v>0.86</v>
      </c>
      <c r="B617" s="227">
        <v>129.79089523679178</v>
      </c>
      <c r="C617" s="227">
        <v>122.88352159269331</v>
      </c>
      <c r="D617" s="227">
        <v>124.30968316435833</v>
      </c>
      <c r="E617" s="228">
        <v>125.33219275908181</v>
      </c>
    </row>
    <row r="619" spans="1:5" x14ac:dyDescent="0.25">
      <c r="A619" s="3" t="s">
        <v>1299</v>
      </c>
      <c r="B619" s="3" t="s">
        <v>3</v>
      </c>
      <c r="C619" s="3" t="s">
        <v>4</v>
      </c>
      <c r="D619" s="3" t="s">
        <v>5</v>
      </c>
      <c r="E619" s="3" t="s">
        <v>6</v>
      </c>
    </row>
    <row r="620" spans="1:5" x14ac:dyDescent="0.25">
      <c r="A620" s="3" t="s">
        <v>1300</v>
      </c>
      <c r="B620" s="3" t="s">
        <v>1301</v>
      </c>
      <c r="C620" s="3" t="s">
        <v>1302</v>
      </c>
      <c r="D620" s="3" t="s">
        <v>1303</v>
      </c>
      <c r="E620" s="3" t="s">
        <v>1304</v>
      </c>
    </row>
    <row r="621" spans="1:5" x14ac:dyDescent="0.25">
      <c r="A621" s="62" t="s">
        <v>8</v>
      </c>
      <c r="B621" s="229">
        <f>AR_</f>
        <v>9.5</v>
      </c>
      <c r="C621" s="229">
        <f>b_w^2/S_ref</f>
        <v>9.4999999999999982</v>
      </c>
      <c r="D621" s="230" t="str">
        <f>"OK"</f>
        <v>OK</v>
      </c>
      <c r="E621" s="231" t="s">
        <v>1305</v>
      </c>
    </row>
    <row r="622" spans="1:5" x14ac:dyDescent="0.25">
      <c r="A622" s="62" t="s">
        <v>13</v>
      </c>
      <c r="B622" s="229">
        <f>e_os</f>
        <v>0.8</v>
      </c>
      <c r="C622" s="229">
        <f>e_os</f>
        <v>0.8</v>
      </c>
      <c r="D622" s="230" t="str">
        <f>"Used as given"</f>
        <v>Used as given</v>
      </c>
      <c r="E622" s="231" t="s">
        <v>1306</v>
      </c>
    </row>
    <row r="623" spans="1:5" x14ac:dyDescent="0.25">
      <c r="A623" s="62" t="s">
        <v>1307</v>
      </c>
      <c r="B623" s="232">
        <f>CD_0</f>
        <v>1.7999999999999999E-2</v>
      </c>
      <c r="C623" s="232">
        <f>CD0_est</f>
        <v>1.9308434548413776E-2</v>
      </c>
      <c r="D623" s="230" t="str">
        <f>IF(ABS(CD0_est/CD_0-1)&lt;=0.2,"OK","CHECK - differs from the drag build-up")</f>
        <v>OK</v>
      </c>
      <c r="E623" s="231" t="s">
        <v>1308</v>
      </c>
    </row>
    <row r="624" spans="1:5" x14ac:dyDescent="0.25">
      <c r="A624" s="62" t="s">
        <v>1309</v>
      </c>
      <c r="B624" s="233">
        <f>PyldMax</f>
        <v>17500</v>
      </c>
      <c r="C624" s="233">
        <f>MZFW-OEW</f>
        <v>17500</v>
      </c>
      <c r="D624" s="230" t="str">
        <f>IF(R_maxpl&gt;0,"OK","CHECK - no range at maximum payload")</f>
        <v>OK</v>
      </c>
      <c r="E624" s="231" t="s">
        <v>1310</v>
      </c>
    </row>
    <row r="625" spans="1:5" x14ac:dyDescent="0.25">
      <c r="A625" s="62" t="s">
        <v>1311</v>
      </c>
      <c r="B625" s="233">
        <f>TODA</f>
        <v>2200</v>
      </c>
      <c r="C625" s="233">
        <f>TOFL</f>
        <v>2200</v>
      </c>
      <c r="D625" s="230" t="str">
        <f>IF(TOFL&lt;=TODA*1.0001,"OK","FAIL")</f>
        <v>OK</v>
      </c>
      <c r="E625" s="231" t="s">
        <v>109</v>
      </c>
    </row>
    <row r="626" spans="1:5" x14ac:dyDescent="0.25">
      <c r="A626" s="62" t="s">
        <v>1312</v>
      </c>
      <c r="B626" s="233">
        <f>LDA</f>
        <v>1670</v>
      </c>
      <c r="C626" s="233">
        <f>LFL</f>
        <v>1584.4099910091525</v>
      </c>
      <c r="D626" s="230" t="str">
        <f>IF(LFL&lt;=LDA*1.0001,"OK","FAIL")</f>
        <v>OK</v>
      </c>
      <c r="E626" s="231" t="s">
        <v>113</v>
      </c>
    </row>
    <row r="627" spans="1:5" x14ac:dyDescent="0.25">
      <c r="A627" s="62" t="s">
        <v>1313</v>
      </c>
      <c r="B627" s="229">
        <f>CLmaxTO</f>
        <v>2.1</v>
      </c>
      <c r="C627" s="229">
        <f>CLmaxTO</f>
        <v>2.1</v>
      </c>
      <c r="D627" s="230" t="str">
        <f>IF(dCl_req&lt;=2.6,"OK","CHECK - very demanding flap system")</f>
        <v>OK</v>
      </c>
      <c r="E627" s="231" t="s">
        <v>1314</v>
      </c>
    </row>
    <row r="628" spans="1:5" x14ac:dyDescent="0.25">
      <c r="A628" s="62" t="s">
        <v>1315</v>
      </c>
      <c r="B628" s="229">
        <f>CLmaxL</f>
        <v>2.7</v>
      </c>
      <c r="C628" s="229">
        <f>CLmaxL</f>
        <v>2.7</v>
      </c>
      <c r="D628" s="230" t="str">
        <f>IF(dCl_req&lt;=2.6,"OK","CHECK - very demanding flap system")</f>
        <v>OK</v>
      </c>
      <c r="E628" s="231" t="s">
        <v>1314</v>
      </c>
    </row>
    <row r="629" spans="1:5" x14ac:dyDescent="0.25">
      <c r="A629" s="62" t="s">
        <v>1316</v>
      </c>
      <c r="B629" s="234">
        <f>alpha_cr</f>
        <v>0.22</v>
      </c>
      <c r="C629" s="234">
        <f>T_cr_req/T_SL</f>
        <v>0.19762339888583683</v>
      </c>
      <c r="D629" s="230" t="str">
        <f>IF(T_cr_req/T_SL&lt;=alpha_cr*1.0001,"OK","FAIL")</f>
        <v>OK</v>
      </c>
      <c r="E629" s="231" t="s">
        <v>1317</v>
      </c>
    </row>
    <row r="630" spans="1:5" x14ac:dyDescent="0.25">
      <c r="A630" s="62" t="s">
        <v>47</v>
      </c>
      <c r="B630" s="229">
        <f>MCR</f>
        <v>0.78</v>
      </c>
      <c r="C630" s="229">
        <f>MIN(M_MO,SQRT(WS_p*(TW_p*alpha_cr+SQRT(MAX(0,(TW_p*alpha_cr)^2-4*CD_0*K_ind)))/(2*CD_0)/(0.7*rho_cr*287.053*T_cr)))</f>
        <v>0.82000000000000006</v>
      </c>
      <c r="D630" s="230" t="str">
        <f>IF(C630&gt;=B630*0.999,"OK","FAIL")</f>
        <v>OK</v>
      </c>
      <c r="E630" s="231" t="s">
        <v>1318</v>
      </c>
    </row>
    <row r="631" spans="1:5" x14ac:dyDescent="0.25">
      <c r="A631" s="62" t="s">
        <v>1294</v>
      </c>
      <c r="B631" s="232">
        <f>TSFC_in</f>
        <v>0.6</v>
      </c>
      <c r="C631" s="232">
        <f>TSFC_in</f>
        <v>0.6</v>
      </c>
      <c r="D631" s="230" t="str">
        <f>"Used as given"</f>
        <v>Used as given</v>
      </c>
      <c r="E631" s="231" t="s">
        <v>1319</v>
      </c>
    </row>
    <row r="632" spans="1:5" x14ac:dyDescent="0.25">
      <c r="A632" s="62" t="s">
        <v>1320</v>
      </c>
      <c r="B632" s="233">
        <f>PaxTyp</f>
        <v>150</v>
      </c>
      <c r="C632" s="233">
        <f>n_rows*n_SA+n_rows_b*n_SA_b</f>
        <v>150</v>
      </c>
      <c r="D632" s="230" t="str">
        <f>IF(C632&gt;=B632,"OK","FAIL")</f>
        <v>OK</v>
      </c>
      <c r="E632" s="231" t="s">
        <v>1321</v>
      </c>
    </row>
    <row r="633" spans="1:5" x14ac:dyDescent="0.25">
      <c r="A633" s="62" t="s">
        <v>425</v>
      </c>
      <c r="B633" s="233">
        <f>RangeTyp</f>
        <v>5000</v>
      </c>
      <c r="C633" s="233">
        <f>R_design/IF(Range_unit="nm",1.852,1)</f>
        <v>5000</v>
      </c>
      <c r="D633" s="230" t="str">
        <f>IF(AND(LEFT(chk_weight,2)="OK",C633&gt;=B633*0.999),"OK","FAIL")</f>
        <v>OK</v>
      </c>
      <c r="E633" s="231" t="s">
        <v>1322</v>
      </c>
    </row>
    <row r="634" spans="1:5" x14ac:dyDescent="0.25">
      <c r="A634" s="62" t="s">
        <v>1323</v>
      </c>
      <c r="B634" s="233">
        <f>PayPax</f>
        <v>14250</v>
      </c>
      <c r="C634" s="233">
        <f>W_pl</f>
        <v>14250</v>
      </c>
      <c r="D634" s="230" t="str">
        <f>"OK"</f>
        <v>OK</v>
      </c>
      <c r="E634" s="231" t="s">
        <v>1324</v>
      </c>
    </row>
    <row r="636" spans="1:5" x14ac:dyDescent="0.25">
      <c r="A636" s="235" t="s">
        <v>169</v>
      </c>
      <c r="B636" s="235" t="s">
        <v>1325</v>
      </c>
      <c r="C636" s="236">
        <f>COUNTIF(D621:D634,"OK*")+COUNTIF(D621:D634,"Used*")</f>
        <v>14</v>
      </c>
      <c r="D636" s="235" t="s">
        <v>1326</v>
      </c>
      <c r="E636" s="237"/>
    </row>
    <row r="638" spans="1:5" x14ac:dyDescent="0.25">
      <c r="A638" s="31" t="s">
        <v>1327</v>
      </c>
      <c r="B638" s="31" t="s">
        <v>3</v>
      </c>
      <c r="C638" s="31" t="s">
        <v>4</v>
      </c>
      <c r="D638" s="31" t="s">
        <v>5</v>
      </c>
      <c r="E638" s="31" t="s">
        <v>6</v>
      </c>
    </row>
    <row r="639" spans="1:5" x14ac:dyDescent="0.25">
      <c r="A639" s="34" t="s">
        <v>1328</v>
      </c>
      <c r="B639" s="34" t="s">
        <v>1329</v>
      </c>
      <c r="C639" s="47">
        <v>1</v>
      </c>
      <c r="D639" s="34" t="s">
        <v>10</v>
      </c>
      <c r="E639" s="36" t="s">
        <v>1330</v>
      </c>
    </row>
    <row r="640" spans="1:5" x14ac:dyDescent="0.25">
      <c r="A640" s="31" t="s">
        <v>1331</v>
      </c>
      <c r="B640" s="31" t="s">
        <v>1332</v>
      </c>
      <c r="C640" s="31" t="s">
        <v>1333</v>
      </c>
      <c r="D640" s="31" t="s">
        <v>1334</v>
      </c>
      <c r="E640" s="31" t="s">
        <v>1335</v>
      </c>
    </row>
    <row r="641" spans="1:5" x14ac:dyDescent="0.25">
      <c r="A641" s="64" t="s">
        <v>8</v>
      </c>
      <c r="B641" s="238">
        <f t="shared" ref="B641:B654" si="8">C4</f>
        <v>9.5</v>
      </c>
      <c r="C641" s="44">
        <v>9.5</v>
      </c>
      <c r="D641" s="44">
        <v>9.5</v>
      </c>
      <c r="E641" s="239">
        <f t="shared" ref="E641:E654" si="9">CHOOSE(scn,B641,C641,D641)</f>
        <v>9.5</v>
      </c>
    </row>
    <row r="642" spans="1:5" x14ac:dyDescent="0.25">
      <c r="A642" s="64" t="s">
        <v>13</v>
      </c>
      <c r="B642" s="238">
        <f t="shared" si="8"/>
        <v>0.8</v>
      </c>
      <c r="C642" s="44">
        <v>0.8</v>
      </c>
      <c r="D642" s="44">
        <v>0.82</v>
      </c>
      <c r="E642" s="239">
        <f t="shared" si="9"/>
        <v>0.8</v>
      </c>
    </row>
    <row r="643" spans="1:5" x14ac:dyDescent="0.25">
      <c r="A643" s="64" t="s">
        <v>17</v>
      </c>
      <c r="B643" s="240">
        <f t="shared" si="8"/>
        <v>1.7999999999999999E-2</v>
      </c>
      <c r="C643" s="52">
        <v>1.7999999999999999E-2</v>
      </c>
      <c r="D643" s="52">
        <v>2.1000000000000001E-2</v>
      </c>
      <c r="E643" s="241">
        <f t="shared" si="9"/>
        <v>1.7999999999999999E-2</v>
      </c>
    </row>
    <row r="644" spans="1:5" x14ac:dyDescent="0.25">
      <c r="A644" s="64" t="s">
        <v>21</v>
      </c>
      <c r="B644" s="242">
        <f t="shared" si="8"/>
        <v>17500</v>
      </c>
      <c r="C644" s="35">
        <v>19000</v>
      </c>
      <c r="D644" s="35">
        <v>40000</v>
      </c>
      <c r="E644" s="243">
        <f t="shared" si="9"/>
        <v>17500</v>
      </c>
    </row>
    <row r="645" spans="1:5" x14ac:dyDescent="0.25">
      <c r="A645" s="64" t="s">
        <v>26</v>
      </c>
      <c r="B645" s="242">
        <f t="shared" si="8"/>
        <v>2200</v>
      </c>
      <c r="C645" s="35">
        <v>2200</v>
      </c>
      <c r="D645" s="35">
        <v>1837</v>
      </c>
      <c r="E645" s="243">
        <f t="shared" si="9"/>
        <v>2200</v>
      </c>
    </row>
    <row r="646" spans="1:5" x14ac:dyDescent="0.25">
      <c r="A646" s="64" t="s">
        <v>31</v>
      </c>
      <c r="B646" s="242">
        <f t="shared" si="8"/>
        <v>1670</v>
      </c>
      <c r="C646" s="35">
        <v>1500</v>
      </c>
      <c r="D646" s="35">
        <v>3350</v>
      </c>
      <c r="E646" s="243">
        <f t="shared" si="9"/>
        <v>1670</v>
      </c>
    </row>
    <row r="647" spans="1:5" x14ac:dyDescent="0.25">
      <c r="A647" s="64" t="s">
        <v>35</v>
      </c>
      <c r="B647" s="238">
        <f t="shared" si="8"/>
        <v>2.1</v>
      </c>
      <c r="C647" s="44">
        <v>2.2000000000000002</v>
      </c>
      <c r="D647" s="44">
        <v>1.9</v>
      </c>
      <c r="E647" s="239">
        <f t="shared" si="9"/>
        <v>2.1</v>
      </c>
    </row>
    <row r="648" spans="1:5" x14ac:dyDescent="0.25">
      <c r="A648" s="64" t="s">
        <v>39</v>
      </c>
      <c r="B648" s="238">
        <f t="shared" si="8"/>
        <v>2.7</v>
      </c>
      <c r="C648" s="44">
        <v>3</v>
      </c>
      <c r="D648" s="44">
        <v>2.2000000000000002</v>
      </c>
      <c r="E648" s="239">
        <f t="shared" si="9"/>
        <v>2.7</v>
      </c>
    </row>
    <row r="649" spans="1:5" x14ac:dyDescent="0.25">
      <c r="A649" s="64" t="s">
        <v>43</v>
      </c>
      <c r="B649" s="238">
        <f t="shared" si="8"/>
        <v>0.22</v>
      </c>
      <c r="C649" s="44">
        <v>0.22</v>
      </c>
      <c r="D649" s="44">
        <v>0.3</v>
      </c>
      <c r="E649" s="239">
        <f t="shared" si="9"/>
        <v>0.22</v>
      </c>
    </row>
    <row r="650" spans="1:5" x14ac:dyDescent="0.25">
      <c r="A650" s="64" t="s">
        <v>47</v>
      </c>
      <c r="B650" s="238">
        <f t="shared" si="8"/>
        <v>0.78</v>
      </c>
      <c r="C650" s="44">
        <v>0.78</v>
      </c>
      <c r="D650" s="44">
        <v>0.82</v>
      </c>
      <c r="E650" s="239">
        <f t="shared" si="9"/>
        <v>0.78</v>
      </c>
    </row>
    <row r="651" spans="1:5" x14ac:dyDescent="0.25">
      <c r="A651" s="64" t="s">
        <v>51</v>
      </c>
      <c r="B651" s="240">
        <f t="shared" si="8"/>
        <v>0.6</v>
      </c>
      <c r="C651" s="52">
        <v>0.6</v>
      </c>
      <c r="D651" s="52">
        <v>0.46</v>
      </c>
      <c r="E651" s="241">
        <f t="shared" si="9"/>
        <v>0.6</v>
      </c>
    </row>
    <row r="652" spans="1:5" x14ac:dyDescent="0.25">
      <c r="A652" s="64" t="s">
        <v>56</v>
      </c>
      <c r="B652" s="242">
        <f t="shared" si="8"/>
        <v>150</v>
      </c>
      <c r="C652" s="35">
        <v>150</v>
      </c>
      <c r="D652" s="35">
        <v>290</v>
      </c>
      <c r="E652" s="243">
        <f t="shared" si="9"/>
        <v>150</v>
      </c>
    </row>
    <row r="653" spans="1:5" x14ac:dyDescent="0.25">
      <c r="A653" s="64" t="s">
        <v>62</v>
      </c>
      <c r="B653" s="242">
        <f t="shared" si="8"/>
        <v>5000</v>
      </c>
      <c r="C653" s="35">
        <v>5000</v>
      </c>
      <c r="D653" s="35">
        <v>2053</v>
      </c>
      <c r="E653" s="243">
        <f t="shared" si="9"/>
        <v>5000</v>
      </c>
    </row>
    <row r="654" spans="1:5" x14ac:dyDescent="0.25">
      <c r="A654" s="64" t="s">
        <v>67</v>
      </c>
      <c r="B654" s="242">
        <f t="shared" si="8"/>
        <v>14250</v>
      </c>
      <c r="C654" s="35">
        <v>14250</v>
      </c>
      <c r="D654" s="35">
        <v>29000</v>
      </c>
      <c r="E654" s="243">
        <f t="shared" si="9"/>
        <v>14250</v>
      </c>
    </row>
    <row r="656" spans="1:5" x14ac:dyDescent="0.25">
      <c r="A656" s="31" t="s">
        <v>1336</v>
      </c>
      <c r="B656" s="31" t="s">
        <v>1337</v>
      </c>
      <c r="C656" s="31" t="s">
        <v>1333</v>
      </c>
      <c r="D656" s="31" t="s">
        <v>1334</v>
      </c>
      <c r="E656" s="31"/>
    </row>
    <row r="657" spans="1:5" x14ac:dyDescent="0.25">
      <c r="A657" s="64" t="s">
        <v>1338</v>
      </c>
      <c r="B657" s="65"/>
      <c r="C657" s="244">
        <v>2</v>
      </c>
      <c r="D657" s="244">
        <v>3</v>
      </c>
      <c r="E657" s="65"/>
    </row>
    <row r="658" spans="1:5" x14ac:dyDescent="0.25">
      <c r="A658" s="64" t="s">
        <v>1277</v>
      </c>
      <c r="B658" s="242">
        <f>MTOW</f>
        <v>71061.950546004198</v>
      </c>
      <c r="C658" s="242">
        <f t="dataTable" ref="C658:D671" dt2D="0" dtr="1" r1="C639"/>
        <v>70593.600488722703</v>
      </c>
      <c r="D658" s="242">
        <v>94524.008959827799</v>
      </c>
      <c r="E658" s="65"/>
    </row>
    <row r="659" spans="1:5" x14ac:dyDescent="0.25">
      <c r="A659" s="64" t="s">
        <v>1278</v>
      </c>
      <c r="B659" s="242">
        <f>OEW</f>
        <v>35727.299588860682</v>
      </c>
      <c r="C659" s="242">
        <v>35508.796289189617</v>
      </c>
      <c r="D659" s="242">
        <v>46852.53662729128</v>
      </c>
      <c r="E659" s="65"/>
    </row>
    <row r="660" spans="1:5" x14ac:dyDescent="0.25">
      <c r="A660" s="64" t="s">
        <v>1339</v>
      </c>
      <c r="B660" s="242">
        <f>W_fuel</f>
        <v>21084.650957143516</v>
      </c>
      <c r="C660" s="242">
        <v>20834.804199533086</v>
      </c>
      <c r="D660" s="242">
        <v>18671.472332536519</v>
      </c>
      <c r="E660" s="65"/>
    </row>
    <row r="661" spans="1:5" x14ac:dyDescent="0.25">
      <c r="A661" s="64" t="s">
        <v>1340</v>
      </c>
      <c r="B661" s="242">
        <f>WS_des</f>
        <v>5281.0084699453055</v>
      </c>
      <c r="C661" s="242">
        <v>5482.9755369116492</v>
      </c>
      <c r="D661" s="242">
        <v>3864.2433728628971</v>
      </c>
      <c r="E661" s="65"/>
    </row>
    <row r="662" spans="1:5" x14ac:dyDescent="0.25">
      <c r="A662" s="64" t="s">
        <v>1285</v>
      </c>
      <c r="B662" s="245">
        <f>TW_des</f>
        <v>0.27275333551870468</v>
      </c>
      <c r="C662" s="245">
        <v>0.27031249954172315</v>
      </c>
      <c r="D662" s="245">
        <v>0.26417815049107229</v>
      </c>
      <c r="E662" s="65"/>
    </row>
    <row r="663" spans="1:5" x14ac:dyDescent="0.25">
      <c r="A663" s="64" t="s">
        <v>1280</v>
      </c>
      <c r="B663" s="246">
        <f>S_ref</f>
        <v>131.95958334245759</v>
      </c>
      <c r="C663" s="246">
        <v>126.26113824003511</v>
      </c>
      <c r="D663" s="246">
        <v>239.88237360400433</v>
      </c>
      <c r="E663" s="65"/>
    </row>
    <row r="664" spans="1:5" x14ac:dyDescent="0.25">
      <c r="A664" s="64" t="s">
        <v>1281</v>
      </c>
      <c r="B664" s="246">
        <f>b_w</f>
        <v>35.406440681793292</v>
      </c>
      <c r="C664" s="246">
        <v>34.63352152583294</v>
      </c>
      <c r="D664" s="246">
        <v>47.737642895706962</v>
      </c>
      <c r="E664" s="65"/>
    </row>
    <row r="665" spans="1:5" x14ac:dyDescent="0.25">
      <c r="A665" s="64" t="s">
        <v>1284</v>
      </c>
      <c r="B665" s="246">
        <f>T_eng/1000</f>
        <v>95.038128222383236</v>
      </c>
      <c r="C665" s="246">
        <v>93.566878494700745</v>
      </c>
      <c r="D665" s="246">
        <v>122.44180070004121</v>
      </c>
      <c r="E665" s="65"/>
    </row>
    <row r="666" spans="1:5" x14ac:dyDescent="0.25">
      <c r="A666" s="64" t="s">
        <v>1283</v>
      </c>
      <c r="B666" s="246">
        <f>L_fus</f>
        <v>35.620959999999997</v>
      </c>
      <c r="C666" s="246">
        <v>35.620959999999997</v>
      </c>
      <c r="D666" s="246">
        <v>48.949280000000002</v>
      </c>
      <c r="E666" s="65"/>
    </row>
    <row r="667" spans="1:5" x14ac:dyDescent="0.25">
      <c r="A667" s="64" t="s">
        <v>71</v>
      </c>
      <c r="B667" s="238">
        <f>LD_cr</f>
        <v>17.459659129583972</v>
      </c>
      <c r="C667" s="238">
        <v>17.635344986800355</v>
      </c>
      <c r="D667" s="238">
        <v>12.813417147148744</v>
      </c>
      <c r="E667" s="65"/>
    </row>
    <row r="668" spans="1:5" x14ac:dyDescent="0.25">
      <c r="A668" s="64" t="s">
        <v>1341</v>
      </c>
      <c r="B668" s="242">
        <f>R_maxpl</f>
        <v>3590.0086218269566</v>
      </c>
      <c r="C668" s="242">
        <v>2936.4558895467794</v>
      </c>
      <c r="D668" s="242">
        <v>0</v>
      </c>
      <c r="E668" s="65"/>
    </row>
    <row r="669" spans="1:5" x14ac:dyDescent="0.25">
      <c r="A669" s="64" t="s">
        <v>1342</v>
      </c>
      <c r="B669" s="242">
        <f>h_serv</f>
        <v>11258.710573237038</v>
      </c>
      <c r="C669" s="242">
        <v>11217.720572506361</v>
      </c>
      <c r="D669" s="242">
        <v>12704.543629192432</v>
      </c>
      <c r="E669" s="65"/>
    </row>
    <row r="670" spans="1:5" x14ac:dyDescent="0.25">
      <c r="A670" s="64" t="s">
        <v>1343</v>
      </c>
      <c r="B670" s="238">
        <f>cost_skm</f>
        <v>4.595379288503838</v>
      </c>
      <c r="C670" s="238">
        <v>4.5603192557120957</v>
      </c>
      <c r="D670" s="238">
        <v>3.8787772754270047</v>
      </c>
      <c r="E670" s="65"/>
    </row>
    <row r="671" spans="1:5" x14ac:dyDescent="0.25">
      <c r="A671" s="64" t="s">
        <v>148</v>
      </c>
      <c r="B671" s="247" t="str">
        <f>cmp_name</f>
        <v>Airbus A320-200</v>
      </c>
      <c r="C671" s="247" t="str">
        <v>Airbus A320-200</v>
      </c>
      <c r="D671" s="247" t="str">
        <v>Airbus A321-200</v>
      </c>
      <c r="E671" s="65"/>
    </row>
  </sheetData>
  <dataValidations count="8">
    <dataValidation type="list" sqref="D14" xr:uid="{00000000-0002-0000-0000-000000000000}">
      <formula1>"1/h,mg/(N.s),kg/(N.s)"</formula1>
    </dataValidation>
    <dataValidation type="list" sqref="D16" xr:uid="{00000000-0002-0000-0000-000001000000}">
      <formula1>"km,nm"</formula1>
    </dataValidation>
    <dataValidation type="list" sqref="C40" xr:uid="{00000000-0002-0000-0000-000002000000}">
      <formula1>"Auto,Jet transport,Twin turboprop,GA single engine,GA twin engine,Homebuilt metal/wood,Homebuilt composite,Agricultural,Flying boat,Jet trainer,Jet fighter,Military cargo/bomber,Sailplane,Powered sailplane,Custom"</formula1>
    </dataValidation>
    <dataValidation type="list" sqref="C22" xr:uid="{00000000-0002-0000-0000-000003000000}">
      <formula1>"SI,Imperial"</formula1>
    </dataValidation>
    <dataValidation type="list" sqref="C23" xr:uid="{00000000-0002-0000-0000-000004000000}">
      <formula1>"Fraction,Build-up"</formula1>
    </dataValidation>
    <dataValidation type="list" sqref="C24" xr:uid="{00000000-0002-0000-0000-000005000000}">
      <formula1>"Yes,No"</formula1>
    </dataValidation>
    <dataValidation type="list" sqref="C22" xr:uid="{00000000-0002-0000-0000-000006000000}">
      <formula1>"2,3,4"</formula1>
    </dataValidation>
    <dataValidation type="list" sqref="C639" xr:uid="{00000000-0002-0000-0000-000007000000}">
      <formula1>"1,2,3"</formula1>
    </dataValidation>
  </dataValidation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82"/>
  <sheetViews>
    <sheetView workbookViewId="0"/>
  </sheetViews>
  <sheetFormatPr defaultRowHeight="15" x14ac:dyDescent="0.25"/>
  <cols>
    <col min="1" max="1" width="42" customWidth="1"/>
    <col min="2" max="2" width="62" customWidth="1"/>
    <col min="3" max="3" width="9" customWidth="1"/>
  </cols>
  <sheetData>
    <row r="1" spans="1:3" ht="20.25" x14ac:dyDescent="0.3">
      <c r="A1" s="248" t="s">
        <v>1344</v>
      </c>
    </row>
    <row r="3" spans="1:3" x14ac:dyDescent="0.25">
      <c r="A3" s="249" t="str">
        <f>IF(Design!G4="","",Design!G4)</f>
        <v>Max take-off mass (MTOM)</v>
      </c>
      <c r="B3" s="250">
        <f>IF(Design!H4="","",Design!H4)</f>
        <v>71061.950546004198</v>
      </c>
      <c r="C3" s="249" t="str">
        <f>IF(Design!I4="","",Design!I4)</f>
        <v>kg</v>
      </c>
    </row>
    <row r="4" spans="1:3" x14ac:dyDescent="0.25">
      <c r="A4" s="249" t="str">
        <f>IF(Design!G5="","",Design!G5)</f>
        <v>Operating empty mass</v>
      </c>
      <c r="B4" s="250">
        <f>IF(Design!H5="","",Design!H5)</f>
        <v>35727.299588860682</v>
      </c>
      <c r="C4" s="249" t="str">
        <f>IF(Design!I5="","",Design!I5)</f>
        <v>kg</v>
      </c>
    </row>
    <row r="5" spans="1:3" x14ac:dyDescent="0.25">
      <c r="A5" s="249" t="str">
        <f>IF(Design!G6="","",Design!G6)</f>
        <v>Mission fuel (design mission)</v>
      </c>
      <c r="B5" s="250">
        <f>IF(Design!H6="","",Design!H6)</f>
        <v>21084.650957143516</v>
      </c>
      <c r="C5" s="249" t="str">
        <f>IF(Design!I6="","",Design!I6)</f>
        <v>kg</v>
      </c>
    </row>
    <row r="6" spans="1:3" x14ac:dyDescent="0.25">
      <c r="A6" s="249" t="str">
        <f>IF(Design!G7="","",Design!G7)</f>
        <v>Design payload</v>
      </c>
      <c r="B6" s="250">
        <f>IF(Design!H7="","",Design!H7)</f>
        <v>14250</v>
      </c>
      <c r="C6" s="249" t="str">
        <f>IF(Design!I7="","",Design!I7)</f>
        <v>kg</v>
      </c>
    </row>
    <row r="7" spans="1:3" x14ac:dyDescent="0.25">
      <c r="A7" s="251" t="str">
        <f>IF(Design!G8="","",Design!G8)</f>
        <v>Design wing loading W/S</v>
      </c>
      <c r="B7" s="252">
        <f>IF(Design!H8="","",Design!H8)</f>
        <v>5281.0084699453055</v>
      </c>
      <c r="C7" s="251" t="str">
        <f>IF(Design!I8="","",Design!I8)</f>
        <v>N/m2</v>
      </c>
    </row>
    <row r="8" spans="1:3" x14ac:dyDescent="0.25">
      <c r="A8" s="251" t="str">
        <f>IF(Design!G9="","",Design!G9)</f>
        <v>Design wing loading m/S</v>
      </c>
      <c r="B8" s="253">
        <f>IF(Design!H9="","",Design!H9)</f>
        <v>538.51299576769907</v>
      </c>
      <c r="C8" s="251" t="str">
        <f>IF(Design!I9="","",Design!I9)</f>
        <v>kg/m2</v>
      </c>
    </row>
    <row r="9" spans="1:3" x14ac:dyDescent="0.25">
      <c r="A9" s="251" t="str">
        <f>IF(Design!G10="","",Design!G10)</f>
        <v>Design thrust-to-weight T/W (SL static)</v>
      </c>
      <c r="B9" s="254">
        <f>IF(Design!H10="","",Design!H10)</f>
        <v>0.27275333551870468</v>
      </c>
      <c r="C9" s="251" t="str">
        <f>IF(Design!I10="","",Design!I10)</f>
        <v>-</v>
      </c>
    </row>
    <row r="10" spans="1:3" x14ac:dyDescent="0.25">
      <c r="A10" s="251" t="str">
        <f>IF(Design!G11="","",Design!G11)</f>
        <v>Critical constraint</v>
      </c>
      <c r="B10" s="255" t="str">
        <f>IF(Design!H11="","",Design!H11)</f>
        <v>Take-off + cruise</v>
      </c>
      <c r="C10" s="251" t="str">
        <f>IF(Design!I11="","",Design!I11)</f>
        <v/>
      </c>
    </row>
    <row r="11" spans="1:3" x14ac:dyDescent="0.25">
      <c r="A11" s="256" t="str">
        <f>IF(Design!G12="","",Design!G12)</f>
        <v>Wing area S</v>
      </c>
      <c r="B11" s="257">
        <f>IF(Design!H12="","",Design!H12)</f>
        <v>131.95958334245759</v>
      </c>
      <c r="C11" s="256" t="str">
        <f>IF(Design!I12="","",Design!I12)</f>
        <v>m2</v>
      </c>
    </row>
    <row r="12" spans="1:3" x14ac:dyDescent="0.25">
      <c r="A12" s="256" t="str">
        <f>IF(Design!G13="","",Design!G13)</f>
        <v>Wing span b</v>
      </c>
      <c r="B12" s="258">
        <f>IF(Design!H13="","",Design!H13)</f>
        <v>35.406440681793292</v>
      </c>
      <c r="C12" s="256" t="str">
        <f>IF(Design!I13="","",Design!I13)</f>
        <v>m</v>
      </c>
    </row>
    <row r="13" spans="1:3" x14ac:dyDescent="0.25">
      <c r="A13" s="256" t="str">
        <f>IF(Design!G14="","",Design!G14)</f>
        <v>Mean aerodynamic chord</v>
      </c>
      <c r="B13" s="258">
        <f>IF(Design!H14="","",Design!H14)</f>
        <v>4.1742330066956299</v>
      </c>
      <c r="C13" s="256" t="str">
        <f>IF(Design!I14="","",Design!I14)</f>
        <v>m</v>
      </c>
    </row>
    <row r="14" spans="1:3" x14ac:dyDescent="0.25">
      <c r="A14" s="256" t="str">
        <f>IF(Design!G15="","",Design!G15)</f>
        <v>Quarter-chord sweep</v>
      </c>
      <c r="B14" s="257">
        <f>IF(Design!H15="","",Design!H15)</f>
        <v>26.176952171666557</v>
      </c>
      <c r="C14" s="256" t="str">
        <f>IF(Design!I15="","",Design!I15)</f>
        <v>deg</v>
      </c>
    </row>
    <row r="15" spans="1:3" x14ac:dyDescent="0.25">
      <c r="A15" s="259" t="str">
        <f>IF(Design!G16="","",Design!G16)</f>
        <v>Total SL static thrust</v>
      </c>
      <c r="B15" s="260">
        <f>IF(Design!H16="","",Design!H16)</f>
        <v>190.07625644476647</v>
      </c>
      <c r="C15" s="259" t="str">
        <f>IF(Design!I16="","",Design!I16)</f>
        <v>kN</v>
      </c>
    </row>
    <row r="16" spans="1:3" x14ac:dyDescent="0.25">
      <c r="A16" s="259" t="str">
        <f>IF(Design!G17="","",Design!G17)</f>
        <v>Thrust per engine</v>
      </c>
      <c r="B16" s="260">
        <f>IF(Design!H17="","",Design!H17)</f>
        <v>95.038128222383236</v>
      </c>
      <c r="C16" s="259" t="str">
        <f>IF(Design!I17="","",Design!I17)</f>
        <v>kN</v>
      </c>
    </row>
    <row r="17" spans="1:3" x14ac:dyDescent="0.25">
      <c r="A17" s="256" t="str">
        <f>IF(Design!G18="","",Design!G18)</f>
        <v>Cruise L/D</v>
      </c>
      <c r="B17" s="258">
        <f>IF(Design!H18="","",Design!H18)</f>
        <v>17.459659129583972</v>
      </c>
      <c r="C17" s="256" t="str">
        <f>IF(Design!I18="","",Design!I18)</f>
        <v>-</v>
      </c>
    </row>
    <row r="18" spans="1:3" x14ac:dyDescent="0.25">
      <c r="A18" s="261" t="str">
        <f>IF(Design!G19="","",Design!G19)</f>
        <v>Fuselage length</v>
      </c>
      <c r="B18" s="262">
        <f>IF(Design!H19="","",Design!H19)</f>
        <v>35.620959999999997</v>
      </c>
      <c r="C18" s="261" t="str">
        <f>IF(Design!I19="","",Design!I19)</f>
        <v>m</v>
      </c>
    </row>
    <row r="19" spans="1:3" x14ac:dyDescent="0.25">
      <c r="A19" s="261" t="str">
        <f>IF(Design!G20="","",Design!G20)</f>
        <v>Fuselage outer diameter</v>
      </c>
      <c r="B19" s="262">
        <f>IF(Design!H20="","",Design!H20)</f>
        <v>3.9818499999999997</v>
      </c>
      <c r="C19" s="261" t="str">
        <f>IF(Design!I20="","",Design!I20)</f>
        <v>m</v>
      </c>
    </row>
    <row r="20" spans="1:3" x14ac:dyDescent="0.25">
      <c r="A20" s="261" t="str">
        <f>IF(Design!G21="","",Design!G21)</f>
        <v>Seats abreast x rows</v>
      </c>
      <c r="B20" s="263" t="str">
        <f>IF(Design!H21="","",Design!H21)</f>
        <v>6 x 25</v>
      </c>
      <c r="C20" s="261" t="str">
        <f>IF(Design!I21="","",Design!I21)</f>
        <v/>
      </c>
    </row>
    <row r="21" spans="1:3" x14ac:dyDescent="0.25">
      <c r="A21" s="264" t="str">
        <f>IF(Design!G22="","",Design!G22)</f>
        <v>Horizontal tail area</v>
      </c>
      <c r="B21" s="265">
        <f>IF(Design!H22="","",Design!H22)</f>
        <v>34.363666057405489</v>
      </c>
      <c r="C21" s="264" t="str">
        <f>IF(Design!I22="","",Design!I22)</f>
        <v>m2</v>
      </c>
    </row>
    <row r="22" spans="1:3" x14ac:dyDescent="0.25">
      <c r="A22" s="264" t="str">
        <f>IF(Design!G23="","",Design!G23)</f>
        <v>Vertical tail area</v>
      </c>
      <c r="B22" s="265">
        <f>IF(Design!H23="","",Design!H23)</f>
        <v>26.232977213465798</v>
      </c>
      <c r="C22" s="264" t="str">
        <f>IF(Design!I23="","",Design!I23)</f>
        <v>m2</v>
      </c>
    </row>
    <row r="23" spans="1:3" x14ac:dyDescent="0.25">
      <c r="A23" s="266" t="str">
        <f>IF(Design!G24="","",Design!G24)</f>
        <v>Main gear: struts x wheels per strut</v>
      </c>
      <c r="B23" s="267" t="str">
        <f>IF(Design!H24="","",Design!H24)</f>
        <v>2 x 2</v>
      </c>
      <c r="C23" s="266" t="str">
        <f>IF(Design!I24="","",Design!I24)</f>
        <v/>
      </c>
    </row>
    <row r="24" spans="1:3" x14ac:dyDescent="0.25">
      <c r="A24" s="266" t="str">
        <f>IF(Design!G25="","",Design!G25)</f>
        <v>Main tyre diameter x width</v>
      </c>
      <c r="B24" s="267" t="str">
        <f>IF(Design!H25="","",Design!H25)</f>
        <v>1.15 x 0.42</v>
      </c>
      <c r="C24" s="266" t="str">
        <f>IF(Design!I25="","",Design!I25)</f>
        <v>m</v>
      </c>
    </row>
    <row r="25" spans="1:3" x14ac:dyDescent="0.25">
      <c r="A25" s="249" t="str">
        <f>IF(Design!G26="","",Design!G26)</f>
        <v>Range with maximum payload</v>
      </c>
      <c r="B25" s="250">
        <f>IF(Design!H26="","",Design!H26)</f>
        <v>3590.0086218269566</v>
      </c>
      <c r="C25" s="249" t="str">
        <f>IF(Design!I26="","",Design!I26)</f>
        <v>km</v>
      </c>
    </row>
    <row r="26" spans="1:3" x14ac:dyDescent="0.25">
      <c r="A26" s="268" t="str">
        <f>IF(Design!G27="","",Design!G27)</f>
        <v>Take-off field length achieved</v>
      </c>
      <c r="B26" s="269">
        <f>IF(Design!H27="","",Design!H27)</f>
        <v>2200</v>
      </c>
      <c r="C26" s="268" t="str">
        <f>IF(Design!I27="","",Design!I27)</f>
        <v>m</v>
      </c>
    </row>
    <row r="27" spans="1:3" x14ac:dyDescent="0.25">
      <c r="A27" s="268" t="str">
        <f>IF(Design!G28="","",Design!G28)</f>
        <v>Landing field length achieved</v>
      </c>
      <c r="B27" s="269">
        <f>IF(Design!H28="","",Design!H28)</f>
        <v>1584.4099910091525</v>
      </c>
      <c r="C27" s="268" t="str">
        <f>IF(Design!I28="","",Design!I28)</f>
        <v>m</v>
      </c>
    </row>
    <row r="28" spans="1:3" x14ac:dyDescent="0.25">
      <c r="A28" s="268" t="str">
        <f>IF(Design!G29="","",Design!G29)</f>
        <v>Service ceiling</v>
      </c>
      <c r="B28" s="269">
        <f>IF(Design!H29="","",Design!H29)</f>
        <v>11258.710573237038</v>
      </c>
      <c r="C28" s="268" t="str">
        <f>IF(Design!I29="","",Design!I29)</f>
        <v>m</v>
      </c>
    </row>
    <row r="29" spans="1:3" x14ac:dyDescent="0.25">
      <c r="A29" s="268" t="str">
        <f>IF(Design!G30="","",Design!G30)</f>
        <v>Time to climb to cruise altitude</v>
      </c>
      <c r="B29" s="270">
        <f>IF(Design!H30="","",Design!H30)</f>
        <v>18.76234157365796</v>
      </c>
      <c r="C29" s="268" t="str">
        <f>IF(Design!I30="","",Design!I30)</f>
        <v>min</v>
      </c>
    </row>
    <row r="30" spans="1:3" x14ac:dyDescent="0.25">
      <c r="A30" s="268" t="str">
        <f>IF(Design!G31="","",Design!G31)</f>
        <v>Design limit load factor</v>
      </c>
      <c r="B30" s="271">
        <f>IF(Design!H31="","",Design!H31)</f>
        <v>2.5</v>
      </c>
      <c r="C30" s="268" t="str">
        <f>IF(Design!I31="","",Design!I31)</f>
        <v>-</v>
      </c>
    </row>
    <row r="31" spans="1:3" x14ac:dyDescent="0.25">
      <c r="A31" s="268" t="str">
        <f>IF(Design!G32="","",Design!G32)</f>
        <v>Static margin at MTOM</v>
      </c>
      <c r="B31" s="272">
        <f>IF(Design!H32="","",Design!H32)</f>
        <v>0.11294174248146471</v>
      </c>
      <c r="C31" s="268" t="str">
        <f>IF(Design!I32="","",Design!I32)</f>
        <v>MAC</v>
      </c>
    </row>
    <row r="32" spans="1:3" x14ac:dyDescent="0.25">
      <c r="A32" s="268" t="str">
        <f>IF(Design!G33="","",Design!G33)</f>
        <v>CDo from drag build-up</v>
      </c>
      <c r="B32" s="273">
        <f>IF(Design!H33="","",Design!H33)</f>
        <v>1.9308434548413776E-2</v>
      </c>
      <c r="C32" s="268" t="str">
        <f>IF(Design!I33="","",Design!I33)</f>
        <v>-</v>
      </c>
    </row>
    <row r="33" spans="1:3" x14ac:dyDescent="0.25">
      <c r="A33" s="249" t="str">
        <f>IF(Design!G34="","",Design!G34)</f>
        <v>Empty mass from component build-up</v>
      </c>
      <c r="B33" s="250">
        <f>IF(Design!H34="","",Design!H34)</f>
        <v>35844.58907959269</v>
      </c>
      <c r="C33" s="249" t="str">
        <f>IF(Design!I34="","",Design!I34)</f>
        <v>kg</v>
      </c>
    </row>
    <row r="34" spans="1:3" x14ac:dyDescent="0.25">
      <c r="A34" s="268" t="str">
        <f>IF(Design!G35="","",Design!G35)</f>
        <v>Cost per seat-kilometre</v>
      </c>
      <c r="B34" s="271">
        <f>IF(Design!H35="","",Design!H35)</f>
        <v>4.595379288503838</v>
      </c>
      <c r="C34" s="268" t="str">
        <f>IF(Design!I35="","",Design!I35)</f>
        <v>US cents</v>
      </c>
    </row>
    <row r="35" spans="1:3" x14ac:dyDescent="0.25">
      <c r="A35" s="268" t="str">
        <f>IF(Design!G36="","",Design!G36)</f>
        <v>Closest real aircraft</v>
      </c>
      <c r="B35" s="274" t="str">
        <f>IF(Design!H36="","",Design!H36)</f>
        <v>Airbus A320-200</v>
      </c>
      <c r="C35" s="268" t="str">
        <f>IF(Design!I36="","",Design!I36)</f>
        <v/>
      </c>
    </row>
    <row r="36" spans="1:3" x14ac:dyDescent="0.25">
      <c r="A36" s="268" t="str">
        <f>IF(Design!G37="","",Design!G37)</f>
        <v>Balanced field length (Raymer)</v>
      </c>
      <c r="B36" s="269">
        <f>IF(Design!H37="","",Design!H37)</f>
        <v>2247.102962676719</v>
      </c>
      <c r="C36" s="268" t="str">
        <f>IF(Design!I37="","",Design!I37)</f>
        <v>m</v>
      </c>
    </row>
    <row r="37" spans="1:3" x14ac:dyDescent="0.25">
      <c r="A37" s="268" t="str">
        <f>IF(Design!G38="","",Design!G38)</f>
        <v>Best initial cruise altitude</v>
      </c>
      <c r="B37" s="269">
        <f>IF(Design!H38="","",Design!H38)</f>
        <v>11258.710573237038</v>
      </c>
      <c r="C37" s="268" t="str">
        <f>IF(Design!I38="","",Design!I38)</f>
        <v>m</v>
      </c>
    </row>
    <row r="38" spans="1:3" x14ac:dyDescent="0.25">
      <c r="A38" s="268" t="str">
        <f>IF(Design!G39="","",Design!G39)</f>
        <v>CO2 per seat-kilometre</v>
      </c>
      <c r="B38" s="270">
        <f>IF(Design!H39="","",Design!H39)</f>
        <v>72.460829589048302</v>
      </c>
      <c r="C38" s="268" t="str">
        <f>IF(Design!I39="","",Design!I39)</f>
        <v>g</v>
      </c>
    </row>
    <row r="39" spans="1:3" x14ac:dyDescent="0.25">
      <c r="A39" s="266" t="str">
        <f>IF(Design!G40="","",Design!G40)</f>
        <v>Main tyre pressure</v>
      </c>
      <c r="B39" s="275">
        <f>IF(Design!H40="","",Design!H40)</f>
        <v>1.0849083482918176</v>
      </c>
      <c r="C39" s="266" t="str">
        <f>IF(Design!I40="","",Design!I40)</f>
        <v>MPa</v>
      </c>
    </row>
    <row r="40" spans="1:3" x14ac:dyDescent="0.25">
      <c r="A40" s="268" t="str">
        <f>IF(Design!G41="","",Design!G41)</f>
        <v>Requirements met</v>
      </c>
      <c r="B40" s="274" t="str">
        <f>IF(Design!H41="","",Design!H41)</f>
        <v>14 of 14</v>
      </c>
      <c r="C40" s="268" t="str">
        <f>IF(Design!I41="","",Design!I41)</f>
        <v/>
      </c>
    </row>
    <row r="41" spans="1:3" x14ac:dyDescent="0.25">
      <c r="A41" s="268" t="str">
        <f>IF(Design!G42="","",Design!G42)</f>
        <v/>
      </c>
      <c r="B41" s="274" t="str">
        <f>IF(Design!H42="","",Design!H42)</f>
        <v/>
      </c>
      <c r="C41" s="268" t="str">
        <f>IF(Design!I42="","",Design!I42)</f>
        <v/>
      </c>
    </row>
    <row r="42" spans="1:3" x14ac:dyDescent="0.25">
      <c r="A42" s="268" t="str">
        <f>IF(Design!G43="","",Design!G43)</f>
        <v>CHECKS</v>
      </c>
      <c r="B42" s="274" t="str">
        <f>IF(Design!H43="","",Design!H43)</f>
        <v/>
      </c>
      <c r="C42" s="268" t="str">
        <f>IF(Design!I43="","",Design!I43)</f>
        <v/>
      </c>
    </row>
    <row r="43" spans="1:3" x14ac:dyDescent="0.25">
      <c r="A43" s="249" t="str">
        <f>IF(Design!G44="","",Design!G44)</f>
        <v>Weight iteration</v>
      </c>
      <c r="B43" s="276" t="str">
        <f>IF(Design!H44="","",Design!H44)</f>
        <v>OK - converged</v>
      </c>
      <c r="C43" s="249" t="str">
        <f>IF(Design!I44="","",Design!I44)</f>
        <v/>
      </c>
    </row>
    <row r="44" spans="1:3" x14ac:dyDescent="0.25">
      <c r="A44" s="249" t="str">
        <f>IF(Design!G45="","",Design!G45)</f>
        <v>Max payload &gt;= design payload</v>
      </c>
      <c r="B44" s="276" t="str">
        <f>IF(Design!H45="","",Design!H45)</f>
        <v>OK</v>
      </c>
      <c r="C44" s="249" t="str">
        <f>IF(Design!I45="","",Design!I45)</f>
        <v/>
      </c>
    </row>
    <row r="45" spans="1:3" x14ac:dyDescent="0.25">
      <c r="A45" s="249" t="str">
        <f>IF(Design!G46="","",Design!G46)</f>
        <v>Payload per passenger plausible</v>
      </c>
      <c r="B45" s="276" t="str">
        <f>IF(Design!H46="","",Design!H46)</f>
        <v>OK</v>
      </c>
      <c r="C45" s="249" t="str">
        <f>IF(Design!I46="","",Design!I46)</f>
        <v/>
      </c>
    </row>
    <row r="46" spans="1:3" x14ac:dyDescent="0.25">
      <c r="A46" s="249" t="str">
        <f>IF(Design!G47="","",Design!G47)</f>
        <v>Range with maximum payload</v>
      </c>
      <c r="B46" s="276" t="str">
        <f>IF(Design!H47="","",Design!H47)</f>
        <v>OK</v>
      </c>
      <c r="C46" s="249" t="str">
        <f>IF(Design!I47="","",Design!I47)</f>
        <v/>
      </c>
    </row>
    <row r="47" spans="1:3" x14ac:dyDescent="0.25">
      <c r="A47" s="249" t="str">
        <f>IF(Design!G48="","",Design!G48)</f>
        <v>Wing fuel volume</v>
      </c>
      <c r="B47" s="276" t="str">
        <f>IF(Design!H48="","",Design!H48)</f>
        <v>OK</v>
      </c>
      <c r="C47" s="249" t="str">
        <f>IF(Design!I48="","",Design!I48)</f>
        <v/>
      </c>
    </row>
    <row r="48" spans="1:3" x14ac:dyDescent="0.25">
      <c r="A48" s="266" t="str">
        <f>IF(Design!G49="","",Design!G49)</f>
        <v>Gear tip-back angle &gt;= 15 deg</v>
      </c>
      <c r="B48" s="267" t="str">
        <f>IF(Design!H49="","",Design!H49)</f>
        <v>OK</v>
      </c>
      <c r="C48" s="266" t="str">
        <f>IF(Design!I49="","",Design!I49)</f>
        <v/>
      </c>
    </row>
    <row r="49" spans="1:3" x14ac:dyDescent="0.25">
      <c r="A49" s="259" t="str">
        <f>IF(Design!G50="","",Design!G50)</f>
        <v>Engine ground clearance</v>
      </c>
      <c r="B49" s="277" t="str">
        <f>IF(Design!H50="","",Design!H50)</f>
        <v>OK</v>
      </c>
      <c r="C49" s="259" t="str">
        <f>IF(Design!I50="","",Design!I50)</f>
        <v/>
      </c>
    </row>
    <row r="50" spans="1:3" x14ac:dyDescent="0.25">
      <c r="A50" s="259" t="str">
        <f>IF(Design!G51="","",Design!G51)</f>
        <v>Thrust lapse / TSFC unit plausibility</v>
      </c>
      <c r="B50" s="277" t="str">
        <f>IF(Design!H51="","",Design!H51)</f>
        <v>OK</v>
      </c>
      <c r="C50" s="259" t="str">
        <f>IF(Design!I51="","",Design!I51)</f>
        <v/>
      </c>
    </row>
    <row r="51" spans="1:3" x14ac:dyDescent="0.25">
      <c r="A51" s="268" t="str">
        <f>IF(Design!G52="","",Design!G52)</f>
        <v>Take-off distance</v>
      </c>
      <c r="B51" s="274" t="str">
        <f>IF(Design!H52="","",Design!H52)</f>
        <v>OK - 0 m margin on TODA</v>
      </c>
      <c r="C51" s="268" t="str">
        <f>IF(Design!I52="","",Design!I52)</f>
        <v/>
      </c>
    </row>
    <row r="52" spans="1:3" x14ac:dyDescent="0.25">
      <c r="A52" s="268" t="str">
        <f>IF(Design!G53="","",Design!G53)</f>
        <v>Landing distance</v>
      </c>
      <c r="B52" s="274" t="str">
        <f>IF(Design!H53="","",Design!H53)</f>
        <v>OK - 86 m margin on LDA</v>
      </c>
      <c r="C52" s="268" t="str">
        <f>IF(Design!I53="","",Design!I53)</f>
        <v/>
      </c>
    </row>
    <row r="53" spans="1:3" x14ac:dyDescent="0.25">
      <c r="A53" s="268" t="str">
        <f>IF(Design!G54="","",Design!G54)</f>
        <v>Service ceiling</v>
      </c>
      <c r="B53" s="274" t="str">
        <f>IF(Design!H54="","",Design!H54)</f>
        <v>OK - 591 m above cruise altitude</v>
      </c>
      <c r="C53" s="268" t="str">
        <f>IF(Design!I54="","",Design!I54)</f>
        <v/>
      </c>
    </row>
    <row r="54" spans="1:3" x14ac:dyDescent="0.25">
      <c r="A54" s="268" t="str">
        <f>IF(Design!G55="","",Design!G55)</f>
        <v>Static stability</v>
      </c>
      <c r="B54" s="274" t="str">
        <f>IF(Design!H55="","",Design!H55)</f>
        <v>OK</v>
      </c>
      <c r="C54" s="268" t="str">
        <f>IF(Design!I55="","",Design!I55)</f>
        <v/>
      </c>
    </row>
    <row r="55" spans="1:3" x14ac:dyDescent="0.25">
      <c r="A55" s="266" t="str">
        <f>IF(Design!G56="","",Design!G56)</f>
        <v>Gear position vs calculated CG</v>
      </c>
      <c r="B55" s="267" t="str">
        <f>IF(Design!H56="","",Design!H56)</f>
        <v>OK</v>
      </c>
      <c r="C55" s="266" t="str">
        <f>IF(Design!I56="","",Design!I56)</f>
        <v/>
      </c>
    </row>
    <row r="56" spans="1:3" x14ac:dyDescent="0.25">
      <c r="A56" s="268" t="str">
        <f>IF(Design!G57="","",Design!G57)</f>
        <v>CDo input vs build-up</v>
      </c>
      <c r="B56" s="274" t="str">
        <f>IF(Design!H57="","",Design!H57)</f>
        <v>OK - within 20 % of the build-up</v>
      </c>
      <c r="C56" s="268" t="str">
        <f>IF(Design!I57="","",Design!I57)</f>
        <v/>
      </c>
    </row>
    <row r="57" spans="1:3" x14ac:dyDescent="0.25">
      <c r="A57" s="268" t="str">
        <f>IF(Design!G58="","",Design!G58)</f>
        <v>Cargo hold volume</v>
      </c>
      <c r="B57" s="274" t="str">
        <f>IF(Design!H58="","",Design!H58)</f>
        <v>OK</v>
      </c>
      <c r="C57" s="268" t="str">
        <f>IF(Design!I58="","",Design!I58)</f>
        <v/>
      </c>
    </row>
    <row r="58" spans="1:3" x14ac:dyDescent="0.25">
      <c r="A58" s="259" t="str">
        <f>IF(Design!G59="","",Design!G59)</f>
        <v>Climb gradients (engine out)</v>
      </c>
      <c r="B58" s="277" t="str">
        <f>IF(Design!H59="","",Design!H59)</f>
        <v>OK - every climb requirement is met</v>
      </c>
      <c r="C58" s="259" t="str">
        <f>IF(Design!I59="","",Design!I59)</f>
        <v/>
      </c>
    </row>
    <row r="59" spans="1:3" x14ac:dyDescent="0.25">
      <c r="A59" s="268" t="str">
        <f>IF(Design!G60="","",Design!G60)</f>
        <v>Balanced field length cross-check</v>
      </c>
      <c r="B59" s="274" t="str">
        <f>IF(Design!H60="","",Design!H60)</f>
        <v>NOTE - Raymer BFL is 47 m over TODA (the sizing used the Loftin correlation)</v>
      </c>
      <c r="C59" s="268" t="str">
        <f>IF(Design!I60="","",Design!I60)</f>
        <v/>
      </c>
    </row>
    <row r="60" spans="1:3" x14ac:dyDescent="0.25">
      <c r="A60" s="268" t="str">
        <f>IF(Design!G61="","",Design!G61)</f>
        <v>Trim on approach</v>
      </c>
      <c r="B60" s="274" t="str">
        <f>IF(Design!H61="","",Design!H61)</f>
        <v>OK</v>
      </c>
      <c r="C60" s="268" t="str">
        <f>IF(Design!I61="","",Design!I61)</f>
        <v/>
      </c>
    </row>
    <row r="61" spans="1:3" x14ac:dyDescent="0.25">
      <c r="A61" s="268" t="str">
        <f>IF(Design!G62="","",Design!G62)</f>
        <v>Take-off rotation</v>
      </c>
      <c r="B61" s="274" t="str">
        <f>IF(Design!H62="","",Design!H62)</f>
        <v>OK</v>
      </c>
      <c r="C61" s="268" t="str">
        <f>IF(Design!I62="","",Design!I62)</f>
        <v/>
      </c>
    </row>
    <row r="62" spans="1:3" x14ac:dyDescent="0.25">
      <c r="A62" s="259" t="str">
        <f>IF(Design!G63="","",Design!G63)</f>
        <v>Engine-failure control</v>
      </c>
      <c r="B62" s="277" t="str">
        <f>IF(Design!H63="","",Design!H63)</f>
        <v>OK</v>
      </c>
      <c r="C62" s="259" t="str">
        <f>IF(Design!I63="","",Design!I63)</f>
        <v/>
      </c>
    </row>
    <row r="63" spans="1:3" x14ac:dyDescent="0.25">
      <c r="A63" s="268" t="str">
        <f>IF(Design!G64="","",Design!G64)</f>
        <v>Crosswind control</v>
      </c>
      <c r="B63" s="274" t="str">
        <f>IF(Design!H64="","",Design!H64)</f>
        <v>OK</v>
      </c>
      <c r="C63" s="268" t="str">
        <f>IF(Design!I64="","",Design!I64)</f>
        <v/>
      </c>
    </row>
    <row r="64" spans="1:3" x14ac:dyDescent="0.25">
      <c r="A64" s="261" t="str">
        <f>IF(Design!G65="","",Design!G65)</f>
        <v>Seats drawn</v>
      </c>
      <c r="B64" s="263" t="str">
        <f>IF(Design!H65="","",Design!H65)</f>
        <v>OK</v>
      </c>
      <c r="C64" s="261" t="str">
        <f>IF(Design!I65="","",Design!I65)</f>
        <v/>
      </c>
    </row>
    <row r="65" spans="1:3" x14ac:dyDescent="0.25">
      <c r="A65" s="264" t="str">
        <f>IF(Design!G66="","",Design!G66)</f>
        <v>Tailplane position</v>
      </c>
      <c r="B65" s="278" t="str">
        <f>IF(Design!H66="","",Design!H66)</f>
        <v>OK</v>
      </c>
      <c r="C65" s="264" t="str">
        <f>IF(Design!I66="","",Design!I66)</f>
        <v/>
      </c>
    </row>
    <row r="66" spans="1:3" x14ac:dyDescent="0.25">
      <c r="A66" s="266" t="str">
        <f>IF(Design!G67="","",Design!G67)</f>
        <v>Tyre pressure and pavement loading</v>
      </c>
      <c r="B66" s="267" t="str">
        <f>IF(Design!H67="","",Design!H67)</f>
        <v>OK for major airports (PCN 60-80)</v>
      </c>
      <c r="C66" s="266" t="str">
        <f>IF(Design!I67="","",Design!I67)</f>
        <v/>
      </c>
    </row>
    <row r="68" spans="1:3" x14ac:dyDescent="0.25">
      <c r="A68" s="279" t="s">
        <v>1345</v>
      </c>
      <c r="B68" s="279" t="s">
        <v>1346</v>
      </c>
      <c r="C68" s="279" t="s">
        <v>1303</v>
      </c>
    </row>
    <row r="69" spans="1:3" x14ac:dyDescent="0.25">
      <c r="A69" s="268" t="str">
        <f>Design!A621</f>
        <v>Aspect ratio</v>
      </c>
      <c r="B69" s="268" t="str">
        <f>IF(ISNUMBER(Design!B621),IF(Design!B621=INT(Design!B621),TEXT(Design!B621,"#,##0"),TEXT(Design!B621,"0.000")),Design!B621)&amp;" / "&amp;IF(ISNUMBER(Design!C621),IF(Design!C621=INT(Design!C621),TEXT(Design!C621,"#,##0"),TEXT(Design!C621,"0.000")),Design!C621)</f>
        <v>9.500 / 9.500</v>
      </c>
      <c r="C69" s="268" t="str">
        <f>Design!D621</f>
        <v>OK</v>
      </c>
    </row>
    <row r="70" spans="1:3" x14ac:dyDescent="0.25">
      <c r="A70" s="268" t="str">
        <f>Design!A622</f>
        <v>Oswald efficiency factor</v>
      </c>
      <c r="B70" s="268" t="str">
        <f>IF(ISNUMBER(Design!B622),IF(Design!B622=INT(Design!B622),TEXT(Design!B622,"#,##0"),TEXT(Design!B622,"0.000")),Design!B622)&amp;" / "&amp;IF(ISNUMBER(Design!C622),IF(Design!C622=INT(Design!C622),TEXT(Design!C622,"#,##0"),TEXT(Design!C622,"0.000")),Design!C622)</f>
        <v>0.800 / 0.800</v>
      </c>
      <c r="C70" s="268" t="str">
        <f>Design!D622</f>
        <v>Used as given</v>
      </c>
    </row>
    <row r="71" spans="1:3" x14ac:dyDescent="0.25">
      <c r="A71" s="268" t="str">
        <f>Design!A623</f>
        <v>Zero-lift drag coefficient</v>
      </c>
      <c r="B71" s="268" t="str">
        <f>IF(ISNUMBER(Design!B623),IF(Design!B623=INT(Design!B623),TEXT(Design!B623,"#,##0"),TEXT(Design!B623,"0.000")),Design!B623)&amp;" / "&amp;IF(ISNUMBER(Design!C623),IF(Design!C623=INT(Design!C623),TEXT(Design!C623,"#,##0"),TEXT(Design!C623,"0.000")),Design!C623)</f>
        <v>0.018 / 0.019</v>
      </c>
      <c r="C71" s="268" t="str">
        <f>Design!D623</f>
        <v>OK</v>
      </c>
    </row>
    <row r="72" spans="1:3" x14ac:dyDescent="0.25">
      <c r="A72" s="268" t="str">
        <f>Design!A624</f>
        <v>Maximum payload (kg)</v>
      </c>
      <c r="B72" s="268" t="str">
        <f>IF(ISNUMBER(Design!B624),IF(Design!B624=INT(Design!B624),TEXT(Design!B624,"#,##0"),TEXT(Design!B624,"0.000")),Design!B624)&amp;" / "&amp;IF(ISNUMBER(Design!C624),IF(Design!C624=INT(Design!C624),TEXT(Design!C624,"#,##0"),TEXT(Design!C624,"0.000")),Design!C624)</f>
        <v>17,500 / 17,500</v>
      </c>
      <c r="C72" s="268" t="str">
        <f>Design!D624</f>
        <v>OK</v>
      </c>
    </row>
    <row r="73" spans="1:3" x14ac:dyDescent="0.25">
      <c r="A73" s="268" t="str">
        <f>Design!A625</f>
        <v>Take-off distance available (m)</v>
      </c>
      <c r="B73" s="268" t="str">
        <f>IF(ISNUMBER(Design!B625),IF(Design!B625=INT(Design!B625),TEXT(Design!B625,"#,##0"),TEXT(Design!B625,"0.000")),Design!B625)&amp;" / "&amp;IF(ISNUMBER(Design!C625),IF(Design!C625=INT(Design!C625),TEXT(Design!C625,"#,##0"),TEXT(Design!C625,"0.000")),Design!C625)</f>
        <v>2,200 / 2,200</v>
      </c>
      <c r="C73" s="268" t="str">
        <f>Design!D625</f>
        <v>OK</v>
      </c>
    </row>
    <row r="74" spans="1:3" x14ac:dyDescent="0.25">
      <c r="A74" s="268" t="str">
        <f>Design!A626</f>
        <v>Landing distance available (m)</v>
      </c>
      <c r="B74" s="268" t="str">
        <f>IF(ISNUMBER(Design!B626),IF(Design!B626=INT(Design!B626),TEXT(Design!B626,"#,##0"),TEXT(Design!B626,"0.000")),Design!B626)&amp;" / "&amp;IF(ISNUMBER(Design!C626),IF(Design!C626=INT(Design!C626),TEXT(Design!C626,"#,##0"),TEXT(Design!C626,"0.000")),Design!C626)</f>
        <v>1,670 / 1584.410</v>
      </c>
      <c r="C74" s="268" t="str">
        <f>Design!D626</f>
        <v>OK</v>
      </c>
    </row>
    <row r="75" spans="1:3" x14ac:dyDescent="0.25">
      <c r="A75" s="268" t="str">
        <f>Design!A627</f>
        <v>CLmax, take-off</v>
      </c>
      <c r="B75" s="268" t="str">
        <f>IF(ISNUMBER(Design!B627),IF(Design!B627=INT(Design!B627),TEXT(Design!B627,"#,##0"),TEXT(Design!B627,"0.000")),Design!B627)&amp;" / "&amp;IF(ISNUMBER(Design!C627),IF(Design!C627=INT(Design!C627),TEXT(Design!C627,"#,##0"),TEXT(Design!C627,"0.000")),Design!C627)</f>
        <v>2.100 / 2.100</v>
      </c>
      <c r="C75" s="268" t="str">
        <f>Design!D627</f>
        <v>OK</v>
      </c>
    </row>
    <row r="76" spans="1:3" x14ac:dyDescent="0.25">
      <c r="A76" s="268" t="str">
        <f>Design!A628</f>
        <v>CLmax, landing</v>
      </c>
      <c r="B76" s="268" t="str">
        <f>IF(ISNUMBER(Design!B628),IF(Design!B628=INT(Design!B628),TEXT(Design!B628,"#,##0"),TEXT(Design!B628,"0.000")),Design!B628)&amp;" / "&amp;IF(ISNUMBER(Design!C628),IF(Design!C628=INT(Design!C628),TEXT(Design!C628,"#,##0"),TEXT(Design!C628,"0.000")),Design!C628)</f>
        <v>2.700 / 2.700</v>
      </c>
      <c r="C76" s="268" t="str">
        <f>Design!D628</f>
        <v>OK</v>
      </c>
    </row>
    <row r="77" spans="1:3" x14ac:dyDescent="0.25">
      <c r="A77" s="268" t="str">
        <f>Design!A629</f>
        <v>Cruise thrust lapse</v>
      </c>
      <c r="B77" s="268" t="str">
        <f>IF(ISNUMBER(Design!B629),IF(Design!B629=INT(Design!B629),TEXT(Design!B629,"#,##0"),TEXT(Design!B629,"0.000")),Design!B629)&amp;" / "&amp;IF(ISNUMBER(Design!C629),IF(Design!C629=INT(Design!C629),TEXT(Design!C629,"#,##0"),TEXT(Design!C629,"0.000")),Design!C629)</f>
        <v>0.220 / 0.198</v>
      </c>
      <c r="C77" s="268" t="str">
        <f>Design!D629</f>
        <v>OK</v>
      </c>
    </row>
    <row r="78" spans="1:3" x14ac:dyDescent="0.25">
      <c r="A78" s="268" t="str">
        <f>Design!A630</f>
        <v>Cruise Mach number</v>
      </c>
      <c r="B78" s="268" t="str">
        <f>IF(ISNUMBER(Design!B630),IF(Design!B630=INT(Design!B630),TEXT(Design!B630,"#,##0"),TEXT(Design!B630,"0.000")),Design!B630)&amp;" / "&amp;IF(ISNUMBER(Design!C630),IF(Design!C630=INT(Design!C630),TEXT(Design!C630,"#,##0"),TEXT(Design!C630,"0.000")),Design!C630)</f>
        <v>0.780 / 0.820</v>
      </c>
      <c r="C78" s="268" t="str">
        <f>Design!D630</f>
        <v>OK</v>
      </c>
    </row>
    <row r="79" spans="1:3" x14ac:dyDescent="0.25">
      <c r="A79" s="268" t="str">
        <f>Design!A631</f>
        <v>Cruise TSFC</v>
      </c>
      <c r="B79" s="268" t="str">
        <f>IF(ISNUMBER(Design!B631),IF(Design!B631=INT(Design!B631),TEXT(Design!B631,"#,##0"),TEXT(Design!B631,"0.000")),Design!B631)&amp;" / "&amp;IF(ISNUMBER(Design!C631),IF(Design!C631=INT(Design!C631),TEXT(Design!C631,"#,##0"),TEXT(Design!C631,"0.000")),Design!C631)</f>
        <v>0.600 / 0.600</v>
      </c>
      <c r="C79" s="268" t="str">
        <f>Design!D631</f>
        <v>Used as given</v>
      </c>
    </row>
    <row r="80" spans="1:3" x14ac:dyDescent="0.25">
      <c r="A80" s="268" t="str">
        <f>Design!A632</f>
        <v>Typical passengers</v>
      </c>
      <c r="B80" s="268" t="str">
        <f>IF(ISNUMBER(Design!B632),IF(Design!B632=INT(Design!B632),TEXT(Design!B632,"#,##0"),TEXT(Design!B632,"0.000")),Design!B632)&amp;" / "&amp;IF(ISNUMBER(Design!C632),IF(Design!C632=INT(Design!C632),TEXT(Design!C632,"#,##0"),TEXT(Design!C632,"0.000")),Design!C632)</f>
        <v>150 / 150</v>
      </c>
      <c r="C80" s="268" t="str">
        <f>Design!D632</f>
        <v>OK</v>
      </c>
    </row>
    <row r="81" spans="1:3" x14ac:dyDescent="0.25">
      <c r="A81" s="268" t="str">
        <f>Design!A633</f>
        <v>Design range</v>
      </c>
      <c r="B81" s="268" t="str">
        <f>IF(ISNUMBER(Design!B633),IF(Design!B633=INT(Design!B633),TEXT(Design!B633,"#,##0"),TEXT(Design!B633,"0.000")),Design!B633)&amp;" / "&amp;IF(ISNUMBER(Design!C633),IF(Design!C633=INT(Design!C633),TEXT(Design!C633,"#,##0"),TEXT(Design!C633,"0.000")),Design!C633)</f>
        <v>5,000 / 5,000</v>
      </c>
      <c r="C81" s="268" t="str">
        <f>Design!D633</f>
        <v>OK</v>
      </c>
    </row>
    <row r="82" spans="1:3" x14ac:dyDescent="0.25">
      <c r="A82" s="268" t="str">
        <f>Design!A634</f>
        <v>Typical passenger payload (kg)</v>
      </c>
      <c r="B82" s="268" t="str">
        <f>IF(ISNUMBER(Design!B634),IF(Design!B634=INT(Design!B634),TEXT(Design!B634,"#,##0"),TEXT(Design!B634,"0.000")),Design!B634)&amp;" / "&amp;IF(ISNUMBER(Design!C634),IF(Design!C634=INT(Design!C634),TEXT(Design!C634,"#,##0"),TEXT(Design!C634,"0.000")),Design!C634)</f>
        <v>14,250 / 14,250</v>
      </c>
      <c r="C82" s="268" t="str">
        <f>Design!D634</f>
        <v>OK</v>
      </c>
    </row>
  </sheetData>
  <pageMargins left="0.75" right="0.75" top="1" bottom="1" header="0.5" footer="0.5"/>
  <pageSetup scale="36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D4822"/>
  <sheetViews>
    <sheetView workbookViewId="0"/>
  </sheetViews>
  <sheetFormatPr defaultRowHeight="15" x14ac:dyDescent="0.25"/>
  <cols>
    <col min="63" max="63" width="70" customWidth="1"/>
  </cols>
  <sheetData>
    <row r="1" spans="1:238" x14ac:dyDescent="0.25">
      <c r="A1" s="280" t="s">
        <v>1347</v>
      </c>
      <c r="AS1" s="280" t="s">
        <v>1348</v>
      </c>
      <c r="AT1" s="281">
        <f>1.1*MAX(L_fus,b_w)</f>
        <v>39.183056000000001</v>
      </c>
    </row>
    <row r="4" spans="1:238" x14ac:dyDescent="0.25">
      <c r="A4" s="282" t="s">
        <v>1349</v>
      </c>
      <c r="B4" s="282" t="s">
        <v>396</v>
      </c>
      <c r="C4" s="282" t="s">
        <v>1350</v>
      </c>
      <c r="D4" s="282" t="s">
        <v>446</v>
      </c>
      <c r="E4" s="282" t="s">
        <v>1351</v>
      </c>
      <c r="F4" s="282" t="s">
        <v>1352</v>
      </c>
      <c r="G4" s="282" t="s">
        <v>448</v>
      </c>
      <c r="H4" s="282" t="s">
        <v>369</v>
      </c>
      <c r="K4" s="283" t="s">
        <v>1353</v>
      </c>
      <c r="L4" s="283" t="s">
        <v>1354</v>
      </c>
      <c r="S4" s="284" t="s">
        <v>1355</v>
      </c>
      <c r="T4" s="284" t="s">
        <v>1356</v>
      </c>
      <c r="U4" s="284" t="s">
        <v>1357</v>
      </c>
      <c r="V4" s="284" t="s">
        <v>1358</v>
      </c>
      <c r="X4" s="284" t="s">
        <v>1359</v>
      </c>
      <c r="Y4" s="284" t="s">
        <v>1360</v>
      </c>
      <c r="Z4" s="284" t="s">
        <v>1361</v>
      </c>
      <c r="AA4" s="284" t="s">
        <v>1362</v>
      </c>
      <c r="AC4" s="285" t="s">
        <v>1359</v>
      </c>
      <c r="AD4" s="285" t="s">
        <v>1363</v>
      </c>
      <c r="AE4" s="285" t="s">
        <v>1364</v>
      </c>
      <c r="AG4" s="286" t="s">
        <v>1365</v>
      </c>
      <c r="AH4" s="286" t="s">
        <v>1363</v>
      </c>
      <c r="AI4" s="286" t="s">
        <v>1366</v>
      </c>
      <c r="AJ4" s="286" t="s">
        <v>1367</v>
      </c>
      <c r="AL4" s="286" t="s">
        <v>1359</v>
      </c>
      <c r="AM4" s="286" t="s">
        <v>1363</v>
      </c>
      <c r="AN4" s="286" t="s">
        <v>1364</v>
      </c>
      <c r="AP4" s="287" t="s">
        <v>1359</v>
      </c>
      <c r="AQ4" s="287" t="s">
        <v>1364</v>
      </c>
      <c r="AS4" s="288" t="s">
        <v>1368</v>
      </c>
      <c r="AT4" s="288" t="s">
        <v>1369</v>
      </c>
      <c r="AV4" s="284" t="s">
        <v>1370</v>
      </c>
      <c r="AW4" s="284" t="s">
        <v>1371</v>
      </c>
      <c r="AX4" s="284" t="s">
        <v>1372</v>
      </c>
      <c r="AY4" s="284" t="s">
        <v>1373</v>
      </c>
      <c r="AZ4" s="284" t="s">
        <v>1374</v>
      </c>
      <c r="BA4" s="284" t="s">
        <v>1375</v>
      </c>
      <c r="BB4" s="284" t="s">
        <v>1376</v>
      </c>
      <c r="BD4" s="288" t="s">
        <v>1377</v>
      </c>
      <c r="BE4" s="288" t="s">
        <v>1378</v>
      </c>
      <c r="BF4" s="288" t="s">
        <v>1379</v>
      </c>
      <c r="BG4" s="288" t="s">
        <v>1380</v>
      </c>
      <c r="BH4" s="288" t="s">
        <v>1381</v>
      </c>
      <c r="BK4" s="288" t="s">
        <v>1382</v>
      </c>
      <c r="BM4" s="284" t="s">
        <v>1383</v>
      </c>
      <c r="BN4" s="284" t="s">
        <v>1384</v>
      </c>
      <c r="BO4" s="284" t="s">
        <v>1385</v>
      </c>
      <c r="BQ4" s="284" t="s">
        <v>1386</v>
      </c>
      <c r="BR4" s="284" t="s">
        <v>1387</v>
      </c>
      <c r="BT4" s="284" t="s">
        <v>1388</v>
      </c>
      <c r="BU4" s="284" t="s">
        <v>1389</v>
      </c>
      <c r="BV4" s="284" t="s">
        <v>1390</v>
      </c>
      <c r="BW4" s="284" t="s">
        <v>1391</v>
      </c>
      <c r="BX4" s="284" t="s">
        <v>1392</v>
      </c>
      <c r="BY4" s="284" t="s">
        <v>1393</v>
      </c>
      <c r="CA4" s="284" t="s">
        <v>1394</v>
      </c>
      <c r="CB4" s="284" t="s">
        <v>1395</v>
      </c>
      <c r="CE4" s="284" t="s">
        <v>1396</v>
      </c>
      <c r="CF4" s="284" t="s">
        <v>1397</v>
      </c>
      <c r="CG4" s="284" t="s">
        <v>1398</v>
      </c>
      <c r="CH4" s="284" t="s">
        <v>1399</v>
      </c>
      <c r="CI4" s="284" t="s">
        <v>1400</v>
      </c>
      <c r="CJ4" s="284" t="s">
        <v>1401</v>
      </c>
      <c r="CK4" s="284" t="s">
        <v>1402</v>
      </c>
      <c r="CL4" s="284" t="s">
        <v>1403</v>
      </c>
      <c r="CM4" s="284" t="s">
        <v>1404</v>
      </c>
      <c r="CN4" s="284" t="s">
        <v>1405</v>
      </c>
      <c r="CO4" s="284" t="s">
        <v>1406</v>
      </c>
      <c r="CP4" s="284" t="s">
        <v>1407</v>
      </c>
      <c r="CR4" s="284" t="s">
        <v>1408</v>
      </c>
      <c r="CS4" s="284" t="s">
        <v>1409</v>
      </c>
      <c r="CT4" s="284" t="s">
        <v>1410</v>
      </c>
      <c r="CU4" s="284" t="s">
        <v>1411</v>
      </c>
      <c r="CV4" s="284" t="s">
        <v>1412</v>
      </c>
      <c r="CW4" s="284" t="s">
        <v>1413</v>
      </c>
      <c r="CX4" s="284" t="s">
        <v>1414</v>
      </c>
      <c r="CY4" s="284" t="s">
        <v>1415</v>
      </c>
      <c r="CZ4" s="284" t="s">
        <v>1416</v>
      </c>
      <c r="DA4" s="284" t="s">
        <v>1417</v>
      </c>
      <c r="DB4" s="284" t="s">
        <v>1418</v>
      </c>
      <c r="DC4" s="284" t="s">
        <v>1419</v>
      </c>
      <c r="DD4" s="284" t="s">
        <v>1420</v>
      </c>
      <c r="DE4" s="284" t="s">
        <v>1421</v>
      </c>
      <c r="DF4" s="284" t="s">
        <v>1422</v>
      </c>
      <c r="DG4" s="284" t="s">
        <v>1423</v>
      </c>
      <c r="DH4" s="284" t="s">
        <v>1424</v>
      </c>
      <c r="DJ4" s="284" t="s">
        <v>1425</v>
      </c>
      <c r="DK4" s="284" t="s">
        <v>1426</v>
      </c>
      <c r="DL4" s="284" t="s">
        <v>1427</v>
      </c>
      <c r="DM4" s="284" t="s">
        <v>1428</v>
      </c>
      <c r="DN4" s="284" t="s">
        <v>1429</v>
      </c>
      <c r="DO4" s="284" t="s">
        <v>1430</v>
      </c>
      <c r="DQ4" s="284" t="s">
        <v>1431</v>
      </c>
      <c r="DR4" s="284" t="s">
        <v>1432</v>
      </c>
      <c r="DS4" s="284" t="s">
        <v>1433</v>
      </c>
      <c r="DT4" s="284" t="s">
        <v>1434</v>
      </c>
      <c r="DU4" s="284" t="s">
        <v>1435</v>
      </c>
      <c r="DV4" s="284" t="s">
        <v>1434</v>
      </c>
      <c r="DX4" s="284" t="s">
        <v>1436</v>
      </c>
      <c r="DY4" s="284" t="s">
        <v>1437</v>
      </c>
      <c r="DZ4" s="284" t="s">
        <v>1438</v>
      </c>
      <c r="EA4" s="284" t="s">
        <v>1439</v>
      </c>
      <c r="EB4" s="284" t="s">
        <v>1440</v>
      </c>
      <c r="EC4" s="284" t="s">
        <v>1441</v>
      </c>
      <c r="ED4" s="284" t="s">
        <v>1442</v>
      </c>
      <c r="EE4" s="284" t="s">
        <v>1443</v>
      </c>
      <c r="EG4" s="284" t="s">
        <v>1444</v>
      </c>
      <c r="EH4" s="284" t="s">
        <v>1445</v>
      </c>
      <c r="EI4" s="284" t="s">
        <v>1446</v>
      </c>
      <c r="EJ4" s="284" t="s">
        <v>1447</v>
      </c>
      <c r="EK4" s="284" t="s">
        <v>1448</v>
      </c>
      <c r="EL4" s="284" t="s">
        <v>1449</v>
      </c>
      <c r="EM4" s="284" t="s">
        <v>1450</v>
      </c>
      <c r="EN4" s="284" t="s">
        <v>1451</v>
      </c>
      <c r="EO4" s="284" t="s">
        <v>1452</v>
      </c>
      <c r="EP4" s="284" t="s">
        <v>1452</v>
      </c>
      <c r="ER4" s="284" t="s">
        <v>1453</v>
      </c>
      <c r="ES4" s="284" t="s">
        <v>1454</v>
      </c>
      <c r="ET4" s="284" t="s">
        <v>1455</v>
      </c>
      <c r="EU4" s="284" t="s">
        <v>1456</v>
      </c>
      <c r="EW4" s="284" t="s">
        <v>1457</v>
      </c>
      <c r="EX4" s="284" t="s">
        <v>1458</v>
      </c>
      <c r="EY4" s="284" t="s">
        <v>1459</v>
      </c>
      <c r="EZ4" s="284" t="s">
        <v>460</v>
      </c>
      <c r="GA4" s="284" t="s">
        <v>1460</v>
      </c>
      <c r="GB4" s="284" t="s">
        <v>1461</v>
      </c>
      <c r="GC4" s="284" t="s">
        <v>1462</v>
      </c>
      <c r="GD4" s="284" t="s">
        <v>1463</v>
      </c>
      <c r="GE4" s="284" t="s">
        <v>1464</v>
      </c>
      <c r="GF4" s="284" t="s">
        <v>1465</v>
      </c>
      <c r="GG4" s="284" t="s">
        <v>1466</v>
      </c>
      <c r="GH4" s="284" t="s">
        <v>1467</v>
      </c>
      <c r="GI4" s="284" t="s">
        <v>1468</v>
      </c>
      <c r="GJ4" s="284" t="s">
        <v>1469</v>
      </c>
      <c r="GK4" s="284" t="s">
        <v>1470</v>
      </c>
      <c r="GZ4" s="284" t="s">
        <v>1471</v>
      </c>
      <c r="HA4" s="284" t="s">
        <v>1472</v>
      </c>
      <c r="HB4" s="284" t="s">
        <v>1473</v>
      </c>
      <c r="HC4" s="284" t="s">
        <v>1474</v>
      </c>
      <c r="HF4" s="284" t="s">
        <v>1475</v>
      </c>
      <c r="HG4" s="284" t="s">
        <v>1476</v>
      </c>
      <c r="HH4" s="284" t="s">
        <v>1477</v>
      </c>
      <c r="HI4" s="284" t="s">
        <v>1478</v>
      </c>
      <c r="HJ4" s="284" t="s">
        <v>99</v>
      </c>
      <c r="HK4" s="284" t="s">
        <v>1479</v>
      </c>
      <c r="HL4" s="284" t="s">
        <v>1480</v>
      </c>
      <c r="HM4" s="284" t="s">
        <v>1481</v>
      </c>
      <c r="HN4" s="284" t="s">
        <v>1482</v>
      </c>
      <c r="HO4" s="284" t="s">
        <v>1468</v>
      </c>
      <c r="HP4" s="284" t="s">
        <v>1483</v>
      </c>
      <c r="HQ4" s="284" t="s">
        <v>1484</v>
      </c>
      <c r="HR4" s="284" t="s">
        <v>1485</v>
      </c>
      <c r="HT4" s="284" t="s">
        <v>1370</v>
      </c>
      <c r="HU4" s="284" t="s">
        <v>1371</v>
      </c>
      <c r="HV4" s="284" t="s">
        <v>1372</v>
      </c>
      <c r="HW4" s="284" t="s">
        <v>1373</v>
      </c>
      <c r="HX4" s="284" t="s">
        <v>1374</v>
      </c>
      <c r="HY4" s="284" t="s">
        <v>1383</v>
      </c>
      <c r="HZ4" s="284" t="s">
        <v>1384</v>
      </c>
      <c r="IA4" s="284" t="s">
        <v>1385</v>
      </c>
      <c r="IC4" s="284" t="s">
        <v>1486</v>
      </c>
      <c r="ID4" s="284" t="s">
        <v>1487</v>
      </c>
    </row>
    <row r="5" spans="1:238" x14ac:dyDescent="0.25">
      <c r="A5" s="289">
        <f>10/50</f>
        <v>0.2</v>
      </c>
      <c r="B5" s="290">
        <f t="shared" ref="B5:B36" si="0">A5*WS_max</f>
        <v>1113.2578303411763</v>
      </c>
      <c r="C5" s="291">
        <f t="shared" ref="C5:C36" si="1">B5/grav</f>
        <v>113.52070588235293</v>
      </c>
      <c r="D5" s="281">
        <f t="shared" ref="D5:D36" si="2">TO_slope*B5</f>
        <v>5.7497500381970955E-2</v>
      </c>
      <c r="E5" s="281">
        <f t="shared" ref="E5:E36" si="3">TW_2</f>
        <v>0.2194155421601327</v>
      </c>
      <c r="F5" s="281">
        <f t="shared" ref="F5:F36" si="4">TW_MA</f>
        <v>0.21104328049055099</v>
      </c>
      <c r="G5" s="281">
        <f t="shared" ref="G5:G36" si="5">beta_cr/alpha_cr*(q_cr*CD_0/(beta_cr*B5)+K_ind*beta_cr*B5/q_cr+ROC_cr/V_cr)</f>
        <v>0.79248732034143488</v>
      </c>
      <c r="H5" s="281">
        <f t="shared" ref="H5:H36" si="6">MAX(D5:G5)</f>
        <v>0.79248732034143488</v>
      </c>
      <c r="K5" s="281">
        <f>WS_max</f>
        <v>5566.2891517058815</v>
      </c>
      <c r="L5" s="281">
        <v>0</v>
      </c>
      <c r="S5" s="292" t="s">
        <v>1488</v>
      </c>
      <c r="T5" s="281">
        <f>0*nose_len</f>
        <v>0</v>
      </c>
      <c r="U5" s="281">
        <f>d_fus/2*SQRT(1-(1-0)^2)</f>
        <v>0</v>
      </c>
      <c r="V5" s="281">
        <f t="shared" ref="V5:V13" si="7">-0.3*(d_fus/2-U5)</f>
        <v>-0.59727749999999991</v>
      </c>
      <c r="X5" s="281">
        <f t="shared" ref="X5:X23" si="8">T5-L_fus/2</f>
        <v>-17.810479999999998</v>
      </c>
      <c r="Y5" s="281">
        <f t="shared" ref="Y5:Y23" si="9">V5+1*U5</f>
        <v>-0.59727749999999991</v>
      </c>
      <c r="Z5" s="281">
        <f t="shared" ref="Z5:Z23" si="10">1*U5</f>
        <v>0</v>
      </c>
      <c r="AA5" s="281">
        <f t="shared" ref="AA5:AA23" si="11">T5</f>
        <v>0</v>
      </c>
      <c r="AC5" s="281">
        <f>x_wLE0-L_fus/2</f>
        <v>-7.304846666540648</v>
      </c>
      <c r="AD5" s="281">
        <v>0</v>
      </c>
      <c r="AE5" s="281">
        <f>z_w0</f>
        <v>-1.1945549999999998</v>
      </c>
      <c r="AG5" s="281">
        <f>eta_in</f>
        <v>0.34</v>
      </c>
      <c r="AH5" s="281">
        <f>AG5*b_w/2</f>
        <v>6.0190949159048603</v>
      </c>
      <c r="AI5" s="281">
        <f>IF(AG5=0,L_fus-tail_len-0.2*L_nac,x_wLE0+ABS(AH5)*TAN(RADIANS(sweepLE))-0.8*L_nac)</f>
        <v>10.385503180198061</v>
      </c>
      <c r="AJ5" s="281">
        <f>IF(AG5=0,z_VT0+0.55*D_nac,z_w0+ABS(AH5)*TAN(RADIANS(dihedral))-0.6*D_nac)</f>
        <v>-2.007506832463827</v>
      </c>
      <c r="AL5" s="281">
        <f>AI5+0*L_nac-L_fus/2</f>
        <v>-7.4249768198019375</v>
      </c>
      <c r="AM5" s="281">
        <f>AH5+-1*D_nac/2</f>
        <v>4.9027995806615046</v>
      </c>
      <c r="AN5" s="281">
        <f>AJ5+-1*D_nac/2</f>
        <v>-3.1238021677071828</v>
      </c>
      <c r="AP5" s="281">
        <f>x_main-L_fus/2+0*D_tyre/2</f>
        <v>-0.30456748022266567</v>
      </c>
      <c r="AQ5" s="281">
        <f>-h_cg+D_tyre/2+1*D_tyre/2</f>
        <v>-2.5108116372741147</v>
      </c>
      <c r="AS5" s="281">
        <f>-1*B_box/2</f>
        <v>-19.591528</v>
      </c>
      <c r="AT5" s="281">
        <f>-1*B_box/2</f>
        <v>-19.591528</v>
      </c>
      <c r="AV5" s="293">
        <v>0</v>
      </c>
      <c r="AW5" s="293">
        <f t="shared" ref="AW5:AW14" si="12">MIN(AV5,n_SA-1)</f>
        <v>0</v>
      </c>
      <c r="AX5" s="281">
        <f t="shared" ref="AX5:AX14" si="13">-w_cabin/2+0.025+(1)*(AW5*seat_w+aisle_w*((AW5&gt;=aisle1)+(AW5&gt;=aisle2)))</f>
        <v>-1.84</v>
      </c>
      <c r="AY5" s="293">
        <f>MAX(0,MIN(0,n_rows-1))</f>
        <v>0</v>
      </c>
      <c r="AZ5" s="281">
        <f t="shared" ref="AZ5:AZ36" si="14">x_eco0+AY5*(seat_pitch)</f>
        <v>6.5</v>
      </c>
      <c r="BA5" s="281">
        <f>nose_len+0*L_cabin</f>
        <v>4</v>
      </c>
      <c r="BB5" s="281">
        <f>-1*w_cabin/2</f>
        <v>-1.865</v>
      </c>
      <c r="BC5" s="281">
        <f>BA5-L_fus/2</f>
        <v>-13.810479999999998</v>
      </c>
      <c r="BD5" s="281">
        <f t="shared" ref="BD5:BD23" si="15">T5-L_fus/2</f>
        <v>-17.810479999999998</v>
      </c>
      <c r="BE5" s="281">
        <f t="shared" ref="BE5:BE23" si="16">U5*1</f>
        <v>0</v>
      </c>
      <c r="BF5" s="281">
        <f t="shared" ref="BF5:BF23" si="17">V5+U5*0</f>
        <v>-0.59727749999999991</v>
      </c>
      <c r="BG5" s="281">
        <f t="shared" ref="BG5:BG68" si="18">BD5*COS(RADIANS(view_az))+BE5*SIN(RADIANS(view_az))</f>
        <v>-13.643619233281694</v>
      </c>
      <c r="BH5" s="281">
        <f t="shared" ref="BH5:BH68" si="19">BF5*COS(RADIANS(view_el))+(BE5*COS(RADIANS(view_az))-BD5*SIN(RADIANS(view_az)))*SIN(RADIANS(view_el))</f>
        <v>4.2969670068469323</v>
      </c>
      <c r="BK5" s="292" t="str">
        <f>"Fuselage: L = "&amp;TEXT(L_fus,"0.0")&amp;" m, d = "&amp;TEXT(d_fus,"0.00")&amp;" m"</f>
        <v>Fuselage: L = 35.6 m, d = 3.98 m</v>
      </c>
      <c r="BM5" s="281">
        <f>$AZ$5+0.2*(seat_pitch)*($AY$5*n_SA+$AW$5&lt;pax_e)</f>
        <v>6.6619999999999999</v>
      </c>
      <c r="BN5" s="281">
        <f>$AX$5</f>
        <v>-1.84</v>
      </c>
      <c r="BO5" s="281">
        <f t="shared" ref="BO5:BO68" si="20">BM5-L_fus/2</f>
        <v>-11.148479999999999</v>
      </c>
      <c r="BQ5" s="281">
        <f>0.5*nose_len+0*MIN(0.6,0.2*nose_len)</f>
        <v>2</v>
      </c>
      <c r="BR5" s="281">
        <f>-1*MIN(0.55,0.2*d_fus)+-1*MIN(0.5,0.25*d_fus)/2</f>
        <v>-0.8</v>
      </c>
      <c r="BT5" s="293">
        <v>0</v>
      </c>
      <c r="BU5" s="293">
        <f t="shared" ref="BU5:BU16" si="21">MIN(BT5,n_lav-1)</f>
        <v>0</v>
      </c>
      <c r="BV5" s="293">
        <f t="shared" ref="BV5:BV16" si="22">IF(BU5&lt;n_lav_front,1,0)</f>
        <v>1</v>
      </c>
      <c r="BW5" s="293">
        <f t="shared" ref="BW5:BW16" si="23">IF(BV5=1,BU5,BU5-n_lav_front)</f>
        <v>0</v>
      </c>
      <c r="BX5" s="281">
        <f t="shared" ref="BX5:BX16" si="24">IF(BV5=1,nose_len,x_seat_end+door_len)+INT(BW5/lav_slots)*lav_len</f>
        <v>4</v>
      </c>
      <c r="BY5" s="281">
        <f t="shared" ref="BY5:BY16" si="25">CHOOSE(MOD(BW5,lav_slots)+1,-w_cabin/2,w_cabin/2-lav_w,-lav_w/2)</f>
        <v>-1.865</v>
      </c>
      <c r="CA5" s="281">
        <f>$BX$5+0*lav_len</f>
        <v>4</v>
      </c>
      <c r="CB5" s="281">
        <f>$BY$5+0*lav_w</f>
        <v>-1.865</v>
      </c>
      <c r="CE5" s="281">
        <f>0/24*CLmax_c</f>
        <v>0</v>
      </c>
      <c r="CF5" s="294">
        <f t="shared" ref="CF5:CF29" si="26">CD_0+K_ind*CE5^2</f>
        <v>1.7999999999999999E-2</v>
      </c>
      <c r="CG5" s="289">
        <f t="shared" ref="CG5:CG29" si="27">CE5/CF5</f>
        <v>0</v>
      </c>
      <c r="CH5" s="281">
        <f>0/24*CLmaxTO</f>
        <v>0</v>
      </c>
      <c r="CI5" s="294">
        <f t="shared" ref="CI5:CI29" si="28">CD_0+dCD0_f2+K_ind*CH5^2</f>
        <v>3.5916666666666666E-2</v>
      </c>
      <c r="CJ5" s="289">
        <f t="shared" ref="CJ5:CJ29" si="29">CH5/CI5</f>
        <v>0</v>
      </c>
      <c r="CK5" s="281">
        <f>0/24*CLmaxL</f>
        <v>0</v>
      </c>
      <c r="CL5" s="294">
        <f t="shared" ref="CL5:CL29" si="30">CD_0+dCD0_fMA+dCD0_gear+K_ind*CK5^2</f>
        <v>5.7881656804733742E-2</v>
      </c>
      <c r="CM5" s="289">
        <f t="shared" ref="CM5:CM29" si="31">CK5/CL5</f>
        <v>0</v>
      </c>
      <c r="CN5" s="294">
        <f>CD_cr</f>
        <v>2.8034333175992809E-2</v>
      </c>
      <c r="CO5" s="281">
        <f>CL_cr</f>
        <v>0.48946990117802164</v>
      </c>
      <c r="CP5" s="289">
        <f>LD_cr</f>
        <v>17.459659129583972</v>
      </c>
      <c r="CR5" s="293">
        <f>0/28*h_abs</f>
        <v>0</v>
      </c>
      <c r="CS5" s="289">
        <f t="shared" ref="CS5:CS33" si="32">IF(CR5&lt;=11000,288.15-0.0065*CR5,216.65)</f>
        <v>288.14999999999998</v>
      </c>
      <c r="CT5" s="294">
        <f t="shared" ref="CT5:CT33" si="33">IF(CR5&lt;=11000,rho_SL*(CS5/288.15)^4.25588,0.36392*EXP(-(CR5-11000)/6341.62))</f>
        <v>1.2250000000000001</v>
      </c>
      <c r="CU5" s="291">
        <f t="shared" ref="CU5:CU33" si="34">SQRT(1.4*287.053*CS5)</f>
        <v>340.29406508195228</v>
      </c>
      <c r="CV5" s="294">
        <f t="shared" ref="CV5:CV33" si="35">TW_p*(CT5/rho_SL)^lapse_n</f>
        <v>0.28981834697043085</v>
      </c>
      <c r="CW5" s="291">
        <f t="shared" ref="CW5:CW33" si="36">MIN(M_MO*CU5,SQRT(CV5*WS_p*(1+SQRT(1+3/(LD_max^2*CV5^2)))/(3*CT5*CD_0)))</f>
        <v>211.40613348173278</v>
      </c>
      <c r="CX5" s="289">
        <f t="shared" ref="CX5:CX33" si="37">MAX(0,CW5*(CV5-0.5*CT5*CW5^2*CD_0/WS_p-K_ind*WS_p/(0.5*CT5*CW5^2)))</f>
        <v>38.702804230993934</v>
      </c>
      <c r="CY5" s="293">
        <f t="shared" ref="CY5:CY32" si="38">IF(CR5&gt;=h_cr,0,(MIN(CR6,h_cr)-CR5)/MAX(0.05,(CX5+CX6)/2))</f>
        <v>10.904191562311908</v>
      </c>
      <c r="CZ5" s="295">
        <f t="shared" ref="CZ5:CZ33" si="39">MAX(0,CV5^2-4*CD_0*K_ind)</f>
        <v>8.0979106897879238E-2</v>
      </c>
      <c r="DA5" s="291">
        <f t="shared" ref="DA5:DA33" si="40">MAX(SQRT(2*WS_p/(CT5*CLmax_c)),SQRT(2*WS_p*(CV5-SQRT(CZ5))/(2*CD_0)/CT5))</f>
        <v>73.549860542476893</v>
      </c>
      <c r="DB5" s="291">
        <f t="shared" ref="DB5:DB33" si="41">MAX(DA5,MIN(M_MO*CU5,SQRT(2*WS_p*(CV5+SQRT(CZ5))/(2*CD_0)/CT5)))</f>
        <v>279.04113336720087</v>
      </c>
      <c r="DC5" s="281">
        <f t="shared" ref="DC5:DC33" si="42">DA5/CU5</f>
        <v>0.21613618364094608</v>
      </c>
      <c r="DD5" s="281">
        <f t="shared" ref="DD5:DD33" si="43">DB5/CU5</f>
        <v>0.82</v>
      </c>
      <c r="DE5" s="281">
        <v>0</v>
      </c>
      <c r="DF5" s="293">
        <f>h_cr</f>
        <v>10668</v>
      </c>
      <c r="DG5" s="281">
        <f>MCR</f>
        <v>0.78</v>
      </c>
      <c r="DH5" s="293">
        <f>h_cr</f>
        <v>10668</v>
      </c>
      <c r="DJ5" s="291">
        <f>0/10*V_A</f>
        <v>0</v>
      </c>
      <c r="DK5" s="289">
        <f>(0/10*V_A/V_S1)^2</f>
        <v>0</v>
      </c>
      <c r="DL5" s="291">
        <v>0</v>
      </c>
      <c r="DM5" s="289">
        <v>1</v>
      </c>
      <c r="DN5" s="291">
        <v>0</v>
      </c>
      <c r="DO5" s="289">
        <v>1</v>
      </c>
      <c r="DQ5" s="296">
        <f>Design!$D$441</f>
        <v>0.43553093088201961</v>
      </c>
      <c r="DR5" s="290">
        <f>Design!$B$441</f>
        <v>35727.299588860682</v>
      </c>
      <c r="DS5" s="296">
        <f>x_np</f>
        <v>0.57069572838201588</v>
      </c>
      <c r="DT5" s="290">
        <f>0.95*OEW</f>
        <v>33940.934609417644</v>
      </c>
      <c r="DU5" s="296">
        <f>x_np-0.05</f>
        <v>0.52069572838201583</v>
      </c>
      <c r="DV5" s="290">
        <f>0.95*OEW</f>
        <v>33940.934609417644</v>
      </c>
      <c r="DX5" s="281">
        <f>d_fus/2*1</f>
        <v>1.9909249999999998</v>
      </c>
      <c r="DY5" s="281">
        <f>d_fus/2*0</f>
        <v>0</v>
      </c>
      <c r="DZ5" s="281">
        <f>-b_w/2</f>
        <v>-17.703220340896646</v>
      </c>
      <c r="EA5" s="281">
        <f>z_w0+b_w/2*TAN(RADIANS(dihedral))</f>
        <v>0.35427608773000063</v>
      </c>
      <c r="EB5" s="281">
        <f>$AH$5+D_nac/2*1</f>
        <v>7.1353902511482161</v>
      </c>
      <c r="EC5" s="281">
        <f>$AJ$5+D_nac/2*0</f>
        <v>-2.007506832463827</v>
      </c>
      <c r="ED5" s="281">
        <f>-track/2+0*2.2*w_tyre/2</f>
        <v>-3.5406440681793292</v>
      </c>
      <c r="EE5" s="281">
        <f>z_w0+track/2*TAN(RADIANS(dihedral))</f>
        <v>-0.88478878245399972</v>
      </c>
      <c r="EG5" s="281">
        <f>d_fus/2*1</f>
        <v>1.9909249999999998</v>
      </c>
      <c r="EH5" s="281">
        <f>d_fus/2*0</f>
        <v>0</v>
      </c>
      <c r="EI5" s="281">
        <f>w_cabin/2*1</f>
        <v>1.865</v>
      </c>
      <c r="EJ5" s="281">
        <f>w_cabin/2*0</f>
        <v>0</v>
      </c>
      <c r="EK5" s="281">
        <f>-1*SQRT(MAX(0,(w_cabin/2)^2-(z_floor)^2))</f>
        <v>-1.7658496538493871</v>
      </c>
      <c r="EL5" s="281">
        <f>z_floor</f>
        <v>-0.6</v>
      </c>
      <c r="EM5" s="281">
        <f>$AX$5+0.05*seat_w</f>
        <v>-1.8135000000000001</v>
      </c>
      <c r="EN5" s="281">
        <f>z_floor+0</f>
        <v>-0.6</v>
      </c>
      <c r="EO5" s="281">
        <f>-1*0.6*d_fus</f>
        <v>-2.3891099999999996</v>
      </c>
      <c r="EP5" s="281">
        <f>-1*0.6*d_fus</f>
        <v>-2.3891099999999996</v>
      </c>
      <c r="ER5" s="281">
        <f>IF(0&lt;n_door,x_door_f+IF(n_door&gt;1,0/(n_door-1),0)*(x_door_r-x_door_f),IF(0&lt;n_door+n_overwing,x_ac_w+(0-n_door-(n_overwing-1)/2)*seat_pitch,x_door_f))</f>
        <v>5.75</v>
      </c>
      <c r="ES5" s="281">
        <f>-1*w_cabin/2</f>
        <v>-1.865</v>
      </c>
      <c r="ET5" s="281">
        <f>x_seat0-door_len+0*0.6</f>
        <v>5</v>
      </c>
      <c r="EU5" s="281">
        <f>w_cabin/2-gal_w+0*gal_w</f>
        <v>0.2649999999999999</v>
      </c>
      <c r="EW5" s="292" t="s">
        <v>1489</v>
      </c>
      <c r="EX5" s="290">
        <f>W_pl</f>
        <v>14250</v>
      </c>
      <c r="EY5" s="294">
        <f>k_res*(1-ff_fixed*EXP(-Range_km*0.9*1000*TSFC_s*1/(V_cr*LD_cr)))</f>
        <v>0.2807935961844123</v>
      </c>
      <c r="EZ5" s="294">
        <f t="shared" ref="EZ5:EZ14" si="44">A_emp</f>
        <v>0.97</v>
      </c>
      <c r="FA5" s="290">
        <f t="shared" ref="FA5:FA16" si="45">MTOW_frac</f>
        <v>71061.950546004198</v>
      </c>
      <c r="FB5" s="290">
        <f t="shared" ref="FB5:FY5" si="46">IF(1-$EY5-$EZ5*FA5^C_emp&gt;0.02,(W_crew+$EX5)/(1-$EY5-$EZ5*FA5^C_emp),FA5)</f>
        <v>65990.314329163011</v>
      </c>
      <c r="FC5" s="290">
        <f t="shared" si="46"/>
        <v>66650.71083578172</v>
      </c>
      <c r="FD5" s="290">
        <f t="shared" si="46"/>
        <v>66560.957829261853</v>
      </c>
      <c r="FE5" s="290">
        <f t="shared" si="46"/>
        <v>66573.086327805067</v>
      </c>
      <c r="FF5" s="290">
        <f t="shared" si="46"/>
        <v>66571.446109079814</v>
      </c>
      <c r="FG5" s="290">
        <f t="shared" si="46"/>
        <v>66571.667903681358</v>
      </c>
      <c r="FH5" s="290">
        <f t="shared" si="46"/>
        <v>66571.637911618862</v>
      </c>
      <c r="FI5" s="290">
        <f t="shared" si="46"/>
        <v>66571.641967272517</v>
      </c>
      <c r="FJ5" s="290">
        <f t="shared" si="46"/>
        <v>66571.641418849744</v>
      </c>
      <c r="FK5" s="290">
        <f t="shared" si="46"/>
        <v>66571.641493009767</v>
      </c>
      <c r="FL5" s="290">
        <f t="shared" si="46"/>
        <v>66571.641482981533</v>
      </c>
      <c r="FM5" s="290">
        <f t="shared" si="46"/>
        <v>66571.641484337611</v>
      </c>
      <c r="FN5" s="290">
        <f t="shared" si="46"/>
        <v>66571.641484154257</v>
      </c>
      <c r="FO5" s="290">
        <f t="shared" si="46"/>
        <v>66571.641484179039</v>
      </c>
      <c r="FP5" s="290">
        <f t="shared" si="46"/>
        <v>66571.641484175692</v>
      </c>
      <c r="FQ5" s="290">
        <f t="shared" si="46"/>
        <v>66571.641484176158</v>
      </c>
      <c r="FR5" s="290">
        <f t="shared" si="46"/>
        <v>66571.641484176085</v>
      </c>
      <c r="FS5" s="290">
        <f t="shared" si="46"/>
        <v>66571.641484176085</v>
      </c>
      <c r="FT5" s="290">
        <f t="shared" si="46"/>
        <v>66571.641484176085</v>
      </c>
      <c r="FU5" s="290">
        <f t="shared" si="46"/>
        <v>66571.641484176085</v>
      </c>
      <c r="FV5" s="290">
        <f t="shared" si="46"/>
        <v>66571.641484176085</v>
      </c>
      <c r="FW5" s="290">
        <f t="shared" si="46"/>
        <v>66571.641484176085</v>
      </c>
      <c r="FX5" s="290">
        <f t="shared" si="46"/>
        <v>66571.641484176085</v>
      </c>
      <c r="FY5" s="290">
        <f t="shared" si="46"/>
        <v>66571.641484176085</v>
      </c>
      <c r="GA5" s="292" t="s">
        <v>1490</v>
      </c>
      <c r="GB5" s="297">
        <v>7</v>
      </c>
      <c r="GC5" s="297">
        <v>6291</v>
      </c>
      <c r="GD5" s="297">
        <v>3850</v>
      </c>
      <c r="GE5" s="297">
        <v>27.3</v>
      </c>
      <c r="GF5" s="297">
        <v>16.260000000000002</v>
      </c>
      <c r="GG5" s="297">
        <v>15.59</v>
      </c>
      <c r="GH5" s="297">
        <v>12.5</v>
      </c>
      <c r="GI5" s="297">
        <v>2</v>
      </c>
      <c r="GJ5" s="297">
        <v>3480</v>
      </c>
      <c r="GK5" s="281">
        <f t="shared" ref="GK5:GK28" si="47">ABS(LN(GC5/MTOW))+ABS(LN(MAX(1,GB5)/MAX(1,PaxTyp)))</f>
        <v>5.4891571439515623</v>
      </c>
      <c r="GZ5" s="292" t="s">
        <v>1491</v>
      </c>
      <c r="HA5" s="294">
        <v>0.38</v>
      </c>
      <c r="HB5" s="294">
        <v>0.54</v>
      </c>
      <c r="HF5" s="297">
        <f>MTOW_frac</f>
        <v>71061.950546004198</v>
      </c>
      <c r="HG5" s="297">
        <f t="shared" ref="HG5:HG44" si="48">HF5*grav/WS_des</f>
        <v>131.95958334245759</v>
      </c>
      <c r="HH5" s="297">
        <f t="shared" ref="HH5:HH44" si="49">SQRT(AR_*HG5)</f>
        <v>35.406440681793292</v>
      </c>
      <c r="HI5" s="297">
        <f t="shared" ref="HI5:HI44" si="50">2*HG5/(HH5*(1+taper))</f>
        <v>5.963190009565186</v>
      </c>
      <c r="HJ5" s="297">
        <f t="shared" ref="HJ5:HJ44" si="51">2/3*HI5*(1+taper+taper^2)/(1+taper)</f>
        <v>4.1742330066956299</v>
      </c>
      <c r="HK5" s="297">
        <f t="shared" ref="HK5:HK44" si="52">49*MAX(0.5*HG5,HG5-d_fus*HI5*(1-(1-taper)*d_fus/(2*HH5)))</f>
        <v>5351.6051581008105</v>
      </c>
      <c r="HL5" s="297">
        <f t="shared" ref="HL5:HL44" si="53">27*(c_HT*HJ5*HG5/L_tail+c_VT*HH5*HG5/L_tail)</f>
        <v>1636.1093683135246</v>
      </c>
      <c r="HM5" s="297">
        <f t="shared" ref="HM5:HM44" si="54">24*S_wet_fus</f>
        <v>9147.0379438144791</v>
      </c>
      <c r="HN5" s="297">
        <f t="shared" ref="HN5:HN44" si="55">0.043*HF5</f>
        <v>3055.6638734781804</v>
      </c>
      <c r="HO5" s="297">
        <f t="shared" ref="HO5:HO44" si="56">1.3*N_eng*14.7*(TW_des*HF5*grav/N_eng/1000)^1.1*EXP(-0.045*BPR)</f>
        <v>4573.6411430649832</v>
      </c>
      <c r="HP5" s="297">
        <f t="shared" ref="HP5:HP44" si="57">0.17*HF5</f>
        <v>12080.531592820715</v>
      </c>
      <c r="HQ5" s="297">
        <f t="shared" ref="HQ5:HQ44" si="58">SUM(HK5:HP5)</f>
        <v>35844.58907959269</v>
      </c>
      <c r="HR5" s="297">
        <f t="shared" ref="HR5:HR44" si="59">IF(fuel_frac&lt;0.95,MIN(100*MTOW_frac,(W_crew+W_pl+HQ5)/(1-fuel_frac)),HF5)</f>
        <v>71889.898981278981</v>
      </c>
      <c r="HT5" s="293">
        <v>0</v>
      </c>
      <c r="HU5" s="293">
        <f t="shared" ref="HU5:HU11" si="60">MIN(HT5,n_SA_b-1)</f>
        <v>0</v>
      </c>
      <c r="HV5" s="281">
        <f t="shared" ref="HV5:HV11" si="61">-w_cabin/2+0.025+(n_rows_b&gt;0)*(HU5*seat_w_b+aisle_w*((HU5&gt;=aisle1_b)+(HU5&gt;=aisle2_b)))</f>
        <v>-1.84</v>
      </c>
      <c r="HW5" s="293">
        <f>MAX(0,MIN(0,n_rows_b-1))</f>
        <v>0</v>
      </c>
      <c r="HX5" s="281">
        <f t="shared" ref="HX5:HX24" si="62">x_seat0+HW5*(bus_pitch*(n_rows_b&gt;0))</f>
        <v>6.5</v>
      </c>
      <c r="HY5" s="281">
        <f>$HX$5+0.2*(bus_pitch*(n_rows_b&gt;0))*($HW$5*n_SA_b+$HU$5&lt;pax_b)</f>
        <v>6.5</v>
      </c>
      <c r="HZ5" s="281">
        <f>$HV$5</f>
        <v>-1.84</v>
      </c>
      <c r="IA5" s="281">
        <f t="shared" ref="IA5:IA68" si="63">HY5-L_fus/2</f>
        <v>-11.310479999999998</v>
      </c>
      <c r="IC5" s="281">
        <f>x_wLE0+(d_fus/2)*TAN(RADIANS(sweepLE))-L_fus/2+0.15*c_root*(1-(1-taper)*2*(d_fus/2)/b_w)</f>
        <v>-5.3814091449150432</v>
      </c>
      <c r="ID5" s="281">
        <f>1*d_fus/2</f>
        <v>1.9909249999999998</v>
      </c>
    </row>
    <row r="6" spans="1:238" x14ac:dyDescent="0.25">
      <c r="A6" s="289">
        <f>11/50</f>
        <v>0.22</v>
      </c>
      <c r="B6" s="290">
        <f t="shared" si="0"/>
        <v>1224.5836133752939</v>
      </c>
      <c r="C6" s="291">
        <f t="shared" si="1"/>
        <v>124.87277647058822</v>
      </c>
      <c r="D6" s="281">
        <f t="shared" si="2"/>
        <v>6.3247250420168058E-2</v>
      </c>
      <c r="E6" s="281">
        <f t="shared" si="3"/>
        <v>0.2194155421601327</v>
      </c>
      <c r="F6" s="281">
        <f t="shared" si="4"/>
        <v>0.21104328049055099</v>
      </c>
      <c r="G6" s="281">
        <f t="shared" si="5"/>
        <v>0.72649434809411528</v>
      </c>
      <c r="H6" s="281">
        <f t="shared" si="6"/>
        <v>0.72649434809411528</v>
      </c>
      <c r="K6" s="281">
        <f>WS_max</f>
        <v>5566.2891517058815</v>
      </c>
      <c r="L6" s="281">
        <v>0.8</v>
      </c>
      <c r="S6" s="292" t="s">
        <v>1492</v>
      </c>
      <c r="T6" s="281">
        <f>0.02*nose_len</f>
        <v>0.08</v>
      </c>
      <c r="U6" s="281">
        <f>d_fus/2*SQRT(1-(1-0.02)^2)</f>
        <v>0.39618907264429987</v>
      </c>
      <c r="V6" s="281">
        <f t="shared" si="7"/>
        <v>-0.47842077820670997</v>
      </c>
      <c r="X6" s="281">
        <f t="shared" si="8"/>
        <v>-17.73048</v>
      </c>
      <c r="Y6" s="281">
        <f t="shared" si="9"/>
        <v>-8.2231705562410107E-2</v>
      </c>
      <c r="Z6" s="281">
        <f t="shared" si="10"/>
        <v>0.39618907264429987</v>
      </c>
      <c r="AA6" s="281">
        <f t="shared" si="11"/>
        <v>0.08</v>
      </c>
      <c r="AC6" s="281">
        <f>x_wLE0+b_w/2*TAN(RADIANS(sweepLE))-L_fus/2</f>
        <v>2.5154720114824372</v>
      </c>
      <c r="AD6" s="281">
        <f>b_w/2</f>
        <v>17.703220340896646</v>
      </c>
      <c r="AE6" s="281">
        <f>z_w0+b_w/2*TAN(RADIANS(dihedral))</f>
        <v>0.35427608773000063</v>
      </c>
      <c r="AG6" s="281">
        <f>-eta_in</f>
        <v>-0.34</v>
      </c>
      <c r="AH6" s="281">
        <f>AG6*b_w/2</f>
        <v>-6.0190949159048603</v>
      </c>
      <c r="AI6" s="281">
        <f>IF(AG6=0,L_fus-tail_len-0.2*L_nac,x_wLE0+ABS(AH6)*TAN(RADIANS(sweepLE))-0.8*L_nac)</f>
        <v>10.385503180198061</v>
      </c>
      <c r="AJ6" s="281">
        <f>IF(AG6=0,z_VT0+0.55*D_nac,z_w0+ABS(AH6)*TAN(RADIANS(dihedral))-0.6*D_nac)</f>
        <v>-2.007506832463827</v>
      </c>
      <c r="AL6" s="281">
        <f>AI5+1*L_nac-L_fus/2</f>
        <v>-3.1011786900655132</v>
      </c>
      <c r="AM6" s="281">
        <f>AH5+-1*D_nac/2</f>
        <v>4.9027995806615046</v>
      </c>
      <c r="AN6" s="281">
        <f>AJ5+-1*D_nac/2</f>
        <v>-3.1238021677071828</v>
      </c>
      <c r="AP6" s="281">
        <f>x_main-L_fus/2+-0.5*D_tyre/2</f>
        <v>-0.59269007090413706</v>
      </c>
      <c r="AQ6" s="281">
        <f>-h_cg+D_tyre/2+0.86603*D_tyre/2</f>
        <v>-2.5880112042213081</v>
      </c>
      <c r="AS6" s="281">
        <f>1*B_box/2</f>
        <v>19.591528</v>
      </c>
      <c r="AT6" s="281">
        <f>1*B_box/2</f>
        <v>19.591528</v>
      </c>
      <c r="AV6" s="293">
        <v>1</v>
      </c>
      <c r="AW6" s="293">
        <f t="shared" si="12"/>
        <v>1</v>
      </c>
      <c r="AX6" s="281">
        <f t="shared" si="13"/>
        <v>-1.31</v>
      </c>
      <c r="AY6" s="293">
        <f>MAX(0,MIN(1,n_rows-1))</f>
        <v>1</v>
      </c>
      <c r="AZ6" s="281">
        <f t="shared" si="14"/>
        <v>7.3100000000000005</v>
      </c>
      <c r="BA6" s="281">
        <f>nose_len+1*L_cabin</f>
        <v>29.25</v>
      </c>
      <c r="BB6" s="281">
        <f>-1*w_cabin/2</f>
        <v>-1.865</v>
      </c>
      <c r="BC6" s="281">
        <f>BA6-L_fus/2</f>
        <v>11.439520000000002</v>
      </c>
      <c r="BD6" s="281">
        <f t="shared" si="15"/>
        <v>-17.73048</v>
      </c>
      <c r="BE6" s="281">
        <f t="shared" si="16"/>
        <v>0.39618907264429987</v>
      </c>
      <c r="BF6" s="281">
        <f t="shared" si="17"/>
        <v>-0.47842077820670997</v>
      </c>
      <c r="BG6" s="281">
        <f t="shared" si="18"/>
        <v>-13.327670250843221</v>
      </c>
      <c r="BH6" s="281">
        <f t="shared" si="19"/>
        <v>4.5112194588751588</v>
      </c>
      <c r="BK6" s="292" t="str">
        <f>"Wing: S = "&amp;TEXT(S_ref,"0.0")&amp;" m2, b = "&amp;TEXT(b_w,"0.0")&amp;" m, c/4 sweep "&amp;TEXT(sweep25,"0")&amp;" deg"</f>
        <v>Wing: S = 132.0 m2, b = 35.4 m, c/4 sweep 26 deg</v>
      </c>
      <c r="BM6" s="281">
        <f>$AZ$5+0.2*(seat_pitch)*($AY$5*n_SA+$AW$5&lt;pax_e)</f>
        <v>6.6619999999999999</v>
      </c>
      <c r="BN6" s="281">
        <f>$AX$5+seat_w*($AY$5*n_SA+$AW$5&lt;pax_e)</f>
        <v>-1.31</v>
      </c>
      <c r="BO6" s="281">
        <f t="shared" si="20"/>
        <v>-11.148479999999999</v>
      </c>
      <c r="BQ6" s="281">
        <f>0.5*nose_len+1*MIN(0.6,0.2*nose_len)</f>
        <v>2.6</v>
      </c>
      <c r="BR6" s="281">
        <f>-1*MIN(0.55,0.2*d_fus)+-1*MIN(0.5,0.25*d_fus)/2</f>
        <v>-0.8</v>
      </c>
      <c r="BT6" s="293">
        <v>1</v>
      </c>
      <c r="BU6" s="293">
        <f t="shared" si="21"/>
        <v>1</v>
      </c>
      <c r="BV6" s="293">
        <f t="shared" si="22"/>
        <v>0</v>
      </c>
      <c r="BW6" s="293">
        <f t="shared" si="23"/>
        <v>0</v>
      </c>
      <c r="BX6" s="281">
        <f t="shared" si="24"/>
        <v>28.25</v>
      </c>
      <c r="BY6" s="281">
        <f t="shared" si="25"/>
        <v>-1.865</v>
      </c>
      <c r="CA6" s="281">
        <f>$BX$5+1*lav_len</f>
        <v>5</v>
      </c>
      <c r="CB6" s="281">
        <f>$BY$5+0*lav_w</f>
        <v>-1.865</v>
      </c>
      <c r="CE6" s="281">
        <f>1/24*CLmax_c</f>
        <v>6.25E-2</v>
      </c>
      <c r="CF6" s="294">
        <f t="shared" si="26"/>
        <v>1.8163604999066503E-2</v>
      </c>
      <c r="CG6" s="289">
        <f t="shared" si="27"/>
        <v>3.4409468826927316</v>
      </c>
      <c r="CH6" s="281">
        <f>1/24*CLmaxTO</f>
        <v>8.7499999999999994E-2</v>
      </c>
      <c r="CI6" s="294">
        <f t="shared" si="28"/>
        <v>3.6237332464837013E-2</v>
      </c>
      <c r="CJ6" s="289">
        <f t="shared" si="29"/>
        <v>2.4146368964908174</v>
      </c>
      <c r="CK6" s="281">
        <f>1/24*CLmaxL</f>
        <v>0.1125</v>
      </c>
      <c r="CL6" s="294">
        <f t="shared" si="30"/>
        <v>5.8411737001709214E-2</v>
      </c>
      <c r="CM6" s="289">
        <f t="shared" si="31"/>
        <v>1.9259827865880463</v>
      </c>
      <c r="CR6" s="293">
        <f>1/28*h_abs</f>
        <v>409.47916902040822</v>
      </c>
      <c r="CS6" s="289">
        <f t="shared" si="32"/>
        <v>285.48838540136734</v>
      </c>
      <c r="CT6" s="294">
        <f t="shared" si="33"/>
        <v>1.1775629378716337</v>
      </c>
      <c r="CU6" s="291">
        <f t="shared" si="34"/>
        <v>338.71878674272875</v>
      </c>
      <c r="CV6" s="294">
        <f t="shared" si="35"/>
        <v>0.27539695270557196</v>
      </c>
      <c r="CW6" s="291">
        <f t="shared" si="36"/>
        <v>210.46976076177447</v>
      </c>
      <c r="CX6" s="289">
        <f t="shared" si="37"/>
        <v>36.402106881479298</v>
      </c>
      <c r="CY6" s="293">
        <f t="shared" si="38"/>
        <v>11.599420227175262</v>
      </c>
      <c r="CZ6" s="295">
        <f t="shared" si="39"/>
        <v>7.2827914216721232E-2</v>
      </c>
      <c r="DA6" s="291">
        <f t="shared" si="40"/>
        <v>75.01667896421452</v>
      </c>
      <c r="DB6" s="291">
        <f t="shared" si="41"/>
        <v>277.7494051290376</v>
      </c>
      <c r="DC6" s="281">
        <f t="shared" si="42"/>
        <v>0.22147185777797693</v>
      </c>
      <c r="DD6" s="281">
        <f t="shared" si="43"/>
        <v>0.82000000000000006</v>
      </c>
      <c r="DE6" s="281">
        <f>ROC_SL</f>
        <v>38.702804230993934</v>
      </c>
      <c r="DF6" s="293">
        <f>h_cr</f>
        <v>10668</v>
      </c>
      <c r="DJ6" s="291">
        <f>1/10*V_A</f>
        <v>11.987531470107223</v>
      </c>
      <c r="DK6" s="289">
        <f>(1/10*V_A/V_S1)^2</f>
        <v>2.5000000000000001E-2</v>
      </c>
      <c r="DL6" s="291">
        <f>V_C</f>
        <v>128.75511397058619</v>
      </c>
      <c r="DM6" s="289">
        <f>n_gC</f>
        <v>1.8374316875838907</v>
      </c>
      <c r="DN6" s="291">
        <f>V_C</f>
        <v>128.75511397058619</v>
      </c>
      <c r="DO6" s="289">
        <f>2-n_gC</f>
        <v>0.16256831241610925</v>
      </c>
      <c r="DQ6" s="296">
        <f>Design!$D$442</f>
        <v>0.46102527281650479</v>
      </c>
      <c r="DR6" s="290">
        <f>Design!$B$442</f>
        <v>49977.299588860682</v>
      </c>
      <c r="DS6" s="296">
        <f>x_np</f>
        <v>0.57069572838201588</v>
      </c>
      <c r="DT6" s="290">
        <f>1.03*MTOW</f>
        <v>73193.809062384331</v>
      </c>
      <c r="DU6" s="296">
        <f>x_np-0.05</f>
        <v>0.52069572838201583</v>
      </c>
      <c r="DV6" s="290">
        <f>1.03*MTOW</f>
        <v>73193.809062384331</v>
      </c>
      <c r="DX6" s="281">
        <f>d_fus/2*0.96593</f>
        <v>1.9230941852499996</v>
      </c>
      <c r="DY6" s="281">
        <f>d_fus/2*0.25882</f>
        <v>0.51529120849999999</v>
      </c>
      <c r="DZ6" s="281">
        <v>0</v>
      </c>
      <c r="EA6" s="281">
        <f>z_w0</f>
        <v>-1.1945549999999998</v>
      </c>
      <c r="EB6" s="281">
        <f>$AH$5+D_nac/2*0.86603</f>
        <v>6.9858401650856639</v>
      </c>
      <c r="EC6" s="281">
        <f>$AJ$5+D_nac/2*0.5</f>
        <v>-1.4493591648421491</v>
      </c>
      <c r="ED6" s="281">
        <f>-track/2+0*2.2*w_tyre/2</f>
        <v>-3.5406440681793292</v>
      </c>
      <c r="EE6" s="281">
        <f>-h_cg+D_tyre</f>
        <v>-2.5108116372741143</v>
      </c>
      <c r="EG6" s="281">
        <f>d_fus/2*0.98481</f>
        <v>1.9606828492499997</v>
      </c>
      <c r="EH6" s="281">
        <f>d_fus/2*0.17365</f>
        <v>0.34572412624999999</v>
      </c>
      <c r="EI6" s="281">
        <f>w_cabin/2*0.98481</f>
        <v>1.8366706499999998</v>
      </c>
      <c r="EJ6" s="281">
        <f>w_cabin/2*0.17365</f>
        <v>0.32385724999999999</v>
      </c>
      <c r="EK6" s="281">
        <f>1*SQRT(MAX(0,(w_cabin/2)^2-(z_floor)^2))</f>
        <v>1.7658496538493871</v>
      </c>
      <c r="EL6" s="281">
        <f>z_floor</f>
        <v>-0.6</v>
      </c>
      <c r="EM6" s="281">
        <f>$AX$5+0.05*seat_w</f>
        <v>-1.8135000000000001</v>
      </c>
      <c r="EN6" s="281">
        <f>z_floor+1.1</f>
        <v>0.50000000000000011</v>
      </c>
      <c r="EO6" s="281">
        <f>1*0.6*d_fus</f>
        <v>2.3891099999999996</v>
      </c>
      <c r="EP6" s="281">
        <f>1*0.6*d_fus</f>
        <v>2.3891099999999996</v>
      </c>
      <c r="ER6" s="281">
        <f>IF(0&lt;n_door,x_door_f+IF(n_door&gt;1,0/(n_door-1),0)*(x_door_r-x_door_f),IF(0&lt;n_door+n_overwing,x_ac_w+(0-n_door-(n_overwing-1)/2)*seat_pitch,x_door_f))</f>
        <v>5.75</v>
      </c>
      <c r="ES6" s="281">
        <f>1*w_cabin/2</f>
        <v>1.865</v>
      </c>
      <c r="ET6" s="281">
        <f>x_seat0-door_len+1*0.6</f>
        <v>5.6</v>
      </c>
      <c r="EU6" s="281">
        <f>w_cabin/2-gal_w+0*gal_w</f>
        <v>0.2649999999999999</v>
      </c>
      <c r="EW6" s="292" t="s">
        <v>1493</v>
      </c>
      <c r="EX6" s="290">
        <f>W_pl</f>
        <v>14250</v>
      </c>
      <c r="EY6" s="294">
        <f>k_res*(1-ff_fixed*EXP(-Range_km*1.1*1000*TSFC_s*1/(V_cr*LD_cr)))</f>
        <v>0.31229741805389066</v>
      </c>
      <c r="EZ6" s="294">
        <f t="shared" si="44"/>
        <v>0.97</v>
      </c>
      <c r="FA6" s="290">
        <f t="shared" si="45"/>
        <v>71061.950546004198</v>
      </c>
      <c r="FB6" s="290">
        <f t="shared" ref="FB6:FY6" si="64">IF(1-$EY6-$EZ6*FA6^C_emp&gt;0.02,(W_crew+$EX6)/(1-$EY6-$EZ6*FA6^C_emp),FA6)</f>
        <v>76847.373434800131</v>
      </c>
      <c r="FC6" s="290">
        <f t="shared" si="64"/>
        <v>75925.53836748343</v>
      </c>
      <c r="FD6" s="290">
        <f t="shared" si="64"/>
        <v>76065.949818836365</v>
      </c>
      <c r="FE6" s="290">
        <f t="shared" si="64"/>
        <v>76044.41276187636</v>
      </c>
      <c r="FF6" s="290">
        <f t="shared" si="64"/>
        <v>76047.712701625496</v>
      </c>
      <c r="FG6" s="290">
        <f t="shared" si="64"/>
        <v>76047.206997128233</v>
      </c>
      <c r="FH6" s="290">
        <f t="shared" si="64"/>
        <v>76047.284492669933</v>
      </c>
      <c r="FI6" s="290">
        <f t="shared" si="64"/>
        <v>76047.272616995207</v>
      </c>
      <c r="FJ6" s="290">
        <f t="shared" si="64"/>
        <v>76047.274436862092</v>
      </c>
      <c r="FK6" s="290">
        <f t="shared" si="64"/>
        <v>76047.274157979802</v>
      </c>
      <c r="FL6" s="290">
        <f t="shared" si="64"/>
        <v>76047.274200716594</v>
      </c>
      <c r="FM6" s="290">
        <f t="shared" si="64"/>
        <v>76047.274194167461</v>
      </c>
      <c r="FN6" s="290">
        <f t="shared" si="64"/>
        <v>76047.274195171092</v>
      </c>
      <c r="FO6" s="290">
        <f t="shared" si="64"/>
        <v>76047.274195017293</v>
      </c>
      <c r="FP6" s="290">
        <f t="shared" si="64"/>
        <v>76047.274195040867</v>
      </c>
      <c r="FQ6" s="290">
        <f t="shared" si="64"/>
        <v>76047.274195037273</v>
      </c>
      <c r="FR6" s="290">
        <f t="shared" si="64"/>
        <v>76047.274195037782</v>
      </c>
      <c r="FS6" s="290">
        <f t="shared" si="64"/>
        <v>76047.274195037695</v>
      </c>
      <c r="FT6" s="290">
        <f t="shared" si="64"/>
        <v>76047.274195037739</v>
      </c>
      <c r="FU6" s="290">
        <f t="shared" si="64"/>
        <v>76047.274195037695</v>
      </c>
      <c r="FV6" s="290">
        <f t="shared" si="64"/>
        <v>76047.274195037739</v>
      </c>
      <c r="FW6" s="290">
        <f t="shared" si="64"/>
        <v>76047.274195037695</v>
      </c>
      <c r="FX6" s="290">
        <f t="shared" si="64"/>
        <v>76047.274195037739</v>
      </c>
      <c r="FY6" s="290">
        <f t="shared" si="64"/>
        <v>76047.274195037695</v>
      </c>
      <c r="GA6" s="292" t="s">
        <v>1494</v>
      </c>
      <c r="GB6" s="297">
        <v>50</v>
      </c>
      <c r="GC6" s="297">
        <v>22000</v>
      </c>
      <c r="GD6" s="297">
        <v>12114</v>
      </c>
      <c r="GE6" s="297">
        <v>51.2</v>
      </c>
      <c r="GF6" s="297">
        <v>20.04</v>
      </c>
      <c r="GG6" s="297">
        <v>29.87</v>
      </c>
      <c r="GH6" s="297">
        <v>33.700000000000003</v>
      </c>
      <c r="GI6" s="297">
        <v>2</v>
      </c>
      <c r="GJ6" s="297">
        <v>2870</v>
      </c>
      <c r="GK6" s="281">
        <f t="shared" si="47"/>
        <v>2.2711218748083057</v>
      </c>
      <c r="GZ6" s="292" t="s">
        <v>1495</v>
      </c>
      <c r="HA6" s="294">
        <f>HA5*L_fus-0.25*MAC</f>
        <v>12.492406548326091</v>
      </c>
      <c r="HB6" s="294">
        <f>HB5*L_fus-0.25*MAC</f>
        <v>18.191760148326093</v>
      </c>
      <c r="HF6" s="297">
        <f t="shared" ref="HF6:HF44" si="65">HR5</f>
        <v>71889.898981278981</v>
      </c>
      <c r="HG6" s="297">
        <f t="shared" si="48"/>
        <v>133.4970549388384</v>
      </c>
      <c r="HH6" s="297">
        <f t="shared" si="49"/>
        <v>35.612104991406575</v>
      </c>
      <c r="HI6" s="297">
        <f t="shared" si="50"/>
        <v>5.9978282090790014</v>
      </c>
      <c r="HJ6" s="297">
        <f t="shared" si="51"/>
        <v>4.198479746355301</v>
      </c>
      <c r="HK6" s="297">
        <f t="shared" si="52"/>
        <v>5420.1829847014997</v>
      </c>
      <c r="HL6" s="297">
        <f t="shared" si="53"/>
        <v>1664.7861545215305</v>
      </c>
      <c r="HM6" s="297">
        <f t="shared" si="54"/>
        <v>9147.0379438144791</v>
      </c>
      <c r="HN6" s="297">
        <f t="shared" si="55"/>
        <v>3091.2656561949957</v>
      </c>
      <c r="HO6" s="297">
        <f t="shared" si="56"/>
        <v>4632.2918139442154</v>
      </c>
      <c r="HP6" s="297">
        <f t="shared" si="57"/>
        <v>12221.282826817427</v>
      </c>
      <c r="HQ6" s="297">
        <f t="shared" si="58"/>
        <v>36176.847379994149</v>
      </c>
      <c r="HR6" s="297">
        <f t="shared" si="59"/>
        <v>72362.331927954045</v>
      </c>
      <c r="HT6" s="293">
        <v>1</v>
      </c>
      <c r="HU6" s="293">
        <f t="shared" si="60"/>
        <v>1</v>
      </c>
      <c r="HV6" s="281">
        <f t="shared" si="61"/>
        <v>-1.84</v>
      </c>
      <c r="HW6" s="293">
        <f>MAX(0,MIN(1,n_rows_b-1))</f>
        <v>0</v>
      </c>
      <c r="HX6" s="281">
        <f t="shared" si="62"/>
        <v>6.5</v>
      </c>
      <c r="HY6" s="281">
        <f>$HX$5+0.2*(bus_pitch*(n_rows_b&gt;0))*($HW$5*n_SA_b+$HU$5&lt;pax_b)</f>
        <v>6.5</v>
      </c>
      <c r="HZ6" s="281">
        <f>$HV$5+seat_w_b*($HW$5*n_SA_b+$HU$5&lt;pax_b)</f>
        <v>-1.84</v>
      </c>
      <c r="IA6" s="281">
        <f t="shared" si="63"/>
        <v>-11.310479999999998</v>
      </c>
      <c r="IC6" s="281">
        <f>x_wLE0+(0.85*b_w/2)*TAN(RADIANS(sweepLE))-L_fus/2+0.15*c_root*(1-(1-taper)*2*(0.85*b_w/2)/b_w)</f>
        <v>1.366672666549082</v>
      </c>
      <c r="ID6" s="281">
        <f>1*0.85*b_w/2</f>
        <v>15.047737289762148</v>
      </c>
    </row>
    <row r="7" spans="1:238" x14ac:dyDescent="0.25">
      <c r="A7" s="289">
        <f>12/50</f>
        <v>0.24</v>
      </c>
      <c r="B7" s="290">
        <f t="shared" si="0"/>
        <v>1335.9093964094116</v>
      </c>
      <c r="C7" s="291">
        <f t="shared" si="1"/>
        <v>136.22484705882351</v>
      </c>
      <c r="D7" s="281">
        <f t="shared" si="2"/>
        <v>6.8997000458365154E-2</v>
      </c>
      <c r="E7" s="281">
        <f t="shared" si="3"/>
        <v>0.2194155421601327</v>
      </c>
      <c r="F7" s="281">
        <f t="shared" si="4"/>
        <v>0.21104328049055099</v>
      </c>
      <c r="G7" s="281">
        <f t="shared" si="5"/>
        <v>0.67180831873379998</v>
      </c>
      <c r="H7" s="281">
        <f t="shared" si="6"/>
        <v>0.67180831873379998</v>
      </c>
      <c r="S7" s="292" t="s">
        <v>1496</v>
      </c>
      <c r="T7" s="281">
        <f>0.07*nose_len</f>
        <v>0.28000000000000003</v>
      </c>
      <c r="U7" s="281">
        <f>d_fus/2*SQRT(1-(1-0.07)^2)</f>
        <v>0.73178343534473222</v>
      </c>
      <c r="V7" s="281">
        <f t="shared" si="7"/>
        <v>-0.37774246939658024</v>
      </c>
      <c r="X7" s="281">
        <f t="shared" si="8"/>
        <v>-17.530479999999997</v>
      </c>
      <c r="Y7" s="281">
        <f t="shared" si="9"/>
        <v>0.35404096594815199</v>
      </c>
      <c r="Z7" s="281">
        <f t="shared" si="10"/>
        <v>0.73178343534473222</v>
      </c>
      <c r="AA7" s="281">
        <f t="shared" si="11"/>
        <v>0.28000000000000003</v>
      </c>
      <c r="AC7" s="281">
        <f>x_wLE0+b_w/2*TAN(RADIANS(sweepLE))-L_fus/2+c_tip</f>
        <v>4.0062695138737334</v>
      </c>
      <c r="AD7" s="281">
        <f>b_w/2</f>
        <v>17.703220340896646</v>
      </c>
      <c r="AE7" s="281">
        <f>z_w0+b_w/2*TAN(RADIANS(dihedral))</f>
        <v>0.35427608773000063</v>
      </c>
      <c r="AG7" s="281">
        <f>IF(N_eng=4,eta_out,IF(N_eng=3,0,AG5))</f>
        <v>0.34</v>
      </c>
      <c r="AH7" s="281">
        <f>AG7*b_w/2</f>
        <v>6.0190949159048603</v>
      </c>
      <c r="AI7" s="281">
        <f>IF(AG7=0,L_fus-tail_len-0.2*L_nac,x_wLE0+ABS(AH7)*TAN(RADIANS(sweepLE))-0.8*L_nac)</f>
        <v>10.385503180198061</v>
      </c>
      <c r="AJ7" s="281">
        <f>IF(AG7=0,z_VT0+0.55*D_nac,z_w0+ABS(AH7)*TAN(RADIANS(dihedral))-0.6*D_nac)</f>
        <v>-2.007506832463827</v>
      </c>
      <c r="AL7" s="281">
        <f>AI5+1*L_nac-L_fus/2</f>
        <v>-3.1011786900655132</v>
      </c>
      <c r="AM7" s="281">
        <f>AH5+1*D_nac/2</f>
        <v>7.1353902511482161</v>
      </c>
      <c r="AN7" s="281">
        <f>AJ5+1*D_nac/2</f>
        <v>-0.89121149722047099</v>
      </c>
      <c r="AP7" s="281">
        <f>x_main-L_fus/2+-0.86603*D_tyre/2</f>
        <v>-0.80361309463841502</v>
      </c>
      <c r="AQ7" s="281">
        <f>-h_cg+D_tyre/2+0.5*D_tyre/2</f>
        <v>-2.798934227955586</v>
      </c>
      <c r="AV7" s="293">
        <v>2</v>
      </c>
      <c r="AW7" s="293">
        <f t="shared" si="12"/>
        <v>2</v>
      </c>
      <c r="AX7" s="281">
        <f t="shared" si="13"/>
        <v>-0.78</v>
      </c>
      <c r="AY7" s="293">
        <f>MAX(0,MIN(2,n_rows-1))</f>
        <v>2</v>
      </c>
      <c r="AZ7" s="281">
        <f t="shared" si="14"/>
        <v>8.120000000000001</v>
      </c>
      <c r="BA7" s="281">
        <f>nose_len+1*L_cabin</f>
        <v>29.25</v>
      </c>
      <c r="BB7" s="281">
        <f>1*w_cabin/2</f>
        <v>1.865</v>
      </c>
      <c r="BC7" s="281">
        <f>BA7-L_fus/2</f>
        <v>11.439520000000002</v>
      </c>
      <c r="BD7" s="281">
        <f t="shared" si="15"/>
        <v>-17.530479999999997</v>
      </c>
      <c r="BE7" s="281">
        <f t="shared" si="16"/>
        <v>0.73178343534473222</v>
      </c>
      <c r="BF7" s="281">
        <f t="shared" si="17"/>
        <v>-0.37774246939658024</v>
      </c>
      <c r="BG7" s="281">
        <f t="shared" si="18"/>
        <v>-12.958745463994934</v>
      </c>
      <c r="BH7" s="281">
        <f t="shared" si="19"/>
        <v>4.656781023533167</v>
      </c>
      <c r="BK7" s="292" t="str">
        <f>"Horizontal tail: S = "&amp;TEXT(S_HT,"0.0")&amp;" m2, b = "&amp;TEXT(b_HT,"0.0")&amp;" m"</f>
        <v>Horizontal tail: S = 34.4 m2, b = 12.4 m</v>
      </c>
      <c r="BM7" s="281">
        <f>$AZ$5</f>
        <v>6.5</v>
      </c>
      <c r="BN7" s="281">
        <f>$AX$5+seat_w*($AY$5*n_SA+$AW$5&lt;pax_e)</f>
        <v>-1.31</v>
      </c>
      <c r="BO7" s="281">
        <f t="shared" si="20"/>
        <v>-11.310479999999998</v>
      </c>
      <c r="BQ7" s="281">
        <f>0.5*nose_len+1*MIN(0.6,0.2*nose_len)</f>
        <v>2.6</v>
      </c>
      <c r="BR7" s="281">
        <f>-1*MIN(0.55,0.2*d_fus)+1*MIN(0.5,0.25*d_fus)/2</f>
        <v>-0.30000000000000004</v>
      </c>
      <c r="BT7" s="293">
        <v>2</v>
      </c>
      <c r="BU7" s="293">
        <f t="shared" si="21"/>
        <v>2</v>
      </c>
      <c r="BV7" s="293">
        <f t="shared" si="22"/>
        <v>0</v>
      </c>
      <c r="BW7" s="293">
        <f t="shared" si="23"/>
        <v>1</v>
      </c>
      <c r="BX7" s="281">
        <f t="shared" si="24"/>
        <v>28.25</v>
      </c>
      <c r="BY7" s="281">
        <f t="shared" si="25"/>
        <v>0.86499999999999999</v>
      </c>
      <c r="CA7" s="281">
        <f>$BX$5+1*lav_len</f>
        <v>5</v>
      </c>
      <c r="CB7" s="281">
        <f>$BY$5+1*lav_w</f>
        <v>-0.86499999999999999</v>
      </c>
      <c r="CE7" s="281">
        <f>2/24*CLmax_c</f>
        <v>0.125</v>
      </c>
      <c r="CF7" s="294">
        <f t="shared" si="26"/>
        <v>1.8654419996266016E-2</v>
      </c>
      <c r="CG7" s="289">
        <f t="shared" si="27"/>
        <v>6.7008247924631679</v>
      </c>
      <c r="CH7" s="281">
        <f>2/24*CLmaxTO</f>
        <v>0.17499999999999999</v>
      </c>
      <c r="CI7" s="294">
        <f t="shared" si="28"/>
        <v>3.7199329859348061E-2</v>
      </c>
      <c r="CJ7" s="289">
        <f t="shared" si="29"/>
        <v>4.7043858225855404</v>
      </c>
      <c r="CK7" s="281">
        <f>2/24*CLmaxL</f>
        <v>0.22500000000000001</v>
      </c>
      <c r="CL7" s="294">
        <f t="shared" si="30"/>
        <v>6.000197759263564E-2</v>
      </c>
      <c r="CM7" s="289">
        <f t="shared" si="31"/>
        <v>3.7498764045339641</v>
      </c>
      <c r="CR7" s="293">
        <f>2/28*h_abs</f>
        <v>818.95833804081644</v>
      </c>
      <c r="CS7" s="289">
        <f t="shared" si="32"/>
        <v>282.82677080273464</v>
      </c>
      <c r="CT7" s="294">
        <f t="shared" si="33"/>
        <v>1.1315441631782124</v>
      </c>
      <c r="CU7" s="291">
        <f t="shared" si="34"/>
        <v>337.13614795054582</v>
      </c>
      <c r="CV7" s="294">
        <f t="shared" si="35"/>
        <v>0.26156808563701817</v>
      </c>
      <c r="CW7" s="291">
        <f t="shared" si="36"/>
        <v>209.55672597171366</v>
      </c>
      <c r="CX7" s="289">
        <f t="shared" si="37"/>
        <v>34.201278632751063</v>
      </c>
      <c r="CY7" s="293">
        <f t="shared" si="38"/>
        <v>12.35279191797593</v>
      </c>
      <c r="CZ7" s="295">
        <f t="shared" si="39"/>
        <v>6.5402296081020661E-2</v>
      </c>
      <c r="DA7" s="291">
        <f t="shared" si="40"/>
        <v>76.526903975803577</v>
      </c>
      <c r="DB7" s="291">
        <f t="shared" si="41"/>
        <v>276.45164131944762</v>
      </c>
      <c r="DC7" s="281">
        <f t="shared" si="42"/>
        <v>0.22699109674536957</v>
      </c>
      <c r="DD7" s="281">
        <f t="shared" si="43"/>
        <v>0.82000000000000017</v>
      </c>
      <c r="DJ7" s="291">
        <f>2/10*V_A</f>
        <v>23.975062940214446</v>
      </c>
      <c r="DK7" s="289">
        <f>(2/10*V_A/V_S1)^2</f>
        <v>0.1</v>
      </c>
      <c r="DL7" s="291">
        <f>V_D</f>
        <v>160.94389246323274</v>
      </c>
      <c r="DM7" s="289">
        <f>n_gD</f>
        <v>1.5233948047399317</v>
      </c>
      <c r="DN7" s="291">
        <f>V_D</f>
        <v>160.94389246323274</v>
      </c>
      <c r="DO7" s="289">
        <f>2-n_gD</f>
        <v>0.47660519526006828</v>
      </c>
      <c r="DQ7" s="296">
        <f>Design!$D$443</f>
        <v>0.45775398590055116</v>
      </c>
      <c r="DR7" s="290">
        <f>Design!$B$443</f>
        <v>71061.950546004198</v>
      </c>
      <c r="DX7" s="281">
        <f>d_fus/2*0.86603</f>
        <v>1.7242007777499997</v>
      </c>
      <c r="DY7" s="281">
        <f>d_fus/2*0.5</f>
        <v>0.99546249999999992</v>
      </c>
      <c r="DZ7" s="281">
        <f>b_w/2</f>
        <v>17.703220340896646</v>
      </c>
      <c r="EA7" s="281">
        <f>z_w0+b_w/2*TAN(RADIANS(dihedral))</f>
        <v>0.35427608773000063</v>
      </c>
      <c r="EB7" s="281">
        <f>$AH$5+D_nac/2*0.5</f>
        <v>6.5772425835265382</v>
      </c>
      <c r="EC7" s="281">
        <f>$AJ$5+D_nac/2*0.86603</f>
        <v>-1.0407615832830235</v>
      </c>
      <c r="ED7" s="281">
        <f>-track/2+-1*2.2*w_tyre/2</f>
        <v>-4.003909933027253</v>
      </c>
      <c r="EE7" s="281">
        <f>-h_cg+D_tyre</f>
        <v>-2.5108116372741143</v>
      </c>
      <c r="EG7" s="281">
        <f>d_fus/2*0.93969</f>
        <v>1.8708523132499999</v>
      </c>
      <c r="EH7" s="281">
        <f>d_fus/2*0.34202</f>
        <v>0.68093616849999994</v>
      </c>
      <c r="EI7" s="281">
        <f>w_cabin/2*0.93969</f>
        <v>1.7525218499999999</v>
      </c>
      <c r="EJ7" s="281">
        <f>w_cabin/2*0.34202</f>
        <v>0.63786730000000003</v>
      </c>
      <c r="EM7" s="281">
        <f>$AX$5+0.95*seat_w</f>
        <v>-1.3365</v>
      </c>
      <c r="EN7" s="281">
        <f>z_floor+1.1</f>
        <v>0.50000000000000011</v>
      </c>
      <c r="ER7" s="281">
        <f>IF(1&lt;n_door,x_door_f+IF(n_door&gt;1,1/(n_door-1),0)*(x_door_r-x_door_f),IF(1&lt;n_door+n_overwing,x_ac_w+(1-n_door-(n_overwing-1)/2)*seat_pitch,x_door_f))</f>
        <v>27.5</v>
      </c>
      <c r="ES7" s="281">
        <f>-1*w_cabin/2</f>
        <v>-1.865</v>
      </c>
      <c r="ET7" s="281">
        <f>x_seat0-door_len+1*0.6</f>
        <v>5.6</v>
      </c>
      <c r="EU7" s="281">
        <f>w_cabin/2-gal_w+1*gal_w</f>
        <v>1.865</v>
      </c>
      <c r="EW7" s="292" t="s">
        <v>1497</v>
      </c>
      <c r="EX7" s="290">
        <f>W_pl*0.9</f>
        <v>12825</v>
      </c>
      <c r="EY7" s="294">
        <f>fuel_frac</f>
        <v>0.29670802440883892</v>
      </c>
      <c r="EZ7" s="294">
        <f t="shared" si="44"/>
        <v>0.97</v>
      </c>
      <c r="FA7" s="290">
        <f t="shared" si="45"/>
        <v>71061.950546004198</v>
      </c>
      <c r="FB7" s="290">
        <f t="shared" ref="FB7:FY7" si="66">IF(1-$EY7-$EZ7*FA7^C_emp&gt;0.02,(W_crew+$EX7)/(1-$EY7-$EZ7*FA7^C_emp),FA7)</f>
        <v>64180.314152660263</v>
      </c>
      <c r="FC7" s="290">
        <f t="shared" si="66"/>
        <v>65137.161599569488</v>
      </c>
      <c r="FD7" s="290">
        <f t="shared" si="66"/>
        <v>64996.005386358214</v>
      </c>
      <c r="FE7" s="290">
        <f t="shared" si="66"/>
        <v>65016.652054312144</v>
      </c>
      <c r="FF7" s="290">
        <f t="shared" si="66"/>
        <v>65013.628317345283</v>
      </c>
      <c r="FG7" s="290">
        <f t="shared" si="66"/>
        <v>65014.071067177654</v>
      </c>
      <c r="FH7" s="290">
        <f t="shared" si="66"/>
        <v>65014.006235917441</v>
      </c>
      <c r="FI7" s="290">
        <f t="shared" si="66"/>
        <v>65014.015729034028</v>
      </c>
      <c r="FJ7" s="290">
        <f t="shared" si="66"/>
        <v>65014.014338974448</v>
      </c>
      <c r="FK7" s="290">
        <f t="shared" si="66"/>
        <v>65014.014542518285</v>
      </c>
      <c r="FL7" s="290">
        <f t="shared" si="66"/>
        <v>65014.014512713737</v>
      </c>
      <c r="FM7" s="290">
        <f t="shared" si="66"/>
        <v>65014.014517077943</v>
      </c>
      <c r="FN7" s="290">
        <f t="shared" si="66"/>
        <v>65014.01451643894</v>
      </c>
      <c r="FO7" s="290">
        <f t="shared" si="66"/>
        <v>65014.014516532508</v>
      </c>
      <c r="FP7" s="290">
        <f t="shared" si="66"/>
        <v>65014.014516518808</v>
      </c>
      <c r="FQ7" s="290">
        <f t="shared" si="66"/>
        <v>65014.014516520787</v>
      </c>
      <c r="FR7" s="290">
        <f t="shared" si="66"/>
        <v>65014.014516520525</v>
      </c>
      <c r="FS7" s="290">
        <f t="shared" si="66"/>
        <v>65014.014516520554</v>
      </c>
      <c r="FT7" s="290">
        <f t="shared" si="66"/>
        <v>65014.014516520554</v>
      </c>
      <c r="FU7" s="290">
        <f t="shared" si="66"/>
        <v>65014.014516520554</v>
      </c>
      <c r="FV7" s="290">
        <f t="shared" si="66"/>
        <v>65014.014516520554</v>
      </c>
      <c r="FW7" s="290">
        <f t="shared" si="66"/>
        <v>65014.014516520554</v>
      </c>
      <c r="FX7" s="290">
        <f t="shared" si="66"/>
        <v>65014.014516520554</v>
      </c>
      <c r="FY7" s="290">
        <f t="shared" si="66"/>
        <v>65014.014516520554</v>
      </c>
      <c r="GA7" s="292" t="s">
        <v>1498</v>
      </c>
      <c r="GB7" s="297">
        <v>90</v>
      </c>
      <c r="GC7" s="297">
        <v>38330</v>
      </c>
      <c r="GD7" s="297">
        <v>21845</v>
      </c>
      <c r="GE7" s="297">
        <v>71.099999999999994</v>
      </c>
      <c r="GF7" s="297">
        <v>24.85</v>
      </c>
      <c r="GG7" s="297">
        <v>36.4</v>
      </c>
      <c r="GH7" s="297">
        <v>59.4</v>
      </c>
      <c r="GI7" s="297">
        <v>2</v>
      </c>
      <c r="GJ7" s="297">
        <v>2880</v>
      </c>
      <c r="GK7" s="281">
        <f t="shared" si="47"/>
        <v>1.1281447838720391</v>
      </c>
      <c r="GZ7" s="292" t="s">
        <v>1499</v>
      </c>
      <c r="HA7" s="294">
        <f>HA6-y_MAC*TAN(RADIANS(sweepLE))</f>
        <v>8.564279077116856</v>
      </c>
      <c r="HB7" s="294">
        <f>HB6-y_MAC*TAN(RADIANS(sweepLE))</f>
        <v>14.263632677116858</v>
      </c>
      <c r="HF7" s="297">
        <f t="shared" si="65"/>
        <v>72362.331927954045</v>
      </c>
      <c r="HG7" s="297">
        <f t="shared" si="48"/>
        <v>134.37434657411561</v>
      </c>
      <c r="HH7" s="297">
        <f t="shared" si="49"/>
        <v>35.728927949969311</v>
      </c>
      <c r="HI7" s="297">
        <f t="shared" si="50"/>
        <v>6.0175036547316729</v>
      </c>
      <c r="HJ7" s="297">
        <f t="shared" si="51"/>
        <v>4.212252558312171</v>
      </c>
      <c r="HK7" s="297">
        <f t="shared" si="52"/>
        <v>5459.3313858397505</v>
      </c>
      <c r="HL7" s="297">
        <f t="shared" si="53"/>
        <v>1681.2235936898644</v>
      </c>
      <c r="HM7" s="297">
        <f t="shared" si="54"/>
        <v>9147.0379438144791</v>
      </c>
      <c r="HN7" s="297">
        <f t="shared" si="55"/>
        <v>3111.5802729020238</v>
      </c>
      <c r="HO7" s="297">
        <f t="shared" si="56"/>
        <v>4665.7886120810736</v>
      </c>
      <c r="HP7" s="297">
        <f t="shared" si="57"/>
        <v>12301.596427752189</v>
      </c>
      <c r="HQ7" s="297">
        <f t="shared" si="58"/>
        <v>36366.558236079378</v>
      </c>
      <c r="HR7" s="297">
        <f t="shared" si="59"/>
        <v>72632.078864744792</v>
      </c>
      <c r="HT7" s="293">
        <v>2</v>
      </c>
      <c r="HU7" s="293">
        <f t="shared" si="60"/>
        <v>2</v>
      </c>
      <c r="HV7" s="281">
        <f t="shared" si="61"/>
        <v>-1.84</v>
      </c>
      <c r="HW7" s="293">
        <f>MAX(0,MIN(2,n_rows_b-1))</f>
        <v>0</v>
      </c>
      <c r="HX7" s="281">
        <f t="shared" si="62"/>
        <v>6.5</v>
      </c>
      <c r="HY7" s="281">
        <f>$HX$5</f>
        <v>6.5</v>
      </c>
      <c r="HZ7" s="281">
        <f>$HV$5+seat_w_b*($HW$5*n_SA_b+$HU$5&lt;pax_b)</f>
        <v>-1.84</v>
      </c>
      <c r="IA7" s="281">
        <f t="shared" si="63"/>
        <v>-11.310479999999998</v>
      </c>
      <c r="IC7" s="281">
        <f>x_wLE0+(0.85*b_w/2)*TAN(RADIANS(sweepLE))-L_fus/2+0.65*c_root*(1-(1-taper)*2*(0.85*b_w/2)/b_w)</f>
        <v>2.4475008557827724</v>
      </c>
      <c r="ID7" s="281">
        <f>1*0.85*b_w/2</f>
        <v>15.047737289762148</v>
      </c>
    </row>
    <row r="8" spans="1:238" x14ac:dyDescent="0.25">
      <c r="A8" s="289">
        <f>13/50</f>
        <v>0.26</v>
      </c>
      <c r="B8" s="290">
        <f t="shared" si="0"/>
        <v>1447.2351794435292</v>
      </c>
      <c r="C8" s="291">
        <f t="shared" si="1"/>
        <v>147.57691764705882</v>
      </c>
      <c r="D8" s="281">
        <f t="shared" si="2"/>
        <v>7.474675049656225E-2</v>
      </c>
      <c r="E8" s="281">
        <f t="shared" si="3"/>
        <v>0.2194155421601327</v>
      </c>
      <c r="F8" s="281">
        <f t="shared" si="4"/>
        <v>0.21104328049055099</v>
      </c>
      <c r="G8" s="281">
        <f t="shared" si="5"/>
        <v>0.62581993774810363</v>
      </c>
      <c r="H8" s="281">
        <f t="shared" si="6"/>
        <v>0.62581993774810363</v>
      </c>
      <c r="K8" s="298" t="s">
        <v>1500</v>
      </c>
      <c r="L8" s="298" t="s">
        <v>1501</v>
      </c>
      <c r="S8" s="292" t="s">
        <v>1502</v>
      </c>
      <c r="T8" s="281">
        <f>0.15*nose_len</f>
        <v>0.6</v>
      </c>
      <c r="U8" s="281">
        <f>d_fus/2*SQRT(1-(1-0.15)^2)</f>
        <v>1.048784822394917</v>
      </c>
      <c r="V8" s="281">
        <f t="shared" si="7"/>
        <v>-0.28264205328152486</v>
      </c>
      <c r="X8" s="281">
        <f t="shared" si="8"/>
        <v>-17.210479999999997</v>
      </c>
      <c r="Y8" s="281">
        <f t="shared" si="9"/>
        <v>0.76614276911339219</v>
      </c>
      <c r="Z8" s="281">
        <f t="shared" si="10"/>
        <v>1.048784822394917</v>
      </c>
      <c r="AA8" s="281">
        <f t="shared" si="11"/>
        <v>0.6</v>
      </c>
      <c r="AC8" s="281">
        <f>x_wLE0+c_root-L_fus/2</f>
        <v>-1.3416566569754629</v>
      </c>
      <c r="AD8" s="281">
        <v>0</v>
      </c>
      <c r="AE8" s="281">
        <f>z_w0</f>
        <v>-1.1945549999999998</v>
      </c>
      <c r="AG8" s="281">
        <f>IF(N_eng=4,-eta_out,AG6)</f>
        <v>-0.34</v>
      </c>
      <c r="AH8" s="281">
        <f>AG8*b_w/2</f>
        <v>-6.0190949159048603</v>
      </c>
      <c r="AI8" s="281">
        <f>IF(AG8=0,L_fus-tail_len-0.2*L_nac,x_wLE0+ABS(AH8)*TAN(RADIANS(sweepLE))-0.8*L_nac)</f>
        <v>10.385503180198061</v>
      </c>
      <c r="AJ8" s="281">
        <f>IF(AG8=0,z_VT0+0.55*D_nac,z_w0+ABS(AH8)*TAN(RADIANS(dihedral))-0.6*D_nac)</f>
        <v>-2.007506832463827</v>
      </c>
      <c r="AL8" s="281">
        <f>AI5+0*L_nac-L_fus/2</f>
        <v>-7.4249768198019375</v>
      </c>
      <c r="AM8" s="281">
        <f>AH5+1*D_nac/2</f>
        <v>7.1353902511482161</v>
      </c>
      <c r="AN8" s="281">
        <f>AJ5+1*D_nac/2</f>
        <v>-0.89121149722047099</v>
      </c>
      <c r="AP8" s="281">
        <f>x_main-L_fus/2+-1*D_tyre/2</f>
        <v>-0.88081266158560845</v>
      </c>
      <c r="AQ8" s="281">
        <f>-h_cg+D_tyre/2+0*D_tyre/2</f>
        <v>-3.0870568186370573</v>
      </c>
      <c r="AV8" s="293">
        <v>3</v>
      </c>
      <c r="AW8" s="293">
        <f t="shared" si="12"/>
        <v>3</v>
      </c>
      <c r="AX8" s="281">
        <f t="shared" si="13"/>
        <v>0.24999999999999978</v>
      </c>
      <c r="AY8" s="293">
        <f>MAX(0,MIN(3,n_rows-1))</f>
        <v>3</v>
      </c>
      <c r="AZ8" s="281">
        <f t="shared" si="14"/>
        <v>8.93</v>
      </c>
      <c r="BA8" s="281">
        <f>nose_len+0*L_cabin</f>
        <v>4</v>
      </c>
      <c r="BB8" s="281">
        <f>1*w_cabin/2</f>
        <v>1.865</v>
      </c>
      <c r="BC8" s="281">
        <f>BA8-L_fus/2</f>
        <v>-13.810479999999998</v>
      </c>
      <c r="BD8" s="281">
        <f t="shared" si="15"/>
        <v>-17.210479999999997</v>
      </c>
      <c r="BE8" s="281">
        <f t="shared" si="16"/>
        <v>1.048784822394917</v>
      </c>
      <c r="BF8" s="281">
        <f t="shared" si="17"/>
        <v>-0.28264205328152486</v>
      </c>
      <c r="BG8" s="281">
        <f t="shared" si="18"/>
        <v>-12.509846678347557</v>
      </c>
      <c r="BH8" s="281">
        <f t="shared" si="19"/>
        <v>4.7586694755271761</v>
      </c>
      <c r="BK8" s="292" t="str">
        <f>"Vertical tail: S = "&amp;TEXT(S_VT,"0.0")&amp;" m2, h = "&amp;TEXT(b_VT,"0.0")&amp;" m"</f>
        <v>Vertical tail: S = 26.2 m2, h = 6.7 m</v>
      </c>
      <c r="BM8" s="281">
        <f>$AZ$5+1*(seat_pitch)*($AY$5*n_SA+$AW$5&lt;pax_e)</f>
        <v>7.3100000000000005</v>
      </c>
      <c r="BN8" s="281">
        <f>$AX$5+seat_w*($AY$5*n_SA+$AW$5&lt;pax_e)</f>
        <v>-1.31</v>
      </c>
      <c r="BO8" s="281">
        <f t="shared" si="20"/>
        <v>-10.500479999999998</v>
      </c>
      <c r="BQ8" s="281">
        <f>0.5*nose_len+0*MIN(0.6,0.2*nose_len)</f>
        <v>2</v>
      </c>
      <c r="BR8" s="281">
        <f>-1*MIN(0.55,0.2*d_fus)+1*MIN(0.5,0.25*d_fus)/2</f>
        <v>-0.30000000000000004</v>
      </c>
      <c r="BT8" s="293">
        <v>3</v>
      </c>
      <c r="BU8" s="293">
        <f t="shared" si="21"/>
        <v>2</v>
      </c>
      <c r="BV8" s="293">
        <f t="shared" si="22"/>
        <v>0</v>
      </c>
      <c r="BW8" s="293">
        <f t="shared" si="23"/>
        <v>1</v>
      </c>
      <c r="BX8" s="281">
        <f t="shared" si="24"/>
        <v>28.25</v>
      </c>
      <c r="BY8" s="281">
        <f t="shared" si="25"/>
        <v>0.86499999999999999</v>
      </c>
      <c r="CA8" s="281">
        <f>$BX$5+0*lav_len</f>
        <v>4</v>
      </c>
      <c r="CB8" s="281">
        <f>$BY$5+1*lav_w</f>
        <v>-0.86499999999999999</v>
      </c>
      <c r="CE8" s="281">
        <f>3/24*CLmax_c</f>
        <v>0.1875</v>
      </c>
      <c r="CF8" s="294">
        <f t="shared" si="26"/>
        <v>1.9472444991598538E-2</v>
      </c>
      <c r="CG8" s="289">
        <f t="shared" si="27"/>
        <v>9.6289911246840134</v>
      </c>
      <c r="CH8" s="281">
        <f>3/24*CLmaxTO</f>
        <v>0.26250000000000001</v>
      </c>
      <c r="CI8" s="294">
        <f t="shared" si="28"/>
        <v>3.8802658850199803E-2</v>
      </c>
      <c r="CJ8" s="289">
        <f t="shared" si="29"/>
        <v>6.7650003318947389</v>
      </c>
      <c r="CK8" s="281">
        <f>3/24*CLmaxL</f>
        <v>0.33750000000000002</v>
      </c>
      <c r="CL8" s="294">
        <f t="shared" si="30"/>
        <v>6.2652378577513004E-2</v>
      </c>
      <c r="CM8" s="289">
        <f t="shared" si="31"/>
        <v>5.3868665111005773</v>
      </c>
      <c r="CR8" s="293">
        <f>3/28*h_abs</f>
        <v>1228.4375070612248</v>
      </c>
      <c r="CS8" s="289">
        <f t="shared" si="32"/>
        <v>280.165156204102</v>
      </c>
      <c r="CT8" s="294">
        <f t="shared" si="33"/>
        <v>1.0869140220647595</v>
      </c>
      <c r="CU8" s="291">
        <f t="shared" si="34"/>
        <v>335.54604455632989</v>
      </c>
      <c r="CV8" s="294">
        <f t="shared" si="35"/>
        <v>0.24831263520853708</v>
      </c>
      <c r="CW8" s="291">
        <f t="shared" si="36"/>
        <v>208.66992177499009</v>
      </c>
      <c r="CX8" s="289">
        <f t="shared" si="37"/>
        <v>32.096149793049491</v>
      </c>
      <c r="CY8" s="293">
        <f t="shared" si="38"/>
        <v>13.17102177188513</v>
      </c>
      <c r="CZ8" s="295">
        <f t="shared" si="39"/>
        <v>5.8643597461414204E-2</v>
      </c>
      <c r="DA8" s="291">
        <f t="shared" si="40"/>
        <v>78.082246910087846</v>
      </c>
      <c r="DB8" s="291">
        <f t="shared" si="41"/>
        <v>275.14775653619051</v>
      </c>
      <c r="DC8" s="281">
        <f t="shared" si="42"/>
        <v>0.2327020335266678</v>
      </c>
      <c r="DD8" s="281">
        <f t="shared" si="43"/>
        <v>0.82000000000000006</v>
      </c>
      <c r="DJ8" s="291">
        <f>3/10*V_A</f>
        <v>35.962594410321664</v>
      </c>
      <c r="DK8" s="289">
        <f>(3/10*V_A/V_S1)^2</f>
        <v>0.22499999999999992</v>
      </c>
      <c r="DQ8" s="296">
        <f>Design!$D$444</f>
        <v>0.4409008445902341</v>
      </c>
      <c r="DR8" s="290">
        <f>Design!$B$444</f>
        <v>56811.950546004198</v>
      </c>
      <c r="DX8" s="281">
        <f>d_fus/2*0.70711</f>
        <v>1.40780297675</v>
      </c>
      <c r="DY8" s="281">
        <f>d_fus/2*0.70711</f>
        <v>1.40780297675</v>
      </c>
      <c r="EB8" s="281">
        <f>$AH$5+D_nac/2*0</f>
        <v>6.0190949159048603</v>
      </c>
      <c r="EC8" s="281">
        <f>$AJ$5+D_nac/2*1</f>
        <v>-0.89121149722047099</v>
      </c>
      <c r="ED8" s="281">
        <f>-track/2+-1*2.2*w_tyre/2</f>
        <v>-4.003909933027253</v>
      </c>
      <c r="EE8" s="281">
        <f>-h_cg</f>
        <v>-3.6633019999999998</v>
      </c>
      <c r="EG8" s="281">
        <f>d_fus/2*0.86603</f>
        <v>1.7242007777499997</v>
      </c>
      <c r="EH8" s="281">
        <f>d_fus/2*0.5</f>
        <v>0.99546249999999992</v>
      </c>
      <c r="EI8" s="281">
        <f>w_cabin/2*0.86603</f>
        <v>1.6151459499999998</v>
      </c>
      <c r="EJ8" s="281">
        <f>w_cabin/2*0.5</f>
        <v>0.9325</v>
      </c>
      <c r="EK8" s="281">
        <f>-1*SQRT(MAX(0,(w_cabin/2)^2-(-d_hold)^2))</f>
        <v>-1.6847032379621047</v>
      </c>
      <c r="EL8" s="281">
        <f>-d_hold</f>
        <v>-0.8</v>
      </c>
      <c r="EM8" s="281">
        <f>$AX$5+0.95*seat_w</f>
        <v>-1.3365</v>
      </c>
      <c r="EN8" s="281">
        <f>z_floor+0</f>
        <v>-0.6</v>
      </c>
      <c r="ER8" s="281">
        <f>IF(1&lt;n_door,x_door_f+IF(n_door&gt;1,1/(n_door-1),0)*(x_door_r-x_door_f),IF(1&lt;n_door+n_overwing,x_ac_w+(1-n_door-(n_overwing-1)/2)*seat_pitch,x_door_f))</f>
        <v>27.5</v>
      </c>
      <c r="ES8" s="281">
        <f>1*w_cabin/2</f>
        <v>1.865</v>
      </c>
      <c r="ET8" s="281">
        <f>x_seat0-door_len+0*0.6</f>
        <v>5</v>
      </c>
      <c r="EU8" s="281">
        <f>w_cabin/2-gal_w+1*gal_w</f>
        <v>1.865</v>
      </c>
      <c r="EW8" s="292" t="s">
        <v>1503</v>
      </c>
      <c r="EX8" s="290">
        <f>W_pl*1.1</f>
        <v>15675.000000000002</v>
      </c>
      <c r="EY8" s="294">
        <f>fuel_frac</f>
        <v>0.29670802440883892</v>
      </c>
      <c r="EZ8" s="294">
        <f t="shared" si="44"/>
        <v>0.97</v>
      </c>
      <c r="FA8" s="290">
        <f t="shared" si="45"/>
        <v>71061.950546004198</v>
      </c>
      <c r="FB8" s="290">
        <f t="shared" ref="FB8:FY8" si="67">IF(1-$EY8-$EZ8*FA8^C_emp&gt;0.02,(W_crew+$EX8)/(1-$EY8-$EZ8*FA8^C_emp),FA8)</f>
        <v>77943.586939348141</v>
      </c>
      <c r="FC8" s="290">
        <f t="shared" si="67"/>
        <v>76924.083781279332</v>
      </c>
      <c r="FD8" s="290">
        <f t="shared" si="67"/>
        <v>77067.329253502423</v>
      </c>
      <c r="FE8" s="290">
        <f t="shared" si="67"/>
        <v>77047.04904974706</v>
      </c>
      <c r="FF8" s="290">
        <f t="shared" si="67"/>
        <v>77049.917174278424</v>
      </c>
      <c r="FG8" s="290">
        <f t="shared" si="67"/>
        <v>77049.511488684846</v>
      </c>
      <c r="FH8" s="290">
        <f t="shared" si="67"/>
        <v>77049.568870178351</v>
      </c>
      <c r="FI8" s="290">
        <f t="shared" si="67"/>
        <v>77049.560753928119</v>
      </c>
      <c r="FJ8" s="290">
        <f t="shared" si="67"/>
        <v>77049.561901920009</v>
      </c>
      <c r="FK8" s="290">
        <f t="shared" si="67"/>
        <v>77049.56173954386</v>
      </c>
      <c r="FL8" s="290">
        <f t="shared" si="67"/>
        <v>77049.561762510915</v>
      </c>
      <c r="FM8" s="290">
        <f t="shared" si="67"/>
        <v>77049.561759262389</v>
      </c>
      <c r="FN8" s="290">
        <f t="shared" si="67"/>
        <v>77049.561759721881</v>
      </c>
      <c r="FO8" s="290">
        <f t="shared" si="67"/>
        <v>77049.561759656892</v>
      </c>
      <c r="FP8" s="290">
        <f t="shared" si="67"/>
        <v>77049.561759666074</v>
      </c>
      <c r="FQ8" s="290">
        <f t="shared" si="67"/>
        <v>77049.561759664764</v>
      </c>
      <c r="FR8" s="290">
        <f t="shared" si="67"/>
        <v>77049.561759664968</v>
      </c>
      <c r="FS8" s="290">
        <f t="shared" si="67"/>
        <v>77049.561759664924</v>
      </c>
      <c r="FT8" s="290">
        <f t="shared" si="67"/>
        <v>77049.561759664924</v>
      </c>
      <c r="FU8" s="290">
        <f t="shared" si="67"/>
        <v>77049.561759664924</v>
      </c>
      <c r="FV8" s="290">
        <f t="shared" si="67"/>
        <v>77049.561759664924</v>
      </c>
      <c r="FW8" s="290">
        <f t="shared" si="67"/>
        <v>77049.561759664924</v>
      </c>
      <c r="FX8" s="290">
        <f t="shared" si="67"/>
        <v>77049.561759664924</v>
      </c>
      <c r="FY8" s="290">
        <f t="shared" si="67"/>
        <v>77049.561759664924</v>
      </c>
      <c r="GA8" s="292" t="s">
        <v>1504</v>
      </c>
      <c r="GB8" s="297">
        <v>100</v>
      </c>
      <c r="GC8" s="297">
        <v>51800</v>
      </c>
      <c r="GD8" s="297">
        <v>28080</v>
      </c>
      <c r="GE8" s="297">
        <v>92.5</v>
      </c>
      <c r="GF8" s="297">
        <v>28.72</v>
      </c>
      <c r="GG8" s="297">
        <v>36.24</v>
      </c>
      <c r="GH8" s="297">
        <v>82.3</v>
      </c>
      <c r="GI8" s="297">
        <v>2</v>
      </c>
      <c r="GJ8" s="297">
        <v>4540</v>
      </c>
      <c r="GK8" s="281">
        <f t="shared" si="47"/>
        <v>0.72162699834123911</v>
      </c>
      <c r="GZ8" s="292" t="s">
        <v>1505</v>
      </c>
      <c r="HA8" s="294">
        <f>IF(N_eng=2,(HA7+eta_in*b_w/2*TAN(RADIANS(sweepLE))-0.8*L_nac),IF(N_eng=4,((HA7+eta_in*b_w/2*TAN(RADIANS(sweepLE))-0.8*L_nac)+(HA7+eta_out*b_w/2*TAN(RADIANS(sweepLE))-0.8*L_nac))/2,(2*(HA7+eta_in*b_w/2*TAN(RADIANS(sweepLE))-0.8*L_nac)+L_fus-tail_len-0.2*L_nac)/3))+0.45*L_nac</f>
        <v>10.389858082236957</v>
      </c>
      <c r="HB8" s="294">
        <f>IF(N_eng=2,(HB7+eta_in*b_w/2*TAN(RADIANS(sweepLE))-0.8*L_nac),IF(N_eng=4,((HB7+eta_in*b_w/2*TAN(RADIANS(sweepLE))-0.8*L_nac)+(HB7+eta_out*b_w/2*TAN(RADIANS(sweepLE))-0.8*L_nac))/2,(2*(HB7+eta_in*b_w/2*TAN(RADIANS(sweepLE))-0.8*L_nac)+L_fus-tail_len-0.2*L_nac)/3))+0.45*L_nac</f>
        <v>16.089211682236961</v>
      </c>
      <c r="HF8" s="297">
        <f t="shared" si="65"/>
        <v>72632.078864744792</v>
      </c>
      <c r="HG8" s="297">
        <f t="shared" si="48"/>
        <v>134.87525730219602</v>
      </c>
      <c r="HH8" s="297">
        <f t="shared" si="49"/>
        <v>35.795459829018291</v>
      </c>
      <c r="HI8" s="297">
        <f t="shared" si="50"/>
        <v>6.0287090238346597</v>
      </c>
      <c r="HJ8" s="297">
        <f t="shared" si="51"/>
        <v>4.2200963166842618</v>
      </c>
      <c r="HK8" s="297">
        <f t="shared" si="52"/>
        <v>5481.6897246665176</v>
      </c>
      <c r="HL8" s="297">
        <f t="shared" si="53"/>
        <v>1690.6330600997949</v>
      </c>
      <c r="HM8" s="297">
        <f t="shared" si="54"/>
        <v>9147.0379438144791</v>
      </c>
      <c r="HN8" s="297">
        <f t="shared" si="55"/>
        <v>3123.1793911840259</v>
      </c>
      <c r="HO8" s="297">
        <f t="shared" si="56"/>
        <v>4684.9242330618481</v>
      </c>
      <c r="HP8" s="297">
        <f t="shared" si="57"/>
        <v>12347.453407006615</v>
      </c>
      <c r="HQ8" s="297">
        <f t="shared" si="58"/>
        <v>36474.917759833275</v>
      </c>
      <c r="HR8" s="297">
        <f t="shared" si="59"/>
        <v>72786.153598304503</v>
      </c>
      <c r="HT8" s="293">
        <v>3</v>
      </c>
      <c r="HU8" s="293">
        <f t="shared" si="60"/>
        <v>3</v>
      </c>
      <c r="HV8" s="281">
        <f t="shared" si="61"/>
        <v>-1.84</v>
      </c>
      <c r="HW8" s="293">
        <f>MAX(0,MIN(3,n_rows_b-1))</f>
        <v>0</v>
      </c>
      <c r="HX8" s="281">
        <f t="shared" si="62"/>
        <v>6.5</v>
      </c>
      <c r="HY8" s="281">
        <f>$HX$5+1*(bus_pitch*(n_rows_b&gt;0))*($HW$5*n_SA_b+$HU$5&lt;pax_b)</f>
        <v>6.5</v>
      </c>
      <c r="HZ8" s="281">
        <f>$HV$5+seat_w_b*($HW$5*n_SA_b+$HU$5&lt;pax_b)</f>
        <v>-1.84</v>
      </c>
      <c r="IA8" s="281">
        <f t="shared" si="63"/>
        <v>-11.310479999999998</v>
      </c>
      <c r="IC8" s="281">
        <f>x_wLE0+(d_fus/2)*TAN(RADIANS(sweepLE))-L_fus/2+0.65*c_root*(1-(1-taper)*2*(d_fus/2)/b_w)</f>
        <v>-2.6512994032903441</v>
      </c>
      <c r="ID8" s="281">
        <f>1*d_fus/2</f>
        <v>1.9909249999999998</v>
      </c>
    </row>
    <row r="9" spans="1:238" x14ac:dyDescent="0.25">
      <c r="A9" s="289">
        <f>14/50</f>
        <v>0.28000000000000003</v>
      </c>
      <c r="B9" s="290">
        <f t="shared" si="0"/>
        <v>1558.5609624776471</v>
      </c>
      <c r="C9" s="291">
        <f t="shared" si="1"/>
        <v>158.92898823529413</v>
      </c>
      <c r="D9" s="281">
        <f t="shared" si="2"/>
        <v>8.049650053475936E-2</v>
      </c>
      <c r="E9" s="281">
        <f t="shared" si="3"/>
        <v>0.2194155421601327</v>
      </c>
      <c r="F9" s="281">
        <f t="shared" si="4"/>
        <v>0.21104328049055099</v>
      </c>
      <c r="G9" s="281">
        <f t="shared" si="5"/>
        <v>0.58666542334246452</v>
      </c>
      <c r="H9" s="281">
        <f t="shared" si="6"/>
        <v>0.58666542334246452</v>
      </c>
      <c r="K9" s="281">
        <f>WS_des</f>
        <v>5281.0084699453055</v>
      </c>
      <c r="L9" s="281">
        <f>TW_des</f>
        <v>0.27275333551870468</v>
      </c>
      <c r="S9" s="292" t="s">
        <v>1506</v>
      </c>
      <c r="T9" s="281">
        <f>0.3*nose_len</f>
        <v>1.2</v>
      </c>
      <c r="U9" s="281">
        <f>d_fus/2*SQRT(1-(1-0.3)^2)</f>
        <v>1.4218048394096672</v>
      </c>
      <c r="V9" s="281">
        <f t="shared" si="7"/>
        <v>-0.17073604817709978</v>
      </c>
      <c r="X9" s="281">
        <f t="shared" si="8"/>
        <v>-16.610479999999999</v>
      </c>
      <c r="Y9" s="281">
        <f t="shared" si="9"/>
        <v>1.2510687912325673</v>
      </c>
      <c r="Z9" s="281">
        <f t="shared" si="10"/>
        <v>1.4218048394096672</v>
      </c>
      <c r="AA9" s="281">
        <f t="shared" si="11"/>
        <v>1.2</v>
      </c>
      <c r="AC9" s="281">
        <f>x_wLE0+b_w/2*TAN(RADIANS(sweepLE))-L_fus/2+c_tip</f>
        <v>4.0062695138737334</v>
      </c>
      <c r="AD9" s="281">
        <f>-b_w/2</f>
        <v>-17.703220340896646</v>
      </c>
      <c r="AE9" s="281">
        <f>z_w0+b_w/2*TAN(RADIANS(dihedral))</f>
        <v>0.35427608773000063</v>
      </c>
      <c r="AL9" s="281">
        <f>AI5+0*L_nac-L_fus/2</f>
        <v>-7.4249768198019375</v>
      </c>
      <c r="AM9" s="281">
        <f>AH5+-1*D_nac/2</f>
        <v>4.9027995806615046</v>
      </c>
      <c r="AN9" s="281">
        <f>AJ5+-1*D_nac/2</f>
        <v>-3.1238021677071828</v>
      </c>
      <c r="AP9" s="281">
        <f>x_main-L_fus/2+-0.86603*D_tyre/2</f>
        <v>-0.80361309463841502</v>
      </c>
      <c r="AQ9" s="281">
        <f>-h_cg+D_tyre/2+-0.5*D_tyre/2</f>
        <v>-3.3751794093185286</v>
      </c>
      <c r="AV9" s="293">
        <v>4</v>
      </c>
      <c r="AW9" s="293">
        <f t="shared" si="12"/>
        <v>4</v>
      </c>
      <c r="AX9" s="281">
        <f t="shared" si="13"/>
        <v>0.78</v>
      </c>
      <c r="AY9" s="293">
        <f>MAX(0,MIN(4,n_rows-1))</f>
        <v>4</v>
      </c>
      <c r="AZ9" s="281">
        <f t="shared" si="14"/>
        <v>9.74</v>
      </c>
      <c r="BA9" s="281">
        <f>nose_len+0*L_cabin</f>
        <v>4</v>
      </c>
      <c r="BB9" s="281">
        <f>-1*w_cabin/2</f>
        <v>-1.865</v>
      </c>
      <c r="BC9" s="281">
        <f>BA9-L_fus/2</f>
        <v>-13.810479999999998</v>
      </c>
      <c r="BD9" s="281">
        <f t="shared" si="15"/>
        <v>-16.610479999999999</v>
      </c>
      <c r="BE9" s="281">
        <f t="shared" si="16"/>
        <v>1.4218048394096672</v>
      </c>
      <c r="BF9" s="281">
        <f t="shared" si="17"/>
        <v>-0.17073604817709978</v>
      </c>
      <c r="BG9" s="281">
        <f t="shared" si="18"/>
        <v>-11.810447367374026</v>
      </c>
      <c r="BH9" s="281">
        <f t="shared" si="19"/>
        <v>4.8178616207715352</v>
      </c>
      <c r="BK9" s="292" t="str">
        <f>N_eng&amp;" engines: "&amp;TEXT(T_eng/1000,"0")&amp;" kN each, nacelle "&amp;TEXT(L_nac,"0.0")&amp;" x "&amp;TEXT(D_nac,"0.0")&amp;" m"</f>
        <v>2 engines: 95 kN each, nacelle 4.3 x 2.2 m</v>
      </c>
      <c r="BM9" s="281">
        <f>$AZ$5+0.8*(seat_pitch)*($AY$5*n_SA+$AW$5&lt;pax_e)</f>
        <v>7.1479999999999997</v>
      </c>
      <c r="BN9" s="281">
        <f>$AX$5+seat_w*($AY$5*n_SA+$AW$5&lt;pax_e)</f>
        <v>-1.31</v>
      </c>
      <c r="BO9" s="281">
        <f t="shared" si="20"/>
        <v>-10.662479999999999</v>
      </c>
      <c r="BQ9" s="281">
        <f>0.5*nose_len+0*MIN(0.6,0.2*nose_len)</f>
        <v>2</v>
      </c>
      <c r="BR9" s="281">
        <f>-1*MIN(0.55,0.2*d_fus)+-1*MIN(0.5,0.25*d_fus)/2</f>
        <v>-0.8</v>
      </c>
      <c r="BT9" s="293">
        <v>4</v>
      </c>
      <c r="BU9" s="293">
        <f t="shared" si="21"/>
        <v>2</v>
      </c>
      <c r="BV9" s="293">
        <f t="shared" si="22"/>
        <v>0</v>
      </c>
      <c r="BW9" s="293">
        <f t="shared" si="23"/>
        <v>1</v>
      </c>
      <c r="BX9" s="281">
        <f t="shared" si="24"/>
        <v>28.25</v>
      </c>
      <c r="BY9" s="281">
        <f t="shared" si="25"/>
        <v>0.86499999999999999</v>
      </c>
      <c r="CA9" s="281">
        <f>$BX$5+0*lav_len</f>
        <v>4</v>
      </c>
      <c r="CB9" s="281">
        <f>$BY$5+0*lav_w</f>
        <v>-1.865</v>
      </c>
      <c r="CE9" s="281">
        <f>4/24*CLmax_c</f>
        <v>0.25</v>
      </c>
      <c r="CF9" s="294">
        <f t="shared" si="26"/>
        <v>2.0617679985064065E-2</v>
      </c>
      <c r="CG9" s="289">
        <f t="shared" si="27"/>
        <v>12.12551558570634</v>
      </c>
      <c r="CH9" s="281">
        <f>4/24*CLmaxTO</f>
        <v>0.35</v>
      </c>
      <c r="CI9" s="294">
        <f t="shared" si="28"/>
        <v>4.1047319437392239E-2</v>
      </c>
      <c r="CJ9" s="289">
        <f t="shared" si="29"/>
        <v>8.5267443720372622</v>
      </c>
      <c r="CK9" s="281">
        <f>4/24*CLmaxL</f>
        <v>0.45</v>
      </c>
      <c r="CL9" s="294">
        <f t="shared" si="30"/>
        <v>6.6362939956341321E-2</v>
      </c>
      <c r="CM9" s="289">
        <f t="shared" si="31"/>
        <v>6.7808930752019858</v>
      </c>
      <c r="CR9" s="293">
        <f>4/28*h_abs</f>
        <v>1637.9166760816329</v>
      </c>
      <c r="CS9" s="289">
        <f t="shared" si="32"/>
        <v>277.50354160546937</v>
      </c>
      <c r="CT9" s="294">
        <f t="shared" si="33"/>
        <v>1.043643209086454</v>
      </c>
      <c r="CU9" s="291">
        <f t="shared" si="34"/>
        <v>333.94836993143821</v>
      </c>
      <c r="CV9" s="294">
        <f t="shared" si="35"/>
        <v>0.23561193524990842</v>
      </c>
      <c r="CW9" s="291">
        <f t="shared" si="36"/>
        <v>207.81254080567135</v>
      </c>
      <c r="CX9" s="289">
        <f t="shared" si="37"/>
        <v>30.082650927557101</v>
      </c>
      <c r="CY9" s="293">
        <f t="shared" si="38"/>
        <v>14.061914779135126</v>
      </c>
      <c r="CZ9" s="295">
        <f t="shared" si="39"/>
        <v>5.2497416689413233E-2</v>
      </c>
      <c r="DA9" s="291">
        <f t="shared" si="40"/>
        <v>79.684503722618686</v>
      </c>
      <c r="DB9" s="291">
        <f t="shared" si="41"/>
        <v>273.83766334377935</v>
      </c>
      <c r="DC9" s="281">
        <f t="shared" si="42"/>
        <v>0.23861324353515617</v>
      </c>
      <c r="DD9" s="281">
        <f t="shared" si="43"/>
        <v>0.82000000000000006</v>
      </c>
      <c r="DJ9" s="291">
        <f>4/10*V_A</f>
        <v>47.950125880428892</v>
      </c>
      <c r="DK9" s="289">
        <f>(4/10*V_A/V_S1)^2</f>
        <v>0.4</v>
      </c>
      <c r="DQ9" s="296">
        <f>Design!$D$441</f>
        <v>0.43553093088201961</v>
      </c>
      <c r="DR9" s="290">
        <f>Design!$B$441</f>
        <v>35727.299588860682</v>
      </c>
      <c r="DX9" s="281">
        <f>d_fus/2*0.5</f>
        <v>0.99546249999999992</v>
      </c>
      <c r="DY9" s="281">
        <f>d_fus/2*0.86603</f>
        <v>1.7242007777499997</v>
      </c>
      <c r="DZ9" s="281">
        <f>-b_HT/2</f>
        <v>-6.2176462037157743</v>
      </c>
      <c r="EA9" s="281">
        <f>z_HT</f>
        <v>1.1945549999999998</v>
      </c>
      <c r="EB9" s="281">
        <f>$AH$5+D_nac/2*-0.5</f>
        <v>5.4609472482831825</v>
      </c>
      <c r="EC9" s="281">
        <f>$AJ$5+D_nac/2*0.86603</f>
        <v>-1.0407615832830235</v>
      </c>
      <c r="ED9" s="281">
        <f>-track/2+1*2.2*w_tyre/2</f>
        <v>-3.0773782033314054</v>
      </c>
      <c r="EE9" s="281">
        <f>-h_cg</f>
        <v>-3.6633019999999998</v>
      </c>
      <c r="EG9" s="281">
        <f>d_fus/2*0.76604</f>
        <v>1.525128187</v>
      </c>
      <c r="EH9" s="281">
        <f>d_fus/2*0.64279</f>
        <v>1.2797466807499998</v>
      </c>
      <c r="EI9" s="281">
        <f>w_cabin/2*0.76604</f>
        <v>1.4286646000000001</v>
      </c>
      <c r="EJ9" s="281">
        <f>w_cabin/2*0.64279</f>
        <v>1.1988033499999999</v>
      </c>
      <c r="EK9" s="281">
        <f>1*SQRT(MAX(0,(w_cabin/2)^2-(-d_hold)^2))</f>
        <v>1.6847032379621047</v>
      </c>
      <c r="EL9" s="281">
        <f>-d_hold</f>
        <v>-0.8</v>
      </c>
      <c r="EM9" s="281">
        <f>$AX$6+0.05*seat_w</f>
        <v>-1.2835000000000001</v>
      </c>
      <c r="EN9" s="281">
        <f>z_floor+0</f>
        <v>-0.6</v>
      </c>
      <c r="ER9" s="281">
        <f>IF(2&lt;n_door,x_door_f+IF(n_door&gt;1,2/(n_door-1),0)*(x_door_r-x_door_f),IF(2&lt;n_door+n_overwing,x_ac_w+(2-n_door-(n_overwing-1)/2)*seat_pitch,x_door_f))</f>
        <v>15.072319056342494</v>
      </c>
      <c r="ES9" s="281">
        <f>-1*w_cabin/2</f>
        <v>-1.865</v>
      </c>
      <c r="ET9" s="281">
        <f>x_seat0-door_len+0*0.6</f>
        <v>5</v>
      </c>
      <c r="EU9" s="281">
        <f>w_cabin/2-gal_w+0*gal_w</f>
        <v>0.2649999999999999</v>
      </c>
      <c r="EW9" s="292" t="s">
        <v>1507</v>
      </c>
      <c r="EX9" s="290">
        <f t="shared" ref="EX9:EX16" si="68">W_pl</f>
        <v>14250</v>
      </c>
      <c r="EY9" s="294">
        <f>k_res*(1-ff_fixed*EXP(-Range_km*1*1000*TSFC_s*0.9/(V_cr*LD_cr)))</f>
        <v>0.2807935961844123</v>
      </c>
      <c r="EZ9" s="294">
        <f t="shared" si="44"/>
        <v>0.97</v>
      </c>
      <c r="FA9" s="290">
        <f t="shared" si="45"/>
        <v>71061.950546004198</v>
      </c>
      <c r="FB9" s="290">
        <f t="shared" ref="FB9:FY9" si="69">IF(1-$EY9-$EZ9*FA9^C_emp&gt;0.02,(W_crew+$EX9)/(1-$EY9-$EZ9*FA9^C_emp),FA9)</f>
        <v>65990.314329163011</v>
      </c>
      <c r="FC9" s="290">
        <f t="shared" si="69"/>
        <v>66650.71083578172</v>
      </c>
      <c r="FD9" s="290">
        <f t="shared" si="69"/>
        <v>66560.957829261853</v>
      </c>
      <c r="FE9" s="290">
        <f t="shared" si="69"/>
        <v>66573.086327805067</v>
      </c>
      <c r="FF9" s="290">
        <f t="shared" si="69"/>
        <v>66571.446109079814</v>
      </c>
      <c r="FG9" s="290">
        <f t="shared" si="69"/>
        <v>66571.667903681358</v>
      </c>
      <c r="FH9" s="290">
        <f t="shared" si="69"/>
        <v>66571.637911618862</v>
      </c>
      <c r="FI9" s="290">
        <f t="shared" si="69"/>
        <v>66571.641967272517</v>
      </c>
      <c r="FJ9" s="290">
        <f t="shared" si="69"/>
        <v>66571.641418849744</v>
      </c>
      <c r="FK9" s="290">
        <f t="shared" si="69"/>
        <v>66571.641493009767</v>
      </c>
      <c r="FL9" s="290">
        <f t="shared" si="69"/>
        <v>66571.641482981533</v>
      </c>
      <c r="FM9" s="290">
        <f t="shared" si="69"/>
        <v>66571.641484337611</v>
      </c>
      <c r="FN9" s="290">
        <f t="shared" si="69"/>
        <v>66571.641484154257</v>
      </c>
      <c r="FO9" s="290">
        <f t="shared" si="69"/>
        <v>66571.641484179039</v>
      </c>
      <c r="FP9" s="290">
        <f t="shared" si="69"/>
        <v>66571.641484175692</v>
      </c>
      <c r="FQ9" s="290">
        <f t="shared" si="69"/>
        <v>66571.641484176158</v>
      </c>
      <c r="FR9" s="290">
        <f t="shared" si="69"/>
        <v>66571.641484176085</v>
      </c>
      <c r="FS9" s="290">
        <f t="shared" si="69"/>
        <v>66571.641484176085</v>
      </c>
      <c r="FT9" s="290">
        <f t="shared" si="69"/>
        <v>66571.641484176085</v>
      </c>
      <c r="FU9" s="290">
        <f t="shared" si="69"/>
        <v>66571.641484176085</v>
      </c>
      <c r="FV9" s="290">
        <f t="shared" si="69"/>
        <v>66571.641484176085</v>
      </c>
      <c r="FW9" s="290">
        <f t="shared" si="69"/>
        <v>66571.641484176085</v>
      </c>
      <c r="FX9" s="290">
        <f t="shared" si="69"/>
        <v>66571.641484176085</v>
      </c>
      <c r="FY9" s="290">
        <f t="shared" si="69"/>
        <v>66571.641484176085</v>
      </c>
      <c r="GA9" s="292" t="s">
        <v>1508</v>
      </c>
      <c r="GB9" s="297">
        <v>150</v>
      </c>
      <c r="GC9" s="297">
        <v>78000</v>
      </c>
      <c r="GD9" s="297">
        <v>42600</v>
      </c>
      <c r="GE9" s="297">
        <v>122.6</v>
      </c>
      <c r="GF9" s="297">
        <v>34.1</v>
      </c>
      <c r="GG9" s="297">
        <v>37.57</v>
      </c>
      <c r="GH9" s="297">
        <v>118</v>
      </c>
      <c r="GI9" s="297">
        <v>2</v>
      </c>
      <c r="GJ9" s="297">
        <v>6100</v>
      </c>
      <c r="GK9" s="281">
        <f t="shared" si="47"/>
        <v>9.3156787191079546E-2</v>
      </c>
      <c r="GZ9" s="292" t="s">
        <v>1509</v>
      </c>
      <c r="HA9" s="294">
        <f>Design!$B$427*(HA6+0.4*MAC)+Design!$B$428*(HA5*L_fus+L_tail+0.15*MAC_HT)+Design!$B$429*(HA5*L_fus+L_tail+0.15*MAC_VT)+Design!$B$430*0.45*L_fus+Design!$B$433*HA8+Design!$B$434*0.45*L_fus</f>
        <v>512805.29211835843</v>
      </c>
      <c r="HB9" s="294">
        <f>Design!$B$427*(HB6+0.4*MAC)+Design!$B$428*(HB5*L_fus+L_tail+0.15*MAC_HT)+Design!$B$429*(HB5*L_fus+L_tail+0.15*MAC_VT)+Design!$B$430*0.45*L_fus+Design!$B$433*HB8+Design!$B$434*0.45*L_fus</f>
        <v>578697.5461740857</v>
      </c>
      <c r="HF9" s="297">
        <f t="shared" si="65"/>
        <v>72786.153598304503</v>
      </c>
      <c r="HG9" s="297">
        <f t="shared" si="48"/>
        <v>135.16136875126151</v>
      </c>
      <c r="HH9" s="297">
        <f t="shared" si="49"/>
        <v>35.833406245248085</v>
      </c>
      <c r="HI9" s="297">
        <f t="shared" si="50"/>
        <v>6.0350999991996765</v>
      </c>
      <c r="HJ9" s="297">
        <f t="shared" si="51"/>
        <v>4.2245699994397734</v>
      </c>
      <c r="HK9" s="297">
        <f t="shared" si="52"/>
        <v>5494.4622383131236</v>
      </c>
      <c r="HL9" s="297">
        <f t="shared" si="53"/>
        <v>1696.0154324947309</v>
      </c>
      <c r="HM9" s="297">
        <f t="shared" si="54"/>
        <v>9147.0379438144791</v>
      </c>
      <c r="HN9" s="297">
        <f t="shared" si="55"/>
        <v>3129.8046047270932</v>
      </c>
      <c r="HO9" s="297">
        <f t="shared" si="56"/>
        <v>4695.8573561955636</v>
      </c>
      <c r="HP9" s="297">
        <f t="shared" si="57"/>
        <v>12373.646111711767</v>
      </c>
      <c r="HQ9" s="297">
        <f t="shared" si="58"/>
        <v>36536.823687256758</v>
      </c>
      <c r="HR9" s="297">
        <f t="shared" si="59"/>
        <v>72874.176680569086</v>
      </c>
      <c r="HT9" s="293">
        <v>4</v>
      </c>
      <c r="HU9" s="293">
        <f t="shared" si="60"/>
        <v>3</v>
      </c>
      <c r="HV9" s="281">
        <f t="shared" si="61"/>
        <v>-1.84</v>
      </c>
      <c r="HW9" s="293">
        <f>MAX(0,MIN(4,n_rows_b-1))</f>
        <v>0</v>
      </c>
      <c r="HX9" s="281">
        <f t="shared" si="62"/>
        <v>6.5</v>
      </c>
      <c r="HY9" s="281">
        <f>$HX$5+0.8*(bus_pitch*(n_rows_b&gt;0))*($HW$5*n_SA_b+$HU$5&lt;pax_b)</f>
        <v>6.5</v>
      </c>
      <c r="HZ9" s="281">
        <f>$HV$5+seat_w_b*($HW$5*n_SA_b+$HU$5&lt;pax_b)</f>
        <v>-1.84</v>
      </c>
      <c r="IA9" s="281">
        <f t="shared" si="63"/>
        <v>-11.310479999999998</v>
      </c>
      <c r="IC9" s="281">
        <f>x_wLE0+(d_fus/2)*TAN(RADIANS(sweepLE))-L_fus/2+0.15*c_root*(1-(1-taper)*2*(d_fus/2)/b_w)</f>
        <v>-5.3814091449150432</v>
      </c>
      <c r="ID9" s="281">
        <f>1*d_fus/2</f>
        <v>1.9909249999999998</v>
      </c>
    </row>
    <row r="10" spans="1:238" x14ac:dyDescent="0.25">
      <c r="A10" s="289">
        <f>15/50</f>
        <v>0.3</v>
      </c>
      <c r="B10" s="290">
        <f t="shared" si="0"/>
        <v>1669.8867455117645</v>
      </c>
      <c r="C10" s="291">
        <f t="shared" si="1"/>
        <v>170.28105882352941</v>
      </c>
      <c r="D10" s="281">
        <f t="shared" si="2"/>
        <v>8.6246250572956443E-2</v>
      </c>
      <c r="E10" s="281">
        <f t="shared" si="3"/>
        <v>0.2194155421601327</v>
      </c>
      <c r="F10" s="281">
        <f t="shared" si="4"/>
        <v>0.21104328049055099</v>
      </c>
      <c r="G10" s="281">
        <f t="shared" si="5"/>
        <v>0.55297800220087157</v>
      </c>
      <c r="H10" s="281">
        <f t="shared" si="6"/>
        <v>0.55297800220087157</v>
      </c>
      <c r="S10" s="292" t="s">
        <v>1510</v>
      </c>
      <c r="T10" s="281">
        <f>0.45*nose_len</f>
        <v>1.8</v>
      </c>
      <c r="U10" s="281">
        <f>d_fus/2*SQRT(1-(1-0.45)^2)</f>
        <v>1.662750189610104</v>
      </c>
      <c r="V10" s="281">
        <f t="shared" si="7"/>
        <v>-9.8452443116968741E-2</v>
      </c>
      <c r="X10" s="281">
        <f t="shared" si="8"/>
        <v>-16.010479999999998</v>
      </c>
      <c r="Y10" s="281">
        <f t="shared" si="9"/>
        <v>1.5642977464931354</v>
      </c>
      <c r="Z10" s="281">
        <f t="shared" si="10"/>
        <v>1.662750189610104</v>
      </c>
      <c r="AA10" s="281">
        <f t="shared" si="11"/>
        <v>1.8</v>
      </c>
      <c r="AC10" s="281">
        <f>x_wLE0+b_w/2*TAN(RADIANS(sweepLE))-L_fus/2</f>
        <v>2.5154720114824372</v>
      </c>
      <c r="AD10" s="281">
        <f>-b_w/2</f>
        <v>-17.703220340896646</v>
      </c>
      <c r="AE10" s="281">
        <f>z_w0+b_w/2*TAN(RADIANS(dihedral))</f>
        <v>0.35427608773000063</v>
      </c>
      <c r="AP10" s="281">
        <f>x_main-L_fus/2+-0.5*D_tyre/2</f>
        <v>-0.59269007090413706</v>
      </c>
      <c r="AQ10" s="281">
        <f>-h_cg+D_tyre/2+-0.86603*D_tyre/2</f>
        <v>-3.5861024330528064</v>
      </c>
      <c r="AV10" s="293">
        <v>5</v>
      </c>
      <c r="AW10" s="293">
        <f t="shared" si="12"/>
        <v>5</v>
      </c>
      <c r="AX10" s="281">
        <f t="shared" si="13"/>
        <v>1.3100000000000003</v>
      </c>
      <c r="AY10" s="293">
        <f>MAX(0,MIN(5,n_rows-1))</f>
        <v>5</v>
      </c>
      <c r="AZ10" s="281">
        <f t="shared" si="14"/>
        <v>10.55</v>
      </c>
      <c r="BD10" s="281">
        <f t="shared" si="15"/>
        <v>-16.010479999999998</v>
      </c>
      <c r="BE10" s="281">
        <f t="shared" si="16"/>
        <v>1.662750189610104</v>
      </c>
      <c r="BF10" s="281">
        <f t="shared" si="17"/>
        <v>-9.8452443116968741E-2</v>
      </c>
      <c r="BG10" s="281">
        <f t="shared" si="18"/>
        <v>-11.195944015782215</v>
      </c>
      <c r="BH10" s="281">
        <f t="shared" si="19"/>
        <v>4.7983852463861822</v>
      </c>
      <c r="BK10" s="292" t="str">
        <f>"Business: "&amp;pax_b&amp;" seats, "&amp;n_SA_b&amp;" abreast x "&amp;n_rows_b&amp;" rows, pitch "&amp;TEXT(bus_pitch,"0.00")&amp;" m"</f>
        <v>Business: 0 seats, 4 abreast x 0 rows, pitch 0.97 m</v>
      </c>
      <c r="BM10" s="281">
        <f>$AZ$5+0.8*(seat_pitch)*($AY$5*n_SA+$AW$5&lt;pax_e)</f>
        <v>7.1479999999999997</v>
      </c>
      <c r="BN10" s="281">
        <f>$AX$5</f>
        <v>-1.84</v>
      </c>
      <c r="BO10" s="281">
        <f t="shared" si="20"/>
        <v>-10.662479999999999</v>
      </c>
      <c r="BT10" s="293">
        <v>5</v>
      </c>
      <c r="BU10" s="293">
        <f t="shared" si="21"/>
        <v>2</v>
      </c>
      <c r="BV10" s="293">
        <f t="shared" si="22"/>
        <v>0</v>
      </c>
      <c r="BW10" s="293">
        <f t="shared" si="23"/>
        <v>1</v>
      </c>
      <c r="BX10" s="281">
        <f t="shared" si="24"/>
        <v>28.25</v>
      </c>
      <c r="BY10" s="281">
        <f t="shared" si="25"/>
        <v>0.86499999999999999</v>
      </c>
      <c r="CA10" s="281">
        <f>$BX$5+1*lav_len</f>
        <v>5</v>
      </c>
      <c r="CB10" s="281">
        <f>$BY$5+1*lav_w</f>
        <v>-0.86499999999999999</v>
      </c>
      <c r="CE10" s="281">
        <f>5/24*CLmax_c</f>
        <v>0.3125</v>
      </c>
      <c r="CF10" s="294">
        <f t="shared" si="26"/>
        <v>2.2090124976662604E-2</v>
      </c>
      <c r="CG10" s="289">
        <f t="shared" si="27"/>
        <v>14.146592666639263</v>
      </c>
      <c r="CH10" s="281">
        <f>5/24*CLmaxTO</f>
        <v>0.43750000000000006</v>
      </c>
      <c r="CI10" s="294">
        <f t="shared" si="28"/>
        <v>4.3933311620925376E-2</v>
      </c>
      <c r="CJ10" s="289">
        <f t="shared" si="29"/>
        <v>9.9582750277267831</v>
      </c>
      <c r="CK10" s="281">
        <f>5/24*CLmaxL</f>
        <v>0.56250000000000011</v>
      </c>
      <c r="CL10" s="294">
        <f t="shared" si="30"/>
        <v>7.1133661729120584E-2</v>
      </c>
      <c r="CM10" s="289">
        <f t="shared" si="31"/>
        <v>7.9076485917738824</v>
      </c>
      <c r="CR10" s="293">
        <f>5/28*h_abs</f>
        <v>2047.3958451020414</v>
      </c>
      <c r="CS10" s="289">
        <f t="shared" si="32"/>
        <v>274.84192700683673</v>
      </c>
      <c r="CT10" s="294">
        <f t="shared" si="33"/>
        <v>1.0017027663666827</v>
      </c>
      <c r="CU10" s="291">
        <f t="shared" si="34"/>
        <v>332.34301488421704</v>
      </c>
      <c r="CV10" s="294">
        <f t="shared" si="35"/>
        <v>0.22344775771800751</v>
      </c>
      <c r="CW10" s="291">
        <f t="shared" si="36"/>
        <v>206.98810001495841</v>
      </c>
      <c r="CX10" s="289">
        <f t="shared" si="37"/>
        <v>28.1568101205198</v>
      </c>
      <c r="CY10" s="293">
        <f t="shared" si="38"/>
        <v>15.034603956294552</v>
      </c>
      <c r="CZ10" s="295">
        <f t="shared" si="39"/>
        <v>4.6913333086411581E-2</v>
      </c>
      <c r="DA10" s="291">
        <f t="shared" si="40"/>
        <v>81.335560040769721</v>
      </c>
      <c r="DB10" s="291">
        <f t="shared" si="41"/>
        <v>272.52127220505798</v>
      </c>
      <c r="DC10" s="281">
        <f t="shared" si="42"/>
        <v>0.24473377323457729</v>
      </c>
      <c r="DD10" s="281">
        <f t="shared" si="43"/>
        <v>0.82000000000000006</v>
      </c>
      <c r="DJ10" s="291">
        <f>5/10*V_A</f>
        <v>59.937657350536114</v>
      </c>
      <c r="DK10" s="289">
        <f>(5/10*V_A/V_S1)^2</f>
        <v>0.62500000000000011</v>
      </c>
      <c r="DX10" s="281">
        <f>d_fus/2*0.25882</f>
        <v>0.51529120849999999</v>
      </c>
      <c r="DY10" s="281">
        <f>d_fus/2*0.96593</f>
        <v>1.9230941852499996</v>
      </c>
      <c r="DZ10" s="281">
        <f>b_HT/2</f>
        <v>6.2176462037157743</v>
      </c>
      <c r="EA10" s="281">
        <f>z_HT</f>
        <v>1.1945549999999998</v>
      </c>
      <c r="EB10" s="281">
        <f>$AH$5+D_nac/2*-0.86603</f>
        <v>5.0523496667240568</v>
      </c>
      <c r="EC10" s="281">
        <f>$AJ$5+D_nac/2*0.5</f>
        <v>-1.4493591648421491</v>
      </c>
      <c r="ED10" s="281">
        <f>-track/2+1*2.2*w_tyre/2</f>
        <v>-3.0773782033314054</v>
      </c>
      <c r="EE10" s="281">
        <f>-h_cg+D_tyre</f>
        <v>-2.5108116372741143</v>
      </c>
      <c r="EG10" s="281">
        <f>d_fus/2*0.64279</f>
        <v>1.2797466807499998</v>
      </c>
      <c r="EH10" s="281">
        <f>d_fus/2*0.76604</f>
        <v>1.525128187</v>
      </c>
      <c r="EI10" s="281">
        <f>w_cabin/2*0.64279</f>
        <v>1.1988033499999999</v>
      </c>
      <c r="EJ10" s="281">
        <f>w_cabin/2*0.76604</f>
        <v>1.4286646000000001</v>
      </c>
      <c r="EM10" s="281">
        <f>$AX$6+0.05*seat_w</f>
        <v>-1.2835000000000001</v>
      </c>
      <c r="EN10" s="281">
        <f>z_floor+1.1</f>
        <v>0.50000000000000011</v>
      </c>
      <c r="ER10" s="281">
        <f>IF(2&lt;n_door,x_door_f+IF(n_door&gt;1,2/(n_door-1),0)*(x_door_r-x_door_f),IF(2&lt;n_door+n_overwing,x_ac_w+(2-n_door-(n_overwing-1)/2)*seat_pitch,x_door_f))</f>
        <v>15.072319056342494</v>
      </c>
      <c r="ES10" s="281">
        <f>1*w_cabin/2</f>
        <v>1.865</v>
      </c>
      <c r="EW10" s="292" t="s">
        <v>1511</v>
      </c>
      <c r="EX10" s="290">
        <f t="shared" si="68"/>
        <v>14250</v>
      </c>
      <c r="EY10" s="294">
        <f>k_res*(1-ff_fixed*EXP(-Range_km*1*1000*TSFC_s*1.1/(V_cr*LD_cr)))</f>
        <v>0.31229741805389066</v>
      </c>
      <c r="EZ10" s="294">
        <f t="shared" si="44"/>
        <v>0.97</v>
      </c>
      <c r="FA10" s="290">
        <f t="shared" si="45"/>
        <v>71061.950546004198</v>
      </c>
      <c r="FB10" s="290">
        <f t="shared" ref="FB10:FY10" si="70">IF(1-$EY10-$EZ10*FA10^C_emp&gt;0.02,(W_crew+$EX10)/(1-$EY10-$EZ10*FA10^C_emp),FA10)</f>
        <v>76847.373434800131</v>
      </c>
      <c r="FC10" s="290">
        <f t="shared" si="70"/>
        <v>75925.53836748343</v>
      </c>
      <c r="FD10" s="290">
        <f t="shared" si="70"/>
        <v>76065.949818836365</v>
      </c>
      <c r="FE10" s="290">
        <f t="shared" si="70"/>
        <v>76044.41276187636</v>
      </c>
      <c r="FF10" s="290">
        <f t="shared" si="70"/>
        <v>76047.712701625496</v>
      </c>
      <c r="FG10" s="290">
        <f t="shared" si="70"/>
        <v>76047.206997128233</v>
      </c>
      <c r="FH10" s="290">
        <f t="shared" si="70"/>
        <v>76047.284492669933</v>
      </c>
      <c r="FI10" s="290">
        <f t="shared" si="70"/>
        <v>76047.272616995207</v>
      </c>
      <c r="FJ10" s="290">
        <f t="shared" si="70"/>
        <v>76047.274436862092</v>
      </c>
      <c r="FK10" s="290">
        <f t="shared" si="70"/>
        <v>76047.274157979802</v>
      </c>
      <c r="FL10" s="290">
        <f t="shared" si="70"/>
        <v>76047.274200716594</v>
      </c>
      <c r="FM10" s="290">
        <f t="shared" si="70"/>
        <v>76047.274194167461</v>
      </c>
      <c r="FN10" s="290">
        <f t="shared" si="70"/>
        <v>76047.274195171092</v>
      </c>
      <c r="FO10" s="290">
        <f t="shared" si="70"/>
        <v>76047.274195017293</v>
      </c>
      <c r="FP10" s="290">
        <f t="shared" si="70"/>
        <v>76047.274195040867</v>
      </c>
      <c r="FQ10" s="290">
        <f t="shared" si="70"/>
        <v>76047.274195037273</v>
      </c>
      <c r="FR10" s="290">
        <f t="shared" si="70"/>
        <v>76047.274195037782</v>
      </c>
      <c r="FS10" s="290">
        <f t="shared" si="70"/>
        <v>76047.274195037695</v>
      </c>
      <c r="FT10" s="290">
        <f t="shared" si="70"/>
        <v>76047.274195037739</v>
      </c>
      <c r="FU10" s="290">
        <f t="shared" si="70"/>
        <v>76047.274195037695</v>
      </c>
      <c r="FV10" s="290">
        <f t="shared" si="70"/>
        <v>76047.274195037739</v>
      </c>
      <c r="FW10" s="290">
        <f t="shared" si="70"/>
        <v>76047.274195037695</v>
      </c>
      <c r="FX10" s="290">
        <f t="shared" si="70"/>
        <v>76047.274195037739</v>
      </c>
      <c r="FY10" s="290">
        <f t="shared" si="70"/>
        <v>76047.274195037695</v>
      </c>
      <c r="GA10" s="292" t="s">
        <v>1512</v>
      </c>
      <c r="GB10" s="297">
        <v>162</v>
      </c>
      <c r="GC10" s="297">
        <v>79010</v>
      </c>
      <c r="GD10" s="297">
        <v>41413</v>
      </c>
      <c r="GE10" s="297">
        <v>124.6</v>
      </c>
      <c r="GF10" s="297">
        <v>34.299999999999997</v>
      </c>
      <c r="GG10" s="297">
        <v>39.5</v>
      </c>
      <c r="GH10" s="297">
        <v>121</v>
      </c>
      <c r="GI10" s="297">
        <v>2</v>
      </c>
      <c r="GJ10" s="297">
        <v>5765</v>
      </c>
      <c r="GK10" s="281">
        <f t="shared" si="47"/>
        <v>0.18298342837225823</v>
      </c>
      <c r="GZ10" s="292" t="s">
        <v>1513</v>
      </c>
      <c r="HA10" s="294">
        <f>HA9/(Design!$B$427+Design!$B$428+Design!$B$429+Design!$B$430+Design!$B$433+Design!$B$434)</f>
        <v>15.639588333402585</v>
      </c>
      <c r="HB10" s="294">
        <f>HB9/(Design!$B$427+Design!$B$428+Design!$B$429+Design!$B$430+Design!$B$433+Design!$B$434)</f>
        <v>17.649177047931101</v>
      </c>
      <c r="HF10" s="297">
        <f t="shared" si="65"/>
        <v>72874.176680569086</v>
      </c>
      <c r="HG10" s="297">
        <f t="shared" si="48"/>
        <v>135.32482456933161</v>
      </c>
      <c r="HH10" s="297">
        <f t="shared" si="49"/>
        <v>35.855067053467501</v>
      </c>
      <c r="HI10" s="297">
        <f t="shared" si="50"/>
        <v>6.0387481353208408</v>
      </c>
      <c r="HJ10" s="297">
        <f t="shared" si="51"/>
        <v>4.2271236947245878</v>
      </c>
      <c r="HK10" s="297">
        <f t="shared" si="52"/>
        <v>5501.7597831886696</v>
      </c>
      <c r="HL10" s="297">
        <f t="shared" si="53"/>
        <v>1699.0929470604269</v>
      </c>
      <c r="HM10" s="297">
        <f t="shared" si="54"/>
        <v>9147.0379438144791</v>
      </c>
      <c r="HN10" s="297">
        <f t="shared" si="55"/>
        <v>3133.5895972644703</v>
      </c>
      <c r="HO10" s="297">
        <f t="shared" si="56"/>
        <v>4702.104501878428</v>
      </c>
      <c r="HP10" s="297">
        <f t="shared" si="57"/>
        <v>12388.610035696745</v>
      </c>
      <c r="HQ10" s="297">
        <f t="shared" si="58"/>
        <v>36572.194808903216</v>
      </c>
      <c r="HR10" s="297">
        <f t="shared" si="59"/>
        <v>72924.470332244455</v>
      </c>
      <c r="HT10" s="293">
        <v>5</v>
      </c>
      <c r="HU10" s="293">
        <f t="shared" si="60"/>
        <v>3</v>
      </c>
      <c r="HV10" s="281">
        <f t="shared" si="61"/>
        <v>-1.84</v>
      </c>
      <c r="HW10" s="293">
        <f>MAX(0,MIN(5,n_rows_b-1))</f>
        <v>0</v>
      </c>
      <c r="HX10" s="281">
        <f t="shared" si="62"/>
        <v>6.5</v>
      </c>
      <c r="HY10" s="281">
        <f>$HX$5+0.8*(bus_pitch*(n_rows_b&gt;0))*($HW$5*n_SA_b+$HU$5&lt;pax_b)</f>
        <v>6.5</v>
      </c>
      <c r="HZ10" s="281">
        <f>$HV$5</f>
        <v>-1.84</v>
      </c>
      <c r="IA10" s="281">
        <f t="shared" si="63"/>
        <v>-11.310479999999998</v>
      </c>
    </row>
    <row r="11" spans="1:238" x14ac:dyDescent="0.25">
      <c r="A11" s="289">
        <f>16/50</f>
        <v>0.32</v>
      </c>
      <c r="B11" s="290">
        <f t="shared" si="0"/>
        <v>1781.2125285458822</v>
      </c>
      <c r="C11" s="291">
        <f t="shared" si="1"/>
        <v>181.63312941176468</v>
      </c>
      <c r="D11" s="281">
        <f t="shared" si="2"/>
        <v>9.1996000611153539E-2</v>
      </c>
      <c r="E11" s="281">
        <f t="shared" si="3"/>
        <v>0.2194155421601327</v>
      </c>
      <c r="F11" s="281">
        <f t="shared" si="4"/>
        <v>0.21104328049055099</v>
      </c>
      <c r="G11" s="281">
        <f t="shared" si="5"/>
        <v>0.52373259433631614</v>
      </c>
      <c r="H11" s="281">
        <f t="shared" si="6"/>
        <v>0.52373259433631614</v>
      </c>
      <c r="K11" s="298" t="s">
        <v>1514</v>
      </c>
      <c r="L11" s="298" t="s">
        <v>1354</v>
      </c>
      <c r="S11" s="292" t="s">
        <v>1515</v>
      </c>
      <c r="T11" s="281">
        <f>0.6*nose_len</f>
        <v>2.4</v>
      </c>
      <c r="U11" s="281">
        <f>d_fus/2*SQRT(1-(1-0.6)^2)</f>
        <v>1.824712903095991</v>
      </c>
      <c r="V11" s="281">
        <f t="shared" si="7"/>
        <v>-4.9863629071202654E-2</v>
      </c>
      <c r="X11" s="281">
        <f t="shared" si="8"/>
        <v>-15.410479999999998</v>
      </c>
      <c r="Y11" s="281">
        <f t="shared" si="9"/>
        <v>1.7748492740247883</v>
      </c>
      <c r="Z11" s="281">
        <f t="shared" si="10"/>
        <v>1.824712903095991</v>
      </c>
      <c r="AA11" s="281">
        <f t="shared" si="11"/>
        <v>2.4</v>
      </c>
      <c r="AC11" s="281">
        <f>x_wLE0-L_fus/2</f>
        <v>-7.304846666540648</v>
      </c>
      <c r="AD11" s="281">
        <v>0</v>
      </c>
      <c r="AE11" s="281">
        <f>z_w0</f>
        <v>-1.1945549999999998</v>
      </c>
      <c r="AL11" s="281">
        <f>AI6+0*L_nac-L_fus/2</f>
        <v>-7.4249768198019375</v>
      </c>
      <c r="AM11" s="281">
        <f>AH6+-1*D_nac/2</f>
        <v>-7.1353902511482161</v>
      </c>
      <c r="AN11" s="281">
        <f>AJ6+-1*D_nac/2</f>
        <v>-3.1238021677071828</v>
      </c>
      <c r="AP11" s="281">
        <f>x_main-L_fus/2+0*D_tyre/2</f>
        <v>-0.30456748022266567</v>
      </c>
      <c r="AQ11" s="281">
        <f>-h_cg+D_tyre/2+-1*D_tyre/2</f>
        <v>-3.6633019999999998</v>
      </c>
      <c r="AV11" s="293">
        <v>6</v>
      </c>
      <c r="AW11" s="293">
        <f t="shared" si="12"/>
        <v>5</v>
      </c>
      <c r="AX11" s="281">
        <f t="shared" si="13"/>
        <v>1.3100000000000003</v>
      </c>
      <c r="AY11" s="293">
        <f>MAX(0,MIN(6,n_rows-1))</f>
        <v>6</v>
      </c>
      <c r="AZ11" s="281">
        <f t="shared" si="14"/>
        <v>11.36</v>
      </c>
      <c r="BD11" s="281">
        <f t="shared" si="15"/>
        <v>-15.410479999999998</v>
      </c>
      <c r="BE11" s="281">
        <f t="shared" si="16"/>
        <v>1.824712903095991</v>
      </c>
      <c r="BF11" s="281">
        <f t="shared" si="17"/>
        <v>-4.9863629071202654E-2</v>
      </c>
      <c r="BG11" s="281">
        <f t="shared" si="18"/>
        <v>-10.63220972445089</v>
      </c>
      <c r="BH11" s="281">
        <f t="shared" si="19"/>
        <v>4.7318639143518322</v>
      </c>
      <c r="BK11" s="292" t="str">
        <f>"Fuel tanks between the spars: "&amp;TEXT(V_tank,"0")&amp;" m3 total"</f>
        <v>Fuel tanks between the spars: 34 m3 total</v>
      </c>
      <c r="BM11" s="281">
        <f>$AZ$5+0.2*(seat_pitch)*($AY$5*n_SA+$AW$5&lt;pax_e)</f>
        <v>6.6619999999999999</v>
      </c>
      <c r="BN11" s="281">
        <f>$AX$5</f>
        <v>-1.84</v>
      </c>
      <c r="BO11" s="281">
        <f t="shared" si="20"/>
        <v>-11.148479999999999</v>
      </c>
      <c r="BQ11" s="281">
        <f>0.5*nose_len+0*MIN(0.6,0.2*nose_len)</f>
        <v>2</v>
      </c>
      <c r="BR11" s="281">
        <f>1*MIN(0.55,0.2*d_fus)+-1*MIN(0.5,0.25*d_fus)/2</f>
        <v>0.30000000000000004</v>
      </c>
      <c r="BT11" s="293">
        <v>6</v>
      </c>
      <c r="BU11" s="293">
        <f t="shared" si="21"/>
        <v>2</v>
      </c>
      <c r="BV11" s="293">
        <f t="shared" si="22"/>
        <v>0</v>
      </c>
      <c r="BW11" s="293">
        <f t="shared" si="23"/>
        <v>1</v>
      </c>
      <c r="BX11" s="281">
        <f t="shared" si="24"/>
        <v>28.25</v>
      </c>
      <c r="BY11" s="281">
        <f t="shared" si="25"/>
        <v>0.86499999999999999</v>
      </c>
      <c r="CA11" s="281">
        <f>$BX$5+1*lav_len</f>
        <v>5</v>
      </c>
      <c r="CB11" s="281">
        <f>$BY$5+0*lav_w</f>
        <v>-1.865</v>
      </c>
      <c r="CE11" s="281">
        <f>6/24*CLmax_c</f>
        <v>0.375</v>
      </c>
      <c r="CF11" s="294">
        <f t="shared" si="26"/>
        <v>2.3889779966394152E-2</v>
      </c>
      <c r="CG11" s="289">
        <f t="shared" si="27"/>
        <v>15.697088902765701</v>
      </c>
      <c r="CH11" s="281">
        <f>6/24*CLmaxTO</f>
        <v>0.52500000000000002</v>
      </c>
      <c r="CI11" s="294">
        <f t="shared" si="28"/>
        <v>4.7460635400799207E-2</v>
      </c>
      <c r="CJ11" s="289">
        <f t="shared" si="29"/>
        <v>11.061798805819599</v>
      </c>
      <c r="CK11" s="281">
        <f>6/24*CLmaxL</f>
        <v>0.67500000000000004</v>
      </c>
      <c r="CL11" s="294">
        <f t="shared" si="30"/>
        <v>7.6964543895850807E-2</v>
      </c>
      <c r="CM11" s="289">
        <f t="shared" si="31"/>
        <v>8.7702722036970275</v>
      </c>
      <c r="CR11" s="293">
        <f>6/28*h_abs</f>
        <v>2456.8750141224496</v>
      </c>
      <c r="CS11" s="289">
        <f t="shared" si="32"/>
        <v>272.18031240820403</v>
      </c>
      <c r="CT11" s="294">
        <f t="shared" si="33"/>
        <v>0.9610640827491117</v>
      </c>
      <c r="CU11" s="291">
        <f t="shared" si="34"/>
        <v>330.72986757291375</v>
      </c>
      <c r="CV11" s="294">
        <f t="shared" si="35"/>
        <v>0.21180230646755704</v>
      </c>
      <c r="CW11" s="291">
        <f t="shared" si="36"/>
        <v>206.20046517579524</v>
      </c>
      <c r="CX11" s="289">
        <f t="shared" si="37"/>
        <v>26.314750315759078</v>
      </c>
      <c r="CY11" s="293">
        <f t="shared" si="38"/>
        <v>16.099854548610939</v>
      </c>
      <c r="CZ11" s="295">
        <f t="shared" si="39"/>
        <v>4.1844649682183155E-2</v>
      </c>
      <c r="DA11" s="291">
        <f t="shared" si="40"/>
        <v>83.037396566717391</v>
      </c>
      <c r="DB11" s="291">
        <f t="shared" si="41"/>
        <v>271.19849140978931</v>
      </c>
      <c r="DC11" s="281">
        <f t="shared" si="42"/>
        <v>0.25107317091163744</v>
      </c>
      <c r="DD11" s="281">
        <f t="shared" si="43"/>
        <v>0.82000000000000017</v>
      </c>
      <c r="DJ11" s="291">
        <f>6/10*V_A</f>
        <v>71.925188820643328</v>
      </c>
      <c r="DK11" s="289">
        <f>(6/10*V_A/V_S1)^2</f>
        <v>0.89999999999999969</v>
      </c>
      <c r="DX11" s="281">
        <f>d_fus/2*0</f>
        <v>0</v>
      </c>
      <c r="DY11" s="281">
        <f>d_fus/2*1</f>
        <v>1.9909249999999998</v>
      </c>
      <c r="EB11" s="281">
        <f>$AH$5+D_nac/2*-1</f>
        <v>4.9027995806615046</v>
      </c>
      <c r="EC11" s="281">
        <f>$AJ$5+D_nac/2*0</f>
        <v>-2.007506832463827</v>
      </c>
      <c r="ED11" s="281">
        <f>-track/2+0*2.2*w_tyre/2</f>
        <v>-3.5406440681793292</v>
      </c>
      <c r="EE11" s="281">
        <f>-h_cg+D_tyre</f>
        <v>-2.5108116372741143</v>
      </c>
      <c r="EG11" s="281">
        <f>d_fus/2*0.5</f>
        <v>0.99546249999999992</v>
      </c>
      <c r="EH11" s="281">
        <f>d_fus/2*0.86603</f>
        <v>1.7242007777499997</v>
      </c>
      <c r="EI11" s="281">
        <f>w_cabin/2*0.5</f>
        <v>0.9325</v>
      </c>
      <c r="EJ11" s="281">
        <f>w_cabin/2*0.86603</f>
        <v>1.6151459499999998</v>
      </c>
      <c r="EM11" s="281">
        <f>$AX$6+0.95*seat_w</f>
        <v>-0.80650000000000011</v>
      </c>
      <c r="EN11" s="281">
        <f>z_floor+1.1</f>
        <v>0.50000000000000011</v>
      </c>
      <c r="ER11" s="281">
        <f>IF(3&lt;n_door,x_door_f+IF(n_door&gt;1,3/(n_door-1),0)*(x_door_r-x_door_f),IF(3&lt;n_door+n_overwing,x_ac_w+(3-n_door-(n_overwing-1)/2)*seat_pitch,x_door_f))</f>
        <v>15.882319056342492</v>
      </c>
      <c r="ES11" s="281">
        <f>-1*w_cabin/2</f>
        <v>-1.865</v>
      </c>
      <c r="ET11" s="281">
        <f>x_seat_end+door_len-0.6+0*0.6</f>
        <v>27.65</v>
      </c>
      <c r="EU11" s="281">
        <f>-w_cabin/2+0*gal_w</f>
        <v>-1.865</v>
      </c>
      <c r="EW11" s="292" t="s">
        <v>1516</v>
      </c>
      <c r="EX11" s="290">
        <f t="shared" si="68"/>
        <v>14250</v>
      </c>
      <c r="EY11" s="294">
        <f>k_res*(1-ff_fixed*EXP(-Range_km*1*1000*TSFC_s*1/(V_cr*(CL_cr/(CD_0*0.9+K_ind*CL_cr^2)))))</f>
        <v>0.28652762226941475</v>
      </c>
      <c r="EZ11" s="294">
        <f t="shared" si="44"/>
        <v>0.97</v>
      </c>
      <c r="FA11" s="290">
        <f t="shared" si="45"/>
        <v>71061.950546004198</v>
      </c>
      <c r="FB11" s="290">
        <f t="shared" ref="FB11:FY11" si="71">IF(1-$EY11-$EZ11*FA11^C_emp&gt;0.02,(W_crew+$EX11)/(1-$EY11-$EZ11*FA11^C_emp),FA11)</f>
        <v>67732.015294928337</v>
      </c>
      <c r="FC11" s="290">
        <f t="shared" si="71"/>
        <v>68181.098147708937</v>
      </c>
      <c r="FD11" s="290">
        <f t="shared" si="71"/>
        <v>68118.831304392865</v>
      </c>
      <c r="FE11" s="290">
        <f t="shared" si="71"/>
        <v>68127.432032811717</v>
      </c>
      <c r="FF11" s="290">
        <f t="shared" si="71"/>
        <v>68126.243415275123</v>
      </c>
      <c r="FG11" s="290">
        <f t="shared" si="71"/>
        <v>68126.407669843858</v>
      </c>
      <c r="FH11" s="290">
        <f t="shared" si="71"/>
        <v>68126.384971344523</v>
      </c>
      <c r="FI11" s="290">
        <f t="shared" si="71"/>
        <v>68126.388108067986</v>
      </c>
      <c r="FJ11" s="290">
        <f t="shared" si="71"/>
        <v>68126.387674601618</v>
      </c>
      <c r="FK11" s="290">
        <f t="shared" si="71"/>
        <v>68126.38773450267</v>
      </c>
      <c r="FL11" s="290">
        <f t="shared" si="71"/>
        <v>68126.387726224857</v>
      </c>
      <c r="FM11" s="290">
        <f t="shared" si="71"/>
        <v>68126.387727368798</v>
      </c>
      <c r="FN11" s="290">
        <f t="shared" si="71"/>
        <v>68126.38772721072</v>
      </c>
      <c r="FO11" s="290">
        <f t="shared" si="71"/>
        <v>68126.387727232592</v>
      </c>
      <c r="FP11" s="290">
        <f t="shared" si="71"/>
        <v>68126.387727229536</v>
      </c>
      <c r="FQ11" s="290">
        <f t="shared" si="71"/>
        <v>68126.387727229972</v>
      </c>
      <c r="FR11" s="290">
        <f t="shared" si="71"/>
        <v>68126.3877272299</v>
      </c>
      <c r="FS11" s="290">
        <f t="shared" si="71"/>
        <v>68126.3877272299</v>
      </c>
      <c r="FT11" s="290">
        <f t="shared" si="71"/>
        <v>68126.3877272299</v>
      </c>
      <c r="FU11" s="290">
        <f t="shared" si="71"/>
        <v>68126.3877272299</v>
      </c>
      <c r="FV11" s="290">
        <f t="shared" si="71"/>
        <v>68126.3877272299</v>
      </c>
      <c r="FW11" s="290">
        <f t="shared" si="71"/>
        <v>68126.3877272299</v>
      </c>
      <c r="FX11" s="290">
        <f t="shared" si="71"/>
        <v>68126.3877272299</v>
      </c>
      <c r="FY11" s="290">
        <f t="shared" si="71"/>
        <v>68126.3877272299</v>
      </c>
      <c r="GA11" s="292" t="s">
        <v>1517</v>
      </c>
      <c r="GB11" s="297">
        <v>185</v>
      </c>
      <c r="GC11" s="297">
        <v>93500</v>
      </c>
      <c r="GD11" s="297">
        <v>48500</v>
      </c>
      <c r="GE11" s="297">
        <v>122.6</v>
      </c>
      <c r="GF11" s="297">
        <v>34.1</v>
      </c>
      <c r="GG11" s="297">
        <v>44.51</v>
      </c>
      <c r="GH11" s="297">
        <v>147</v>
      </c>
      <c r="GI11" s="297">
        <v>2</v>
      </c>
      <c r="GJ11" s="297">
        <v>5950</v>
      </c>
      <c r="GK11" s="281">
        <f t="shared" si="47"/>
        <v>0.4841299277781983</v>
      </c>
      <c r="GZ11" s="292" t="s">
        <v>1518</v>
      </c>
      <c r="HA11" s="294">
        <f>HA6+0.45*MAC</f>
        <v>14.370811401339125</v>
      </c>
      <c r="HB11" s="294">
        <f>HB6+0.45*MAC</f>
        <v>20.070165001339127</v>
      </c>
      <c r="HF11" s="297">
        <f t="shared" si="65"/>
        <v>72924.470332244455</v>
      </c>
      <c r="HG11" s="297">
        <f t="shared" si="48"/>
        <v>135.41821814027725</v>
      </c>
      <c r="HH11" s="297">
        <f t="shared" si="49"/>
        <v>35.867437493256105</v>
      </c>
      <c r="HI11" s="297">
        <f t="shared" si="50"/>
        <v>6.0408315778115549</v>
      </c>
      <c r="HJ11" s="297">
        <f t="shared" si="51"/>
        <v>4.2285821044680878</v>
      </c>
      <c r="HK11" s="297">
        <f t="shared" si="52"/>
        <v>5505.9295663464045</v>
      </c>
      <c r="HL11" s="297">
        <f t="shared" si="53"/>
        <v>1700.8521778645579</v>
      </c>
      <c r="HM11" s="297">
        <f t="shared" si="54"/>
        <v>9147.0379438144791</v>
      </c>
      <c r="HN11" s="297">
        <f t="shared" si="55"/>
        <v>3135.7522242865111</v>
      </c>
      <c r="HO11" s="297">
        <f t="shared" si="56"/>
        <v>4705.6742654498175</v>
      </c>
      <c r="HP11" s="297">
        <f t="shared" si="57"/>
        <v>12397.159956481559</v>
      </c>
      <c r="HQ11" s="297">
        <f t="shared" si="58"/>
        <v>36592.406134243327</v>
      </c>
      <c r="HR11" s="297">
        <f t="shared" si="59"/>
        <v>72953.20850364634</v>
      </c>
      <c r="HT11" s="293">
        <v>6</v>
      </c>
      <c r="HU11" s="293">
        <f t="shared" si="60"/>
        <v>3</v>
      </c>
      <c r="HV11" s="281">
        <f t="shared" si="61"/>
        <v>-1.84</v>
      </c>
      <c r="HW11" s="293">
        <f>MAX(0,MIN(6,n_rows_b-1))</f>
        <v>0</v>
      </c>
      <c r="HX11" s="281">
        <f t="shared" si="62"/>
        <v>6.5</v>
      </c>
      <c r="HY11" s="281">
        <f>$HX$5+0.2*(bus_pitch*(n_rows_b&gt;0))*($HW$5*n_SA_b+$HU$5&lt;pax_b)</f>
        <v>6.5</v>
      </c>
      <c r="HZ11" s="281">
        <f>$HV$5</f>
        <v>-1.84</v>
      </c>
      <c r="IA11" s="281">
        <f t="shared" si="63"/>
        <v>-11.310479999999998</v>
      </c>
      <c r="IC11" s="281">
        <f>x_wLE0+(d_fus/2)*TAN(RADIANS(sweepLE))-L_fus/2+0.15*c_root*(1-(1-taper)*2*(d_fus/2)/b_w)</f>
        <v>-5.3814091449150432</v>
      </c>
      <c r="ID11" s="281">
        <f>-1*d_fus/2</f>
        <v>-1.9909249999999998</v>
      </c>
    </row>
    <row r="12" spans="1:238" x14ac:dyDescent="0.25">
      <c r="A12" s="289">
        <f>17/50</f>
        <v>0.34</v>
      </c>
      <c r="B12" s="290">
        <f t="shared" si="0"/>
        <v>1892.5383115799998</v>
      </c>
      <c r="C12" s="291">
        <f t="shared" si="1"/>
        <v>192.98519999999999</v>
      </c>
      <c r="D12" s="281">
        <f t="shared" si="2"/>
        <v>9.7745750649350635E-2</v>
      </c>
      <c r="E12" s="281">
        <f t="shared" si="3"/>
        <v>0.2194155421601327</v>
      </c>
      <c r="F12" s="281">
        <f t="shared" si="4"/>
        <v>0.21104328049055099</v>
      </c>
      <c r="G12" s="281">
        <f t="shared" si="5"/>
        <v>0.49814531505285026</v>
      </c>
      <c r="H12" s="281">
        <f t="shared" si="6"/>
        <v>0.49814531505285026</v>
      </c>
      <c r="K12" s="281">
        <f>WS_des</f>
        <v>5281.0084699453055</v>
      </c>
      <c r="L12" s="281">
        <v>0</v>
      </c>
      <c r="S12" s="292" t="s">
        <v>1519</v>
      </c>
      <c r="T12" s="281">
        <f>0.8*nose_len</f>
        <v>3.2</v>
      </c>
      <c r="U12" s="281">
        <f>d_fus/2*SQRT(1-(1-0.8)^2)</f>
        <v>1.9507001464602394</v>
      </c>
      <c r="V12" s="281">
        <f t="shared" si="7"/>
        <v>-1.2067456061928139E-2</v>
      </c>
      <c r="X12" s="281">
        <f t="shared" si="8"/>
        <v>-14.610479999999999</v>
      </c>
      <c r="Y12" s="281">
        <f t="shared" si="9"/>
        <v>1.9386326903983113</v>
      </c>
      <c r="Z12" s="281">
        <f t="shared" si="10"/>
        <v>1.9507001464602394</v>
      </c>
      <c r="AA12" s="281">
        <f t="shared" si="11"/>
        <v>3.2</v>
      </c>
      <c r="AL12" s="281">
        <f>AI6+1*L_nac-L_fus/2</f>
        <v>-3.1011786900655132</v>
      </c>
      <c r="AM12" s="281">
        <f>AH6+-1*D_nac/2</f>
        <v>-7.1353902511482161</v>
      </c>
      <c r="AN12" s="281">
        <f>AJ6+-1*D_nac/2</f>
        <v>-3.1238021677071828</v>
      </c>
      <c r="AP12" s="281">
        <f>x_main-L_fus/2+0.5*D_tyre/2</f>
        <v>-1.6444889541194274E-2</v>
      </c>
      <c r="AQ12" s="281">
        <f>-h_cg+D_tyre/2+-0.86603*D_tyre/2</f>
        <v>-3.5861024330528064</v>
      </c>
      <c r="AV12" s="293">
        <v>7</v>
      </c>
      <c r="AW12" s="293">
        <f t="shared" si="12"/>
        <v>5</v>
      </c>
      <c r="AX12" s="281">
        <f t="shared" si="13"/>
        <v>1.3100000000000003</v>
      </c>
      <c r="AY12" s="293">
        <f>MAX(0,MIN(7,n_rows-1))</f>
        <v>7</v>
      </c>
      <c r="AZ12" s="281">
        <f t="shared" si="14"/>
        <v>12.17</v>
      </c>
      <c r="BD12" s="281">
        <f t="shared" si="15"/>
        <v>-14.610479999999999</v>
      </c>
      <c r="BE12" s="281">
        <f t="shared" si="16"/>
        <v>1.9507001464602394</v>
      </c>
      <c r="BF12" s="281">
        <f t="shared" si="17"/>
        <v>-1.2067456061928139E-2</v>
      </c>
      <c r="BG12" s="281">
        <f t="shared" si="18"/>
        <v>-9.9383911309426054</v>
      </c>
      <c r="BH12" s="281">
        <f t="shared" si="19"/>
        <v>4.5895835153038069</v>
      </c>
      <c r="BK12" s="292" t="str">
        <f>"Economy: "&amp;pax_e&amp;" seats: "&amp;n_SA&amp;" abreast x "&amp;n_rows&amp;" rows, seat "&amp;TEXT(seat_w,"0.00")&amp;" m wide, pitch "&amp;TEXT(seat_pitch,"0.00")&amp;" m"</f>
        <v>Economy: 150 seats: 6 abreast x 25 rows, seat 0.53 m wide, pitch 0.81 m</v>
      </c>
      <c r="BM12" s="281">
        <f>$AZ$5+(seat_pitch)</f>
        <v>7.3100000000000005</v>
      </c>
      <c r="BN12" s="281">
        <f>$AX$5</f>
        <v>-1.84</v>
      </c>
      <c r="BO12" s="281">
        <f t="shared" si="20"/>
        <v>-10.500479999999998</v>
      </c>
      <c r="BQ12" s="281">
        <f>0.5*nose_len+1*MIN(0.6,0.2*nose_len)</f>
        <v>2.6</v>
      </c>
      <c r="BR12" s="281">
        <f>1*MIN(0.55,0.2*d_fus)+-1*MIN(0.5,0.25*d_fus)/2</f>
        <v>0.30000000000000004</v>
      </c>
      <c r="BT12" s="293">
        <v>7</v>
      </c>
      <c r="BU12" s="293">
        <f t="shared" si="21"/>
        <v>2</v>
      </c>
      <c r="BV12" s="293">
        <f t="shared" si="22"/>
        <v>0</v>
      </c>
      <c r="BW12" s="293">
        <f t="shared" si="23"/>
        <v>1</v>
      </c>
      <c r="BX12" s="281">
        <f t="shared" si="24"/>
        <v>28.25</v>
      </c>
      <c r="BY12" s="281">
        <f t="shared" si="25"/>
        <v>0.86499999999999999</v>
      </c>
      <c r="CA12" s="281">
        <f>$BX$5+0*lav_len</f>
        <v>4</v>
      </c>
      <c r="CB12" s="281">
        <f>$BY$5+1*lav_w</f>
        <v>-0.86499999999999999</v>
      </c>
      <c r="CE12" s="281">
        <f>7/24*CLmax_c</f>
        <v>0.4375</v>
      </c>
      <c r="CF12" s="294">
        <f t="shared" si="26"/>
        <v>2.6016644954258705E-2</v>
      </c>
      <c r="CG12" s="289">
        <f t="shared" si="27"/>
        <v>16.81615753181061</v>
      </c>
      <c r="CH12" s="281">
        <f>7/24*CLmaxTO</f>
        <v>0.61250000000000004</v>
      </c>
      <c r="CI12" s="294">
        <f t="shared" si="28"/>
        <v>5.1629290777013739E-2</v>
      </c>
      <c r="CJ12" s="289">
        <f t="shared" si="29"/>
        <v>11.86342075945571</v>
      </c>
      <c r="CK12" s="281">
        <f>7/24*CLmaxL</f>
        <v>0.78750000000000009</v>
      </c>
      <c r="CL12" s="294">
        <f t="shared" si="30"/>
        <v>8.3855586456531961E-2</v>
      </c>
      <c r="CM12" s="289">
        <f t="shared" si="31"/>
        <v>9.3911453401880962</v>
      </c>
      <c r="CR12" s="293">
        <f>7/28*h_abs</f>
        <v>2866.3541831428579</v>
      </c>
      <c r="CS12" s="289">
        <f t="shared" si="32"/>
        <v>269.51869780957139</v>
      </c>
      <c r="CT12" s="294">
        <f t="shared" si="33"/>
        <v>0.92169889294369023</v>
      </c>
      <c r="CU12" s="291">
        <f t="shared" si="34"/>
        <v>329.10881341474777</v>
      </c>
      <c r="CV12" s="294">
        <f t="shared" si="35"/>
        <v>0.20065821105169512</v>
      </c>
      <c r="CW12" s="291">
        <f t="shared" si="36"/>
        <v>205.45387502641074</v>
      </c>
      <c r="CX12" s="289">
        <f t="shared" si="37"/>
        <v>24.552686751333848</v>
      </c>
      <c r="CY12" s="293">
        <f t="shared" si="38"/>
        <v>17.270456596652782</v>
      </c>
      <c r="CZ12" s="295">
        <f t="shared" si="39"/>
        <v>3.7248150319672817E-2</v>
      </c>
      <c r="DA12" s="291">
        <f t="shared" si="40"/>
        <v>84.792094862847662</v>
      </c>
      <c r="DB12" s="291">
        <f t="shared" si="41"/>
        <v>269.86922700009319</v>
      </c>
      <c r="DC12" s="281">
        <f t="shared" si="42"/>
        <v>0.25764151978510347</v>
      </c>
      <c r="DD12" s="281">
        <f t="shared" si="43"/>
        <v>0.82000000000000006</v>
      </c>
      <c r="DJ12" s="291">
        <f>7/10*V_A</f>
        <v>83.912720290750556</v>
      </c>
      <c r="DK12" s="289">
        <f>(7/10*V_A/V_S1)^2</f>
        <v>1.2250000000000001</v>
      </c>
      <c r="DX12" s="281">
        <f>d_fus/2*-0.25882</f>
        <v>-0.51529120849999999</v>
      </c>
      <c r="DY12" s="281">
        <f>d_fus/2*0.96593</f>
        <v>1.9230941852499996</v>
      </c>
      <c r="DZ12" s="281">
        <v>0</v>
      </c>
      <c r="EA12" s="281">
        <f>z_VT0</f>
        <v>1.59274</v>
      </c>
      <c r="EB12" s="281">
        <f>$AH$5+D_nac/2*-0.86603</f>
        <v>5.0523496667240568</v>
      </c>
      <c r="EC12" s="281">
        <f>$AJ$5+D_nac/2*-0.5</f>
        <v>-2.5656545000855049</v>
      </c>
      <c r="EG12" s="281">
        <f>d_fus/2*0.34202</f>
        <v>0.68093616849999994</v>
      </c>
      <c r="EH12" s="281">
        <f>d_fus/2*0.93969</f>
        <v>1.8708523132499999</v>
      </c>
      <c r="EI12" s="281">
        <f>w_cabin/2*0.34202</f>
        <v>0.63786730000000003</v>
      </c>
      <c r="EJ12" s="281">
        <f>w_cabin/2*0.93969</f>
        <v>1.7525218499999999</v>
      </c>
      <c r="EM12" s="281">
        <f>$AX$6+0.95*seat_w</f>
        <v>-0.80650000000000011</v>
      </c>
      <c r="EN12" s="281">
        <f>z_floor+0</f>
        <v>-0.6</v>
      </c>
      <c r="ER12" s="281">
        <f>IF(3&lt;n_door,x_door_f+IF(n_door&gt;1,3/(n_door-1),0)*(x_door_r-x_door_f),IF(3&lt;n_door+n_overwing,x_ac_w+(3-n_door-(n_overwing-1)/2)*seat_pitch,x_door_f))</f>
        <v>15.882319056342492</v>
      </c>
      <c r="ES12" s="281">
        <f>1*w_cabin/2</f>
        <v>1.865</v>
      </c>
      <c r="ET12" s="281">
        <f>x_seat_end+door_len-0.6+1*0.6</f>
        <v>28.25</v>
      </c>
      <c r="EU12" s="281">
        <f>-w_cabin/2+0*gal_w</f>
        <v>-1.865</v>
      </c>
      <c r="EW12" s="292" t="s">
        <v>1520</v>
      </c>
      <c r="EX12" s="290">
        <f t="shared" si="68"/>
        <v>14250</v>
      </c>
      <c r="EY12" s="294">
        <f>k_res*(1-ff_fixed*EXP(-Range_km*1*1000*TSFC_s*1/(V_cr*(CL_cr/(CD_0*1.1+K_ind*CL_cr^2)))))</f>
        <v>0.30675443263884339</v>
      </c>
      <c r="EZ12" s="294">
        <f t="shared" si="44"/>
        <v>0.97</v>
      </c>
      <c r="FA12" s="290">
        <f t="shared" si="45"/>
        <v>71061.950546004198</v>
      </c>
      <c r="FB12" s="290">
        <f t="shared" ref="FB12:FY12" si="72">IF(1-$EY12-$EZ12*FA12^C_emp&gt;0.02,(W_crew+$EX12)/(1-$EY12-$EZ12*FA12^C_emp),FA12)</f>
        <v>74685.410373619219</v>
      </c>
      <c r="FC12" s="290">
        <f t="shared" si="72"/>
        <v>74129.142869925403</v>
      </c>
      <c r="FD12" s="290">
        <f t="shared" si="72"/>
        <v>74212.127974592906</v>
      </c>
      <c r="FE12" s="290">
        <f t="shared" si="72"/>
        <v>74199.694457495309</v>
      </c>
      <c r="FF12" s="290">
        <f t="shared" si="72"/>
        <v>74201.556146067844</v>
      </c>
      <c r="FG12" s="290">
        <f t="shared" si="72"/>
        <v>74201.277365738293</v>
      </c>
      <c r="FH12" s="290">
        <f t="shared" si="72"/>
        <v>74201.319111359058</v>
      </c>
      <c r="FI12" s="290">
        <f t="shared" si="72"/>
        <v>74201.312860198377</v>
      </c>
      <c r="FJ12" s="290">
        <f t="shared" si="72"/>
        <v>74201.313796272545</v>
      </c>
      <c r="FK12" s="290">
        <f t="shared" si="72"/>
        <v>74201.31365610096</v>
      </c>
      <c r="FL12" s="290">
        <f t="shared" si="72"/>
        <v>74201.313677090846</v>
      </c>
      <c r="FM12" s="290">
        <f t="shared" si="72"/>
        <v>74201.313673947734</v>
      </c>
      <c r="FN12" s="290">
        <f t="shared" si="72"/>
        <v>74201.313674418401</v>
      </c>
      <c r="FO12" s="290">
        <f t="shared" si="72"/>
        <v>74201.313674347883</v>
      </c>
      <c r="FP12" s="290">
        <f t="shared" si="72"/>
        <v>74201.313674358476</v>
      </c>
      <c r="FQ12" s="290">
        <f t="shared" si="72"/>
        <v>74201.313674356905</v>
      </c>
      <c r="FR12" s="290">
        <f t="shared" si="72"/>
        <v>74201.313674357109</v>
      </c>
      <c r="FS12" s="290">
        <f t="shared" si="72"/>
        <v>74201.313674357109</v>
      </c>
      <c r="FT12" s="290">
        <f t="shared" si="72"/>
        <v>74201.313674357109</v>
      </c>
      <c r="FU12" s="290">
        <f t="shared" si="72"/>
        <v>74201.313674357109</v>
      </c>
      <c r="FV12" s="290">
        <f t="shared" si="72"/>
        <v>74201.313674357109</v>
      </c>
      <c r="FW12" s="290">
        <f t="shared" si="72"/>
        <v>74201.313674357109</v>
      </c>
      <c r="FX12" s="290">
        <f t="shared" si="72"/>
        <v>74201.313674357109</v>
      </c>
      <c r="FY12" s="290">
        <f t="shared" si="72"/>
        <v>74201.313674357109</v>
      </c>
      <c r="GA12" s="292" t="s">
        <v>1521</v>
      </c>
      <c r="GB12" s="297">
        <v>200</v>
      </c>
      <c r="GC12" s="297">
        <v>115680</v>
      </c>
      <c r="GD12" s="297">
        <v>58390</v>
      </c>
      <c r="GE12" s="297">
        <v>185.3</v>
      </c>
      <c r="GF12" s="297">
        <v>38.049999999999997</v>
      </c>
      <c r="GG12" s="297">
        <v>47.32</v>
      </c>
      <c r="GH12" s="297">
        <v>186</v>
      </c>
      <c r="GI12" s="297">
        <v>2</v>
      </c>
      <c r="GJ12" s="297">
        <v>7250</v>
      </c>
      <c r="GK12" s="281">
        <f t="shared" si="47"/>
        <v>0.77495779136372334</v>
      </c>
      <c r="GZ12" s="292" t="s">
        <v>1522</v>
      </c>
      <c r="HA12" s="294">
        <f>MAX((OEW*HA10)/(OEW),(OEW*HA10+W_pl*x_pay)/(OEW+W_pl),(OEW*HA10+W_pl*x_pay+W_fuel*HA11)/(OEW+W_pl+W_fuel),(OEW*HA10+W_fuel*HA11)/(OEW+W_fuel),(OEW*HA10+PyldMax*x_pay)/(OEW+PyldMax))</f>
        <v>15.963570656358224</v>
      </c>
      <c r="HB12" s="294">
        <f>MAX((OEW*HB10)/(OEW),(OEW*HB10+W_pl*x_pay)/(OEW+W_pl),(OEW*HB10+W_pl*x_pay+W_fuel*HB11)/(OEW+W_pl+W_fuel),(OEW*HB10+W_fuel*HB11)/(OEW+W_fuel),(OEW*HB10+PyldMax*x_pay)/(OEW+PyldMax))</f>
        <v>18.547679660118696</v>
      </c>
      <c r="HF12" s="297">
        <f t="shared" si="65"/>
        <v>72953.20850364634</v>
      </c>
      <c r="HG12" s="297">
        <f t="shared" si="48"/>
        <v>135.47158393019825</v>
      </c>
      <c r="HH12" s="297">
        <f t="shared" si="49"/>
        <v>35.874504140641214</v>
      </c>
      <c r="HI12" s="297">
        <f t="shared" si="50"/>
        <v>6.0420217500027293</v>
      </c>
      <c r="HJ12" s="297">
        <f t="shared" si="51"/>
        <v>4.2294152250019099</v>
      </c>
      <c r="HK12" s="297">
        <f t="shared" si="52"/>
        <v>5508.3122747827019</v>
      </c>
      <c r="HL12" s="297">
        <f t="shared" si="53"/>
        <v>1701.8576880141109</v>
      </c>
      <c r="HM12" s="297">
        <f t="shared" si="54"/>
        <v>9147.0379438144791</v>
      </c>
      <c r="HN12" s="297">
        <f t="shared" si="55"/>
        <v>3136.9879656567923</v>
      </c>
      <c r="HO12" s="297">
        <f t="shared" si="56"/>
        <v>4707.7141657882148</v>
      </c>
      <c r="HP12" s="297">
        <f t="shared" si="57"/>
        <v>12402.045445619879</v>
      </c>
      <c r="HQ12" s="297">
        <f t="shared" si="58"/>
        <v>36603.955483676182</v>
      </c>
      <c r="HR12" s="297">
        <f t="shared" si="59"/>
        <v>72969.630345262194</v>
      </c>
      <c r="HW12" s="293">
        <f>MAX(0,MIN(7,n_rows_b-1))</f>
        <v>0</v>
      </c>
      <c r="HX12" s="281">
        <f t="shared" si="62"/>
        <v>6.5</v>
      </c>
      <c r="HY12" s="281">
        <f>$HX$5+(bus_pitch*(n_rows_b&gt;0))</f>
        <v>6.5</v>
      </c>
      <c r="HZ12" s="281">
        <f>$HV$5</f>
        <v>-1.84</v>
      </c>
      <c r="IA12" s="281">
        <f t="shared" si="63"/>
        <v>-11.310479999999998</v>
      </c>
      <c r="IC12" s="281">
        <f>x_wLE0+(0.85*b_w/2)*TAN(RADIANS(sweepLE))-L_fus/2+0.15*c_root*(1-(1-taper)*2*(0.85*b_w/2)/b_w)</f>
        <v>1.366672666549082</v>
      </c>
      <c r="ID12" s="281">
        <f>-1*0.85*b_w/2</f>
        <v>-15.047737289762148</v>
      </c>
    </row>
    <row r="13" spans="1:238" x14ac:dyDescent="0.25">
      <c r="A13" s="289">
        <f>18/50</f>
        <v>0.36</v>
      </c>
      <c r="B13" s="290">
        <f t="shared" si="0"/>
        <v>2003.8640946141172</v>
      </c>
      <c r="C13" s="291">
        <f t="shared" si="1"/>
        <v>204.33727058823527</v>
      </c>
      <c r="D13" s="281">
        <f t="shared" si="2"/>
        <v>0.10349550068754772</v>
      </c>
      <c r="E13" s="281">
        <f t="shared" si="3"/>
        <v>0.2194155421601327</v>
      </c>
      <c r="F13" s="281">
        <f t="shared" si="4"/>
        <v>0.21104328049055099</v>
      </c>
      <c r="G13" s="281">
        <f t="shared" si="5"/>
        <v>0.47560647625362568</v>
      </c>
      <c r="H13" s="281">
        <f t="shared" si="6"/>
        <v>0.47560647625362568</v>
      </c>
      <c r="K13" s="281">
        <f>WS_des</f>
        <v>5281.0084699453055</v>
      </c>
      <c r="L13" s="281">
        <f>TW_des</f>
        <v>0.27275333551870468</v>
      </c>
      <c r="S13" s="292" t="s">
        <v>1523</v>
      </c>
      <c r="T13" s="281">
        <f>1*nose_len</f>
        <v>4</v>
      </c>
      <c r="U13" s="281">
        <f>d_fus/2*SQRT(1-(1-1)^2)</f>
        <v>1.9909249999999998</v>
      </c>
      <c r="V13" s="281">
        <f t="shared" si="7"/>
        <v>0</v>
      </c>
      <c r="X13" s="281">
        <f t="shared" si="8"/>
        <v>-13.810479999999998</v>
      </c>
      <c r="Y13" s="281">
        <f t="shared" si="9"/>
        <v>1.9909249999999998</v>
      </c>
      <c r="Z13" s="281">
        <f t="shared" si="10"/>
        <v>1.9909249999999998</v>
      </c>
      <c r="AA13" s="281">
        <f t="shared" si="11"/>
        <v>4</v>
      </c>
      <c r="AC13" s="281">
        <f>x_hLE0-L_fus/2</f>
        <v>11.164541131575625</v>
      </c>
      <c r="AD13" s="281">
        <v>0</v>
      </c>
      <c r="AE13" s="281">
        <f>z_HT</f>
        <v>1.1945549999999998</v>
      </c>
      <c r="AL13" s="281">
        <f>AI6+1*L_nac-L_fus/2</f>
        <v>-3.1011786900655132</v>
      </c>
      <c r="AM13" s="281">
        <f>AH6+1*D_nac/2</f>
        <v>-4.9027995806615046</v>
      </c>
      <c r="AN13" s="281">
        <f>AJ6+1*D_nac/2</f>
        <v>-0.89121149722047099</v>
      </c>
      <c r="AP13" s="281">
        <f>x_main-L_fus/2+0.86603*D_tyre/2</f>
        <v>0.19447813419308363</v>
      </c>
      <c r="AQ13" s="281">
        <f>-h_cg+D_tyre/2+-0.5*D_tyre/2</f>
        <v>-3.3751794093185286</v>
      </c>
      <c r="AV13" s="293">
        <v>8</v>
      </c>
      <c r="AW13" s="293">
        <f t="shared" si="12"/>
        <v>5</v>
      </c>
      <c r="AX13" s="281">
        <f t="shared" si="13"/>
        <v>1.3100000000000003</v>
      </c>
      <c r="AY13" s="293">
        <f>MAX(0,MIN(8,n_rows-1))</f>
        <v>8</v>
      </c>
      <c r="AZ13" s="281">
        <f t="shared" si="14"/>
        <v>12.98</v>
      </c>
      <c r="BD13" s="281">
        <f t="shared" si="15"/>
        <v>-13.810479999999998</v>
      </c>
      <c r="BE13" s="281">
        <f t="shared" si="16"/>
        <v>1.9909249999999998</v>
      </c>
      <c r="BF13" s="281">
        <f t="shared" si="17"/>
        <v>0</v>
      </c>
      <c r="BG13" s="281">
        <f t="shared" si="18"/>
        <v>-9.299699538990609</v>
      </c>
      <c r="BH13" s="281">
        <f t="shared" si="19"/>
        <v>4.3962198887895809</v>
      </c>
      <c r="BK13" s="292" t="str">
        <f>"Cockpit: 2 pilot seats, rear bulkhead at x = "&amp;TEXT(nose_len,"0.0")&amp;" m"</f>
        <v>Cockpit: 2 pilot seats, rear bulkhead at x = 4.0 m</v>
      </c>
      <c r="BM13" s="281">
        <f>$AZ$6+0.2*(seat_pitch)*($AY$6*n_SA+$AW$5&lt;pax_e)</f>
        <v>7.4720000000000004</v>
      </c>
      <c r="BN13" s="281">
        <f>$AX$5</f>
        <v>-1.84</v>
      </c>
      <c r="BO13" s="281">
        <f t="shared" si="20"/>
        <v>-10.338479999999997</v>
      </c>
      <c r="BQ13" s="281">
        <f>0.5*nose_len+1*MIN(0.6,0.2*nose_len)</f>
        <v>2.6</v>
      </c>
      <c r="BR13" s="281">
        <f>1*MIN(0.55,0.2*d_fus)+1*MIN(0.5,0.25*d_fus)/2</f>
        <v>0.8</v>
      </c>
      <c r="BT13" s="293">
        <v>8</v>
      </c>
      <c r="BU13" s="293">
        <f t="shared" si="21"/>
        <v>2</v>
      </c>
      <c r="BV13" s="293">
        <f t="shared" si="22"/>
        <v>0</v>
      </c>
      <c r="BW13" s="293">
        <f t="shared" si="23"/>
        <v>1</v>
      </c>
      <c r="BX13" s="281">
        <f t="shared" si="24"/>
        <v>28.25</v>
      </c>
      <c r="BY13" s="281">
        <f t="shared" si="25"/>
        <v>0.86499999999999999</v>
      </c>
      <c r="CE13" s="281">
        <f>8/24*CLmax_c</f>
        <v>0.5</v>
      </c>
      <c r="CF13" s="294">
        <f t="shared" si="26"/>
        <v>2.8470719940256271E-2</v>
      </c>
      <c r="CG13" s="289">
        <f t="shared" si="27"/>
        <v>17.561902229701726</v>
      </c>
      <c r="CH13" s="281">
        <f>8/24*CLmaxTO</f>
        <v>0.7</v>
      </c>
      <c r="CI13" s="294">
        <f t="shared" si="28"/>
        <v>5.6439277749568958E-2</v>
      </c>
      <c r="CJ13" s="289">
        <f t="shared" si="29"/>
        <v>12.402710096787978</v>
      </c>
      <c r="CK13" s="281">
        <f>8/24*CLmaxL</f>
        <v>0.9</v>
      </c>
      <c r="CL13" s="294">
        <f t="shared" si="30"/>
        <v>9.1806789411164075E-2</v>
      </c>
      <c r="CM13" s="289">
        <f t="shared" si="31"/>
        <v>9.8031965366883469</v>
      </c>
      <c r="CR13" s="293">
        <f>8/28*h_abs</f>
        <v>3275.8333521632658</v>
      </c>
      <c r="CS13" s="289">
        <f t="shared" si="32"/>
        <v>266.85708321093875</v>
      </c>
      <c r="CT13" s="294">
        <f t="shared" si="33"/>
        <v>0.88357927666646796</v>
      </c>
      <c r="CU13" s="291">
        <f t="shared" si="34"/>
        <v>327.47973499092956</v>
      </c>
      <c r="CV13" s="294">
        <f t="shared" si="35"/>
        <v>0.18999852055249797</v>
      </c>
      <c r="CW13" s="291">
        <f t="shared" si="36"/>
        <v>204.75296441516213</v>
      </c>
      <c r="CX13" s="289">
        <f t="shared" si="37"/>
        <v>22.866924505472163</v>
      </c>
      <c r="CY13" s="293">
        <f t="shared" si="38"/>
        <v>18.561737246456435</v>
      </c>
      <c r="CZ13" s="295">
        <f t="shared" si="39"/>
        <v>3.308387046934419E-2</v>
      </c>
      <c r="DA13" s="291">
        <f t="shared" si="40"/>
        <v>86.601843550764201</v>
      </c>
      <c r="DB13" s="291">
        <f t="shared" si="41"/>
        <v>268.53338269256227</v>
      </c>
      <c r="DC13" s="281">
        <f t="shared" si="42"/>
        <v>0.26444947365418769</v>
      </c>
      <c r="DD13" s="281">
        <f t="shared" si="43"/>
        <v>0.82000000000000006</v>
      </c>
      <c r="DJ13" s="291">
        <f>8/10*V_A</f>
        <v>95.900251760857785</v>
      </c>
      <c r="DK13" s="289">
        <f>(8/10*V_A/V_S1)^2</f>
        <v>1.6</v>
      </c>
      <c r="DX13" s="281">
        <f>d_fus/2*-0.5</f>
        <v>-0.99546249999999992</v>
      </c>
      <c r="DY13" s="281">
        <f>d_fus/2*0.86603</f>
        <v>1.7242007777499997</v>
      </c>
      <c r="DZ13" s="281">
        <v>0</v>
      </c>
      <c r="EA13" s="281">
        <f>z_VT0+b_VT</f>
        <v>8.2707682466377648</v>
      </c>
      <c r="EB13" s="281">
        <f>$AH$5+D_nac/2*-0.5</f>
        <v>5.4609472482831825</v>
      </c>
      <c r="EC13" s="281">
        <f>$AJ$5+D_nac/2*-0.86603</f>
        <v>-2.9742520816446305</v>
      </c>
      <c r="ED13" s="281">
        <f>track/2+0*2.2*w_tyre/2</f>
        <v>3.5406440681793292</v>
      </c>
      <c r="EE13" s="281">
        <f>z_w0+track/2*TAN(RADIANS(dihedral))</f>
        <v>-0.88478878245399972</v>
      </c>
      <c r="EG13" s="281">
        <f>d_fus/2*0.17365</f>
        <v>0.34572412624999999</v>
      </c>
      <c r="EH13" s="281">
        <f>d_fus/2*0.98481</f>
        <v>1.9606828492499997</v>
      </c>
      <c r="EI13" s="281">
        <f>w_cabin/2*0.17365</f>
        <v>0.32385724999999999</v>
      </c>
      <c r="EJ13" s="281">
        <f>w_cabin/2*0.98481</f>
        <v>1.8366706499999998</v>
      </c>
      <c r="EM13" s="281">
        <f>$AX$7+0.05*seat_w</f>
        <v>-0.75350000000000006</v>
      </c>
      <c r="EN13" s="281">
        <f>z_floor+0</f>
        <v>-0.6</v>
      </c>
      <c r="ER13" s="281">
        <f>IF(4&lt;n_door,x_door_f+IF(n_door&gt;1,4/(n_door-1),0)*(x_door_r-x_door_f),IF(4&lt;n_door+n_overwing,x_ac_w+(4-n_door-(n_overwing-1)/2)*seat_pitch,x_door_f))</f>
        <v>5.75</v>
      </c>
      <c r="ES13" s="281">
        <f>-1*w_cabin/2</f>
        <v>-1.865</v>
      </c>
      <c r="ET13" s="281">
        <f>x_seat_end+door_len-0.6+1*0.6</f>
        <v>28.25</v>
      </c>
      <c r="EU13" s="281">
        <f>-w_cabin/2+1*gal_w</f>
        <v>-0.2649999999999999</v>
      </c>
      <c r="EW13" s="292" t="s">
        <v>1524</v>
      </c>
      <c r="EX13" s="290">
        <f t="shared" si="68"/>
        <v>14250</v>
      </c>
      <c r="EY13" s="294">
        <f>k_res*(1-ff_fixed*EXP(-Range_km*1*1000*TSFC_s*1/(V_cr*(CL_cr/(CD_0+K_ind/0.9*CL_cr^2)))))</f>
        <v>0.30294648396987622</v>
      </c>
      <c r="EZ13" s="294">
        <f t="shared" si="44"/>
        <v>0.97</v>
      </c>
      <c r="FA13" s="290">
        <f t="shared" si="45"/>
        <v>71061.950546004198</v>
      </c>
      <c r="FB13" s="290">
        <f t="shared" ref="FB13:FY13" si="73">IF(1-$EY13-$EZ13*FA13^C_emp&gt;0.02,(W_crew+$EX13)/(1-$EY13-$EZ13*FA13^C_emp),FA13)</f>
        <v>73269.327097847286</v>
      </c>
      <c r="FC13" s="290">
        <f t="shared" si="73"/>
        <v>72938.860927465561</v>
      </c>
      <c r="FD13" s="290">
        <f t="shared" si="73"/>
        <v>72987.47025579396</v>
      </c>
      <c r="FE13" s="290">
        <f t="shared" si="73"/>
        <v>72980.301456328467</v>
      </c>
      <c r="FF13" s="290">
        <f t="shared" si="73"/>
        <v>72981.358288788295</v>
      </c>
      <c r="FG13" s="290">
        <f t="shared" si="73"/>
        <v>72981.202480522581</v>
      </c>
      <c r="FH13" s="290">
        <f t="shared" si="73"/>
        <v>72981.22545106287</v>
      </c>
      <c r="FI13" s="290">
        <f t="shared" si="73"/>
        <v>72981.222064552116</v>
      </c>
      <c r="FJ13" s="290">
        <f t="shared" si="73"/>
        <v>72981.222563820003</v>
      </c>
      <c r="FK13" s="290">
        <f t="shared" si="73"/>
        <v>72981.22249021371</v>
      </c>
      <c r="FL13" s="290">
        <f t="shared" si="73"/>
        <v>72981.222501065349</v>
      </c>
      <c r="FM13" s="290">
        <f t="shared" si="73"/>
        <v>72981.222499465541</v>
      </c>
      <c r="FN13" s="290">
        <f t="shared" si="73"/>
        <v>72981.222499701413</v>
      </c>
      <c r="FO13" s="290">
        <f t="shared" si="73"/>
        <v>72981.222499666619</v>
      </c>
      <c r="FP13" s="290">
        <f t="shared" si="73"/>
        <v>72981.222499671727</v>
      </c>
      <c r="FQ13" s="290">
        <f t="shared" si="73"/>
        <v>72981.222499670999</v>
      </c>
      <c r="FR13" s="290">
        <f t="shared" si="73"/>
        <v>72981.222499671072</v>
      </c>
      <c r="FS13" s="290">
        <f t="shared" si="73"/>
        <v>72981.222499671072</v>
      </c>
      <c r="FT13" s="290">
        <f t="shared" si="73"/>
        <v>72981.222499671072</v>
      </c>
      <c r="FU13" s="290">
        <f t="shared" si="73"/>
        <v>72981.222499671072</v>
      </c>
      <c r="FV13" s="290">
        <f t="shared" si="73"/>
        <v>72981.222499671072</v>
      </c>
      <c r="FW13" s="290">
        <f t="shared" si="73"/>
        <v>72981.222499671072</v>
      </c>
      <c r="FX13" s="290">
        <f t="shared" si="73"/>
        <v>72981.222499671072</v>
      </c>
      <c r="FY13" s="290">
        <f t="shared" si="73"/>
        <v>72981.222499671072</v>
      </c>
      <c r="GA13" s="292" t="s">
        <v>1525</v>
      </c>
      <c r="GB13" s="297">
        <v>261</v>
      </c>
      <c r="GC13" s="297">
        <v>186880</v>
      </c>
      <c r="GD13" s="297">
        <v>90010</v>
      </c>
      <c r="GE13" s="297">
        <v>283.3</v>
      </c>
      <c r="GF13" s="297">
        <v>47.57</v>
      </c>
      <c r="GG13" s="297">
        <v>54.94</v>
      </c>
      <c r="GH13" s="297">
        <v>276</v>
      </c>
      <c r="GI13" s="297">
        <v>2</v>
      </c>
      <c r="GJ13" s="297">
        <v>11070</v>
      </c>
      <c r="GK13" s="281">
        <f t="shared" si="47"/>
        <v>1.5207997733677878</v>
      </c>
      <c r="GZ13" s="292" t="s">
        <v>1526</v>
      </c>
      <c r="HA13" s="294">
        <f>(HA9+Design!$B$431*(HA12-l_nose)+Design!$B$432*(HA12+l_main))/W_e_build</f>
        <v>15.586433475911809</v>
      </c>
      <c r="HB13" s="294">
        <f>(HB9+Design!$B$431*(HB12-l_nose)+Design!$B$432*(HB12+l_main))/W_e_build</f>
        <v>17.644998645114924</v>
      </c>
      <c r="HF13" s="297">
        <f t="shared" si="65"/>
        <v>72969.630345262194</v>
      </c>
      <c r="HG13" s="297">
        <f t="shared" si="48"/>
        <v>135.50207872186516</v>
      </c>
      <c r="HH13" s="297">
        <f t="shared" si="49"/>
        <v>35.878541607174043</v>
      </c>
      <c r="HI13" s="297">
        <f t="shared" si="50"/>
        <v>6.0427017443661546</v>
      </c>
      <c r="HJ13" s="297">
        <f t="shared" si="51"/>
        <v>4.2298912210563078</v>
      </c>
      <c r="HK13" s="297">
        <f t="shared" si="52"/>
        <v>5509.6738454321367</v>
      </c>
      <c r="HL13" s="297">
        <f t="shared" si="53"/>
        <v>1702.4323552017509</v>
      </c>
      <c r="HM13" s="297">
        <f t="shared" si="54"/>
        <v>9147.0379438144791</v>
      </c>
      <c r="HN13" s="297">
        <f t="shared" si="55"/>
        <v>3137.6941048462741</v>
      </c>
      <c r="HO13" s="297">
        <f t="shared" si="56"/>
        <v>4708.8798612916198</v>
      </c>
      <c r="HP13" s="297">
        <f t="shared" si="57"/>
        <v>12404.837158694574</v>
      </c>
      <c r="HQ13" s="297">
        <f t="shared" si="58"/>
        <v>36610.555269280834</v>
      </c>
      <c r="HR13" s="297">
        <f t="shared" si="59"/>
        <v>72979.014478500889</v>
      </c>
      <c r="HW13" s="293">
        <f>MAX(0,MIN(8,n_rows_b-1))</f>
        <v>0</v>
      </c>
      <c r="HX13" s="281">
        <f t="shared" si="62"/>
        <v>6.5</v>
      </c>
      <c r="HY13" s="281">
        <f>$HX$6+0.2*(bus_pitch*(n_rows_b&gt;0))*($HW$6*n_SA_b+$HU$5&lt;pax_b)</f>
        <v>6.5</v>
      </c>
      <c r="HZ13" s="281">
        <f>$HV$5</f>
        <v>-1.84</v>
      </c>
      <c r="IA13" s="281">
        <f t="shared" si="63"/>
        <v>-11.310479999999998</v>
      </c>
      <c r="IC13" s="281">
        <f>x_wLE0+(0.85*b_w/2)*TAN(RADIANS(sweepLE))-L_fus/2+0.65*c_root*(1-(1-taper)*2*(0.85*b_w/2)/b_w)</f>
        <v>2.4475008557827724</v>
      </c>
      <c r="ID13" s="281">
        <f>-1*0.85*b_w/2</f>
        <v>-15.047737289762148</v>
      </c>
    </row>
    <row r="14" spans="1:238" x14ac:dyDescent="0.25">
      <c r="A14" s="289">
        <f>19/50</f>
        <v>0.38</v>
      </c>
      <c r="B14" s="290">
        <f t="shared" si="0"/>
        <v>2115.1898776482349</v>
      </c>
      <c r="C14" s="291">
        <f t="shared" si="1"/>
        <v>215.68934117647055</v>
      </c>
      <c r="D14" s="281">
        <f t="shared" si="2"/>
        <v>0.10924525072574481</v>
      </c>
      <c r="E14" s="281">
        <f t="shared" si="3"/>
        <v>0.2194155421601327</v>
      </c>
      <c r="F14" s="281">
        <f t="shared" si="4"/>
        <v>0.21104328049055099</v>
      </c>
      <c r="G14" s="281">
        <f t="shared" si="5"/>
        <v>0.45563474523060438</v>
      </c>
      <c r="H14" s="281">
        <f t="shared" si="6"/>
        <v>0.45563474523060438</v>
      </c>
      <c r="K14" s="281">
        <v>0</v>
      </c>
      <c r="L14" s="281">
        <f>TW_des</f>
        <v>0.27275333551870468</v>
      </c>
      <c r="S14" s="292" t="s">
        <v>1527</v>
      </c>
      <c r="T14" s="281">
        <f>nose_len+0.333333333333333*L_cabin</f>
        <v>12.416666666666657</v>
      </c>
      <c r="U14" s="281">
        <f>d_fus/2</f>
        <v>1.9909249999999998</v>
      </c>
      <c r="V14" s="281">
        <v>0</v>
      </c>
      <c r="X14" s="281">
        <f t="shared" si="8"/>
        <v>-5.3938133333333411</v>
      </c>
      <c r="Y14" s="281">
        <f t="shared" si="9"/>
        <v>1.9909249999999998</v>
      </c>
      <c r="Z14" s="281">
        <f t="shared" si="10"/>
        <v>1.9909249999999998</v>
      </c>
      <c r="AA14" s="281">
        <f t="shared" si="11"/>
        <v>12.416666666666657</v>
      </c>
      <c r="AC14" s="281">
        <f>x_hLE0+b_HT/2*TAN(RADIANS(sweepLE_HT))-L_fus/2</f>
        <v>15.36123581003578</v>
      </c>
      <c r="AD14" s="281">
        <f>b_HT/2</f>
        <v>6.2176462037157743</v>
      </c>
      <c r="AE14" s="281">
        <f>z_HT+b_HT/2*TAN(RADIANS(0))</f>
        <v>1.1945549999999998</v>
      </c>
      <c r="AL14" s="281">
        <f>AI6+0*L_nac-L_fus/2</f>
        <v>-7.4249768198019375</v>
      </c>
      <c r="AM14" s="281">
        <f>AH6+1*D_nac/2</f>
        <v>-4.9027995806615046</v>
      </c>
      <c r="AN14" s="281">
        <f>AJ6+1*D_nac/2</f>
        <v>-0.89121149722047099</v>
      </c>
      <c r="AP14" s="281">
        <f>x_main-L_fus/2+1*D_tyre/2</f>
        <v>0.27167770114027712</v>
      </c>
      <c r="AQ14" s="281">
        <f>-h_cg+D_tyre/2+0*D_tyre/2</f>
        <v>-3.0870568186370573</v>
      </c>
      <c r="AV14" s="293">
        <v>9</v>
      </c>
      <c r="AW14" s="293">
        <f t="shared" si="12"/>
        <v>5</v>
      </c>
      <c r="AX14" s="281">
        <f t="shared" si="13"/>
        <v>1.3100000000000003</v>
      </c>
      <c r="AY14" s="293">
        <f>MAX(0,MIN(9,n_rows-1))</f>
        <v>9</v>
      </c>
      <c r="AZ14" s="281">
        <f t="shared" si="14"/>
        <v>13.790000000000001</v>
      </c>
      <c r="BD14" s="281">
        <f t="shared" si="15"/>
        <v>-5.3938133333333411</v>
      </c>
      <c r="BE14" s="281">
        <f t="shared" si="16"/>
        <v>1.9909249999999998</v>
      </c>
      <c r="BF14" s="281">
        <f t="shared" si="17"/>
        <v>0</v>
      </c>
      <c r="BG14" s="281">
        <f t="shared" si="18"/>
        <v>-2.8521588094058847</v>
      </c>
      <c r="BH14" s="281">
        <f t="shared" si="19"/>
        <v>2.109800554648531</v>
      </c>
      <c r="BK14" s="292" t="str">
        <f>"Lavatories: "&amp;n_lav&amp;" ("&amp;n_lav_front&amp;" front, "&amp;(n_lav-n_lav_front)&amp;" rear), "&amp;TEXT(lav_len,"0.0")&amp;" x "&amp;TEXT(lav_w,"0.0")&amp;" m; door/galley zone "&amp;TEXT(door_len,"0.0")&amp;" m each end"</f>
        <v>Lavatories: 3 (1 front, 2 rear), 1.0 x 1.0 m; door/galley zone 1.5 m each end</v>
      </c>
      <c r="BM14" s="281">
        <f>$AZ$6+0.2*(seat_pitch)*($AY$6*n_SA+$AW$5&lt;pax_e)</f>
        <v>7.4720000000000004</v>
      </c>
      <c r="BN14" s="281">
        <f>$AX$5+seat_w*($AY$6*n_SA+$AW$5&lt;pax_e)</f>
        <v>-1.31</v>
      </c>
      <c r="BO14" s="281">
        <f t="shared" si="20"/>
        <v>-10.338479999999997</v>
      </c>
      <c r="BQ14" s="281">
        <f>0.5*nose_len+0*MIN(0.6,0.2*nose_len)</f>
        <v>2</v>
      </c>
      <c r="BR14" s="281">
        <f>1*MIN(0.55,0.2*d_fus)+1*MIN(0.5,0.25*d_fus)/2</f>
        <v>0.8</v>
      </c>
      <c r="BT14" s="293">
        <v>9</v>
      </c>
      <c r="BU14" s="293">
        <f t="shared" si="21"/>
        <v>2</v>
      </c>
      <c r="BV14" s="293">
        <f t="shared" si="22"/>
        <v>0</v>
      </c>
      <c r="BW14" s="293">
        <f t="shared" si="23"/>
        <v>1</v>
      </c>
      <c r="BX14" s="281">
        <f t="shared" si="24"/>
        <v>28.25</v>
      </c>
      <c r="BY14" s="281">
        <f t="shared" si="25"/>
        <v>0.86499999999999999</v>
      </c>
      <c r="CA14" s="281">
        <f>$BX$6+0*lav_len</f>
        <v>28.25</v>
      </c>
      <c r="CB14" s="281">
        <f>$BY$6+0*lav_w</f>
        <v>-1.865</v>
      </c>
      <c r="CE14" s="281">
        <f>9/24*CLmax_c</f>
        <v>0.5625</v>
      </c>
      <c r="CF14" s="294">
        <f t="shared" si="26"/>
        <v>3.1252004924386845E-2</v>
      </c>
      <c r="CG14" s="289">
        <f t="shared" si="27"/>
        <v>17.998845237639937</v>
      </c>
      <c r="CH14" s="281">
        <f>9/24*CLmaxTO</f>
        <v>0.78750000000000009</v>
      </c>
      <c r="CI14" s="294">
        <f t="shared" si="28"/>
        <v>6.1890596318464886E-2</v>
      </c>
      <c r="CJ14" s="289">
        <f t="shared" si="29"/>
        <v>12.724065477537687</v>
      </c>
      <c r="CK14" s="281">
        <f>9/24*CLmaxL</f>
        <v>1.0125000000000002</v>
      </c>
      <c r="CL14" s="294">
        <f t="shared" si="30"/>
        <v>0.10081815275974713</v>
      </c>
      <c r="CM14" s="289">
        <f t="shared" si="31"/>
        <v>10.04283427422857</v>
      </c>
      <c r="CR14" s="293">
        <f>9/28*h_abs</f>
        <v>3685.3125211836746</v>
      </c>
      <c r="CS14" s="289">
        <f t="shared" si="32"/>
        <v>264.19546861230612</v>
      </c>
      <c r="CT14" s="294">
        <f t="shared" si="33"/>
        <v>0.84667765777313886</v>
      </c>
      <c r="CU14" s="291">
        <f t="shared" si="34"/>
        <v>325.84251194740631</v>
      </c>
      <c r="CV14" s="294">
        <f t="shared" si="35"/>
        <v>0.1798066974416089</v>
      </c>
      <c r="CW14" s="291">
        <f t="shared" si="36"/>
        <v>204.10278568967902</v>
      </c>
      <c r="CX14" s="289">
        <f t="shared" si="37"/>
        <v>21.253856171840919</v>
      </c>
      <c r="CY14" s="293">
        <f t="shared" si="38"/>
        <v>19.992237562830322</v>
      </c>
      <c r="CZ14" s="295">
        <f t="shared" si="39"/>
        <v>2.9314881102064479E-2</v>
      </c>
      <c r="DA14" s="291">
        <f t="shared" si="40"/>
        <v>88.468944957955742</v>
      </c>
      <c r="DB14" s="291">
        <f t="shared" si="41"/>
        <v>267.19085979687321</v>
      </c>
      <c r="DC14" s="281">
        <f t="shared" si="42"/>
        <v>0.27150829530873299</v>
      </c>
      <c r="DD14" s="281">
        <f t="shared" si="43"/>
        <v>0.82000000000000017</v>
      </c>
      <c r="DJ14" s="291">
        <f>9/10*V_A</f>
        <v>107.88778323096501</v>
      </c>
      <c r="DK14" s="289">
        <f>(9/10*V_A/V_S1)^2</f>
        <v>2.0250000000000004</v>
      </c>
      <c r="DX14" s="281">
        <f>d_fus/2*-0.70711</f>
        <v>-1.40780297675</v>
      </c>
      <c r="DY14" s="281">
        <f>d_fus/2*0.70711</f>
        <v>1.40780297675</v>
      </c>
      <c r="EB14" s="281">
        <f>$AH$5+D_nac/2*0</f>
        <v>6.0190949159048603</v>
      </c>
      <c r="EC14" s="281">
        <f>$AJ$5+D_nac/2*-1</f>
        <v>-3.1238021677071828</v>
      </c>
      <c r="ED14" s="281">
        <f>track/2+0*2.2*w_tyre/2</f>
        <v>3.5406440681793292</v>
      </c>
      <c r="EE14" s="281">
        <f>-h_cg+D_tyre</f>
        <v>-2.5108116372741143</v>
      </c>
      <c r="EG14" s="281">
        <f>d_fus/2*0</f>
        <v>0</v>
      </c>
      <c r="EH14" s="281">
        <f>d_fus/2*1</f>
        <v>1.9909249999999998</v>
      </c>
      <c r="EI14" s="281">
        <f>w_cabin/2*0</f>
        <v>0</v>
      </c>
      <c r="EJ14" s="281">
        <f>w_cabin/2*1</f>
        <v>1.865</v>
      </c>
      <c r="EM14" s="281">
        <f>$AX$7+0.05*seat_w</f>
        <v>-0.75350000000000006</v>
      </c>
      <c r="EN14" s="281">
        <f>z_floor+1.1</f>
        <v>0.50000000000000011</v>
      </c>
      <c r="ER14" s="281">
        <f>IF(4&lt;n_door,x_door_f+IF(n_door&gt;1,4/(n_door-1),0)*(x_door_r-x_door_f),IF(4&lt;n_door+n_overwing,x_ac_w+(4-n_door-(n_overwing-1)/2)*seat_pitch,x_door_f))</f>
        <v>5.75</v>
      </c>
      <c r="ES14" s="281">
        <f>1*w_cabin/2</f>
        <v>1.865</v>
      </c>
      <c r="ET14" s="281">
        <f>x_seat_end+door_len-0.6+0*0.6</f>
        <v>27.65</v>
      </c>
      <c r="EU14" s="281">
        <f>-w_cabin/2+1*gal_w</f>
        <v>-0.2649999999999999</v>
      </c>
      <c r="EW14" s="292" t="s">
        <v>1528</v>
      </c>
      <c r="EX14" s="290">
        <f t="shared" si="68"/>
        <v>14250</v>
      </c>
      <c r="EY14" s="294">
        <f>k_res*(1-ff_fixed*EXP(-Range_km*1*1000*TSFC_s*1/(V_cr*(CL_cr/(CD_0+K_ind/1.1*CL_cr^2)))))</f>
        <v>0.29156561214270499</v>
      </c>
      <c r="EZ14" s="294">
        <f t="shared" si="44"/>
        <v>0.97</v>
      </c>
      <c r="FA14" s="290">
        <f t="shared" si="45"/>
        <v>71061.950546004198</v>
      </c>
      <c r="FB14" s="290">
        <f t="shared" ref="FB14:FY14" si="74">IF(1-$EY14-$EZ14*FA14^C_emp&gt;0.02,(W_crew+$EX14)/(1-$EY14-$EZ14*FA14^C_emp),FA14)</f>
        <v>69339.973260237282</v>
      </c>
      <c r="FC14" s="290">
        <f t="shared" si="74"/>
        <v>69579.611397419401</v>
      </c>
      <c r="FD14" s="290">
        <f t="shared" si="74"/>
        <v>69545.786658200173</v>
      </c>
      <c r="FE14" s="290">
        <f t="shared" si="74"/>
        <v>69550.55151196949</v>
      </c>
      <c r="FF14" s="290">
        <f t="shared" si="74"/>
        <v>69549.880104117779</v>
      </c>
      <c r="FG14" s="290">
        <f t="shared" si="74"/>
        <v>69549.974707378409</v>
      </c>
      <c r="FH14" s="290">
        <f t="shared" si="74"/>
        <v>69549.96137743791</v>
      </c>
      <c r="FI14" s="290">
        <f t="shared" si="74"/>
        <v>69549.963255673109</v>
      </c>
      <c r="FJ14" s="290">
        <f t="shared" si="74"/>
        <v>69549.962991023189</v>
      </c>
      <c r="FK14" s="290">
        <f t="shared" si="74"/>
        <v>69549.963028313286</v>
      </c>
      <c r="FL14" s="290">
        <f t="shared" si="74"/>
        <v>69549.963023058983</v>
      </c>
      <c r="FM14" s="290">
        <f t="shared" si="74"/>
        <v>69549.963023799355</v>
      </c>
      <c r="FN14" s="290">
        <f t="shared" si="74"/>
        <v>69549.963023694989</v>
      </c>
      <c r="FO14" s="290">
        <f t="shared" si="74"/>
        <v>69549.963023709715</v>
      </c>
      <c r="FP14" s="290">
        <f t="shared" si="74"/>
        <v>69549.96302370762</v>
      </c>
      <c r="FQ14" s="290">
        <f t="shared" si="74"/>
        <v>69549.96302370794</v>
      </c>
      <c r="FR14" s="290">
        <f t="shared" si="74"/>
        <v>69549.963023707867</v>
      </c>
      <c r="FS14" s="290">
        <f t="shared" si="74"/>
        <v>69549.963023707911</v>
      </c>
      <c r="FT14" s="290">
        <f t="shared" si="74"/>
        <v>69549.963023707867</v>
      </c>
      <c r="FU14" s="290">
        <f t="shared" si="74"/>
        <v>69549.963023707911</v>
      </c>
      <c r="FV14" s="290">
        <f t="shared" si="74"/>
        <v>69549.963023707867</v>
      </c>
      <c r="FW14" s="290">
        <f t="shared" si="74"/>
        <v>69549.963023707911</v>
      </c>
      <c r="FX14" s="290">
        <f t="shared" si="74"/>
        <v>69549.963023707867</v>
      </c>
      <c r="FY14" s="290">
        <f t="shared" si="74"/>
        <v>69549.963023707911</v>
      </c>
      <c r="GA14" s="292" t="s">
        <v>1529</v>
      </c>
      <c r="GB14" s="297">
        <v>295</v>
      </c>
      <c r="GC14" s="297">
        <v>242000</v>
      </c>
      <c r="GD14" s="297">
        <v>124500</v>
      </c>
      <c r="GE14" s="297">
        <v>361.6</v>
      </c>
      <c r="GF14" s="297">
        <v>60.3</v>
      </c>
      <c r="GG14" s="297">
        <v>63.69</v>
      </c>
      <c r="GH14" s="297">
        <v>316</v>
      </c>
      <c r="GI14" s="297">
        <v>2</v>
      </c>
      <c r="GJ14" s="297">
        <v>11750</v>
      </c>
      <c r="GK14" s="281">
        <f t="shared" si="47"/>
        <v>1.9017257489017383</v>
      </c>
      <c r="GZ14" s="292" t="s">
        <v>1530</v>
      </c>
      <c r="HA14" s="294">
        <f>(OEW*HA13)/(OEW)</f>
        <v>15.586433475911809</v>
      </c>
      <c r="HB14" s="294">
        <f>(OEW*HB13)/(OEW)</f>
        <v>17.644998645114924</v>
      </c>
      <c r="HF14" s="297">
        <f t="shared" si="65"/>
        <v>72979.014478500889</v>
      </c>
      <c r="HG14" s="297">
        <f t="shared" si="48"/>
        <v>135.5195047325881</v>
      </c>
      <c r="HH14" s="297">
        <f t="shared" si="49"/>
        <v>35.880848581932774</v>
      </c>
      <c r="HI14" s="297">
        <f t="shared" si="50"/>
        <v>6.0430902874834134</v>
      </c>
      <c r="HJ14" s="297">
        <f t="shared" si="51"/>
        <v>4.2301632012383887</v>
      </c>
      <c r="HK14" s="297">
        <f t="shared" si="52"/>
        <v>5510.4519110573992</v>
      </c>
      <c r="HL14" s="297">
        <f t="shared" si="53"/>
        <v>1702.7607733176403</v>
      </c>
      <c r="HM14" s="297">
        <f t="shared" si="54"/>
        <v>9147.0379438144791</v>
      </c>
      <c r="HN14" s="297">
        <f t="shared" si="55"/>
        <v>3138.097622575538</v>
      </c>
      <c r="HO14" s="297">
        <f t="shared" si="56"/>
        <v>4709.5460006695857</v>
      </c>
      <c r="HP14" s="297">
        <f t="shared" si="57"/>
        <v>12406.432461345152</v>
      </c>
      <c r="HQ14" s="297">
        <f t="shared" si="58"/>
        <v>36614.326712779795</v>
      </c>
      <c r="HR14" s="297">
        <f t="shared" si="59"/>
        <v>72984.377035774189</v>
      </c>
      <c r="HW14" s="293">
        <f>MAX(0,MIN(9,n_rows_b-1))</f>
        <v>0</v>
      </c>
      <c r="HX14" s="281">
        <f t="shared" si="62"/>
        <v>6.5</v>
      </c>
      <c r="HY14" s="281">
        <f>$HX$6+0.2*(bus_pitch*(n_rows_b&gt;0))*($HW$6*n_SA_b+$HU$5&lt;pax_b)</f>
        <v>6.5</v>
      </c>
      <c r="HZ14" s="281">
        <f>$HV$5+seat_w_b*($HW$6*n_SA_b+$HU$5&lt;pax_b)</f>
        <v>-1.84</v>
      </c>
      <c r="IA14" s="281">
        <f t="shared" si="63"/>
        <v>-11.310479999999998</v>
      </c>
      <c r="IC14" s="281">
        <f>x_wLE0+(d_fus/2)*TAN(RADIANS(sweepLE))-L_fus/2+0.65*c_root*(1-(1-taper)*2*(d_fus/2)/b_w)</f>
        <v>-2.6512994032903441</v>
      </c>
      <c r="ID14" s="281">
        <f>-1*d_fus/2</f>
        <v>-1.9909249999999998</v>
      </c>
    </row>
    <row r="15" spans="1:238" x14ac:dyDescent="0.25">
      <c r="A15" s="289">
        <f>20/50</f>
        <v>0.4</v>
      </c>
      <c r="B15" s="290">
        <f t="shared" si="0"/>
        <v>2226.5156606823525</v>
      </c>
      <c r="C15" s="291">
        <f t="shared" si="1"/>
        <v>227.04141176470586</v>
      </c>
      <c r="D15" s="281">
        <f t="shared" si="2"/>
        <v>0.11499500076394191</v>
      </c>
      <c r="E15" s="281">
        <f t="shared" si="3"/>
        <v>0.2194155421601327</v>
      </c>
      <c r="F15" s="281">
        <f t="shared" si="4"/>
        <v>0.21104328049055099</v>
      </c>
      <c r="G15" s="281">
        <f t="shared" si="5"/>
        <v>0.43784505581735589</v>
      </c>
      <c r="H15" s="281">
        <f t="shared" si="6"/>
        <v>0.43784505581735589</v>
      </c>
      <c r="S15" s="292" t="s">
        <v>1531</v>
      </c>
      <c r="T15" s="281">
        <f>nose_len+0.666666666666666*L_cabin</f>
        <v>20.833333333333314</v>
      </c>
      <c r="U15" s="281">
        <f>d_fus/2</f>
        <v>1.9909249999999998</v>
      </c>
      <c r="V15" s="281">
        <v>0</v>
      </c>
      <c r="X15" s="281">
        <f t="shared" si="8"/>
        <v>3.0228533333333161</v>
      </c>
      <c r="Y15" s="281">
        <f t="shared" si="9"/>
        <v>1.9909249999999998</v>
      </c>
      <c r="Z15" s="281">
        <f t="shared" si="10"/>
        <v>1.9909249999999998</v>
      </c>
      <c r="AA15" s="281">
        <f t="shared" si="11"/>
        <v>20.833333333333314</v>
      </c>
      <c r="AC15" s="281">
        <f>x_hLE0+b_HT/2*TAN(RADIANS(sweepLE_HT))-L_fus/2+taper_HT*cr_HT</f>
        <v>16.940320560185818</v>
      </c>
      <c r="AD15" s="281">
        <f>b_HT/2</f>
        <v>6.2176462037157743</v>
      </c>
      <c r="AE15" s="281">
        <f>z_HT+b_HT/2*TAN(RADIANS(0))</f>
        <v>1.1945549999999998</v>
      </c>
      <c r="AL15" s="281">
        <f>AI6+0*L_nac-L_fus/2</f>
        <v>-7.4249768198019375</v>
      </c>
      <c r="AM15" s="281">
        <f>AH6+-1*D_nac/2</f>
        <v>-7.1353902511482161</v>
      </c>
      <c r="AN15" s="281">
        <f>AJ6+-1*D_nac/2</f>
        <v>-3.1238021677071828</v>
      </c>
      <c r="AP15" s="281">
        <f>x_main-L_fus/2+0.86603*D_tyre/2</f>
        <v>0.19447813419308363</v>
      </c>
      <c r="AQ15" s="281">
        <f>-h_cg+D_tyre/2+0.5*D_tyre/2</f>
        <v>-2.798934227955586</v>
      </c>
      <c r="AY15" s="293">
        <f>MAX(0,MIN(10,n_rows-1))</f>
        <v>10</v>
      </c>
      <c r="AZ15" s="281">
        <f t="shared" si="14"/>
        <v>14.600000000000001</v>
      </c>
      <c r="BD15" s="281">
        <f t="shared" si="15"/>
        <v>3.0228533333333161</v>
      </c>
      <c r="BE15" s="281">
        <f t="shared" si="16"/>
        <v>1.9909249999999998</v>
      </c>
      <c r="BF15" s="281">
        <f t="shared" si="17"/>
        <v>0</v>
      </c>
      <c r="BG15" s="281">
        <f t="shared" si="18"/>
        <v>3.5953819201788395</v>
      </c>
      <c r="BH15" s="281">
        <f t="shared" si="19"/>
        <v>-0.17661877949251817</v>
      </c>
      <c r="BK15" s="292" t="str">
        <f>"Cabin: "&amp;TEXT(L_cabin,"0.0")&amp;" x "&amp;TEXT(w_cabin,"0.00")&amp;" m, aisle "&amp;TEXT(aisle_w,"0.00")&amp;" m"</f>
        <v>Cabin: 25.3 x 3.73 m, aisle 0.50 m</v>
      </c>
      <c r="BM15" s="281">
        <f>$AZ$6</f>
        <v>7.3100000000000005</v>
      </c>
      <c r="BN15" s="281">
        <f>$AX$5+seat_w*($AY$6*n_SA+$AW$5&lt;pax_e)</f>
        <v>-1.31</v>
      </c>
      <c r="BO15" s="281">
        <f t="shared" si="20"/>
        <v>-10.500479999999998</v>
      </c>
      <c r="BQ15" s="281">
        <f>0.5*nose_len+0*MIN(0.6,0.2*nose_len)</f>
        <v>2</v>
      </c>
      <c r="BR15" s="281">
        <f>1*MIN(0.55,0.2*d_fus)+-1*MIN(0.5,0.25*d_fus)/2</f>
        <v>0.30000000000000004</v>
      </c>
      <c r="BT15" s="293">
        <v>10</v>
      </c>
      <c r="BU15" s="293">
        <f t="shared" si="21"/>
        <v>2</v>
      </c>
      <c r="BV15" s="293">
        <f t="shared" si="22"/>
        <v>0</v>
      </c>
      <c r="BW15" s="293">
        <f t="shared" si="23"/>
        <v>1</v>
      </c>
      <c r="BX15" s="281">
        <f t="shared" si="24"/>
        <v>28.25</v>
      </c>
      <c r="BY15" s="281">
        <f t="shared" si="25"/>
        <v>0.86499999999999999</v>
      </c>
      <c r="CA15" s="281">
        <f>$BX$6+1*lav_len</f>
        <v>29.25</v>
      </c>
      <c r="CB15" s="281">
        <f>$BY$6+0*lav_w</f>
        <v>-1.865</v>
      </c>
      <c r="CE15" s="281">
        <f>10/24*CLmax_c</f>
        <v>0.625</v>
      </c>
      <c r="CF15" s="294">
        <f t="shared" si="26"/>
        <v>3.4360499906650424E-2</v>
      </c>
      <c r="CG15" s="289">
        <f t="shared" si="27"/>
        <v>18.189490889189077</v>
      </c>
      <c r="CH15" s="281">
        <f>10/24*CLmaxTO</f>
        <v>0.87500000000000011</v>
      </c>
      <c r="CI15" s="294">
        <f t="shared" si="28"/>
        <v>6.7983246483701507E-2</v>
      </c>
      <c r="CJ15" s="289">
        <f t="shared" si="29"/>
        <v>12.87081810972024</v>
      </c>
      <c r="CK15" s="281">
        <f>10/24*CLmaxL</f>
        <v>1.1250000000000002</v>
      </c>
      <c r="CL15" s="294">
        <f t="shared" si="30"/>
        <v>0.11088967650228114</v>
      </c>
      <c r="CM15" s="289">
        <f t="shared" si="31"/>
        <v>10.145218522455131</v>
      </c>
      <c r="CR15" s="293">
        <f>10/28*h_abs</f>
        <v>4094.7916902040829</v>
      </c>
      <c r="CS15" s="289">
        <f t="shared" si="32"/>
        <v>261.53385401367342</v>
      </c>
      <c r="CT15" s="294">
        <f t="shared" si="33"/>
        <v>0.81096680338619054</v>
      </c>
      <c r="CU15" s="291">
        <f t="shared" si="34"/>
        <v>324.19702089109609</v>
      </c>
      <c r="CV15" s="294">
        <f t="shared" si="35"/>
        <v>0.17006661147111818</v>
      </c>
      <c r="CW15" s="291">
        <f t="shared" si="36"/>
        <v>203.50882746208032</v>
      </c>
      <c r="CX15" s="289">
        <f t="shared" si="37"/>
        <v>19.709959682539903</v>
      </c>
      <c r="CY15" s="293">
        <f t="shared" si="38"/>
        <v>21.584618763819769</v>
      </c>
      <c r="CZ15" s="295">
        <f t="shared" si="39"/>
        <v>2.5907084994474458E-2</v>
      </c>
      <c r="DA15" s="291">
        <f t="shared" si="40"/>
        <v>90.395822249362894</v>
      </c>
      <c r="DB15" s="291">
        <f t="shared" si="41"/>
        <v>265.84155713069879</v>
      </c>
      <c r="DC15" s="281">
        <f t="shared" si="42"/>
        <v>0.27882989794569568</v>
      </c>
      <c r="DD15" s="281">
        <f t="shared" si="43"/>
        <v>0.82</v>
      </c>
      <c r="DJ15" s="291">
        <f>10/10*V_A</f>
        <v>119.87531470107223</v>
      </c>
      <c r="DK15" s="289">
        <f>(10/10*V_A/V_S1)^2</f>
        <v>2.5000000000000004</v>
      </c>
      <c r="DX15" s="281">
        <f>d_fus/2*-0.86603</f>
        <v>-1.7242007777499997</v>
      </c>
      <c r="DY15" s="281">
        <f>d_fus/2*0.5</f>
        <v>0.99546249999999992</v>
      </c>
      <c r="EB15" s="281">
        <f>$AH$5+D_nac/2*0.5</f>
        <v>6.5772425835265382</v>
      </c>
      <c r="EC15" s="281">
        <f>$AJ$5+D_nac/2*-0.86603</f>
        <v>-2.9742520816446305</v>
      </c>
      <c r="ED15" s="281">
        <f>track/2+-1*2.2*w_tyre/2</f>
        <v>3.0773782033314054</v>
      </c>
      <c r="EE15" s="281">
        <f>-h_cg+D_tyre</f>
        <v>-2.5108116372741143</v>
      </c>
      <c r="EG15" s="281">
        <f>d_fus/2*-0.17365</f>
        <v>-0.34572412624999999</v>
      </c>
      <c r="EH15" s="281">
        <f>d_fus/2*0.98481</f>
        <v>1.9606828492499997</v>
      </c>
      <c r="EI15" s="281">
        <f>w_cabin/2*-0.17365</f>
        <v>-0.32385724999999999</v>
      </c>
      <c r="EJ15" s="281">
        <f>w_cabin/2*0.98481</f>
        <v>1.8366706499999998</v>
      </c>
      <c r="EM15" s="281">
        <f>$AX$7+0.95*seat_w</f>
        <v>-0.27650000000000008</v>
      </c>
      <c r="EN15" s="281">
        <f>z_floor+1.1</f>
        <v>0.50000000000000011</v>
      </c>
      <c r="ER15" s="281">
        <f>IF(5&lt;n_door,x_door_f+IF(n_door&gt;1,5/(n_door-1),0)*(x_door_r-x_door_f),IF(5&lt;n_door+n_overwing,x_ac_w+(5-n_door-(n_overwing-1)/2)*seat_pitch,x_door_f))</f>
        <v>5.75</v>
      </c>
      <c r="ES15" s="281">
        <f>-1*w_cabin/2</f>
        <v>-1.865</v>
      </c>
      <c r="ET15" s="281">
        <f>x_seat_end+door_len-0.6+0*0.6</f>
        <v>27.65</v>
      </c>
      <c r="EU15" s="281">
        <f>-w_cabin/2+0*gal_w</f>
        <v>-1.865</v>
      </c>
      <c r="EW15" s="292" t="s">
        <v>1532</v>
      </c>
      <c r="EX15" s="290">
        <f t="shared" si="68"/>
        <v>14250</v>
      </c>
      <c r="EY15" s="294">
        <f>fuel_frac</f>
        <v>0.29670802440883892</v>
      </c>
      <c r="EZ15" s="294">
        <f>A_emp*0.9</f>
        <v>0.873</v>
      </c>
      <c r="FA15" s="290">
        <f t="shared" si="45"/>
        <v>71061.950546004198</v>
      </c>
      <c r="FB15" s="290">
        <f t="shared" ref="FB15:FY15" si="75">IF(1-$EY15-$EZ15*FA15^C_emp&gt;0.02,(W_crew+$EX15)/(1-$EY15-$EZ15*FA15^C_emp),FA15)</f>
        <v>57324.895560294106</v>
      </c>
      <c r="FC15" s="290">
        <f t="shared" si="75"/>
        <v>58648.560807471484</v>
      </c>
      <c r="FD15" s="290">
        <f t="shared" si="75"/>
        <v>58504.176533358885</v>
      </c>
      <c r="FE15" s="290">
        <f t="shared" si="75"/>
        <v>58519.722892696271</v>
      </c>
      <c r="FF15" s="290">
        <f t="shared" si="75"/>
        <v>58518.046611899859</v>
      </c>
      <c r="FG15" s="290">
        <f t="shared" si="75"/>
        <v>58518.227328969791</v>
      </c>
      <c r="FH15" s="290">
        <f t="shared" si="75"/>
        <v>58518.207845842742</v>
      </c>
      <c r="FI15" s="290">
        <f t="shared" si="75"/>
        <v>58518.209946317096</v>
      </c>
      <c r="FJ15" s="290">
        <f t="shared" si="75"/>
        <v>58518.209719865117</v>
      </c>
      <c r="FK15" s="290">
        <f t="shared" si="75"/>
        <v>58518.209744278858</v>
      </c>
      <c r="FL15" s="290">
        <f t="shared" si="75"/>
        <v>58518.209741646831</v>
      </c>
      <c r="FM15" s="290">
        <f t="shared" si="75"/>
        <v>58518.209741930565</v>
      </c>
      <c r="FN15" s="290">
        <f t="shared" si="75"/>
        <v>58518.209741899991</v>
      </c>
      <c r="FO15" s="290">
        <f t="shared" si="75"/>
        <v>58518.20974190328</v>
      </c>
      <c r="FP15" s="290">
        <f t="shared" si="75"/>
        <v>58518.209741902945</v>
      </c>
      <c r="FQ15" s="290">
        <f t="shared" si="75"/>
        <v>58518.20974190296</v>
      </c>
      <c r="FR15" s="290">
        <f t="shared" si="75"/>
        <v>58518.20974190296</v>
      </c>
      <c r="FS15" s="290">
        <f t="shared" si="75"/>
        <v>58518.20974190296</v>
      </c>
      <c r="FT15" s="290">
        <f t="shared" si="75"/>
        <v>58518.20974190296</v>
      </c>
      <c r="FU15" s="290">
        <f t="shared" si="75"/>
        <v>58518.20974190296</v>
      </c>
      <c r="FV15" s="290">
        <f t="shared" si="75"/>
        <v>58518.20974190296</v>
      </c>
      <c r="FW15" s="290">
        <f t="shared" si="75"/>
        <v>58518.20974190296</v>
      </c>
      <c r="FX15" s="290">
        <f t="shared" si="75"/>
        <v>58518.20974190296</v>
      </c>
      <c r="FY15" s="290">
        <f t="shared" si="75"/>
        <v>58518.20974190296</v>
      </c>
      <c r="GA15" s="292" t="s">
        <v>1533</v>
      </c>
      <c r="GB15" s="297">
        <v>290</v>
      </c>
      <c r="GC15" s="297">
        <v>254000</v>
      </c>
      <c r="GD15" s="297">
        <v>128850</v>
      </c>
      <c r="GE15" s="297">
        <v>360.5</v>
      </c>
      <c r="GF15" s="297">
        <v>60.12</v>
      </c>
      <c r="GG15" s="297">
        <v>62.81</v>
      </c>
      <c r="GH15" s="297">
        <v>320</v>
      </c>
      <c r="GI15" s="297">
        <v>2</v>
      </c>
      <c r="GJ15" s="297">
        <v>14140</v>
      </c>
      <c r="GK15" s="281">
        <f t="shared" si="47"/>
        <v>1.9330278564042884</v>
      </c>
      <c r="GZ15" s="292" t="s">
        <v>1534</v>
      </c>
      <c r="HA15" s="294">
        <f>(OEW*HA13+W_pl*x_pay)/(OEW+W_pl)</f>
        <v>15.882559378871868</v>
      </c>
      <c r="HB15" s="294">
        <f>(OEW*HB13+W_pl*x_pay)/(OEW+W_pl)</f>
        <v>17.354166991294889</v>
      </c>
      <c r="HF15" s="297">
        <f t="shared" si="65"/>
        <v>72984.377035774189</v>
      </c>
      <c r="HG15" s="297">
        <f t="shared" si="48"/>
        <v>135.52946281589425</v>
      </c>
      <c r="HH15" s="297">
        <f t="shared" si="49"/>
        <v>35.882166834668659</v>
      </c>
      <c r="HI15" s="297">
        <f t="shared" si="50"/>
        <v>6.0433123089968266</v>
      </c>
      <c r="HJ15" s="297">
        <f t="shared" si="51"/>
        <v>4.2303186162977777</v>
      </c>
      <c r="HK15" s="297">
        <f t="shared" si="52"/>
        <v>5510.896538377604</v>
      </c>
      <c r="HL15" s="297">
        <f t="shared" si="53"/>
        <v>1702.9484571327882</v>
      </c>
      <c r="HM15" s="297">
        <f t="shared" si="54"/>
        <v>9147.0379438144791</v>
      </c>
      <c r="HN15" s="297">
        <f t="shared" si="55"/>
        <v>3138.3282125382898</v>
      </c>
      <c r="HO15" s="297">
        <f t="shared" si="56"/>
        <v>4709.9266694610169</v>
      </c>
      <c r="HP15" s="297">
        <f t="shared" si="57"/>
        <v>12407.344096081613</v>
      </c>
      <c r="HQ15" s="297">
        <f t="shared" si="58"/>
        <v>36616.481917405792</v>
      </c>
      <c r="HR15" s="297">
        <f t="shared" si="59"/>
        <v>72987.441487951655</v>
      </c>
      <c r="HW15" s="293">
        <f>MAX(0,MIN(10,n_rows_b-1))</f>
        <v>0</v>
      </c>
      <c r="HX15" s="281">
        <f t="shared" si="62"/>
        <v>6.5</v>
      </c>
      <c r="HY15" s="281">
        <f>$HX$6</f>
        <v>6.5</v>
      </c>
      <c r="HZ15" s="281">
        <f>$HV$5+seat_w_b*($HW$6*n_SA_b+$HU$5&lt;pax_b)</f>
        <v>-1.84</v>
      </c>
      <c r="IA15" s="281">
        <f t="shared" si="63"/>
        <v>-11.310479999999998</v>
      </c>
      <c r="IC15" s="281">
        <f>x_wLE0+(d_fus/2)*TAN(RADIANS(sweepLE))-L_fus/2+0.15*c_root*(1-(1-taper)*2*(d_fus/2)/b_w)</f>
        <v>-5.3814091449150432</v>
      </c>
      <c r="ID15" s="281">
        <f>-1*d_fus/2</f>
        <v>-1.9909249999999998</v>
      </c>
    </row>
    <row r="16" spans="1:238" x14ac:dyDescent="0.25">
      <c r="A16" s="289">
        <f>21/50</f>
        <v>0.42</v>
      </c>
      <c r="B16" s="290">
        <f t="shared" si="0"/>
        <v>2337.8414437164702</v>
      </c>
      <c r="C16" s="291">
        <f t="shared" si="1"/>
        <v>238.39348235294113</v>
      </c>
      <c r="D16" s="281">
        <f t="shared" si="2"/>
        <v>0.12074475080213901</v>
      </c>
      <c r="E16" s="281">
        <f t="shared" si="3"/>
        <v>0.2194155421601327</v>
      </c>
      <c r="F16" s="281">
        <f t="shared" si="4"/>
        <v>0.21104328049055099</v>
      </c>
      <c r="G16" s="281">
        <f t="shared" si="5"/>
        <v>0.42192568778391248</v>
      </c>
      <c r="H16" s="281">
        <f t="shared" si="6"/>
        <v>0.42192568778391248</v>
      </c>
      <c r="S16" s="292" t="s">
        <v>1535</v>
      </c>
      <c r="T16" s="281">
        <f>L_fus-tail_len+0*tail_len</f>
        <v>29.249999999999996</v>
      </c>
      <c r="U16" s="281">
        <f>d_fus/2*(1-0.88*0^1.3)</f>
        <v>1.9909249999999998</v>
      </c>
      <c r="V16" s="281">
        <f t="shared" ref="V16:V23" si="76">0.75*(d_fus/2-U16)</f>
        <v>0</v>
      </c>
      <c r="X16" s="281">
        <f t="shared" si="8"/>
        <v>11.439519999999998</v>
      </c>
      <c r="Y16" s="281">
        <f t="shared" si="9"/>
        <v>1.9909249999999998</v>
      </c>
      <c r="Z16" s="281">
        <f t="shared" si="10"/>
        <v>1.9909249999999998</v>
      </c>
      <c r="AA16" s="281">
        <f t="shared" si="11"/>
        <v>29.249999999999996</v>
      </c>
      <c r="AC16" s="281">
        <f>x_hLE0+cr_HT-L_fus/2</f>
        <v>15.112253006950716</v>
      </c>
      <c r="AD16" s="281">
        <v>0</v>
      </c>
      <c r="AE16" s="281">
        <f>z_HT</f>
        <v>1.1945549999999998</v>
      </c>
      <c r="AP16" s="281">
        <f>x_main-L_fus/2+0.5*D_tyre/2</f>
        <v>-1.6444889541194274E-2</v>
      </c>
      <c r="AQ16" s="281">
        <f>-h_cg+D_tyre/2+0.86603*D_tyre/2</f>
        <v>-2.5880112042213081</v>
      </c>
      <c r="AY16" s="293">
        <f>MAX(0,MIN(11,n_rows-1))</f>
        <v>11</v>
      </c>
      <c r="AZ16" s="281">
        <f t="shared" si="14"/>
        <v>15.41</v>
      </c>
      <c r="BD16" s="281">
        <f t="shared" si="15"/>
        <v>11.439519999999998</v>
      </c>
      <c r="BE16" s="281">
        <f t="shared" si="16"/>
        <v>1.9909249999999998</v>
      </c>
      <c r="BF16" s="281">
        <f t="shared" si="17"/>
        <v>0</v>
      </c>
      <c r="BG16" s="281">
        <f t="shared" si="18"/>
        <v>10.042922649763582</v>
      </c>
      <c r="BH16" s="281">
        <f t="shared" si="19"/>
        <v>-2.4630381136335746</v>
      </c>
      <c r="BK16" s="292" t="str">
        <f>"Main gear: "&amp;n_struts&amp;" x "&amp;n_wps&amp;" wheels, tyre "&amp;TEXT(D_tyre,"0.00")&amp;" m, wheelbase "&amp;TEXT(wheelbase,"0.0")&amp;" m"</f>
        <v>Main gear: 2 x 2 wheels, tyre 1.15 m, wheelbase 13.5 m</v>
      </c>
      <c r="BM16" s="281">
        <f>$AZ$6+1*(seat_pitch)*($AY$6*n_SA+$AW$5&lt;pax_e)</f>
        <v>8.120000000000001</v>
      </c>
      <c r="BN16" s="281">
        <f>$AX$5+seat_w*($AY$6*n_SA+$AW$5&lt;pax_e)</f>
        <v>-1.31</v>
      </c>
      <c r="BO16" s="281">
        <f t="shared" si="20"/>
        <v>-9.6904799999999973</v>
      </c>
      <c r="BT16" s="293">
        <v>11</v>
      </c>
      <c r="BU16" s="293">
        <f t="shared" si="21"/>
        <v>2</v>
      </c>
      <c r="BV16" s="293">
        <f t="shared" si="22"/>
        <v>0</v>
      </c>
      <c r="BW16" s="293">
        <f t="shared" si="23"/>
        <v>1</v>
      </c>
      <c r="BX16" s="281">
        <f t="shared" si="24"/>
        <v>28.25</v>
      </c>
      <c r="BY16" s="281">
        <f t="shared" si="25"/>
        <v>0.86499999999999999</v>
      </c>
      <c r="CA16" s="281">
        <f>$BX$6+1*lav_len</f>
        <v>29.25</v>
      </c>
      <c r="CB16" s="281">
        <f>$BY$6+1*lav_w</f>
        <v>-0.86499999999999999</v>
      </c>
      <c r="CE16" s="281">
        <f>11/24*CLmax_c</f>
        <v>0.6875</v>
      </c>
      <c r="CF16" s="294">
        <f t="shared" si="26"/>
        <v>3.7796204887047012E-2</v>
      </c>
      <c r="CG16" s="289">
        <f t="shared" si="27"/>
        <v>18.189656925994981</v>
      </c>
      <c r="CH16" s="281">
        <f>11/24*CLmaxTO</f>
        <v>0.96250000000000002</v>
      </c>
      <c r="CI16" s="294">
        <f t="shared" si="28"/>
        <v>7.4717228245278822E-2</v>
      </c>
      <c r="CJ16" s="289">
        <f t="shared" si="29"/>
        <v>12.881901839831936</v>
      </c>
      <c r="CK16" s="281">
        <f>11/24*CLmaxL</f>
        <v>1.2375</v>
      </c>
      <c r="CL16" s="294">
        <f t="shared" si="30"/>
        <v>0.12202136063876608</v>
      </c>
      <c r="CM16" s="289">
        <f t="shared" si="31"/>
        <v>10.141666946851332</v>
      </c>
      <c r="CR16" s="293">
        <f>11/28*h_abs</f>
        <v>4504.2708592244908</v>
      </c>
      <c r="CS16" s="289">
        <f t="shared" si="32"/>
        <v>258.87223941504078</v>
      </c>
      <c r="CT16" s="294">
        <f t="shared" si="33"/>
        <v>0.77641982301555157</v>
      </c>
      <c r="CU16" s="291">
        <f t="shared" si="34"/>
        <v>322.54313528135737</v>
      </c>
      <c r="CV16" s="294">
        <f t="shared" si="35"/>
        <v>0.16076253359484594</v>
      </c>
      <c r="CW16" s="291">
        <f t="shared" si="36"/>
        <v>202.9770297910236</v>
      </c>
      <c r="CX16" s="289">
        <f t="shared" si="37"/>
        <v>18.231796296655673</v>
      </c>
      <c r="CY16" s="293">
        <f t="shared" si="38"/>
        <v>23.366893774688375</v>
      </c>
      <c r="CZ16" s="295">
        <f t="shared" si="39"/>
        <v>2.2829024865040161E-2</v>
      </c>
      <c r="DA16" s="291">
        <f t="shared" si="40"/>
        <v>92.385027084598818</v>
      </c>
      <c r="DB16" s="291">
        <f t="shared" si="41"/>
        <v>264.48537093071303</v>
      </c>
      <c r="DC16" s="281">
        <f t="shared" si="42"/>
        <v>0.28642688986082593</v>
      </c>
      <c r="DD16" s="281">
        <f t="shared" si="43"/>
        <v>0.82</v>
      </c>
      <c r="DJ16" s="291">
        <f>V_D</f>
        <v>160.94389246323274</v>
      </c>
      <c r="DK16" s="289">
        <f>n_pos</f>
        <v>2.5</v>
      </c>
      <c r="DX16" s="281">
        <f>d_fus/2*-0.96593</f>
        <v>-1.9230941852499996</v>
      </c>
      <c r="DY16" s="281">
        <f>d_fus/2*0.25882</f>
        <v>0.51529120849999999</v>
      </c>
      <c r="EB16" s="281">
        <f>$AH$5+D_nac/2*0.86603</f>
        <v>6.9858401650856639</v>
      </c>
      <c r="EC16" s="281">
        <f>$AJ$5+D_nac/2*-0.5</f>
        <v>-2.5656545000855049</v>
      </c>
      <c r="ED16" s="281">
        <f>track/2+-1*2.2*w_tyre/2</f>
        <v>3.0773782033314054</v>
      </c>
      <c r="EE16" s="281">
        <f>-h_cg</f>
        <v>-3.6633019999999998</v>
      </c>
      <c r="EG16" s="281">
        <f>d_fus/2*-0.34202</f>
        <v>-0.68093616849999994</v>
      </c>
      <c r="EH16" s="281">
        <f>d_fus/2*0.93969</f>
        <v>1.8708523132499999</v>
      </c>
      <c r="EI16" s="281">
        <f>w_cabin/2*-0.34202</f>
        <v>-0.63786730000000003</v>
      </c>
      <c r="EJ16" s="281">
        <f>w_cabin/2*0.93969</f>
        <v>1.7525218499999999</v>
      </c>
      <c r="EM16" s="281">
        <f>$AX$7+0.95*seat_w</f>
        <v>-0.27650000000000008</v>
      </c>
      <c r="EN16" s="281">
        <f>z_floor+0</f>
        <v>-0.6</v>
      </c>
      <c r="ER16" s="281">
        <f>IF(5&lt;n_door,x_door_f+IF(n_door&gt;1,5/(n_door-1),0)*(x_door_r-x_door_f),IF(5&lt;n_door+n_overwing,x_ac_w+(5-n_door-(n_overwing-1)/2)*seat_pitch,x_door_f))</f>
        <v>5.75</v>
      </c>
      <c r="ES16" s="281">
        <f>1*w_cabin/2</f>
        <v>1.865</v>
      </c>
      <c r="EW16" s="292" t="s">
        <v>1536</v>
      </c>
      <c r="EX16" s="290">
        <f t="shared" si="68"/>
        <v>14250</v>
      </c>
      <c r="EY16" s="294">
        <f>fuel_frac</f>
        <v>0.29670802440883892</v>
      </c>
      <c r="EZ16" s="294">
        <f>A_emp*1.1</f>
        <v>1.0669999999999999</v>
      </c>
      <c r="FA16" s="290">
        <f t="shared" si="45"/>
        <v>71061.950546004198</v>
      </c>
      <c r="FB16" s="290">
        <f t="shared" ref="FB16:FY16" si="77">IF(1-$EY16-$EZ16*FA16^C_emp&gt;0.02,(W_crew+$EX16)/(1-$EY16-$EZ16*FA16^C_emp),FA16)</f>
        <v>93457.690026878641</v>
      </c>
      <c r="FC16" s="290">
        <f t="shared" si="77"/>
        <v>88458.175848189567</v>
      </c>
      <c r="FD16" s="290">
        <f t="shared" si="77"/>
        <v>89411.771553049359</v>
      </c>
      <c r="FE16" s="290">
        <f t="shared" si="77"/>
        <v>89223.933593245543</v>
      </c>
      <c r="FF16" s="290">
        <f t="shared" si="77"/>
        <v>89260.702950641571</v>
      </c>
      <c r="FG16" s="290">
        <f t="shared" si="77"/>
        <v>89253.496492023754</v>
      </c>
      <c r="FH16" s="290">
        <f t="shared" si="77"/>
        <v>89254.908552545981</v>
      </c>
      <c r="FI16" s="290">
        <f t="shared" si="77"/>
        <v>89254.631855073108</v>
      </c>
      <c r="FJ16" s="290">
        <f t="shared" si="77"/>
        <v>89254.686074267869</v>
      </c>
      <c r="FK16" s="290">
        <f t="shared" si="77"/>
        <v>89254.675449933755</v>
      </c>
      <c r="FL16" s="290">
        <f t="shared" si="77"/>
        <v>89254.677531787544</v>
      </c>
      <c r="FM16" s="290">
        <f t="shared" si="77"/>
        <v>89254.677123845235</v>
      </c>
      <c r="FN16" s="290">
        <f t="shared" si="77"/>
        <v>89254.677203782077</v>
      </c>
      <c r="FO16" s="290">
        <f t="shared" si="77"/>
        <v>89254.677188118352</v>
      </c>
      <c r="FP16" s="290">
        <f t="shared" si="77"/>
        <v>89254.677191187686</v>
      </c>
      <c r="FQ16" s="290">
        <f t="shared" si="77"/>
        <v>89254.677190586212</v>
      </c>
      <c r="FR16" s="290">
        <f t="shared" si="77"/>
        <v>89254.677190704082</v>
      </c>
      <c r="FS16" s="290">
        <f t="shared" si="77"/>
        <v>89254.677190681003</v>
      </c>
      <c r="FT16" s="290">
        <f t="shared" si="77"/>
        <v>89254.677190685572</v>
      </c>
      <c r="FU16" s="290">
        <f t="shared" si="77"/>
        <v>89254.67719068467</v>
      </c>
      <c r="FV16" s="290">
        <f t="shared" si="77"/>
        <v>89254.677190684786</v>
      </c>
      <c r="FW16" s="290">
        <f t="shared" si="77"/>
        <v>89254.677190684786</v>
      </c>
      <c r="FX16" s="290">
        <f t="shared" si="77"/>
        <v>89254.677190684786</v>
      </c>
      <c r="FY16" s="290">
        <f t="shared" si="77"/>
        <v>89254.677190684786</v>
      </c>
      <c r="GA16" s="292" t="s">
        <v>1537</v>
      </c>
      <c r="GB16" s="297">
        <v>315</v>
      </c>
      <c r="GC16" s="297">
        <v>280000</v>
      </c>
      <c r="GD16" s="297">
        <v>142400</v>
      </c>
      <c r="GE16" s="297">
        <v>442</v>
      </c>
      <c r="GF16" s="297">
        <v>64.75</v>
      </c>
      <c r="GG16" s="297">
        <v>66.8</v>
      </c>
      <c r="GH16" s="297">
        <v>374.5</v>
      </c>
      <c r="GI16" s="297">
        <v>2</v>
      </c>
      <c r="GJ16" s="297">
        <v>15000</v>
      </c>
      <c r="GK16" s="281">
        <f t="shared" si="47"/>
        <v>2.113174908400115</v>
      </c>
      <c r="GZ16" s="292" t="s">
        <v>1538</v>
      </c>
      <c r="HA16" s="294">
        <f>(OEW*HA13+W_pl*x_pay+W_fuel*HA11)/(OEW+W_pl+W_fuel)</f>
        <v>15.43401162305407</v>
      </c>
      <c r="HB16" s="294">
        <f>(OEW*HB13+W_pl*x_pay+W_fuel*HB11)/(OEW+W_pl+W_fuel)</f>
        <v>18.16002539515345</v>
      </c>
      <c r="HF16" s="297">
        <f t="shared" si="65"/>
        <v>72987.441487951655</v>
      </c>
      <c r="HG16" s="297">
        <f t="shared" si="48"/>
        <v>135.53515339755441</v>
      </c>
      <c r="HH16" s="297">
        <f t="shared" si="49"/>
        <v>35.88292013307678</v>
      </c>
      <c r="HI16" s="297">
        <f t="shared" si="50"/>
        <v>6.0434391803076686</v>
      </c>
      <c r="HJ16" s="297">
        <f t="shared" si="51"/>
        <v>4.2304074262153675</v>
      </c>
      <c r="HK16" s="297">
        <f t="shared" si="52"/>
        <v>5511.150622935028</v>
      </c>
      <c r="HL16" s="297">
        <f t="shared" si="53"/>
        <v>1703.0557128037667</v>
      </c>
      <c r="HM16" s="297">
        <f t="shared" si="54"/>
        <v>9147.0379438144791</v>
      </c>
      <c r="HN16" s="297">
        <f t="shared" si="55"/>
        <v>3138.4599839819211</v>
      </c>
      <c r="HO16" s="297">
        <f t="shared" si="56"/>
        <v>4710.1442052339762</v>
      </c>
      <c r="HP16" s="297">
        <f t="shared" si="57"/>
        <v>12407.865052951782</v>
      </c>
      <c r="HQ16" s="297">
        <f t="shared" si="58"/>
        <v>36617.713521720951</v>
      </c>
      <c r="HR16" s="297">
        <f t="shared" si="59"/>
        <v>72989.192687109185</v>
      </c>
      <c r="HW16" s="293">
        <f>MAX(0,MIN(11,n_rows_b-1))</f>
        <v>0</v>
      </c>
      <c r="HX16" s="281">
        <f t="shared" si="62"/>
        <v>6.5</v>
      </c>
      <c r="HY16" s="281">
        <f>$HX$6+1*(bus_pitch*(n_rows_b&gt;0))*($HW$6*n_SA_b+$HU$5&lt;pax_b)</f>
        <v>6.5</v>
      </c>
      <c r="HZ16" s="281">
        <f>$HV$5+seat_w_b*($HW$6*n_SA_b+$HU$5&lt;pax_b)</f>
        <v>-1.84</v>
      </c>
      <c r="IA16" s="281">
        <f t="shared" si="63"/>
        <v>-11.310479999999998</v>
      </c>
    </row>
    <row r="17" spans="1:235" x14ac:dyDescent="0.25">
      <c r="A17" s="289">
        <f>22/50</f>
        <v>0.44</v>
      </c>
      <c r="B17" s="290">
        <f t="shared" si="0"/>
        <v>2449.1672267505878</v>
      </c>
      <c r="C17" s="291">
        <f t="shared" si="1"/>
        <v>249.74555294117644</v>
      </c>
      <c r="D17" s="281">
        <f t="shared" si="2"/>
        <v>0.12649450084033612</v>
      </c>
      <c r="E17" s="281">
        <f t="shared" si="3"/>
        <v>0.2194155421601327</v>
      </c>
      <c r="F17" s="281">
        <f t="shared" si="4"/>
        <v>0.21104328049055099</v>
      </c>
      <c r="G17" s="281">
        <f t="shared" si="5"/>
        <v>0.40762159730575548</v>
      </c>
      <c r="H17" s="281">
        <f t="shared" si="6"/>
        <v>0.40762159730575548</v>
      </c>
      <c r="S17" s="292" t="s">
        <v>1539</v>
      </c>
      <c r="T17" s="281">
        <f>L_fus-tail_len+0.15*tail_len</f>
        <v>30.205643999999996</v>
      </c>
      <c r="U17" s="281">
        <f>d_fus/2*(1-0.88*0.15^1.3)</f>
        <v>1.8421752621635212</v>
      </c>
      <c r="V17" s="281">
        <f t="shared" si="76"/>
        <v>0.11156230337735895</v>
      </c>
      <c r="X17" s="281">
        <f t="shared" si="8"/>
        <v>12.395163999999998</v>
      </c>
      <c r="Y17" s="281">
        <f t="shared" si="9"/>
        <v>1.9537375655408802</v>
      </c>
      <c r="Z17" s="281">
        <f t="shared" si="10"/>
        <v>1.8421752621635212</v>
      </c>
      <c r="AA17" s="281">
        <f t="shared" si="11"/>
        <v>30.205643999999996</v>
      </c>
      <c r="AC17" s="281">
        <f>x_hLE0+b_HT/2*TAN(RADIANS(sweepLE_HT))-L_fus/2+taper_HT*cr_HT</f>
        <v>16.940320560185818</v>
      </c>
      <c r="AD17" s="281">
        <f>-b_HT/2</f>
        <v>-6.2176462037157743</v>
      </c>
      <c r="AE17" s="281">
        <f>z_HT+b_HT/2*TAN(RADIANS(0))</f>
        <v>1.1945549999999998</v>
      </c>
      <c r="AL17" s="281">
        <f>AI7+0*L_nac-L_fus/2</f>
        <v>-7.4249768198019375</v>
      </c>
      <c r="AM17" s="281">
        <f>AH7+-1*D_nac/2</f>
        <v>4.9027995806615046</v>
      </c>
      <c r="AN17" s="281">
        <f>AJ7+-1*D_nac/2</f>
        <v>-3.1238021677071828</v>
      </c>
      <c r="AP17" s="281">
        <f>x_main-L_fus/2+0*D_tyre/2</f>
        <v>-0.30456748022266567</v>
      </c>
      <c r="AQ17" s="281">
        <f>-h_cg+D_tyre/2+1*D_tyre/2</f>
        <v>-2.5108116372741147</v>
      </c>
      <c r="AY17" s="293">
        <f>MAX(0,MIN(12,n_rows-1))</f>
        <v>12</v>
      </c>
      <c r="AZ17" s="281">
        <f t="shared" si="14"/>
        <v>16.22</v>
      </c>
      <c r="BD17" s="281">
        <f t="shared" si="15"/>
        <v>12.395163999999998</v>
      </c>
      <c r="BE17" s="281">
        <f t="shared" si="16"/>
        <v>1.8421752621635212</v>
      </c>
      <c r="BF17" s="281">
        <f t="shared" si="17"/>
        <v>0.11156230337735895</v>
      </c>
      <c r="BG17" s="281">
        <f t="shared" si="18"/>
        <v>10.679373937138166</v>
      </c>
      <c r="BH17" s="281">
        <f t="shared" si="19"/>
        <v>-2.6696895267579461</v>
      </c>
      <c r="BK17" s="292" t="str">
        <f>"Nose gear: 2 wheels, tyre "&amp;TEXT(D_nose,"0.00")&amp;" m"</f>
        <v>Nose gear: 2 wheels, tyre 0.75 m</v>
      </c>
      <c r="BM17" s="281">
        <f>$AZ$6+0.8*(seat_pitch)*($AY$6*n_SA+$AW$5&lt;pax_e)</f>
        <v>7.9580000000000002</v>
      </c>
      <c r="BN17" s="281">
        <f>$AX$5+seat_w*($AY$6*n_SA+$AW$5&lt;pax_e)</f>
        <v>-1.31</v>
      </c>
      <c r="BO17" s="281">
        <f t="shared" si="20"/>
        <v>-9.8524799999999981</v>
      </c>
      <c r="CA17" s="281">
        <f>$BX$6+0*lav_len</f>
        <v>28.25</v>
      </c>
      <c r="CB17" s="281">
        <f>$BY$6+1*lav_w</f>
        <v>-0.86499999999999999</v>
      </c>
      <c r="CE17" s="281">
        <f>12/24*CLmax_c</f>
        <v>0.75</v>
      </c>
      <c r="CF17" s="294">
        <f t="shared" si="26"/>
        <v>4.1559119865576616E-2</v>
      </c>
      <c r="CG17" s="289">
        <f t="shared" si="27"/>
        <v>18.046580447946983</v>
      </c>
      <c r="CH17" s="281">
        <f>12/24*CLmaxTO</f>
        <v>1.05</v>
      </c>
      <c r="CI17" s="294">
        <f t="shared" si="28"/>
        <v>8.2092541603196817E-2</v>
      </c>
      <c r="CJ17" s="289">
        <f t="shared" si="29"/>
        <v>12.790443315487645</v>
      </c>
      <c r="CK17" s="281">
        <f>12/24*CLmaxL</f>
        <v>1.35</v>
      </c>
      <c r="CL17" s="294">
        <f t="shared" si="30"/>
        <v>0.13421320516920199</v>
      </c>
      <c r="CM17" s="289">
        <f t="shared" si="31"/>
        <v>10.058622758454067</v>
      </c>
      <c r="CR17" s="293">
        <f>12/28*h_abs</f>
        <v>4913.7500282448991</v>
      </c>
      <c r="CS17" s="289">
        <f t="shared" si="32"/>
        <v>256.21062481640814</v>
      </c>
      <c r="CT17" s="294">
        <f t="shared" si="33"/>
        <v>0.74301016767261818</v>
      </c>
      <c r="CU17" s="291">
        <f t="shared" si="34"/>
        <v>320.88072531642371</v>
      </c>
      <c r="CV17" s="294">
        <f t="shared" si="35"/>
        <v>0.1518791299201788</v>
      </c>
      <c r="CW17" s="291">
        <f t="shared" si="36"/>
        <v>202.51379476551492</v>
      </c>
      <c r="CX17" s="289">
        <f t="shared" si="37"/>
        <v>16.816008770525897</v>
      </c>
      <c r="CY17" s="293">
        <f t="shared" si="38"/>
        <v>25.374128669537363</v>
      </c>
      <c r="CZ17" s="295">
        <f t="shared" si="39"/>
        <v>2.0051702762516742E-2</v>
      </c>
      <c r="DA17" s="291">
        <f t="shared" si="40"/>
        <v>94.439247845465999</v>
      </c>
      <c r="DB17" s="291">
        <f t="shared" si="41"/>
        <v>263.12219475946745</v>
      </c>
      <c r="DC17" s="281">
        <f t="shared" si="42"/>
        <v>0.29431262271156522</v>
      </c>
      <c r="DD17" s="281">
        <f t="shared" si="43"/>
        <v>0.82000000000000006</v>
      </c>
      <c r="DJ17" s="291">
        <f>V_D</f>
        <v>160.94389246323274</v>
      </c>
      <c r="DK17" s="289">
        <v>0</v>
      </c>
      <c r="DX17" s="281">
        <f>d_fus/2*-1</f>
        <v>-1.9909249999999998</v>
      </c>
      <c r="DY17" s="281">
        <f>d_fus/2*0</f>
        <v>0</v>
      </c>
      <c r="EB17" s="281">
        <f>$AH$5+D_nac/2*1</f>
        <v>7.1353902511482161</v>
      </c>
      <c r="EC17" s="281">
        <f>$AJ$5+D_nac/2*0</f>
        <v>-2.007506832463827</v>
      </c>
      <c r="ED17" s="281">
        <f>track/2+1*2.2*w_tyre/2</f>
        <v>4.003909933027253</v>
      </c>
      <c r="EE17" s="281">
        <f>-h_cg</f>
        <v>-3.6633019999999998</v>
      </c>
      <c r="EG17" s="281">
        <f>d_fus/2*-0.5</f>
        <v>-0.99546249999999992</v>
      </c>
      <c r="EH17" s="281">
        <f>d_fus/2*0.86603</f>
        <v>1.7242007777499997</v>
      </c>
      <c r="EI17" s="281">
        <f>w_cabin/2*-0.5</f>
        <v>-0.9325</v>
      </c>
      <c r="EJ17" s="281">
        <f>w_cabin/2*0.86603</f>
        <v>1.6151459499999998</v>
      </c>
      <c r="EM17" s="281">
        <f>$AX$8+0.05*seat_w</f>
        <v>0.2764999999999998</v>
      </c>
      <c r="EN17" s="281">
        <f>z_floor+0</f>
        <v>-0.6</v>
      </c>
      <c r="ER17" s="281">
        <f>IF(6&lt;n_door,x_door_f+IF(n_door&gt;1,6/(n_door-1),0)*(x_door_r-x_door_f),IF(6&lt;n_door+n_overwing,x_ac_w+(6-n_door-(n_overwing-1)/2)*seat_pitch,x_door_f))</f>
        <v>5.75</v>
      </c>
      <c r="ES17" s="281">
        <f>-1*w_cabin/2</f>
        <v>-1.865</v>
      </c>
      <c r="GA17" s="292" t="s">
        <v>1540</v>
      </c>
      <c r="GB17" s="297">
        <v>396</v>
      </c>
      <c r="GC17" s="297">
        <v>351530</v>
      </c>
      <c r="GD17" s="297">
        <v>167830</v>
      </c>
      <c r="GE17" s="297">
        <v>436.8</v>
      </c>
      <c r="GF17" s="297">
        <v>64.8</v>
      </c>
      <c r="GG17" s="297">
        <v>73.86</v>
      </c>
      <c r="GH17" s="297">
        <v>513</v>
      </c>
      <c r="GI17" s="297">
        <v>2</v>
      </c>
      <c r="GJ17" s="297">
        <v>13650</v>
      </c>
      <c r="GK17" s="281">
        <f t="shared" si="47"/>
        <v>2.5695219337748569</v>
      </c>
      <c r="GZ17" s="292" t="s">
        <v>1541</v>
      </c>
      <c r="HA17" s="294">
        <f>(OEW*HA13+W_fuel*HA11)/(OEW+W_fuel)</f>
        <v>15.135278975990024</v>
      </c>
      <c r="HB17" s="294">
        <f>(OEW*HB13+W_fuel*HB11)/(OEW+W_fuel)</f>
        <v>18.54505199027491</v>
      </c>
      <c r="HF17" s="297">
        <f t="shared" si="65"/>
        <v>72989.192687109185</v>
      </c>
      <c r="HG17" s="297">
        <f t="shared" si="48"/>
        <v>135.53840531379655</v>
      </c>
      <c r="HH17" s="297">
        <f t="shared" si="49"/>
        <v>35.883350602766562</v>
      </c>
      <c r="HI17" s="297">
        <f t="shared" si="50"/>
        <v>6.0435116804659463</v>
      </c>
      <c r="HJ17" s="297">
        <f t="shared" si="51"/>
        <v>4.2304581763261622</v>
      </c>
      <c r="HK17" s="297">
        <f t="shared" si="52"/>
        <v>5511.2958212778858</v>
      </c>
      <c r="HL17" s="297">
        <f t="shared" si="53"/>
        <v>1703.1170056965823</v>
      </c>
      <c r="HM17" s="297">
        <f t="shared" si="54"/>
        <v>9147.0379438144791</v>
      </c>
      <c r="HN17" s="297">
        <f t="shared" si="55"/>
        <v>3138.5352855456949</v>
      </c>
      <c r="HO17" s="297">
        <f t="shared" si="56"/>
        <v>4710.2685177365147</v>
      </c>
      <c r="HP17" s="297">
        <f t="shared" si="57"/>
        <v>12408.162756808562</v>
      </c>
      <c r="HQ17" s="297">
        <f t="shared" si="58"/>
        <v>36618.417330879718</v>
      </c>
      <c r="HR17" s="297">
        <f t="shared" si="59"/>
        <v>72990.193422483964</v>
      </c>
      <c r="HW17" s="293">
        <f>MAX(0,MIN(12,n_rows_b-1))</f>
        <v>0</v>
      </c>
      <c r="HX17" s="281">
        <f t="shared" si="62"/>
        <v>6.5</v>
      </c>
      <c r="HY17" s="281">
        <f>$HX$6+0.8*(bus_pitch*(n_rows_b&gt;0))*($HW$6*n_SA_b+$HU$5&lt;pax_b)</f>
        <v>6.5</v>
      </c>
      <c r="HZ17" s="281">
        <f>$HV$5+seat_w_b*($HW$6*n_SA_b+$HU$5&lt;pax_b)</f>
        <v>-1.84</v>
      </c>
      <c r="IA17" s="281">
        <f t="shared" si="63"/>
        <v>-11.310479999999998</v>
      </c>
    </row>
    <row r="18" spans="1:235" x14ac:dyDescent="0.25">
      <c r="A18" s="289">
        <f>23/50</f>
        <v>0.46</v>
      </c>
      <c r="B18" s="290">
        <f t="shared" si="0"/>
        <v>2560.4930097847055</v>
      </c>
      <c r="C18" s="291">
        <f t="shared" si="1"/>
        <v>261.09762352941175</v>
      </c>
      <c r="D18" s="281">
        <f t="shared" si="2"/>
        <v>0.1322442508785332</v>
      </c>
      <c r="E18" s="281">
        <f t="shared" si="3"/>
        <v>0.2194155421601327</v>
      </c>
      <c r="F18" s="281">
        <f t="shared" si="4"/>
        <v>0.21104328049055099</v>
      </c>
      <c r="G18" s="281">
        <f t="shared" si="5"/>
        <v>0.39472209600610836</v>
      </c>
      <c r="H18" s="281">
        <f t="shared" si="6"/>
        <v>0.39472209600610836</v>
      </c>
      <c r="S18" s="292" t="s">
        <v>1542</v>
      </c>
      <c r="T18" s="281">
        <f>L_fus-tail_len+0.3*tail_len</f>
        <v>31.161287999999995</v>
      </c>
      <c r="U18" s="281">
        <f>d_fus/2*(1-0.88*0.3^1.3)</f>
        <v>1.6246601825521971</v>
      </c>
      <c r="V18" s="281">
        <f t="shared" si="76"/>
        <v>0.27469861308585203</v>
      </c>
      <c r="X18" s="281">
        <f t="shared" si="8"/>
        <v>13.350807999999997</v>
      </c>
      <c r="Y18" s="281">
        <f t="shared" si="9"/>
        <v>1.8993587956380491</v>
      </c>
      <c r="Z18" s="281">
        <f t="shared" si="10"/>
        <v>1.6246601825521971</v>
      </c>
      <c r="AA18" s="281">
        <f t="shared" si="11"/>
        <v>31.161287999999995</v>
      </c>
      <c r="AC18" s="281">
        <f>x_hLE0+b_HT/2*TAN(RADIANS(sweepLE_HT))-L_fus/2</f>
        <v>15.36123581003578</v>
      </c>
      <c r="AD18" s="281">
        <f>-b_HT/2</f>
        <v>-6.2176462037157743</v>
      </c>
      <c r="AE18" s="281">
        <f>z_HT+b_HT/2*TAN(RADIANS(0))</f>
        <v>1.1945549999999998</v>
      </c>
      <c r="AL18" s="281">
        <f>AI7+1*L_nac-L_fus/2</f>
        <v>-3.1011786900655132</v>
      </c>
      <c r="AM18" s="281">
        <f>AH7+-1*D_nac/2</f>
        <v>4.9027995806615046</v>
      </c>
      <c r="AN18" s="281">
        <f>AJ7+-1*D_nac/2</f>
        <v>-3.1238021677071828</v>
      </c>
      <c r="AP18" s="281">
        <f>x_main-L_fus/2</f>
        <v>-0.30456748022266567</v>
      </c>
      <c r="AQ18" s="281">
        <f>z_w0</f>
        <v>-1.1945549999999998</v>
      </c>
      <c r="AY18" s="293">
        <f>MAX(0,MIN(13,n_rows-1))</f>
        <v>13</v>
      </c>
      <c r="AZ18" s="281">
        <f t="shared" si="14"/>
        <v>17.03</v>
      </c>
      <c r="BD18" s="281">
        <f t="shared" si="15"/>
        <v>13.350807999999997</v>
      </c>
      <c r="BE18" s="281">
        <f t="shared" si="16"/>
        <v>1.6246601825521971</v>
      </c>
      <c r="BF18" s="281">
        <f t="shared" si="17"/>
        <v>0.27469861308585203</v>
      </c>
      <c r="BG18" s="281">
        <f t="shared" si="18"/>
        <v>11.271623714844019</v>
      </c>
      <c r="BH18" s="281">
        <f t="shared" si="19"/>
        <v>-2.8518614086529657</v>
      </c>
      <c r="BK18" s="292" t="str">
        <f>"Ground"</f>
        <v>Ground</v>
      </c>
      <c r="BM18" s="281">
        <f>$AZ$6+0.8*(seat_pitch)*($AY$6*n_SA+$AW$5&lt;pax_e)</f>
        <v>7.9580000000000002</v>
      </c>
      <c r="BN18" s="281">
        <f>$AX$5</f>
        <v>-1.84</v>
      </c>
      <c r="BO18" s="281">
        <f t="shared" si="20"/>
        <v>-9.8524799999999981</v>
      </c>
      <c r="CA18" s="281">
        <f>$BX$6+0*lav_len</f>
        <v>28.25</v>
      </c>
      <c r="CB18" s="281">
        <f>$BY$6+0*lav_w</f>
        <v>-1.865</v>
      </c>
      <c r="CE18" s="281">
        <f>13/24*CLmax_c</f>
        <v>0.8125</v>
      </c>
      <c r="CF18" s="294">
        <f t="shared" si="26"/>
        <v>4.5649244842239214E-2</v>
      </c>
      <c r="CG18" s="289">
        <f t="shared" si="27"/>
        <v>17.798761026780323</v>
      </c>
      <c r="CH18" s="281">
        <f>13/24*CLmaxTO</f>
        <v>1.1375</v>
      </c>
      <c r="CI18" s="294">
        <f t="shared" si="28"/>
        <v>9.0109186557455534E-2</v>
      </c>
      <c r="CJ18" s="289">
        <f t="shared" si="29"/>
        <v>12.623574171038662</v>
      </c>
      <c r="CK18" s="281">
        <f>13/24*CLmaxL</f>
        <v>1.4624999999999999</v>
      </c>
      <c r="CL18" s="294">
        <f t="shared" si="30"/>
        <v>0.14746521009358882</v>
      </c>
      <c r="CM18" s="289">
        <f t="shared" si="31"/>
        <v>9.9175934382884208</v>
      </c>
      <c r="CR18" s="293">
        <f>13/28*h_abs</f>
        <v>5323.2291972653074</v>
      </c>
      <c r="CS18" s="289">
        <f t="shared" si="32"/>
        <v>253.54901021777547</v>
      </c>
      <c r="CT18" s="294">
        <f t="shared" si="33"/>
        <v>0.71071162897755014</v>
      </c>
      <c r="CU18" s="291">
        <f t="shared" si="34"/>
        <v>319.20965781451594</v>
      </c>
      <c r="CV18" s="294">
        <f t="shared" si="35"/>
        <v>0.14340145569061813</v>
      </c>
      <c r="CW18" s="291">
        <f t="shared" si="36"/>
        <v>202.12599147192202</v>
      </c>
      <c r="CX18" s="289">
        <f t="shared" si="37"/>
        <v>15.459319722783443</v>
      </c>
      <c r="CY18" s="293">
        <f t="shared" si="38"/>
        <v>27.65083691442355</v>
      </c>
      <c r="CZ18" s="295">
        <f t="shared" si="39"/>
        <v>1.7548410151394508E-2</v>
      </c>
      <c r="DA18" s="291">
        <f t="shared" si="40"/>
        <v>96.561318482713006</v>
      </c>
      <c r="DB18" s="291">
        <f t="shared" si="41"/>
        <v>261.75191940790307</v>
      </c>
      <c r="DC18" s="281">
        <f t="shared" si="42"/>
        <v>0.30250124367735193</v>
      </c>
      <c r="DD18" s="281">
        <f t="shared" si="43"/>
        <v>0.82000000000000006</v>
      </c>
      <c r="DJ18" s="291">
        <f>V_C</f>
        <v>128.75511397058619</v>
      </c>
      <c r="DK18" s="289">
        <f>n_neg</f>
        <v>-1</v>
      </c>
      <c r="DX18" s="281">
        <f>d_fus/2*-0.96593</f>
        <v>-1.9230941852499996</v>
      </c>
      <c r="DY18" s="281">
        <f>d_fus/2*-0.25882</f>
        <v>-0.51529120849999999</v>
      </c>
      <c r="ED18" s="281">
        <f>track/2+1*2.2*w_tyre/2</f>
        <v>4.003909933027253</v>
      </c>
      <c r="EE18" s="281">
        <f>-h_cg+D_tyre</f>
        <v>-2.5108116372741143</v>
      </c>
      <c r="EG18" s="281">
        <f>d_fus/2*-0.64279</f>
        <v>-1.2797466807499998</v>
      </c>
      <c r="EH18" s="281">
        <f>d_fus/2*0.76604</f>
        <v>1.525128187</v>
      </c>
      <c r="EI18" s="281">
        <f>w_cabin/2*-0.64279</f>
        <v>-1.1988033499999999</v>
      </c>
      <c r="EJ18" s="281">
        <f>w_cabin/2*0.76604</f>
        <v>1.4286646000000001</v>
      </c>
      <c r="EM18" s="281">
        <f>$AX$8+0.05*seat_w</f>
        <v>0.2764999999999998</v>
      </c>
      <c r="EN18" s="281">
        <f>z_floor+1.1</f>
        <v>0.50000000000000011</v>
      </c>
      <c r="ER18" s="281">
        <f>IF(6&lt;n_door,x_door_f+IF(n_door&gt;1,6/(n_door-1),0)*(x_door_r-x_door_f),IF(6&lt;n_door+n_overwing,x_ac_w+(6-n_door-(n_overwing-1)/2)*seat_pitch,x_door_f))</f>
        <v>5.75</v>
      </c>
      <c r="ES18" s="281">
        <f>1*w_cabin/2</f>
        <v>1.865</v>
      </c>
      <c r="GA18" s="292" t="s">
        <v>1543</v>
      </c>
      <c r="GB18" s="297">
        <v>416</v>
      </c>
      <c r="GC18" s="297">
        <v>396890</v>
      </c>
      <c r="GD18" s="297">
        <v>183520</v>
      </c>
      <c r="GE18" s="297">
        <v>541.20000000000005</v>
      </c>
      <c r="GF18" s="297">
        <v>64.44</v>
      </c>
      <c r="GG18" s="297">
        <v>70.66</v>
      </c>
      <c r="GH18" s="297">
        <v>276</v>
      </c>
      <c r="GI18" s="297">
        <v>4</v>
      </c>
      <c r="GJ18" s="297">
        <v>13450</v>
      </c>
      <c r="GK18" s="281">
        <f t="shared" si="47"/>
        <v>2.7401570908748187</v>
      </c>
      <c r="GZ18" s="292" t="s">
        <v>1544</v>
      </c>
      <c r="HA18" s="294">
        <f>(OEW*HA13+PyldMax*x_pay)/(OEW+PyldMax)</f>
        <v>15.927891981451831</v>
      </c>
      <c r="HB18" s="294">
        <f>(OEW*HB13+PyldMax*x_pay)/(OEW+PyldMax)</f>
        <v>17.309644861861063</v>
      </c>
      <c r="HF18" s="297">
        <f t="shared" si="65"/>
        <v>72990.193422483964</v>
      </c>
      <c r="HG18" s="297">
        <f t="shared" si="48"/>
        <v>135.54026364476093</v>
      </c>
      <c r="HH18" s="297">
        <f t="shared" si="49"/>
        <v>35.883596595453319</v>
      </c>
      <c r="HI18" s="297">
        <f t="shared" si="50"/>
        <v>6.043553110813189</v>
      </c>
      <c r="HJ18" s="297">
        <f t="shared" si="51"/>
        <v>4.2304871775692323</v>
      </c>
      <c r="HK18" s="297">
        <f t="shared" si="52"/>
        <v>5511.3787959931606</v>
      </c>
      <c r="HL18" s="297">
        <f t="shared" si="53"/>
        <v>1703.1520322919087</v>
      </c>
      <c r="HM18" s="297">
        <f t="shared" si="54"/>
        <v>9147.0379438144791</v>
      </c>
      <c r="HN18" s="297">
        <f t="shared" si="55"/>
        <v>3138.5783171668104</v>
      </c>
      <c r="HO18" s="297">
        <f t="shared" si="56"/>
        <v>4710.3395571455985</v>
      </c>
      <c r="HP18" s="297">
        <f t="shared" si="57"/>
        <v>12408.332881822274</v>
      </c>
      <c r="HQ18" s="297">
        <f t="shared" si="58"/>
        <v>36618.819528234235</v>
      </c>
      <c r="HR18" s="297">
        <f t="shared" si="59"/>
        <v>72990.765300691695</v>
      </c>
      <c r="HW18" s="293">
        <f>MAX(0,MIN(13,n_rows_b-1))</f>
        <v>0</v>
      </c>
      <c r="HX18" s="281">
        <f t="shared" si="62"/>
        <v>6.5</v>
      </c>
      <c r="HY18" s="281">
        <f>$HX$6+0.8*(bus_pitch*(n_rows_b&gt;0))*($HW$6*n_SA_b+$HU$5&lt;pax_b)</f>
        <v>6.5</v>
      </c>
      <c r="HZ18" s="281">
        <f>$HV$5</f>
        <v>-1.84</v>
      </c>
      <c r="IA18" s="281">
        <f t="shared" si="63"/>
        <v>-11.310479999999998</v>
      </c>
    </row>
    <row r="19" spans="1:235" x14ac:dyDescent="0.25">
      <c r="A19" s="289">
        <f>24/50</f>
        <v>0.48</v>
      </c>
      <c r="B19" s="290">
        <f t="shared" si="0"/>
        <v>2671.8187928188231</v>
      </c>
      <c r="C19" s="291">
        <f t="shared" si="1"/>
        <v>272.44969411764703</v>
      </c>
      <c r="D19" s="281">
        <f t="shared" si="2"/>
        <v>0.13799400091673031</v>
      </c>
      <c r="E19" s="281">
        <f t="shared" si="3"/>
        <v>0.2194155421601327</v>
      </c>
      <c r="F19" s="281">
        <f t="shared" si="4"/>
        <v>0.21104328049055099</v>
      </c>
      <c r="G19" s="281">
        <f t="shared" si="5"/>
        <v>0.38305161023765727</v>
      </c>
      <c r="H19" s="281">
        <f t="shared" si="6"/>
        <v>0.38305161023765727</v>
      </c>
      <c r="S19" s="292" t="s">
        <v>1545</v>
      </c>
      <c r="T19" s="281">
        <f>L_fus-tail_len+0.45*tail_len</f>
        <v>32.116931999999998</v>
      </c>
      <c r="U19" s="281">
        <f>d_fus/2*(1-0.88*0.45^1.3)</f>
        <v>1.370464926274489</v>
      </c>
      <c r="V19" s="281">
        <f t="shared" si="76"/>
        <v>0.46534505529413311</v>
      </c>
      <c r="X19" s="281">
        <f t="shared" si="8"/>
        <v>14.306452</v>
      </c>
      <c r="Y19" s="281">
        <f t="shared" si="9"/>
        <v>1.8358099815686222</v>
      </c>
      <c r="Z19" s="281">
        <f t="shared" si="10"/>
        <v>1.370464926274489</v>
      </c>
      <c r="AA19" s="281">
        <f t="shared" si="11"/>
        <v>32.116931999999998</v>
      </c>
      <c r="AC19" s="281">
        <f>x_hLE0-L_fus/2</f>
        <v>11.164541131575625</v>
      </c>
      <c r="AD19" s="281">
        <v>0</v>
      </c>
      <c r="AE19" s="281">
        <f>z_HT</f>
        <v>1.1945549999999998</v>
      </c>
      <c r="AL19" s="281">
        <f>AI7+1*L_nac-L_fus/2</f>
        <v>-3.1011786900655132</v>
      </c>
      <c r="AM19" s="281">
        <f>AH7+1*D_nac/2</f>
        <v>7.1353902511482161</v>
      </c>
      <c r="AN19" s="281">
        <f>AJ7+1*D_nac/2</f>
        <v>-0.89121149722047099</v>
      </c>
      <c r="AY19" s="293">
        <f>MAX(0,MIN(14,n_rows-1))</f>
        <v>14</v>
      </c>
      <c r="AZ19" s="281">
        <f t="shared" si="14"/>
        <v>17.84</v>
      </c>
      <c r="BD19" s="281">
        <f t="shared" si="15"/>
        <v>14.306452</v>
      </c>
      <c r="BE19" s="281">
        <f t="shared" si="16"/>
        <v>1.370464926274489</v>
      </c>
      <c r="BF19" s="281">
        <f t="shared" si="17"/>
        <v>0.46534505529413311</v>
      </c>
      <c r="BG19" s="281">
        <f t="shared" si="18"/>
        <v>11.840295929467608</v>
      </c>
      <c r="BH19" s="281">
        <f t="shared" si="19"/>
        <v>-3.0209756439628372</v>
      </c>
      <c r="BK19" s="292" t="str">
        <f>"Design mission: "&amp;TEXT(Range_km,"#,##0")&amp;" km with "&amp;TEXT(W_pl,"#,##0")&amp;" kg"</f>
        <v>Design mission: 5,000 km with 14,250 kg</v>
      </c>
      <c r="BM19" s="281">
        <f>$AZ$6+0.2*(seat_pitch)*($AY$6*n_SA+$AW$5&lt;pax_e)</f>
        <v>7.4720000000000004</v>
      </c>
      <c r="BN19" s="281">
        <f>$AX$5</f>
        <v>-1.84</v>
      </c>
      <c r="BO19" s="281">
        <f t="shared" si="20"/>
        <v>-10.338479999999997</v>
      </c>
      <c r="CA19" s="281">
        <f>$BX$6+1*lav_len</f>
        <v>29.25</v>
      </c>
      <c r="CB19" s="281">
        <f>$BY$6+1*lav_w</f>
        <v>-0.86499999999999999</v>
      </c>
      <c r="CE19" s="281">
        <f>14/24*CLmax_c</f>
        <v>0.875</v>
      </c>
      <c r="CF19" s="294">
        <f t="shared" si="26"/>
        <v>5.0066579817034829E-2</v>
      </c>
      <c r="CG19" s="289">
        <f t="shared" si="27"/>
        <v>17.476728052877441</v>
      </c>
      <c r="CH19" s="281">
        <f>14/24*CLmaxTO</f>
        <v>1.2250000000000001</v>
      </c>
      <c r="CI19" s="294">
        <f t="shared" si="28"/>
        <v>9.8767163108054959E-2</v>
      </c>
      <c r="CJ19" s="289">
        <f t="shared" si="29"/>
        <v>12.402907620823374</v>
      </c>
      <c r="CK19" s="281">
        <f>14/24*CLmaxL</f>
        <v>1.5750000000000002</v>
      </c>
      <c r="CL19" s="294">
        <f t="shared" si="30"/>
        <v>0.16177737541192663</v>
      </c>
      <c r="CM19" s="289">
        <f t="shared" si="31"/>
        <v>9.7356011369924058</v>
      </c>
      <c r="CR19" s="293">
        <f>14/28*h_abs</f>
        <v>5732.7083662857158</v>
      </c>
      <c r="CS19" s="289">
        <f t="shared" si="32"/>
        <v>250.88739561914284</v>
      </c>
      <c r="CT19" s="294">
        <f t="shared" si="33"/>
        <v>0.67949833825970896</v>
      </c>
      <c r="CU19" s="291">
        <f t="shared" si="34"/>
        <v>317.52979608932219</v>
      </c>
      <c r="CV19" s="294">
        <f t="shared" si="35"/>
        <v>0.13531494929919591</v>
      </c>
      <c r="CW19" s="291">
        <f t="shared" si="36"/>
        <v>201.82095439250517</v>
      </c>
      <c r="CX19" s="289">
        <f t="shared" si="37"/>
        <v>14.158530202533724</v>
      </c>
      <c r="CY19" s="293">
        <f t="shared" si="38"/>
        <v>30.254418918631949</v>
      </c>
      <c r="CZ19" s="295">
        <f t="shared" si="39"/>
        <v>1.5294568161050152E-2</v>
      </c>
      <c r="DA19" s="291">
        <f t="shared" si="40"/>
        <v>98.754228035743466</v>
      </c>
      <c r="DB19" s="291">
        <f t="shared" si="41"/>
        <v>260.37443279324424</v>
      </c>
      <c r="DC19" s="281">
        <f t="shared" si="42"/>
        <v>0.31100775187712959</v>
      </c>
      <c r="DD19" s="281">
        <f t="shared" si="43"/>
        <v>0.82000000000000017</v>
      </c>
      <c r="DJ19" s="291">
        <f>10/10*V_S1*SQRT(-n_neg/0.8)</f>
        <v>84.764647921999611</v>
      </c>
      <c r="DK19" s="289">
        <f>-0.8*(10/10*SQRT(-n_neg/0.8))^2</f>
        <v>-1.0000000000000002</v>
      </c>
      <c r="DX19" s="281">
        <f>d_fus/2*-0.86603</f>
        <v>-1.7242007777499997</v>
      </c>
      <c r="DY19" s="281">
        <f>d_fus/2*-0.5</f>
        <v>-0.99546249999999992</v>
      </c>
      <c r="EB19" s="281">
        <f>$AH$6+D_nac/2*1</f>
        <v>-4.9027995806615046</v>
      </c>
      <c r="EC19" s="281">
        <f>$AJ$6+D_nac/2*0</f>
        <v>-2.007506832463827</v>
      </c>
      <c r="ED19" s="281">
        <f>track/2+0*2.2*w_tyre/2</f>
        <v>3.5406440681793292</v>
      </c>
      <c r="EE19" s="281">
        <f>-h_cg+D_tyre</f>
        <v>-2.5108116372741143</v>
      </c>
      <c r="EG19" s="281">
        <f>d_fus/2*-0.76604</f>
        <v>-1.525128187</v>
      </c>
      <c r="EH19" s="281">
        <f>d_fus/2*0.64279</f>
        <v>1.2797466807499998</v>
      </c>
      <c r="EI19" s="281">
        <f>w_cabin/2*-0.76604</f>
        <v>-1.4286646000000001</v>
      </c>
      <c r="EJ19" s="281">
        <f>w_cabin/2*0.64279</f>
        <v>1.1988033499999999</v>
      </c>
      <c r="EM19" s="281">
        <f>$AX$8+0.95*seat_w</f>
        <v>0.75349999999999973</v>
      </c>
      <c r="EN19" s="281">
        <f>z_floor+1.1</f>
        <v>0.50000000000000011</v>
      </c>
      <c r="ER19" s="281">
        <f>IF(7&lt;n_door,x_door_f+IF(n_door&gt;1,7/(n_door-1),0)*(x_door_r-x_door_f),IF(7&lt;n_door+n_overwing,x_ac_w+(7-n_door-(n_overwing-1)/2)*seat_pitch,x_door_f))</f>
        <v>5.75</v>
      </c>
      <c r="ES19" s="281">
        <f>-1*w_cabin/2</f>
        <v>-1.865</v>
      </c>
      <c r="GA19" s="292" t="s">
        <v>1546</v>
      </c>
      <c r="GB19" s="297">
        <v>525</v>
      </c>
      <c r="GC19" s="297">
        <v>575000</v>
      </c>
      <c r="GD19" s="297">
        <v>277000</v>
      </c>
      <c r="GE19" s="297">
        <v>845</v>
      </c>
      <c r="GF19" s="297">
        <v>79.75</v>
      </c>
      <c r="GG19" s="297">
        <v>72.72</v>
      </c>
      <c r="GH19" s="297">
        <v>311</v>
      </c>
      <c r="GI19" s="297">
        <v>4</v>
      </c>
      <c r="GJ19" s="297">
        <v>15200</v>
      </c>
      <c r="GK19" s="281">
        <f t="shared" si="47"/>
        <v>3.3435809697942065</v>
      </c>
      <c r="GZ19" s="292" t="s">
        <v>1547</v>
      </c>
      <c r="HA19" s="294">
        <f>(HA14-HA6)/MAC</f>
        <v>0.74122046436381961</v>
      </c>
      <c r="HB19" s="294">
        <f>(HB14-HB6)/MAC</f>
        <v>-0.13098490245612604</v>
      </c>
      <c r="HF19" s="297">
        <f t="shared" si="65"/>
        <v>72990.765300691695</v>
      </c>
      <c r="HG19" s="297">
        <f t="shared" si="48"/>
        <v>135.5413256028051</v>
      </c>
      <c r="HH19" s="297">
        <f t="shared" si="49"/>
        <v>35.883737169178026</v>
      </c>
      <c r="HI19" s="297">
        <f t="shared" si="50"/>
        <v>6.0435767863878773</v>
      </c>
      <c r="HJ19" s="297">
        <f t="shared" si="51"/>
        <v>4.2305037504715148</v>
      </c>
      <c r="HK19" s="297">
        <f t="shared" si="52"/>
        <v>5511.4262125805581</v>
      </c>
      <c r="HL19" s="297">
        <f t="shared" si="53"/>
        <v>1703.1720486268555</v>
      </c>
      <c r="HM19" s="297">
        <f t="shared" si="54"/>
        <v>9147.0379438144791</v>
      </c>
      <c r="HN19" s="297">
        <f t="shared" si="55"/>
        <v>3138.6029079297427</v>
      </c>
      <c r="HO19" s="297">
        <f t="shared" si="56"/>
        <v>4710.3801532259758</v>
      </c>
      <c r="HP19" s="297">
        <f t="shared" si="57"/>
        <v>12408.430101117588</v>
      </c>
      <c r="HQ19" s="297">
        <f t="shared" si="58"/>
        <v>36619.0493672952</v>
      </c>
      <c r="HR19" s="297">
        <f t="shared" si="59"/>
        <v>72991.092105303353</v>
      </c>
      <c r="HW19" s="293">
        <f>MAX(0,MIN(14,n_rows_b-1))</f>
        <v>0</v>
      </c>
      <c r="HX19" s="281">
        <f t="shared" si="62"/>
        <v>6.5</v>
      </c>
      <c r="HY19" s="281">
        <f>$HX$6+0.2*(bus_pitch*(n_rows_b&gt;0))*($HW$6*n_SA_b+$HU$5&lt;pax_b)</f>
        <v>6.5</v>
      </c>
      <c r="HZ19" s="281">
        <f>$HV$5</f>
        <v>-1.84</v>
      </c>
      <c r="IA19" s="281">
        <f t="shared" si="63"/>
        <v>-11.310479999999998</v>
      </c>
    </row>
    <row r="20" spans="1:235" x14ac:dyDescent="0.25">
      <c r="A20" s="289">
        <f>25/50</f>
        <v>0.5</v>
      </c>
      <c r="B20" s="290">
        <f t="shared" si="0"/>
        <v>2783.1445758529408</v>
      </c>
      <c r="C20" s="291">
        <f t="shared" si="1"/>
        <v>283.80176470588231</v>
      </c>
      <c r="D20" s="281">
        <f t="shared" si="2"/>
        <v>0.14374375095492739</v>
      </c>
      <c r="E20" s="281">
        <f t="shared" si="3"/>
        <v>0.2194155421601327</v>
      </c>
      <c r="F20" s="281">
        <f t="shared" si="4"/>
        <v>0.21104328049055099</v>
      </c>
      <c r="G20" s="281">
        <f t="shared" si="5"/>
        <v>0.37246265813665885</v>
      </c>
      <c r="H20" s="281">
        <f t="shared" si="6"/>
        <v>0.37246265813665885</v>
      </c>
      <c r="S20" s="292" t="s">
        <v>1548</v>
      </c>
      <c r="T20" s="281">
        <f>L_fus-tail_len+0.6*tail_len</f>
        <v>33.072575999999998</v>
      </c>
      <c r="U20" s="281">
        <f>d_fus/2*(1-0.88*0.6^1.3)</f>
        <v>1.0890752323886836</v>
      </c>
      <c r="V20" s="281">
        <f t="shared" si="76"/>
        <v>0.67638732570848714</v>
      </c>
      <c r="X20" s="281">
        <f t="shared" si="8"/>
        <v>15.262096</v>
      </c>
      <c r="Y20" s="281">
        <f t="shared" si="9"/>
        <v>1.7654625580971708</v>
      </c>
      <c r="Z20" s="281">
        <f t="shared" si="10"/>
        <v>1.0890752323886836</v>
      </c>
      <c r="AA20" s="281">
        <f t="shared" si="11"/>
        <v>33.072575999999998</v>
      </c>
      <c r="AL20" s="281">
        <f>AI7+0*L_nac-L_fus/2</f>
        <v>-7.4249768198019375</v>
      </c>
      <c r="AM20" s="281">
        <f>AH7+1*D_nac/2</f>
        <v>7.1353902511482161</v>
      </c>
      <c r="AN20" s="281">
        <f>AJ7+1*D_nac/2</f>
        <v>-0.89121149722047099</v>
      </c>
      <c r="AP20" s="281">
        <f>x_nose-L_fus/2+0*D_nose/2</f>
        <v>-13.840532280222666</v>
      </c>
      <c r="AQ20" s="281">
        <f>-h_cg+D_nose/2+1*D_nose/2</f>
        <v>-2.914183264228174</v>
      </c>
      <c r="AY20" s="293">
        <f>MAX(0,MIN(15,n_rows-1))</f>
        <v>15</v>
      </c>
      <c r="AZ20" s="281">
        <f t="shared" si="14"/>
        <v>18.649999999999999</v>
      </c>
      <c r="BD20" s="281">
        <f t="shared" si="15"/>
        <v>15.262096</v>
      </c>
      <c r="BE20" s="281">
        <f t="shared" si="16"/>
        <v>1.0890752323886836</v>
      </c>
      <c r="BF20" s="281">
        <f t="shared" si="17"/>
        <v>0.67638732570848714</v>
      </c>
      <c r="BG20" s="281">
        <f t="shared" si="18"/>
        <v>12.391487896544316</v>
      </c>
      <c r="BH20" s="281">
        <f t="shared" si="19"/>
        <v>-3.1804090274437193</v>
      </c>
      <c r="BK20" s="292" t="str">
        <f>"Optimised design point: W/S = "&amp;TEXT(WS_des,"0")&amp;" N/m2, T/W = "&amp;TEXT(TW_des,"0.000")</f>
        <v>Optimised design point: W/S = 5281 N/m2, T/W = 0.273</v>
      </c>
      <c r="BM20" s="281">
        <f>$AZ$6+(seat_pitch)</f>
        <v>8.120000000000001</v>
      </c>
      <c r="BN20" s="281">
        <f>$AX$5</f>
        <v>-1.84</v>
      </c>
      <c r="BO20" s="281">
        <f t="shared" si="20"/>
        <v>-9.6904799999999973</v>
      </c>
      <c r="CA20" s="281">
        <f>$BX$6+1*lav_len</f>
        <v>29.25</v>
      </c>
      <c r="CB20" s="281">
        <f>$BY$6+0*lav_w</f>
        <v>-1.865</v>
      </c>
      <c r="CE20" s="281">
        <f>15/24*CLmax_c</f>
        <v>0.9375</v>
      </c>
      <c r="CF20" s="294">
        <f t="shared" si="26"/>
        <v>5.4811124789963458E-2</v>
      </c>
      <c r="CG20" s="289">
        <f t="shared" si="27"/>
        <v>17.104191960893072</v>
      </c>
      <c r="CH20" s="281">
        <f>15/24*CLmaxTO</f>
        <v>1.3125</v>
      </c>
      <c r="CI20" s="294">
        <f t="shared" si="28"/>
        <v>0.10806647125499504</v>
      </c>
      <c r="CJ20" s="289">
        <f t="shared" si="29"/>
        <v>12.145302652688715</v>
      </c>
      <c r="CK20" s="281">
        <f>15/24*CLmaxL</f>
        <v>1.6875</v>
      </c>
      <c r="CL20" s="294">
        <f t="shared" si="30"/>
        <v>0.17714970112421535</v>
      </c>
      <c r="CM20" s="289">
        <f t="shared" si="31"/>
        <v>9.5258416429206623</v>
      </c>
      <c r="CR20" s="293">
        <f>15/28*h_abs</f>
        <v>6142.1875353061241</v>
      </c>
      <c r="CS20" s="289">
        <f t="shared" si="32"/>
        <v>248.22578102051017</v>
      </c>
      <c r="CT20" s="294">
        <f t="shared" si="33"/>
        <v>0.64934476565111032</v>
      </c>
      <c r="CU20" s="291">
        <f t="shared" si="34"/>
        <v>315.84099981951789</v>
      </c>
      <c r="CV20" s="294">
        <f t="shared" si="35"/>
        <v>0.1276054263329163</v>
      </c>
      <c r="CW20" s="291">
        <f t="shared" si="36"/>
        <v>201.60647443767212</v>
      </c>
      <c r="CX20" s="289">
        <f t="shared" si="37"/>
        <v>12.910518462501702</v>
      </c>
      <c r="CY20" s="293">
        <f t="shared" si="38"/>
        <v>33.260220411788225</v>
      </c>
      <c r="CZ20" s="295">
        <f t="shared" si="39"/>
        <v>1.3267577486811523E-2</v>
      </c>
      <c r="DA20" s="291">
        <f t="shared" si="40"/>
        <v>101.02113088427819</v>
      </c>
      <c r="DB20" s="291">
        <f t="shared" si="41"/>
        <v>258.98961985200469</v>
      </c>
      <c r="DC20" s="281">
        <f t="shared" si="42"/>
        <v>0.31984805944131711</v>
      </c>
      <c r="DD20" s="281">
        <f t="shared" si="43"/>
        <v>0.82000000000000006</v>
      </c>
      <c r="DJ20" s="291">
        <f>9/10*V_S1*SQRT(-n_neg/0.8)</f>
        <v>76.288183129799648</v>
      </c>
      <c r="DK20" s="289">
        <f>-0.8*(9/10*SQRT(-n_neg/0.8))^2</f>
        <v>-0.81000000000000039</v>
      </c>
      <c r="DX20" s="281">
        <f>d_fus/2*-0.70711</f>
        <v>-1.40780297675</v>
      </c>
      <c r="DY20" s="281">
        <f>d_fus/2*-0.70711</f>
        <v>-1.40780297675</v>
      </c>
      <c r="EB20" s="281">
        <f>$AH$6+D_nac/2*0.86603</f>
        <v>-5.0523496667240568</v>
      </c>
      <c r="EC20" s="281">
        <f>$AJ$6+D_nac/2*0.5</f>
        <v>-1.4493591648421491</v>
      </c>
      <c r="EG20" s="281">
        <f>d_fus/2*-0.86603</f>
        <v>-1.7242007777499997</v>
      </c>
      <c r="EH20" s="281">
        <f>d_fus/2*0.5</f>
        <v>0.99546249999999992</v>
      </c>
      <c r="EI20" s="281">
        <f>w_cabin/2*-0.86603</f>
        <v>-1.6151459499999998</v>
      </c>
      <c r="EJ20" s="281">
        <f>w_cabin/2*0.5</f>
        <v>0.9325</v>
      </c>
      <c r="EM20" s="281">
        <f>$AX$8+0.95*seat_w</f>
        <v>0.75349999999999973</v>
      </c>
      <c r="EN20" s="281">
        <f>z_floor+0</f>
        <v>-0.6</v>
      </c>
      <c r="ER20" s="281">
        <f>IF(7&lt;n_door,x_door_f+IF(n_door&gt;1,7/(n_door-1),0)*(x_door_r-x_door_f),IF(7&lt;n_door+n_overwing,x_ac_w+(7-n_door-(n_overwing-1)/2)*seat_pitch,x_door_f))</f>
        <v>5.75</v>
      </c>
      <c r="ES20" s="281">
        <f>1*w_cabin/2</f>
        <v>1.865</v>
      </c>
      <c r="GA20" s="292" t="s">
        <v>1549</v>
      </c>
      <c r="GB20" s="297">
        <v>3</v>
      </c>
      <c r="GC20" s="297">
        <v>1157</v>
      </c>
      <c r="GD20" s="297">
        <v>767</v>
      </c>
      <c r="GE20" s="297">
        <v>16.2</v>
      </c>
      <c r="GF20" s="297">
        <v>11</v>
      </c>
      <c r="GG20" s="297">
        <v>8.2799999999999994</v>
      </c>
      <c r="GH20" s="297">
        <v>0</v>
      </c>
      <c r="GI20" s="297">
        <v>1</v>
      </c>
      <c r="GJ20" s="297">
        <v>1185</v>
      </c>
      <c r="GK20" s="281">
        <f t="shared" si="47"/>
        <v>8.0297445967151191</v>
      </c>
      <c r="GZ20" s="292" t="s">
        <v>1550</v>
      </c>
      <c r="HA20" s="294">
        <f>(HA15-HA6)/MAC</f>
        <v>0.81216185706639799</v>
      </c>
      <c r="HB20" s="294">
        <f>(HB15-HB6)/MAC</f>
        <v>-0.20065797852867162</v>
      </c>
      <c r="HF20" s="297">
        <f t="shared" si="65"/>
        <v>72991.092105303353</v>
      </c>
      <c r="HG20" s="297">
        <f t="shared" si="48"/>
        <v>135.54193246766113</v>
      </c>
      <c r="HH20" s="297">
        <f t="shared" si="49"/>
        <v>35.883817500968043</v>
      </c>
      <c r="HI20" s="297">
        <f t="shared" si="50"/>
        <v>6.0435903159525139</v>
      </c>
      <c r="HJ20" s="297">
        <f t="shared" si="51"/>
        <v>4.2305132211667598</v>
      </c>
      <c r="HK20" s="297">
        <f t="shared" si="52"/>
        <v>5511.4533091963531</v>
      </c>
      <c r="HL20" s="297">
        <f t="shared" si="53"/>
        <v>1703.1834871650181</v>
      </c>
      <c r="HM20" s="297">
        <f t="shared" si="54"/>
        <v>9147.0379438144791</v>
      </c>
      <c r="HN20" s="297">
        <f t="shared" si="55"/>
        <v>3138.6169605280438</v>
      </c>
      <c r="HO20" s="297">
        <f t="shared" si="56"/>
        <v>4710.4033522118234</v>
      </c>
      <c r="HP20" s="297">
        <f t="shared" si="57"/>
        <v>12408.48565790157</v>
      </c>
      <c r="HQ20" s="297">
        <f t="shared" si="58"/>
        <v>36619.180710817287</v>
      </c>
      <c r="HR20" s="297">
        <f t="shared" si="59"/>
        <v>72991.278860629231</v>
      </c>
      <c r="HW20" s="293">
        <f>MAX(0,MIN(15,n_rows_b-1))</f>
        <v>0</v>
      </c>
      <c r="HX20" s="281">
        <f t="shared" si="62"/>
        <v>6.5</v>
      </c>
      <c r="HY20" s="281">
        <f>$HX$6+(bus_pitch*(n_rows_b&gt;0))</f>
        <v>6.5</v>
      </c>
      <c r="HZ20" s="281">
        <f>$HV$5</f>
        <v>-1.84</v>
      </c>
      <c r="IA20" s="281">
        <f t="shared" si="63"/>
        <v>-11.310479999999998</v>
      </c>
    </row>
    <row r="21" spans="1:235" x14ac:dyDescent="0.25">
      <c r="A21" s="289">
        <f>26/50</f>
        <v>0.52</v>
      </c>
      <c r="B21" s="290">
        <f t="shared" si="0"/>
        <v>2894.4703588870584</v>
      </c>
      <c r="C21" s="291">
        <f t="shared" si="1"/>
        <v>295.15383529411764</v>
      </c>
      <c r="D21" s="281">
        <f t="shared" si="2"/>
        <v>0.1494935009931245</v>
      </c>
      <c r="E21" s="281">
        <f t="shared" si="3"/>
        <v>0.2194155421601327</v>
      </c>
      <c r="F21" s="281">
        <f t="shared" si="4"/>
        <v>0.21104328049055099</v>
      </c>
      <c r="G21" s="281">
        <f t="shared" si="5"/>
        <v>0.36283044735686848</v>
      </c>
      <c r="H21" s="281">
        <f t="shared" si="6"/>
        <v>0.36283044735686848</v>
      </c>
      <c r="S21" s="292" t="s">
        <v>1551</v>
      </c>
      <c r="T21" s="281">
        <f>L_fus-tail_len+0.75*tail_len</f>
        <v>34.028219999999997</v>
      </c>
      <c r="U21" s="281">
        <f>d_fus/2*(1-0.88*0.75^1.3)</f>
        <v>0.78556378059496024</v>
      </c>
      <c r="V21" s="281">
        <f t="shared" si="76"/>
        <v>0.90402091455377964</v>
      </c>
      <c r="X21" s="281">
        <f t="shared" si="8"/>
        <v>16.217739999999999</v>
      </c>
      <c r="Y21" s="281">
        <f t="shared" si="9"/>
        <v>1.6895846951487399</v>
      </c>
      <c r="Z21" s="281">
        <f t="shared" si="10"/>
        <v>0.78556378059496024</v>
      </c>
      <c r="AA21" s="281">
        <f t="shared" si="11"/>
        <v>34.028219999999997</v>
      </c>
      <c r="AC21" s="281">
        <f>x_vLE0-L_fus/2</f>
        <v>10.524635261689589</v>
      </c>
      <c r="AD21" s="281">
        <v>0</v>
      </c>
      <c r="AE21" s="281">
        <f>z_VT0</f>
        <v>1.59274</v>
      </c>
      <c r="AL21" s="281">
        <f>AI7+0*L_nac-L_fus/2</f>
        <v>-7.4249768198019375</v>
      </c>
      <c r="AM21" s="281">
        <f>AH7+-1*D_nac/2</f>
        <v>4.9027995806615046</v>
      </c>
      <c r="AN21" s="281">
        <f>AJ7+-1*D_nac/2</f>
        <v>-3.1238021677071828</v>
      </c>
      <c r="AP21" s="281">
        <f>x_nose-L_fus/2+-0.5*D_nose/2</f>
        <v>-14.027811964165622</v>
      </c>
      <c r="AQ21" s="281">
        <f>-h_cg+D_nose/2+0.86603*D_nose/2</f>
        <v>-2.9643629827438498</v>
      </c>
      <c r="AY21" s="293">
        <f>MAX(0,MIN(16,n_rows-1))</f>
        <v>16</v>
      </c>
      <c r="AZ21" s="281">
        <f t="shared" si="14"/>
        <v>19.46</v>
      </c>
      <c r="BD21" s="281">
        <f t="shared" si="15"/>
        <v>16.217739999999999</v>
      </c>
      <c r="BE21" s="281">
        <f t="shared" si="16"/>
        <v>0.78556378059496024</v>
      </c>
      <c r="BF21" s="281">
        <f t="shared" si="17"/>
        <v>0.90402091455377964</v>
      </c>
      <c r="BG21" s="281">
        <f t="shared" si="18"/>
        <v>12.928460271733329</v>
      </c>
      <c r="BH21" s="281">
        <f t="shared" si="19"/>
        <v>-3.3319673644320229</v>
      </c>
      <c r="BM21" s="281">
        <f>$AZ$7+0.2*(seat_pitch)*($AY$7*n_SA+$AW$5&lt;pax_e)</f>
        <v>8.2820000000000018</v>
      </c>
      <c r="BN21" s="281">
        <f>$AX$5</f>
        <v>-1.84</v>
      </c>
      <c r="BO21" s="281">
        <f t="shared" si="20"/>
        <v>-9.5284799999999965</v>
      </c>
      <c r="CA21" s="281">
        <f>$BX$6+0*lav_len</f>
        <v>28.25</v>
      </c>
      <c r="CB21" s="281">
        <f>$BY$6+1*lav_w</f>
        <v>-0.86499999999999999</v>
      </c>
      <c r="CE21" s="281">
        <f>16/24*CLmax_c</f>
        <v>1</v>
      </c>
      <c r="CF21" s="294">
        <f t="shared" si="26"/>
        <v>5.988287976102509E-2</v>
      </c>
      <c r="CG21" s="289">
        <f t="shared" si="27"/>
        <v>16.69926369591284</v>
      </c>
      <c r="CH21" s="281">
        <f>16/24*CLmaxTO</f>
        <v>1.4</v>
      </c>
      <c r="CI21" s="294">
        <f t="shared" si="28"/>
        <v>0.11800711099827582</v>
      </c>
      <c r="CJ21" s="289">
        <f t="shared" si="29"/>
        <v>11.863691841591267</v>
      </c>
      <c r="CK21" s="281">
        <f>16/24*CLmaxL</f>
        <v>1.8</v>
      </c>
      <c r="CL21" s="294">
        <f t="shared" si="30"/>
        <v>0.19358218723045506</v>
      </c>
      <c r="CM21" s="289">
        <f t="shared" si="31"/>
        <v>9.2983761871496071</v>
      </c>
      <c r="CR21" s="293">
        <f>16/28*h_abs</f>
        <v>6551.6667043265315</v>
      </c>
      <c r="CS21" s="289">
        <f t="shared" si="32"/>
        <v>245.56416642187753</v>
      </c>
      <c r="CT21" s="294">
        <f t="shared" si="33"/>
        <v>0.62022571917277447</v>
      </c>
      <c r="CU21" s="291">
        <f t="shared" si="34"/>
        <v>314.14312491197205</v>
      </c>
      <c r="CV21" s="294">
        <f t="shared" si="35"/>
        <v>0.12025907364838932</v>
      </c>
      <c r="CW21" s="291">
        <f t="shared" si="36"/>
        <v>201.49078206745983</v>
      </c>
      <c r="CX21" s="289">
        <f t="shared" si="37"/>
        <v>11.71223893060794</v>
      </c>
      <c r="CY21" s="293">
        <f t="shared" si="38"/>
        <v>36.769173348953075</v>
      </c>
      <c r="CZ21" s="295">
        <f t="shared" si="39"/>
        <v>1.1446677451974922E-2</v>
      </c>
      <c r="DA21" s="291">
        <f t="shared" si="40"/>
        <v>103.36535779684235</v>
      </c>
      <c r="DB21" s="291">
        <f t="shared" si="41"/>
        <v>257.59736242781707</v>
      </c>
      <c r="DC21" s="281">
        <f t="shared" si="42"/>
        <v>0.32903905767731501</v>
      </c>
      <c r="DD21" s="281">
        <f t="shared" si="43"/>
        <v>0.82</v>
      </c>
      <c r="DJ21" s="291">
        <f>8/10*V_S1*SQRT(-n_neg/0.8)</f>
        <v>67.811718337599686</v>
      </c>
      <c r="DK21" s="289">
        <f>-0.8*(8/10*SQRT(-n_neg/0.8))^2</f>
        <v>-0.64000000000000012</v>
      </c>
      <c r="DX21" s="281">
        <f>d_fus/2*-0.5</f>
        <v>-0.99546249999999992</v>
      </c>
      <c r="DY21" s="281">
        <f>d_fus/2*-0.86603</f>
        <v>-1.7242007777499997</v>
      </c>
      <c r="EB21" s="281">
        <f>$AH$6+D_nac/2*0.5</f>
        <v>-5.4609472482831825</v>
      </c>
      <c r="EC21" s="281">
        <f>$AJ$6+D_nac/2*0.86603</f>
        <v>-1.0407615832830235</v>
      </c>
      <c r="ED21" s="281">
        <f>0+0*2.2*nose_scale*w_tyre/2</f>
        <v>0</v>
      </c>
      <c r="EE21" s="281">
        <f>-0.35*d_fus</f>
        <v>-1.3936474999999997</v>
      </c>
      <c r="EG21" s="281">
        <f>d_fus/2*-0.93969</f>
        <v>-1.8708523132499999</v>
      </c>
      <c r="EH21" s="281">
        <f>d_fus/2*0.34202</f>
        <v>0.68093616849999994</v>
      </c>
      <c r="EI21" s="281">
        <f>w_cabin/2*-0.93969</f>
        <v>-1.7525218499999999</v>
      </c>
      <c r="EJ21" s="281">
        <f>w_cabin/2*0.34202</f>
        <v>0.63786730000000003</v>
      </c>
      <c r="EM21" s="281">
        <f>$AX$9+0.05*seat_w</f>
        <v>0.80649999999999999</v>
      </c>
      <c r="EN21" s="281">
        <f>z_floor+0</f>
        <v>-0.6</v>
      </c>
      <c r="GA21" s="292" t="s">
        <v>1552</v>
      </c>
      <c r="GB21" s="297">
        <v>9</v>
      </c>
      <c r="GC21" s="297">
        <v>4740</v>
      </c>
      <c r="GD21" s="297">
        <v>2810</v>
      </c>
      <c r="GE21" s="297">
        <v>25.8</v>
      </c>
      <c r="GF21" s="297">
        <v>16.28</v>
      </c>
      <c r="GG21" s="297">
        <v>14.4</v>
      </c>
      <c r="GH21" s="297">
        <v>0</v>
      </c>
      <c r="GI21" s="297">
        <v>1</v>
      </c>
      <c r="GJ21" s="297">
        <v>3300</v>
      </c>
      <c r="GK21" s="281">
        <f t="shared" si="47"/>
        <v>5.5209256205515631</v>
      </c>
      <c r="GZ21" s="292" t="s">
        <v>1553</v>
      </c>
      <c r="HA21" s="294">
        <f>(HA16-HA6)/MAC</f>
        <v>0.70470552793999086</v>
      </c>
      <c r="HB21" s="294">
        <f>(HB16-HB6)/MAC</f>
        <v>-7.6025351535812368E-3</v>
      </c>
      <c r="HF21" s="297">
        <f t="shared" si="65"/>
        <v>72991.278860629231</v>
      </c>
      <c r="HG21" s="297">
        <f t="shared" si="48"/>
        <v>135.54227926583937</v>
      </c>
      <c r="HH21" s="297">
        <f t="shared" si="49"/>
        <v>35.883863407184485</v>
      </c>
      <c r="HI21" s="297">
        <f t="shared" si="50"/>
        <v>6.0435980475258093</v>
      </c>
      <c r="HJ21" s="297">
        <f t="shared" si="51"/>
        <v>4.2305186332680664</v>
      </c>
      <c r="HK21" s="297">
        <f t="shared" si="52"/>
        <v>5511.4687937947956</v>
      </c>
      <c r="HL21" s="297">
        <f t="shared" si="53"/>
        <v>1703.1900238282224</v>
      </c>
      <c r="HM21" s="297">
        <f t="shared" si="54"/>
        <v>9147.0379438144791</v>
      </c>
      <c r="HN21" s="297">
        <f t="shared" si="55"/>
        <v>3138.6249910070565</v>
      </c>
      <c r="HO21" s="297">
        <f t="shared" si="56"/>
        <v>4710.4166094778893</v>
      </c>
      <c r="HP21" s="297">
        <f t="shared" si="57"/>
        <v>12408.51740630697</v>
      </c>
      <c r="HQ21" s="297">
        <f t="shared" si="58"/>
        <v>36619.255768229414</v>
      </c>
      <c r="HR21" s="297">
        <f t="shared" si="59"/>
        <v>72991.385583604511</v>
      </c>
      <c r="HW21" s="293">
        <f>MAX(0,MIN(16,n_rows_b-1))</f>
        <v>0</v>
      </c>
      <c r="HX21" s="281">
        <f t="shared" si="62"/>
        <v>6.5</v>
      </c>
      <c r="HY21" s="281">
        <f>$HX$7+0.2*(bus_pitch*(n_rows_b&gt;0))*($HW$7*n_SA_b+$HU$5&lt;pax_b)</f>
        <v>6.5</v>
      </c>
      <c r="HZ21" s="281">
        <f>$HV$5</f>
        <v>-1.84</v>
      </c>
      <c r="IA21" s="281">
        <f t="shared" si="63"/>
        <v>-11.310479999999998</v>
      </c>
    </row>
    <row r="22" spans="1:235" x14ac:dyDescent="0.25">
      <c r="A22" s="289">
        <f>27/50</f>
        <v>0.54</v>
      </c>
      <c r="B22" s="290">
        <f t="shared" si="0"/>
        <v>3005.7961419211761</v>
      </c>
      <c r="C22" s="291">
        <f t="shared" si="1"/>
        <v>306.50590588235292</v>
      </c>
      <c r="D22" s="281">
        <f t="shared" si="2"/>
        <v>0.15524325103132158</v>
      </c>
      <c r="E22" s="281">
        <f t="shared" si="3"/>
        <v>0.2194155421601327</v>
      </c>
      <c r="F22" s="281">
        <f t="shared" si="4"/>
        <v>0.21104328049055099</v>
      </c>
      <c r="G22" s="281">
        <f t="shared" si="5"/>
        <v>0.35404867330704082</v>
      </c>
      <c r="H22" s="281">
        <f t="shared" si="6"/>
        <v>0.35404867330704082</v>
      </c>
      <c r="S22" s="292" t="s">
        <v>1554</v>
      </c>
      <c r="T22" s="281">
        <f>L_fus-tail_len+0.9*tail_len</f>
        <v>34.983863999999997</v>
      </c>
      <c r="U22" s="281">
        <f>d_fus/2*(1-0.88*0.9^1.3)</f>
        <v>0.46317309305852405</v>
      </c>
      <c r="V22" s="281">
        <f t="shared" si="76"/>
        <v>1.1458139302061068</v>
      </c>
      <c r="X22" s="281">
        <f t="shared" si="8"/>
        <v>17.173383999999999</v>
      </c>
      <c r="Y22" s="281">
        <f t="shared" si="9"/>
        <v>1.6089870232646308</v>
      </c>
      <c r="Z22" s="281">
        <f t="shared" si="10"/>
        <v>0.46317309305852405</v>
      </c>
      <c r="AA22" s="281">
        <f t="shared" si="11"/>
        <v>34.983863999999997</v>
      </c>
      <c r="AC22" s="281">
        <f>x_vLE0+b_VT*TAN(RADIANS(sweepLE_VT))-L_fus/2</f>
        <v>15.560176773717274</v>
      </c>
      <c r="AD22" s="281">
        <v>0</v>
      </c>
      <c r="AE22" s="281">
        <f>z_VT0+b_VT</f>
        <v>8.2707682466377648</v>
      </c>
      <c r="AP22" s="281">
        <f>x_nose-L_fus/2+-0.86603*D_nose/2</f>
        <v>-14.164911929592902</v>
      </c>
      <c r="AQ22" s="281">
        <f>-h_cg+D_nose/2+0.5*D_nose/2</f>
        <v>-3.1014629481711307</v>
      </c>
      <c r="AY22" s="293">
        <f>MAX(0,MIN(17,n_rows-1))</f>
        <v>17</v>
      </c>
      <c r="AZ22" s="281">
        <f t="shared" si="14"/>
        <v>20.270000000000003</v>
      </c>
      <c r="BD22" s="281">
        <f t="shared" si="15"/>
        <v>17.173383999999999</v>
      </c>
      <c r="BE22" s="281">
        <f t="shared" si="16"/>
        <v>0.46317309305852405</v>
      </c>
      <c r="BF22" s="281">
        <f t="shared" si="17"/>
        <v>1.1458139302061068</v>
      </c>
      <c r="BG22" s="281">
        <f t="shared" si="18"/>
        <v>13.453297308106574</v>
      </c>
      <c r="BH22" s="281">
        <f t="shared" si="19"/>
        <v>-3.4768049489449968</v>
      </c>
      <c r="BM22" s="281">
        <f>$AZ$7+0.2*(seat_pitch)*($AY$7*n_SA+$AW$5&lt;pax_e)</f>
        <v>8.2820000000000018</v>
      </c>
      <c r="BN22" s="281">
        <f>$AX$5+seat_w*($AY$7*n_SA+$AW$5&lt;pax_e)</f>
        <v>-1.31</v>
      </c>
      <c r="BO22" s="281">
        <f t="shared" si="20"/>
        <v>-9.5284799999999965</v>
      </c>
      <c r="CE22" s="281">
        <f>17/24*CLmax_c</f>
        <v>1.0625</v>
      </c>
      <c r="CF22" s="294">
        <f t="shared" si="26"/>
        <v>6.5281844730219724E-2</v>
      </c>
      <c r="CG22" s="289">
        <f t="shared" si="27"/>
        <v>16.275581739315594</v>
      </c>
      <c r="CH22" s="281">
        <f>17/24*CLmaxTO</f>
        <v>1.4875</v>
      </c>
      <c r="CI22" s="294">
        <f t="shared" si="28"/>
        <v>0.12858908233789734</v>
      </c>
      <c r="CJ22" s="289">
        <f t="shared" si="29"/>
        <v>11.5678560959884</v>
      </c>
      <c r="CK22" s="281">
        <f>17/24*CLmaxL</f>
        <v>1.9125000000000003</v>
      </c>
      <c r="CL22" s="294">
        <f t="shared" si="30"/>
        <v>0.21107483373064573</v>
      </c>
      <c r="CM22" s="289">
        <f t="shared" si="31"/>
        <v>9.0607675306311357</v>
      </c>
      <c r="CR22" s="293">
        <f>17/28*h_abs</f>
        <v>6961.1458733469399</v>
      </c>
      <c r="CS22" s="289">
        <f t="shared" si="32"/>
        <v>242.90255182324486</v>
      </c>
      <c r="CT22" s="294">
        <f t="shared" si="33"/>
        <v>0.59211634381382627</v>
      </c>
      <c r="CU22" s="291">
        <f t="shared" si="34"/>
        <v>312.43602335826301</v>
      </c>
      <c r="CV22" s="294">
        <f t="shared" si="35"/>
        <v>0.11326244347881755</v>
      </c>
      <c r="CW22" s="291">
        <f t="shared" si="36"/>
        <v>201.48252231508471</v>
      </c>
      <c r="CX22" s="289">
        <f t="shared" si="37"/>
        <v>10.560721363293657</v>
      </c>
      <c r="CY22" s="293">
        <f t="shared" si="38"/>
        <v>40.919699668210647</v>
      </c>
      <c r="CZ22" s="295">
        <f t="shared" si="39"/>
        <v>9.8128137599985329E-3</v>
      </c>
      <c r="DA22" s="291">
        <f t="shared" si="40"/>
        <v>105.79042784748044</v>
      </c>
      <c r="DB22" s="291">
        <f t="shared" si="41"/>
        <v>256.19753915377566</v>
      </c>
      <c r="DC22" s="281">
        <f t="shared" si="42"/>
        <v>0.33859868881435945</v>
      </c>
      <c r="DD22" s="281">
        <f t="shared" si="43"/>
        <v>0.82</v>
      </c>
      <c r="DJ22" s="291">
        <f>7/10*V_S1*SQRT(-n_neg/0.8)</f>
        <v>59.335253545399716</v>
      </c>
      <c r="DK22" s="289">
        <f>-0.8*(7/10*SQRT(-n_neg/0.8))^2</f>
        <v>-0.49000000000000005</v>
      </c>
      <c r="DX22" s="281">
        <f>d_fus/2*-0.25882</f>
        <v>-0.51529120849999999</v>
      </c>
      <c r="DY22" s="281">
        <f>d_fus/2*-0.96593</f>
        <v>-1.9230941852499996</v>
      </c>
      <c r="EB22" s="281">
        <f>$AH$6+D_nac/2*0</f>
        <v>-6.0190949159048603</v>
      </c>
      <c r="EC22" s="281">
        <f>$AJ$6+D_nac/2*1</f>
        <v>-0.89121149722047099</v>
      </c>
      <c r="ED22" s="281">
        <f>0+0*2.2*nose_scale*w_tyre/2</f>
        <v>0</v>
      </c>
      <c r="EE22" s="281">
        <f>-h_cg+D_nose</f>
        <v>-2.914183264228174</v>
      </c>
      <c r="EG22" s="281">
        <f>d_fus/2*-0.98481</f>
        <v>-1.9606828492499997</v>
      </c>
      <c r="EH22" s="281">
        <f>d_fus/2*0.17365</f>
        <v>0.34572412624999999</v>
      </c>
      <c r="EI22" s="281">
        <f>w_cabin/2*-0.98481</f>
        <v>-1.8366706499999998</v>
      </c>
      <c r="EJ22" s="281">
        <f>w_cabin/2*0.17365</f>
        <v>0.32385724999999999</v>
      </c>
      <c r="EM22" s="281">
        <f>$AX$9+0.05*seat_w</f>
        <v>0.80649999999999999</v>
      </c>
      <c r="EN22" s="281">
        <f>z_floor+1.1</f>
        <v>0.50000000000000011</v>
      </c>
      <c r="GA22" s="292" t="s">
        <v>1555</v>
      </c>
      <c r="GB22" s="297">
        <v>19</v>
      </c>
      <c r="GC22" s="297">
        <v>7765</v>
      </c>
      <c r="GD22" s="297">
        <v>4932</v>
      </c>
      <c r="GE22" s="297">
        <v>28.8</v>
      </c>
      <c r="GF22" s="297">
        <v>17.649999999999999</v>
      </c>
      <c r="GG22" s="297">
        <v>17.63</v>
      </c>
      <c r="GH22" s="297">
        <v>0</v>
      </c>
      <c r="GI22" s="297">
        <v>2</v>
      </c>
      <c r="GJ22" s="297">
        <v>1300</v>
      </c>
      <c r="GK22" s="281">
        <f t="shared" si="47"/>
        <v>4.2801218978276765</v>
      </c>
      <c r="GZ22" s="292" t="s">
        <v>1556</v>
      </c>
      <c r="HA22" s="294">
        <f>(HA17-HA6)/MAC</f>
        <v>0.63313965066747935</v>
      </c>
      <c r="HB22" s="294">
        <f>(HB17-HB6)/MAC</f>
        <v>8.4636349092665222E-2</v>
      </c>
      <c r="HF22" s="297">
        <f t="shared" si="65"/>
        <v>72991.385583604511</v>
      </c>
      <c r="HG22" s="297">
        <f t="shared" si="48"/>
        <v>135.54247744671173</v>
      </c>
      <c r="HH22" s="297">
        <f t="shared" si="49"/>
        <v>35.883889640669693</v>
      </c>
      <c r="HI22" s="297">
        <f t="shared" si="50"/>
        <v>6.043602465797</v>
      </c>
      <c r="HJ22" s="297">
        <f t="shared" si="51"/>
        <v>4.2305217260578996</v>
      </c>
      <c r="HK22" s="297">
        <f t="shared" si="52"/>
        <v>5511.477642605777</v>
      </c>
      <c r="HL22" s="297">
        <f t="shared" si="53"/>
        <v>1703.1937592657171</v>
      </c>
      <c r="HM22" s="297">
        <f t="shared" si="54"/>
        <v>9147.0379438144791</v>
      </c>
      <c r="HN22" s="297">
        <f t="shared" si="55"/>
        <v>3138.6295800949938</v>
      </c>
      <c r="HO22" s="297">
        <f t="shared" si="56"/>
        <v>4710.4241854608299</v>
      </c>
      <c r="HP22" s="297">
        <f t="shared" si="57"/>
        <v>12408.535549212767</v>
      </c>
      <c r="HQ22" s="297">
        <f t="shared" si="58"/>
        <v>36619.298660454566</v>
      </c>
      <c r="HR22" s="297">
        <f t="shared" si="59"/>
        <v>72991.446571397129</v>
      </c>
      <c r="HW22" s="293">
        <f>MAX(0,MIN(17,n_rows_b-1))</f>
        <v>0</v>
      </c>
      <c r="HX22" s="281">
        <f t="shared" si="62"/>
        <v>6.5</v>
      </c>
      <c r="HY22" s="281">
        <f>$HX$7+0.2*(bus_pitch*(n_rows_b&gt;0))*($HW$7*n_SA_b+$HU$5&lt;pax_b)</f>
        <v>6.5</v>
      </c>
      <c r="HZ22" s="281">
        <f>$HV$5+seat_w_b*($HW$7*n_SA_b+$HU$5&lt;pax_b)</f>
        <v>-1.84</v>
      </c>
      <c r="IA22" s="281">
        <f t="shared" si="63"/>
        <v>-11.310479999999998</v>
      </c>
    </row>
    <row r="23" spans="1:235" x14ac:dyDescent="0.25">
      <c r="A23" s="289">
        <f>28/50</f>
        <v>0.56000000000000005</v>
      </c>
      <c r="B23" s="290">
        <f t="shared" si="0"/>
        <v>3117.1219249552942</v>
      </c>
      <c r="C23" s="291">
        <f t="shared" si="1"/>
        <v>317.85797647058826</v>
      </c>
      <c r="D23" s="281">
        <f t="shared" si="2"/>
        <v>0.16099300106951872</v>
      </c>
      <c r="E23" s="281">
        <f t="shared" si="3"/>
        <v>0.2194155421601327</v>
      </c>
      <c r="F23" s="281">
        <f t="shared" si="4"/>
        <v>0.21104328049055099</v>
      </c>
      <c r="G23" s="281">
        <f t="shared" si="5"/>
        <v>0.34602621776610837</v>
      </c>
      <c r="H23" s="281">
        <f t="shared" si="6"/>
        <v>0.34602621776610837</v>
      </c>
      <c r="S23" s="292" t="s">
        <v>1557</v>
      </c>
      <c r="T23" s="281">
        <f>L_fus-tail_len+1*tail_len</f>
        <v>35.620959999999997</v>
      </c>
      <c r="U23" s="281">
        <f>d_fus/2*(1-0.88*1^1.3)</f>
        <v>0.23891099999999998</v>
      </c>
      <c r="V23" s="281">
        <f t="shared" si="76"/>
        <v>1.3140105</v>
      </c>
      <c r="X23" s="281">
        <f t="shared" si="8"/>
        <v>17.810479999999998</v>
      </c>
      <c r="Y23" s="281">
        <f t="shared" si="9"/>
        <v>1.5529215000000001</v>
      </c>
      <c r="Z23" s="281">
        <f t="shared" si="10"/>
        <v>0.23891099999999998</v>
      </c>
      <c r="AA23" s="281">
        <f t="shared" si="11"/>
        <v>35.620959999999997</v>
      </c>
      <c r="AC23" s="281">
        <f>x_vLE0+b_VT*TAN(RADIANS(sweepLE_VT))+taper_VT*cr_VT-L_fus/2</f>
        <v>17.597048134347531</v>
      </c>
      <c r="AD23" s="281">
        <v>0</v>
      </c>
      <c r="AE23" s="281">
        <f>z_VT0+b_VT</f>
        <v>8.2707682466377648</v>
      </c>
      <c r="AL23" s="281">
        <f>AI8+0*L_nac-L_fus/2</f>
        <v>-7.4249768198019375</v>
      </c>
      <c r="AM23" s="281">
        <f>AH8+-1*D_nac/2</f>
        <v>-7.1353902511482161</v>
      </c>
      <c r="AN23" s="281">
        <f>AJ8+-1*D_nac/2</f>
        <v>-3.1238021677071828</v>
      </c>
      <c r="AP23" s="281">
        <f>x_nose-L_fus/2+-1*D_nose/2</f>
        <v>-14.215091648108579</v>
      </c>
      <c r="AQ23" s="281">
        <f>-h_cg+D_nose/2+0*D_nose/2</f>
        <v>-3.2887426321140869</v>
      </c>
      <c r="AY23" s="293">
        <f>MAX(0,MIN(18,n_rows-1))</f>
        <v>18</v>
      </c>
      <c r="AZ23" s="281">
        <f t="shared" si="14"/>
        <v>21.080000000000002</v>
      </c>
      <c r="BD23" s="281">
        <f t="shared" si="15"/>
        <v>17.810479999999998</v>
      </c>
      <c r="BE23" s="281">
        <f t="shared" si="16"/>
        <v>0.23891099999999998</v>
      </c>
      <c r="BF23" s="281">
        <f t="shared" si="17"/>
        <v>1.3140105</v>
      </c>
      <c r="BG23" s="281">
        <f t="shared" si="18"/>
        <v>13.797188263899514</v>
      </c>
      <c r="BH23" s="281">
        <f t="shared" si="19"/>
        <v>-3.5700402163086808</v>
      </c>
      <c r="BM23" s="281">
        <f>$AZ$7</f>
        <v>8.120000000000001</v>
      </c>
      <c r="BN23" s="281">
        <f>$AX$5+seat_w*($AY$7*n_SA+$AW$5&lt;pax_e)</f>
        <v>-1.31</v>
      </c>
      <c r="BO23" s="281">
        <f t="shared" si="20"/>
        <v>-9.6904799999999973</v>
      </c>
      <c r="CA23" s="281">
        <f>$BX$7+0*lav_len</f>
        <v>28.25</v>
      </c>
      <c r="CB23" s="281">
        <f>$BY$7+0*lav_w</f>
        <v>0.86499999999999999</v>
      </c>
      <c r="CE23" s="281">
        <f>18/24*CLmax_c</f>
        <v>1.125</v>
      </c>
      <c r="CF23" s="294">
        <f t="shared" si="26"/>
        <v>7.1008019697547373E-2</v>
      </c>
      <c r="CG23" s="289">
        <f t="shared" si="27"/>
        <v>15.84328086872218</v>
      </c>
      <c r="CH23" s="281">
        <f>18/24*CLmaxTO</f>
        <v>1.5750000000000002</v>
      </c>
      <c r="CI23" s="294">
        <f t="shared" si="28"/>
        <v>0.13981238527385956</v>
      </c>
      <c r="CJ23" s="289">
        <f t="shared" si="29"/>
        <v>11.265096414133454</v>
      </c>
      <c r="CK23" s="281">
        <f>18/24*CLmaxL</f>
        <v>2.0250000000000004</v>
      </c>
      <c r="CL23" s="294">
        <f t="shared" si="30"/>
        <v>0.2296276406247873</v>
      </c>
      <c r="CM23" s="289">
        <f t="shared" si="31"/>
        <v>8.8186247722192128</v>
      </c>
      <c r="CR23" s="293">
        <f>18/28*h_abs</f>
        <v>7370.6250423673491</v>
      </c>
      <c r="CS23" s="289">
        <f t="shared" si="32"/>
        <v>240.2409372246122</v>
      </c>
      <c r="CT23" s="294">
        <f t="shared" si="33"/>
        <v>0.56499212060322579</v>
      </c>
      <c r="CU23" s="291">
        <f t="shared" si="34"/>
        <v>310.71954308409897</v>
      </c>
      <c r="CV23" s="294">
        <f t="shared" si="35"/>
        <v>0.10660244757250635</v>
      </c>
      <c r="CW23" s="291">
        <f t="shared" si="36"/>
        <v>201.59072198022088</v>
      </c>
      <c r="CX23" s="289">
        <f t="shared" si="37"/>
        <v>9.4530701523132858</v>
      </c>
      <c r="CY23" s="293">
        <f t="shared" si="38"/>
        <v>45.906935842221721</v>
      </c>
      <c r="CZ23" s="295">
        <f t="shared" si="39"/>
        <v>8.3485144856551598E-3</v>
      </c>
      <c r="DA23" s="291">
        <f t="shared" si="40"/>
        <v>108.30006127936409</v>
      </c>
      <c r="DB23" s="291">
        <f t="shared" si="41"/>
        <v>254.79002532896118</v>
      </c>
      <c r="DC23" s="281">
        <f t="shared" si="42"/>
        <v>0.34854602386581046</v>
      </c>
      <c r="DD23" s="281">
        <f t="shared" si="43"/>
        <v>0.82000000000000006</v>
      </c>
      <c r="DJ23" s="291">
        <f>6/10*V_S1*SQRT(-n_neg/0.8)</f>
        <v>50.858788753199768</v>
      </c>
      <c r="DK23" s="289">
        <f>-0.8*(6/10*SQRT(-n_neg/0.8))^2</f>
        <v>-0.36000000000000004</v>
      </c>
      <c r="DX23" s="281">
        <f>d_fus/2*0</f>
        <v>0</v>
      </c>
      <c r="DY23" s="281">
        <f>d_fus/2*-1</f>
        <v>-1.9909249999999998</v>
      </c>
      <c r="EB23" s="281">
        <f>$AH$6+D_nac/2*-0.5</f>
        <v>-6.5772425835265382</v>
      </c>
      <c r="EC23" s="281">
        <f>$AJ$6+D_nac/2*0.86603</f>
        <v>-1.0407615832830235</v>
      </c>
      <c r="ED23" s="281">
        <f>0+-1*2.2*nose_scale*w_tyre/2</f>
        <v>-0.30112281215115055</v>
      </c>
      <c r="EE23" s="281">
        <f>-h_cg+D_nose</f>
        <v>-2.914183264228174</v>
      </c>
      <c r="EG23" s="281">
        <f>d_fus/2*-1</f>
        <v>-1.9909249999999998</v>
      </c>
      <c r="EH23" s="281">
        <f>d_fus/2*0</f>
        <v>0</v>
      </c>
      <c r="EI23" s="281">
        <f>w_cabin/2*-1</f>
        <v>-1.865</v>
      </c>
      <c r="EJ23" s="281">
        <f>w_cabin/2*0</f>
        <v>0</v>
      </c>
      <c r="EM23" s="281">
        <f>$AX$9+0.95*seat_w</f>
        <v>1.2835000000000001</v>
      </c>
      <c r="EN23" s="281">
        <f>z_floor+1.1</f>
        <v>0.50000000000000011</v>
      </c>
      <c r="GA23" s="292" t="s">
        <v>1558</v>
      </c>
      <c r="GB23" s="297">
        <v>70</v>
      </c>
      <c r="GC23" s="297">
        <v>23000</v>
      </c>
      <c r="GD23" s="297">
        <v>13500</v>
      </c>
      <c r="GE23" s="297">
        <v>61</v>
      </c>
      <c r="GF23" s="297">
        <v>27.05</v>
      </c>
      <c r="GG23" s="297">
        <v>27.17</v>
      </c>
      <c r="GH23" s="297">
        <v>0</v>
      </c>
      <c r="GI23" s="297">
        <v>2</v>
      </c>
      <c r="GJ23" s="297">
        <v>1530</v>
      </c>
      <c r="GK23" s="281">
        <f t="shared" si="47"/>
        <v>1.8901978756162592</v>
      </c>
      <c r="GZ23" s="292" t="s">
        <v>1559</v>
      </c>
      <c r="HA23" s="294">
        <f>(HA18-HA6)/MAC</f>
        <v>0.82302196058894872</v>
      </c>
      <c r="HB23" s="294">
        <f>(HB18-HB6)/MAC</f>
        <v>-0.21132392107725739</v>
      </c>
      <c r="HF23" s="297">
        <f t="shared" si="65"/>
        <v>72991.446571397129</v>
      </c>
      <c r="HG23" s="297">
        <f t="shared" si="48"/>
        <v>135.54259069893237</v>
      </c>
      <c r="HH23" s="297">
        <f t="shared" si="49"/>
        <v>35.883904632019323</v>
      </c>
      <c r="HI23" s="297">
        <f t="shared" si="50"/>
        <v>6.0436049906558846</v>
      </c>
      <c r="HJ23" s="297">
        <f t="shared" si="51"/>
        <v>4.2305234934591187</v>
      </c>
      <c r="HK23" s="297">
        <f t="shared" si="52"/>
        <v>5511.482699337731</v>
      </c>
      <c r="HL23" s="297">
        <f t="shared" si="53"/>
        <v>1703.1958939158949</v>
      </c>
      <c r="HM23" s="297">
        <f t="shared" si="54"/>
        <v>9147.0379438144791</v>
      </c>
      <c r="HN23" s="297">
        <f t="shared" si="55"/>
        <v>3138.6322025700765</v>
      </c>
      <c r="HO23" s="297">
        <f t="shared" si="56"/>
        <v>4710.4285148240988</v>
      </c>
      <c r="HP23" s="297">
        <f t="shared" si="57"/>
        <v>12408.545917137513</v>
      </c>
      <c r="HQ23" s="297">
        <f t="shared" si="58"/>
        <v>36619.323171599797</v>
      </c>
      <c r="HR23" s="297">
        <f t="shared" si="59"/>
        <v>72991.481423416029</v>
      </c>
      <c r="HW23" s="293">
        <f>MAX(0,MIN(18,n_rows_b-1))</f>
        <v>0</v>
      </c>
      <c r="HX23" s="281">
        <f t="shared" si="62"/>
        <v>6.5</v>
      </c>
      <c r="HY23" s="281">
        <f>$HX$7</f>
        <v>6.5</v>
      </c>
      <c r="HZ23" s="281">
        <f>$HV$5+seat_w_b*($HW$7*n_SA_b+$HU$5&lt;pax_b)</f>
        <v>-1.84</v>
      </c>
      <c r="IA23" s="281">
        <f t="shared" si="63"/>
        <v>-11.310479999999998</v>
      </c>
    </row>
    <row r="24" spans="1:235" x14ac:dyDescent="0.25">
      <c r="A24" s="289">
        <f>29/50</f>
        <v>0.57999999999999996</v>
      </c>
      <c r="B24" s="290">
        <f t="shared" si="0"/>
        <v>3228.4477079894109</v>
      </c>
      <c r="C24" s="291">
        <f t="shared" si="1"/>
        <v>329.21004705882348</v>
      </c>
      <c r="D24" s="281">
        <f t="shared" si="2"/>
        <v>0.16674275110771578</v>
      </c>
      <c r="E24" s="281">
        <f t="shared" si="3"/>
        <v>0.2194155421601327</v>
      </c>
      <c r="F24" s="281">
        <f t="shared" si="4"/>
        <v>0.21104328049055099</v>
      </c>
      <c r="G24" s="281">
        <f t="shared" si="5"/>
        <v>0.33868453054349595</v>
      </c>
      <c r="H24" s="281">
        <f t="shared" si="6"/>
        <v>0.33868453054349595</v>
      </c>
      <c r="X24" s="281">
        <f>T23-L_fus/2</f>
        <v>17.810479999999998</v>
      </c>
      <c r="Y24" s="281">
        <f>V23+-1*U23</f>
        <v>1.0750994999999999</v>
      </c>
      <c r="Z24" s="281">
        <f>-1*U23</f>
        <v>-0.23891099999999998</v>
      </c>
      <c r="AA24" s="281">
        <f>T23</f>
        <v>35.620959999999997</v>
      </c>
      <c r="AC24" s="281">
        <f>x_vLE0+cr_VT-L_fus/2</f>
        <v>16.344267720633177</v>
      </c>
      <c r="AD24" s="281">
        <v>0</v>
      </c>
      <c r="AE24" s="281">
        <f>z_VT0</f>
        <v>1.59274</v>
      </c>
      <c r="AL24" s="281">
        <f>AI8+1*L_nac-L_fus/2</f>
        <v>-3.1011786900655132</v>
      </c>
      <c r="AM24" s="281">
        <f>AH8+-1*D_nac/2</f>
        <v>-7.1353902511482161</v>
      </c>
      <c r="AN24" s="281">
        <f>AJ8+-1*D_nac/2</f>
        <v>-3.1238021677071828</v>
      </c>
      <c r="AP24" s="281">
        <f>x_nose-L_fus/2+-0.86603*D_nose/2</f>
        <v>-14.164911929592902</v>
      </c>
      <c r="AQ24" s="281">
        <f>-h_cg+D_nose/2+-0.5*D_nose/2</f>
        <v>-3.4760223160570431</v>
      </c>
      <c r="AY24" s="293">
        <f>MAX(0,MIN(19,n_rows-1))</f>
        <v>19</v>
      </c>
      <c r="AZ24" s="281">
        <f t="shared" si="14"/>
        <v>21.89</v>
      </c>
      <c r="BD24" s="281">
        <f>T23-L_fus/2</f>
        <v>17.810479999999998</v>
      </c>
      <c r="BE24" s="281">
        <f>U23*0.86603</f>
        <v>0.20690409332999998</v>
      </c>
      <c r="BF24" s="281">
        <f>V23+U23*0.5</f>
        <v>1.4334659999999999</v>
      </c>
      <c r="BG24" s="281">
        <f t="shared" si="18"/>
        <v>13.776614620867646</v>
      </c>
      <c r="BH24" s="281">
        <f t="shared" si="19"/>
        <v>-3.4721388223208054</v>
      </c>
      <c r="BM24" s="281">
        <f>$AZ$7+1*(seat_pitch)*($AY$7*n_SA+$AW$5&lt;pax_e)</f>
        <v>8.9300000000000015</v>
      </c>
      <c r="BN24" s="281">
        <f>$AX$5+seat_w*($AY$7*n_SA+$AW$5&lt;pax_e)</f>
        <v>-1.31</v>
      </c>
      <c r="BO24" s="281">
        <f t="shared" si="20"/>
        <v>-8.8804799999999968</v>
      </c>
      <c r="CA24" s="281">
        <f>$BX$7+1*lav_len</f>
        <v>29.25</v>
      </c>
      <c r="CB24" s="281">
        <f>$BY$7+0*lav_w</f>
        <v>0.86499999999999999</v>
      </c>
      <c r="CE24" s="281">
        <f>19/24*CLmax_c</f>
        <v>1.1875</v>
      </c>
      <c r="CF24" s="294">
        <f t="shared" si="26"/>
        <v>7.7061404663008037E-2</v>
      </c>
      <c r="CG24" s="289">
        <f t="shared" si="27"/>
        <v>15.409789182963575</v>
      </c>
      <c r="CH24" s="281">
        <f>19/24*CLmaxTO</f>
        <v>1.6625000000000001</v>
      </c>
      <c r="CI24" s="294">
        <f t="shared" si="28"/>
        <v>0.15167701980616244</v>
      </c>
      <c r="CJ24" s="289">
        <f t="shared" si="29"/>
        <v>10.960790251051959</v>
      </c>
      <c r="CK24" s="281">
        <f>19/24*CLmaxL</f>
        <v>2.1375000000000002</v>
      </c>
      <c r="CL24" s="294">
        <f t="shared" si="30"/>
        <v>0.24924060791287977</v>
      </c>
      <c r="CM24" s="289">
        <f t="shared" si="31"/>
        <v>8.5760503390649241</v>
      </c>
      <c r="CR24" s="293">
        <f>19/28*h_abs</f>
        <v>7780.1042113877575</v>
      </c>
      <c r="CS24" s="289">
        <f t="shared" si="32"/>
        <v>237.57932262597956</v>
      </c>
      <c r="CT24" s="294">
        <f t="shared" si="33"/>
        <v>0.5388288656739747</v>
      </c>
      <c r="CU24" s="291">
        <f t="shared" si="34"/>
        <v>308.99352779121028</v>
      </c>
      <c r="CV24" s="294">
        <f t="shared" si="35"/>
        <v>0.10026635136306639</v>
      </c>
      <c r="CW24" s="291">
        <f t="shared" si="36"/>
        <v>201.8247497915028</v>
      </c>
      <c r="CX24" s="289">
        <f t="shared" si="37"/>
        <v>8.3864637441660506</v>
      </c>
      <c r="CY24" s="293">
        <f t="shared" si="38"/>
        <v>52.015129562355504</v>
      </c>
      <c r="CZ24" s="295">
        <f t="shared" si="39"/>
        <v>7.0377738728680788E-3</v>
      </c>
      <c r="DA24" s="291">
        <f t="shared" si="40"/>
        <v>110.89819340205479</v>
      </c>
      <c r="DB24" s="291">
        <f t="shared" si="41"/>
        <v>253.37469278879246</v>
      </c>
      <c r="DC24" s="281">
        <f t="shared" si="42"/>
        <v>0.35890134720553013</v>
      </c>
      <c r="DD24" s="281">
        <f t="shared" si="43"/>
        <v>0.82000000000000006</v>
      </c>
      <c r="DJ24" s="291">
        <f>5/10*V_S1*SQRT(-n_neg/0.8)</f>
        <v>42.382323960999805</v>
      </c>
      <c r="DK24" s="289">
        <f>-0.8*(5/10*SQRT(-n_neg/0.8))^2</f>
        <v>-0.25000000000000006</v>
      </c>
      <c r="DX24" s="281">
        <f>d_fus/2*0.25882</f>
        <v>0.51529120849999999</v>
      </c>
      <c r="DY24" s="281">
        <f>d_fus/2*-0.96593</f>
        <v>-1.9230941852499996</v>
      </c>
      <c r="EB24" s="281">
        <f>$AH$6+D_nac/2*-0.86603</f>
        <v>-6.9858401650856639</v>
      </c>
      <c r="EC24" s="281">
        <f>$AJ$6+D_nac/2*0.5</f>
        <v>-1.4493591648421491</v>
      </c>
      <c r="ED24" s="281">
        <f>0+-1*2.2*nose_scale*w_tyre/2</f>
        <v>-0.30112281215115055</v>
      </c>
      <c r="EE24" s="281">
        <f>-h_cg</f>
        <v>-3.6633019999999998</v>
      </c>
      <c r="EG24" s="281">
        <f>d_fus/2*-0.98481</f>
        <v>-1.9606828492499997</v>
      </c>
      <c r="EH24" s="281">
        <f>d_fus/2*-0.17365</f>
        <v>-0.34572412624999999</v>
      </c>
      <c r="EI24" s="281">
        <f>w_cabin/2*-0.98481</f>
        <v>-1.8366706499999998</v>
      </c>
      <c r="EJ24" s="281">
        <f>w_cabin/2*-0.17365</f>
        <v>-0.32385724999999999</v>
      </c>
      <c r="EM24" s="281">
        <f>$AX$9+0.95*seat_w</f>
        <v>1.2835000000000001</v>
      </c>
      <c r="EN24" s="281">
        <f>z_floor+0</f>
        <v>-0.6</v>
      </c>
      <c r="GA24" s="292" t="s">
        <v>1560</v>
      </c>
      <c r="GB24" s="297">
        <v>78</v>
      </c>
      <c r="GC24" s="297">
        <v>29574</v>
      </c>
      <c r="GD24" s="297">
        <v>17819</v>
      </c>
      <c r="GE24" s="297">
        <v>63.1</v>
      </c>
      <c r="GF24" s="297">
        <v>28.42</v>
      </c>
      <c r="GG24" s="297">
        <v>32.83</v>
      </c>
      <c r="GH24" s="297">
        <v>0</v>
      </c>
      <c r="GI24" s="297">
        <v>2</v>
      </c>
      <c r="GJ24" s="297">
        <v>2040</v>
      </c>
      <c r="GK24" s="281">
        <f t="shared" si="47"/>
        <v>1.5305829099538804</v>
      </c>
      <c r="GZ24" s="292" t="s">
        <v>1433</v>
      </c>
      <c r="HA24" s="294">
        <f>(CLa_w*(0.25-1.8/CLa_w*d_fus^2*(HA7+d_fus/2*TAN(RADIANS(sweepLE)))/(S_ref*MAC))+tail_k*(0.25+L_tail/MAC))/(CLa_w+tail_k)</f>
        <v>0.58978222369119271</v>
      </c>
      <c r="HB24" s="294">
        <f>(CLa_w*(0.25-1.8/CLa_w*d_fus^2*(HB7+d_fus/2*TAN(RADIANS(sweepLE)))/(S_ref*MAC))+tail_k*(0.25+L_tail/MAC))/(CLa_w+tail_k)</f>
        <v>0.53374882051588413</v>
      </c>
      <c r="HF24" s="297">
        <f t="shared" si="65"/>
        <v>72991.481423416029</v>
      </c>
      <c r="HG24" s="297">
        <f t="shared" si="48"/>
        <v>135.54265541792554</v>
      </c>
      <c r="HH24" s="297">
        <f t="shared" si="49"/>
        <v>35.883913198957174</v>
      </c>
      <c r="HI24" s="297">
        <f t="shared" si="50"/>
        <v>6.0436064335085753</v>
      </c>
      <c r="HJ24" s="297">
        <f t="shared" si="51"/>
        <v>4.2305245034560022</v>
      </c>
      <c r="HK24" s="297">
        <f t="shared" si="52"/>
        <v>5511.4855890524695</v>
      </c>
      <c r="HL24" s="297">
        <f t="shared" si="53"/>
        <v>1703.1971137812084</v>
      </c>
      <c r="HM24" s="297">
        <f t="shared" si="54"/>
        <v>9147.0379438144791</v>
      </c>
      <c r="HN24" s="297">
        <f t="shared" si="55"/>
        <v>3138.6337012068889</v>
      </c>
      <c r="HO24" s="297">
        <f t="shared" si="56"/>
        <v>4710.4309888775788</v>
      </c>
      <c r="HP24" s="297">
        <f t="shared" si="57"/>
        <v>12408.551841980727</v>
      </c>
      <c r="HQ24" s="297">
        <f t="shared" si="58"/>
        <v>36619.337178713351</v>
      </c>
      <c r="HR24" s="297">
        <f t="shared" si="59"/>
        <v>72991.501339914495</v>
      </c>
      <c r="HW24" s="293">
        <f>MAX(0,MIN(19,n_rows_b-1))</f>
        <v>0</v>
      </c>
      <c r="HX24" s="281">
        <f t="shared" si="62"/>
        <v>6.5</v>
      </c>
      <c r="HY24" s="281">
        <f>$HX$7+1*(bus_pitch*(n_rows_b&gt;0))*($HW$7*n_SA_b+$HU$5&lt;pax_b)</f>
        <v>6.5</v>
      </c>
      <c r="HZ24" s="281">
        <f>$HV$5+seat_w_b*($HW$7*n_SA_b+$HU$5&lt;pax_b)</f>
        <v>-1.84</v>
      </c>
      <c r="IA24" s="281">
        <f t="shared" si="63"/>
        <v>-11.310479999999998</v>
      </c>
    </row>
    <row r="25" spans="1:235" x14ac:dyDescent="0.25">
      <c r="A25" s="289">
        <f>30/50</f>
        <v>0.6</v>
      </c>
      <c r="B25" s="290">
        <f t="shared" si="0"/>
        <v>3339.773491023529</v>
      </c>
      <c r="C25" s="291">
        <f t="shared" si="1"/>
        <v>340.56211764705881</v>
      </c>
      <c r="D25" s="281">
        <f t="shared" si="2"/>
        <v>0.17249250114591289</v>
      </c>
      <c r="E25" s="281">
        <f t="shared" si="3"/>
        <v>0.2194155421601327</v>
      </c>
      <c r="F25" s="281">
        <f t="shared" si="4"/>
        <v>0.21104328049055099</v>
      </c>
      <c r="G25" s="281">
        <f t="shared" si="5"/>
        <v>0.33195553480737133</v>
      </c>
      <c r="H25" s="281">
        <f t="shared" si="6"/>
        <v>0.33195553480737133</v>
      </c>
      <c r="X25" s="281">
        <f>T22-L_fus/2</f>
        <v>17.173383999999999</v>
      </c>
      <c r="Y25" s="281">
        <f>V22+-1*U22</f>
        <v>0.68264083714758272</v>
      </c>
      <c r="Z25" s="281">
        <f>-1*U22</f>
        <v>-0.46317309305852405</v>
      </c>
      <c r="AA25" s="281">
        <f>T22</f>
        <v>34.983863999999997</v>
      </c>
      <c r="AC25" s="281">
        <f>x_vLE0-L_fus/2</f>
        <v>10.524635261689589</v>
      </c>
      <c r="AD25" s="281">
        <v>0</v>
      </c>
      <c r="AE25" s="281">
        <f>z_VT0</f>
        <v>1.59274</v>
      </c>
      <c r="AL25" s="281">
        <f>AI8+1*L_nac-L_fus/2</f>
        <v>-3.1011786900655132</v>
      </c>
      <c r="AM25" s="281">
        <f>AH8+1*D_nac/2</f>
        <v>-4.9027995806615046</v>
      </c>
      <c r="AN25" s="281">
        <f>AJ8+1*D_nac/2</f>
        <v>-0.89121149722047099</v>
      </c>
      <c r="AP25" s="281">
        <f>x_nose-L_fus/2+-0.5*D_nose/2</f>
        <v>-14.027811964165622</v>
      </c>
      <c r="AQ25" s="281">
        <f>-h_cg+D_nose/2+-0.86603*D_nose/2</f>
        <v>-3.613122281484324</v>
      </c>
      <c r="AY25" s="293">
        <f>MAX(0,MIN(20,n_rows-1))</f>
        <v>20</v>
      </c>
      <c r="AZ25" s="281">
        <f t="shared" si="14"/>
        <v>22.700000000000003</v>
      </c>
      <c r="BD25" s="281">
        <f>T22-L_fus/2</f>
        <v>17.173383999999999</v>
      </c>
      <c r="BE25" s="281">
        <f>U22*0.86603</f>
        <v>0.40112179378147356</v>
      </c>
      <c r="BF25" s="281">
        <f>V22+U22*0.5</f>
        <v>1.3774004767353687</v>
      </c>
      <c r="BG25" s="281">
        <f t="shared" si="18"/>
        <v>13.413411501766335</v>
      </c>
      <c r="BH25" s="281">
        <f t="shared" si="19"/>
        <v>-3.2870050173047392</v>
      </c>
      <c r="BM25" s="281">
        <f>$AZ$7+0.8*(seat_pitch)*($AY$7*n_SA+$AW$5&lt;pax_e)</f>
        <v>8.7680000000000007</v>
      </c>
      <c r="BN25" s="281">
        <f>$AX$5+seat_w*($AY$7*n_SA+$AW$5&lt;pax_e)</f>
        <v>-1.31</v>
      </c>
      <c r="BO25" s="281">
        <f t="shared" si="20"/>
        <v>-9.0424799999999976</v>
      </c>
      <c r="CA25" s="281">
        <f>$BX$7+1*lav_len</f>
        <v>29.25</v>
      </c>
      <c r="CB25" s="281">
        <f>$BY$7+1*lav_w</f>
        <v>1.865</v>
      </c>
      <c r="CE25" s="281">
        <f>20/24*CLmax_c</f>
        <v>1.25</v>
      </c>
      <c r="CF25" s="294">
        <f t="shared" si="26"/>
        <v>8.3441999626601704E-2</v>
      </c>
      <c r="CG25" s="289">
        <f t="shared" si="27"/>
        <v>14.980465540059926</v>
      </c>
      <c r="CH25" s="281">
        <f>20/24*CLmaxTO</f>
        <v>1.7500000000000002</v>
      </c>
      <c r="CI25" s="294">
        <f t="shared" si="28"/>
        <v>0.16418298593480601</v>
      </c>
      <c r="CJ25" s="289">
        <f t="shared" si="29"/>
        <v>10.658838917053759</v>
      </c>
      <c r="CK25" s="281">
        <f>20/24*CLmaxL</f>
        <v>2.2500000000000004</v>
      </c>
      <c r="CL25" s="294">
        <f t="shared" si="30"/>
        <v>0.26991373559492332</v>
      </c>
      <c r="CM25" s="289">
        <f t="shared" si="31"/>
        <v>8.3359966659003906</v>
      </c>
      <c r="CR25" s="293">
        <f>20/28*h_abs</f>
        <v>8189.5833804081658</v>
      </c>
      <c r="CS25" s="289">
        <f t="shared" si="32"/>
        <v>234.91770802734692</v>
      </c>
      <c r="CT25" s="294">
        <f t="shared" si="33"/>
        <v>0.51360272931966311</v>
      </c>
      <c r="CU25" s="291">
        <f t="shared" si="34"/>
        <v>307.25781679124719</v>
      </c>
      <c r="CV25" s="294">
        <f t="shared" si="35"/>
        <v>9.4241768171481555E-2</v>
      </c>
      <c r="CW25" s="291">
        <f t="shared" si="36"/>
        <v>202.19427091119593</v>
      </c>
      <c r="CX25" s="289">
        <f t="shared" si="37"/>
        <v>7.3581541185858459</v>
      </c>
      <c r="CY25" s="293">
        <f t="shared" si="38"/>
        <v>59.675094138467919</v>
      </c>
      <c r="CZ25" s="295">
        <f t="shared" si="39"/>
        <v>5.8659435252934686E-3</v>
      </c>
      <c r="DA25" s="291">
        <f t="shared" si="40"/>
        <v>113.58898961821197</v>
      </c>
      <c r="DB25" s="291">
        <f t="shared" si="41"/>
        <v>251.95140976882271</v>
      </c>
      <c r="DC25" s="281">
        <f t="shared" si="42"/>
        <v>0.36968624852068455</v>
      </c>
      <c r="DD25" s="281">
        <f t="shared" si="43"/>
        <v>0.82000000000000006</v>
      </c>
      <c r="DJ25" s="291">
        <f>4/10*V_S1*SQRT(-n_neg/0.8)</f>
        <v>33.905859168799843</v>
      </c>
      <c r="DK25" s="289">
        <f>-0.8*(4/10*SQRT(-n_neg/0.8))^2</f>
        <v>-0.16000000000000003</v>
      </c>
      <c r="DX25" s="281">
        <f>d_fus/2*0.5</f>
        <v>0.99546249999999992</v>
      </c>
      <c r="DY25" s="281">
        <f>d_fus/2*-0.86603</f>
        <v>-1.7242007777499997</v>
      </c>
      <c r="EB25" s="281">
        <f>$AH$6+D_nac/2*-1</f>
        <v>-7.1353902511482161</v>
      </c>
      <c r="EC25" s="281">
        <f>$AJ$6+D_nac/2*0</f>
        <v>-2.007506832463827</v>
      </c>
      <c r="ED25" s="281">
        <f>0+1*2.2*nose_scale*w_tyre/2</f>
        <v>0.30112281215115055</v>
      </c>
      <c r="EE25" s="281">
        <f>-h_cg</f>
        <v>-3.6633019999999998</v>
      </c>
      <c r="EG25" s="281">
        <f>d_fus/2*-0.93969</f>
        <v>-1.8708523132499999</v>
      </c>
      <c r="EH25" s="281">
        <f>d_fus/2*-0.34202</f>
        <v>-0.68093616849999994</v>
      </c>
      <c r="EI25" s="281">
        <f>w_cabin/2*-0.93969</f>
        <v>-1.7525218499999999</v>
      </c>
      <c r="EJ25" s="281">
        <f>w_cabin/2*-0.34202</f>
        <v>-0.63786730000000003</v>
      </c>
      <c r="EM25" s="281">
        <f>$AX$10+0.05*seat_w</f>
        <v>1.3365000000000002</v>
      </c>
      <c r="EN25" s="281">
        <f>z_floor+0</f>
        <v>-0.6</v>
      </c>
      <c r="GA25" s="292" t="s">
        <v>1561</v>
      </c>
      <c r="GB25" s="297">
        <v>8</v>
      </c>
      <c r="GC25" s="297">
        <v>9752</v>
      </c>
      <c r="GD25" s="297">
        <v>6146</v>
      </c>
      <c r="GE25" s="297">
        <v>28.95</v>
      </c>
      <c r="GF25" s="297">
        <v>14.58</v>
      </c>
      <c r="GG25" s="297">
        <v>17.68</v>
      </c>
      <c r="GH25" s="297">
        <v>15.6</v>
      </c>
      <c r="GI25" s="297">
        <v>2</v>
      </c>
      <c r="GJ25" s="297">
        <v>3170</v>
      </c>
      <c r="GK25" s="281">
        <f t="shared" si="47"/>
        <v>4.9172733997359614</v>
      </c>
      <c r="GZ25" s="292" t="s">
        <v>1562</v>
      </c>
      <c r="HA25" s="294">
        <f>HA24-HA19</f>
        <v>-0.1514382406726269</v>
      </c>
      <c r="HB25" s="294">
        <f>HB24-HB19</f>
        <v>0.66473372297201017</v>
      </c>
      <c r="HC25" s="294">
        <f>$HA$5+(SM_target-HA25)*($HB$5-$HA$5)/IF(ABS(HB25-HA25)&lt;0.000000001,0.000000001,HB25-HA25)</f>
        <v>0.42929122819653309</v>
      </c>
      <c r="HF25" s="297">
        <f t="shared" si="65"/>
        <v>72991.501339914495</v>
      </c>
      <c r="HG25" s="297">
        <f t="shared" si="48"/>
        <v>135.54269240217408</v>
      </c>
      <c r="HH25" s="297">
        <f t="shared" si="49"/>
        <v>35.883918094609648</v>
      </c>
      <c r="HI25" s="297">
        <f t="shared" si="50"/>
        <v>6.0436072580395201</v>
      </c>
      <c r="HJ25" s="297">
        <f t="shared" si="51"/>
        <v>4.2305250806276629</v>
      </c>
      <c r="HK25" s="297">
        <f t="shared" si="52"/>
        <v>5511.4872404058797</v>
      </c>
      <c r="HL25" s="297">
        <f t="shared" si="53"/>
        <v>1703.1978108843023</v>
      </c>
      <c r="HM25" s="297">
        <f t="shared" si="54"/>
        <v>9147.0379438144791</v>
      </c>
      <c r="HN25" s="297">
        <f t="shared" si="55"/>
        <v>3138.634557616323</v>
      </c>
      <c r="HO25" s="297">
        <f t="shared" si="56"/>
        <v>4710.4324026976574</v>
      </c>
      <c r="HP25" s="297">
        <f t="shared" si="57"/>
        <v>12408.555227785466</v>
      </c>
      <c r="HQ25" s="297">
        <f t="shared" si="58"/>
        <v>36619.345183204103</v>
      </c>
      <c r="HR25" s="297">
        <f t="shared" si="59"/>
        <v>72991.512721376304</v>
      </c>
      <c r="HY25" s="281">
        <f>$HX$7+0.8*(bus_pitch*(n_rows_b&gt;0))*($HW$7*n_SA_b+$HU$5&lt;pax_b)</f>
        <v>6.5</v>
      </c>
      <c r="HZ25" s="281">
        <f>$HV$5+seat_w_b*($HW$7*n_SA_b+$HU$5&lt;pax_b)</f>
        <v>-1.84</v>
      </c>
      <c r="IA25" s="281">
        <f t="shared" si="63"/>
        <v>-11.310479999999998</v>
      </c>
    </row>
    <row r="26" spans="1:235" x14ac:dyDescent="0.25">
      <c r="A26" s="289">
        <f>31/50</f>
        <v>0.62</v>
      </c>
      <c r="B26" s="290">
        <f t="shared" si="0"/>
        <v>3451.0992740576467</v>
      </c>
      <c r="C26" s="291">
        <f t="shared" si="1"/>
        <v>351.91418823529409</v>
      </c>
      <c r="D26" s="281">
        <f t="shared" si="2"/>
        <v>0.17824225118410997</v>
      </c>
      <c r="E26" s="281">
        <f t="shared" si="3"/>
        <v>0.2194155421601327</v>
      </c>
      <c r="F26" s="281">
        <f t="shared" si="4"/>
        <v>0.21104328049055099</v>
      </c>
      <c r="G26" s="281">
        <f t="shared" si="5"/>
        <v>0.32577993783323583</v>
      </c>
      <c r="H26" s="281">
        <f t="shared" si="6"/>
        <v>0.32577993783323583</v>
      </c>
      <c r="X26" s="281">
        <f>T21-L_fus/2</f>
        <v>16.217739999999999</v>
      </c>
      <c r="Y26" s="281">
        <f>V21+-1*U21</f>
        <v>0.1184571339588194</v>
      </c>
      <c r="Z26" s="281">
        <f>-1*U21</f>
        <v>-0.78556378059496024</v>
      </c>
      <c r="AA26" s="281">
        <f>T21</f>
        <v>34.028219999999997</v>
      </c>
      <c r="AL26" s="281">
        <f>AI8+0*L_nac-L_fus/2</f>
        <v>-7.4249768198019375</v>
      </c>
      <c r="AM26" s="281">
        <f>AH8+1*D_nac/2</f>
        <v>-4.9027995806615046</v>
      </c>
      <c r="AN26" s="281">
        <f>AJ8+1*D_nac/2</f>
        <v>-0.89121149722047099</v>
      </c>
      <c r="AP26" s="281">
        <f>x_nose-L_fus/2+0*D_nose/2</f>
        <v>-13.840532280222666</v>
      </c>
      <c r="AQ26" s="281">
        <f>-h_cg+D_nose/2+-1*D_nose/2</f>
        <v>-3.6633019999999998</v>
      </c>
      <c r="AY26" s="293">
        <f>MAX(0,MIN(21,n_rows-1))</f>
        <v>21</v>
      </c>
      <c r="AZ26" s="281">
        <f t="shared" si="14"/>
        <v>23.51</v>
      </c>
      <c r="BD26" s="281">
        <f>T21-L_fus/2</f>
        <v>16.217739999999999</v>
      </c>
      <c r="BE26" s="281">
        <f>U21*0.86603</f>
        <v>0.68032180090865335</v>
      </c>
      <c r="BF26" s="281">
        <f>V21+U21*0.5</f>
        <v>1.2968028048512599</v>
      </c>
      <c r="BG26" s="281">
        <f t="shared" si="18"/>
        <v>12.860812031172088</v>
      </c>
      <c r="BH26" s="281">
        <f t="shared" si="19"/>
        <v>-3.0100575771613132</v>
      </c>
      <c r="BM26" s="281">
        <f>$AZ$7+0.8*(seat_pitch)*($AY$7*n_SA+$AW$5&lt;pax_e)</f>
        <v>8.7680000000000007</v>
      </c>
      <c r="BN26" s="281">
        <f>$AX$5</f>
        <v>-1.84</v>
      </c>
      <c r="BO26" s="281">
        <f t="shared" si="20"/>
        <v>-9.0424799999999976</v>
      </c>
      <c r="CA26" s="281">
        <f>$BX$7+0*lav_len</f>
        <v>28.25</v>
      </c>
      <c r="CB26" s="281">
        <f>$BY$7+1*lav_w</f>
        <v>1.865</v>
      </c>
      <c r="CE26" s="281">
        <f>21/24*CLmax_c</f>
        <v>1.3125</v>
      </c>
      <c r="CF26" s="294">
        <f t="shared" si="26"/>
        <v>9.0149804588328372E-2</v>
      </c>
      <c r="CG26" s="289">
        <f t="shared" si="27"/>
        <v>14.559099778347477</v>
      </c>
      <c r="CH26" s="281">
        <f>21/24*CLmaxTO</f>
        <v>1.8375000000000001</v>
      </c>
      <c r="CI26" s="294">
        <f t="shared" si="28"/>
        <v>0.17733028365979031</v>
      </c>
      <c r="CJ26" s="289">
        <f t="shared" si="29"/>
        <v>10.362020305145736</v>
      </c>
      <c r="CK26" s="281">
        <f>21/24*CLmaxL</f>
        <v>2.3625000000000003</v>
      </c>
      <c r="CL26" s="294">
        <f t="shared" si="30"/>
        <v>0.29164702367091772</v>
      </c>
      <c r="CM26" s="289">
        <f t="shared" si="31"/>
        <v>8.1005455507948074</v>
      </c>
      <c r="CR26" s="293">
        <f>21/28*h_abs</f>
        <v>8599.0625494285741</v>
      </c>
      <c r="CS26" s="289">
        <f t="shared" si="32"/>
        <v>232.25609342871425</v>
      </c>
      <c r="CT26" s="294">
        <f t="shared" si="33"/>
        <v>0.48929019504320564</v>
      </c>
      <c r="CU26" s="291">
        <f t="shared" si="34"/>
        <v>305.51224483118477</v>
      </c>
      <c r="CV26" s="294">
        <f t="shared" si="35"/>
        <v>8.8516653440219639E-2</v>
      </c>
      <c r="CW26" s="291">
        <f t="shared" si="36"/>
        <v>202.70919772120914</v>
      </c>
      <c r="CX26" s="289">
        <f t="shared" si="37"/>
        <v>6.3654662604710426</v>
      </c>
      <c r="CY26" s="293">
        <f t="shared" si="38"/>
        <v>69.57267726500119</v>
      </c>
      <c r="CZ26" s="295">
        <f t="shared" si="39"/>
        <v>4.8196305934621424E-3</v>
      </c>
      <c r="DA26" s="291">
        <f t="shared" si="40"/>
        <v>116.37686168562102</v>
      </c>
      <c r="DB26" s="291">
        <f t="shared" si="41"/>
        <v>250.52004076157152</v>
      </c>
      <c r="DC26" s="281">
        <f t="shared" si="42"/>
        <v>0.38092372287705439</v>
      </c>
      <c r="DD26" s="281">
        <f t="shared" si="43"/>
        <v>0.82000000000000006</v>
      </c>
      <c r="DJ26" s="291">
        <f>3/10*V_S1*SQRT(-n_neg/0.8)</f>
        <v>25.429394376599884</v>
      </c>
      <c r="DK26" s="289">
        <f>-0.8*(3/10*SQRT(-n_neg/0.8))^2</f>
        <v>-9.0000000000000011E-2</v>
      </c>
      <c r="DX26" s="281">
        <f>d_fus/2*0.70711</f>
        <v>1.40780297675</v>
      </c>
      <c r="DY26" s="281">
        <f>d_fus/2*-0.70711</f>
        <v>-1.40780297675</v>
      </c>
      <c r="EB26" s="281">
        <f>$AH$6+D_nac/2*-0.86603</f>
        <v>-6.9858401650856639</v>
      </c>
      <c r="EC26" s="281">
        <f>$AJ$6+D_nac/2*-0.5</f>
        <v>-2.5656545000855049</v>
      </c>
      <c r="ED26" s="281">
        <f>0+1*2.2*nose_scale*w_tyre/2</f>
        <v>0.30112281215115055</v>
      </c>
      <c r="EE26" s="281">
        <f>-h_cg+D_nose</f>
        <v>-2.914183264228174</v>
      </c>
      <c r="EG26" s="281">
        <f>d_fus/2*-0.86603</f>
        <v>-1.7242007777499997</v>
      </c>
      <c r="EH26" s="281">
        <f>d_fus/2*-0.5</f>
        <v>-0.99546249999999992</v>
      </c>
      <c r="EI26" s="281">
        <f>w_cabin/2*-0.86603</f>
        <v>-1.6151459499999998</v>
      </c>
      <c r="EJ26" s="281">
        <f>w_cabin/2*-0.5</f>
        <v>-0.9325</v>
      </c>
      <c r="EM26" s="281">
        <f>$AX$10+0.05*seat_w</f>
        <v>1.3365000000000002</v>
      </c>
      <c r="EN26" s="281">
        <f>z_floor+1.1</f>
        <v>0.50000000000000011</v>
      </c>
      <c r="GA26" s="292" t="s">
        <v>1563</v>
      </c>
      <c r="GB26" s="297">
        <v>16</v>
      </c>
      <c r="GC26" s="297">
        <v>45178</v>
      </c>
      <c r="GD26" s="297">
        <v>24494</v>
      </c>
      <c r="GE26" s="297">
        <v>119.2</v>
      </c>
      <c r="GF26" s="297">
        <v>30.36</v>
      </c>
      <c r="GG26" s="297">
        <v>30.41</v>
      </c>
      <c r="GH26" s="297">
        <v>75.2</v>
      </c>
      <c r="GI26" s="297">
        <v>2</v>
      </c>
      <c r="GJ26" s="297">
        <v>12960</v>
      </c>
      <c r="GK26" s="281">
        <f t="shared" si="47"/>
        <v>2.690988368669903</v>
      </c>
      <c r="GZ26" s="292" t="s">
        <v>1564</v>
      </c>
      <c r="HA26" s="294">
        <f>HA24-HA20</f>
        <v>-0.22237963337520528</v>
      </c>
      <c r="HB26" s="294">
        <f>HB24-HB20</f>
        <v>0.73440679904455575</v>
      </c>
      <c r="HC26" s="294">
        <f>$HA$5+(SM_target-HA26)*($HB$5-$HA$5)/IF(ABS(HB26-HA26)&lt;0.000000001,0.000000001,HB26-HA26)</f>
        <v>0.43391040214646709</v>
      </c>
      <c r="HF26" s="297">
        <f t="shared" si="65"/>
        <v>72991.512721376304</v>
      </c>
      <c r="HG26" s="297">
        <f t="shared" si="48"/>
        <v>135.54271353715484</v>
      </c>
      <c r="HH26" s="297">
        <f t="shared" si="49"/>
        <v>35.883920892273892</v>
      </c>
      <c r="HI26" s="297">
        <f t="shared" si="50"/>
        <v>6.0436077292250774</v>
      </c>
      <c r="HJ26" s="297">
        <f t="shared" si="51"/>
        <v>4.2305254104575543</v>
      </c>
      <c r="HK26" s="297">
        <f t="shared" si="52"/>
        <v>5511.4881840866155</v>
      </c>
      <c r="HL26" s="297">
        <f t="shared" si="53"/>
        <v>1703.1982092501648</v>
      </c>
      <c r="HM26" s="297">
        <f t="shared" si="54"/>
        <v>9147.0379438144791</v>
      </c>
      <c r="HN26" s="297">
        <f t="shared" si="55"/>
        <v>3138.635047019181</v>
      </c>
      <c r="HO26" s="297">
        <f t="shared" si="56"/>
        <v>4710.4332106378488</v>
      </c>
      <c r="HP26" s="297">
        <f t="shared" si="57"/>
        <v>12408.557162633973</v>
      </c>
      <c r="HQ26" s="297">
        <f t="shared" si="58"/>
        <v>36619.349757442265</v>
      </c>
      <c r="HR26" s="297">
        <f t="shared" si="59"/>
        <v>72991.519225414901</v>
      </c>
      <c r="HY26" s="281">
        <f>$HX$7+0.8*(bus_pitch*(n_rows_b&gt;0))*($HW$7*n_SA_b+$HU$5&lt;pax_b)</f>
        <v>6.5</v>
      </c>
      <c r="HZ26" s="281">
        <f>$HV$5</f>
        <v>-1.84</v>
      </c>
      <c r="IA26" s="281">
        <f t="shared" si="63"/>
        <v>-11.310479999999998</v>
      </c>
    </row>
    <row r="27" spans="1:235" x14ac:dyDescent="0.25">
      <c r="A27" s="289">
        <f>32/50</f>
        <v>0.64</v>
      </c>
      <c r="B27" s="290">
        <f t="shared" si="0"/>
        <v>3562.4250570917643</v>
      </c>
      <c r="C27" s="291">
        <f t="shared" si="1"/>
        <v>363.26625882352937</v>
      </c>
      <c r="D27" s="281">
        <f t="shared" si="2"/>
        <v>0.18399200122230708</v>
      </c>
      <c r="E27" s="281">
        <f t="shared" si="3"/>
        <v>0.2194155421601327</v>
      </c>
      <c r="F27" s="281">
        <f t="shared" si="4"/>
        <v>0.21104328049055099</v>
      </c>
      <c r="G27" s="281">
        <f t="shared" si="5"/>
        <v>0.32010585848715295</v>
      </c>
      <c r="H27" s="281">
        <f t="shared" si="6"/>
        <v>0.32010585848715295</v>
      </c>
      <c r="X27" s="281">
        <f>T20-L_fus/2</f>
        <v>15.262096</v>
      </c>
      <c r="Y27" s="281">
        <f>V20+-1*U20</f>
        <v>-0.4126879066801965</v>
      </c>
      <c r="Z27" s="281">
        <f>-1*U20</f>
        <v>-1.0890752323886836</v>
      </c>
      <c r="AA27" s="281">
        <f>T20</f>
        <v>33.072575999999998</v>
      </c>
      <c r="AL27" s="281">
        <f>AI8+0*L_nac-L_fus/2</f>
        <v>-7.4249768198019375</v>
      </c>
      <c r="AM27" s="281">
        <f>AH8+-1*D_nac/2</f>
        <v>-7.1353902511482161</v>
      </c>
      <c r="AN27" s="281">
        <f>AJ8+-1*D_nac/2</f>
        <v>-3.1238021677071828</v>
      </c>
      <c r="AP27" s="281">
        <f>x_nose-L_fus/2+0.5*D_nose/2</f>
        <v>-13.65325259627971</v>
      </c>
      <c r="AQ27" s="281">
        <f>-h_cg+D_nose/2+-0.86603*D_nose/2</f>
        <v>-3.613122281484324</v>
      </c>
      <c r="AY27" s="293">
        <f>MAX(0,MIN(22,n_rows-1))</f>
        <v>22</v>
      </c>
      <c r="AZ27" s="281">
        <f t="shared" si="14"/>
        <v>24.32</v>
      </c>
      <c r="BD27" s="281">
        <f>T20-L_fus/2</f>
        <v>15.262096</v>
      </c>
      <c r="BE27" s="281">
        <f>U20*0.86603</f>
        <v>0.94317182350557172</v>
      </c>
      <c r="BF27" s="281">
        <f>V20+U20*0.5</f>
        <v>1.220924941902829</v>
      </c>
      <c r="BG27" s="281">
        <f t="shared" si="18"/>
        <v>12.297702993103222</v>
      </c>
      <c r="BH27" s="281">
        <f t="shared" si="19"/>
        <v>-2.7341257528832261</v>
      </c>
      <c r="BM27" s="281">
        <f>$AZ$7+0.2*(seat_pitch)*($AY$7*n_SA+$AW$5&lt;pax_e)</f>
        <v>8.2820000000000018</v>
      </c>
      <c r="BN27" s="281">
        <f>$AX$5</f>
        <v>-1.84</v>
      </c>
      <c r="BO27" s="281">
        <f t="shared" si="20"/>
        <v>-9.5284799999999965</v>
      </c>
      <c r="CA27" s="281">
        <f>$BX$7+0*lav_len</f>
        <v>28.25</v>
      </c>
      <c r="CB27" s="281">
        <f>$BY$7+0*lav_w</f>
        <v>0.86499999999999999</v>
      </c>
      <c r="CE27" s="281">
        <f>22/24*CLmax_c</f>
        <v>1.375</v>
      </c>
      <c r="CF27" s="294">
        <f t="shared" si="26"/>
        <v>9.7184819548188056E-2</v>
      </c>
      <c r="CG27" s="289">
        <f t="shared" si="27"/>
        <v>14.148300180958003</v>
      </c>
      <c r="CH27" s="281">
        <f>22/24*CLmaxTO</f>
        <v>1.925</v>
      </c>
      <c r="CI27" s="294">
        <f t="shared" si="28"/>
        <v>0.19111891298111527</v>
      </c>
      <c r="CJ27" s="289">
        <f t="shared" si="29"/>
        <v>10.072263231165469</v>
      </c>
      <c r="CK27" s="281">
        <f>22/24*CLmaxL</f>
        <v>2.4750000000000001</v>
      </c>
      <c r="CL27" s="294">
        <f t="shared" si="30"/>
        <v>0.31444047214086307</v>
      </c>
      <c r="CM27" s="289">
        <f t="shared" si="31"/>
        <v>7.8711241690645002</v>
      </c>
      <c r="CR27" s="293">
        <f>22/28*h_abs</f>
        <v>9008.5417184489816</v>
      </c>
      <c r="CS27" s="289">
        <f t="shared" si="32"/>
        <v>229.59447883008158</v>
      </c>
      <c r="CT27" s="294">
        <f t="shared" si="33"/>
        <v>0.4658680785976142</v>
      </c>
      <c r="CU27" s="291">
        <f t="shared" si="34"/>
        <v>303.75664190969712</v>
      </c>
      <c r="CV27" s="294">
        <f t="shared" si="35"/>
        <v>8.3079298999563178E-2</v>
      </c>
      <c r="CW27" s="291">
        <f t="shared" si="36"/>
        <v>203.37963933084859</v>
      </c>
      <c r="CX27" s="289">
        <f t="shared" si="37"/>
        <v>5.4057975493348662</v>
      </c>
      <c r="CY27" s="293">
        <f t="shared" si="38"/>
        <v>82.870267724269283</v>
      </c>
      <c r="CZ27" s="295">
        <f t="shared" si="39"/>
        <v>3.8866025794650132E-3</v>
      </c>
      <c r="DA27" s="291">
        <f t="shared" si="40"/>
        <v>119.26648533169151</v>
      </c>
      <c r="DB27" s="291">
        <f t="shared" si="41"/>
        <v>249.08044636595167</v>
      </c>
      <c r="DC27" s="281">
        <f t="shared" si="42"/>
        <v>0.39263827971586507</v>
      </c>
      <c r="DD27" s="281">
        <f t="shared" si="43"/>
        <v>0.82000000000000006</v>
      </c>
      <c r="DJ27" s="291">
        <f>2/10*V_S1*SQRT(-n_neg/0.8)</f>
        <v>16.952929584399921</v>
      </c>
      <c r="DK27" s="289">
        <f>-0.8*(2/10*SQRT(-n_neg/0.8))^2</f>
        <v>-4.0000000000000008E-2</v>
      </c>
      <c r="DX27" s="281">
        <f>d_fus/2*0.86603</f>
        <v>1.7242007777499997</v>
      </c>
      <c r="DY27" s="281">
        <f>d_fus/2*-0.5</f>
        <v>-0.99546249999999992</v>
      </c>
      <c r="EB27" s="281">
        <f>$AH$6+D_nac/2*-0.5</f>
        <v>-6.5772425835265382</v>
      </c>
      <c r="EC27" s="281">
        <f>$AJ$6+D_nac/2*-0.86603</f>
        <v>-2.9742520816446305</v>
      </c>
      <c r="ED27" s="281">
        <f>0+0*2.2*nose_scale*w_tyre/2</f>
        <v>0</v>
      </c>
      <c r="EE27" s="281">
        <f>-h_cg+D_nose</f>
        <v>-2.914183264228174</v>
      </c>
      <c r="EG27" s="281">
        <f>d_fus/2*-0.76604</f>
        <v>-1.525128187</v>
      </c>
      <c r="EH27" s="281">
        <f>d_fus/2*-0.64279</f>
        <v>-1.2797466807499998</v>
      </c>
      <c r="EI27" s="281">
        <f>w_cabin/2*-0.76604</f>
        <v>-1.4286646000000001</v>
      </c>
      <c r="EJ27" s="281">
        <f>w_cabin/2*-0.64279</f>
        <v>-1.1988033499999999</v>
      </c>
      <c r="EM27" s="281">
        <f>$AX$10+0.95*seat_w</f>
        <v>1.8135000000000003</v>
      </c>
      <c r="EN27" s="281">
        <f>z_floor+1.1</f>
        <v>0.50000000000000011</v>
      </c>
      <c r="GA27" s="292" t="s">
        <v>1565</v>
      </c>
      <c r="GB27" s="297">
        <v>0</v>
      </c>
      <c r="GC27" s="297">
        <v>347800</v>
      </c>
      <c r="GD27" s="297">
        <v>144400</v>
      </c>
      <c r="GE27" s="297">
        <v>436.8</v>
      </c>
      <c r="GF27" s="297">
        <v>64.8</v>
      </c>
      <c r="GG27" s="297">
        <v>63.7</v>
      </c>
      <c r="GH27" s="297">
        <v>512</v>
      </c>
      <c r="GI27" s="297">
        <v>2</v>
      </c>
      <c r="GJ27" s="297">
        <v>9200</v>
      </c>
      <c r="GK27" s="281">
        <f t="shared" si="47"/>
        <v>6.5987108565179255</v>
      </c>
      <c r="GZ27" s="292" t="s">
        <v>1566</v>
      </c>
      <c r="HA27" s="294">
        <f>HA24-HA21</f>
        <v>-0.11492330424879815</v>
      </c>
      <c r="HB27" s="294">
        <f>HB24-HB21</f>
        <v>0.54135135566946535</v>
      </c>
      <c r="HC27" s="294">
        <f>$HA$5+(SM_target-HA27)*($HB$5-$HA$5)/IF(ABS(HB27-HA27)&lt;0.000000001,0.000000001,HB27-HA27)</f>
        <v>0.43239837948960358</v>
      </c>
      <c r="HF27" s="297">
        <f t="shared" si="65"/>
        <v>72991.519225414901</v>
      </c>
      <c r="HG27" s="297">
        <f t="shared" si="48"/>
        <v>135.54272561492945</v>
      </c>
      <c r="HH27" s="297">
        <f t="shared" si="49"/>
        <v>35.883922491024165</v>
      </c>
      <c r="HI27" s="297">
        <f t="shared" si="50"/>
        <v>6.0436079984882793</v>
      </c>
      <c r="HJ27" s="297">
        <f t="shared" si="51"/>
        <v>4.2305255989417949</v>
      </c>
      <c r="HK27" s="297">
        <f t="shared" si="52"/>
        <v>5511.4887233614536</v>
      </c>
      <c r="HL27" s="297">
        <f t="shared" si="53"/>
        <v>1703.1984368999292</v>
      </c>
      <c r="HM27" s="297">
        <f t="shared" si="54"/>
        <v>9147.0379438144791</v>
      </c>
      <c r="HN27" s="297">
        <f t="shared" si="55"/>
        <v>3138.6353266928404</v>
      </c>
      <c r="HO27" s="297">
        <f t="shared" si="56"/>
        <v>4710.4336723425376</v>
      </c>
      <c r="HP27" s="297">
        <f t="shared" si="57"/>
        <v>12408.558268320534</v>
      </c>
      <c r="HQ27" s="297">
        <f t="shared" si="58"/>
        <v>36619.352371431771</v>
      </c>
      <c r="HR27" s="297">
        <f t="shared" si="59"/>
        <v>72991.522942206226</v>
      </c>
      <c r="HY27" s="281">
        <f>$HX$7+0.2*(bus_pitch*(n_rows_b&gt;0))*($HW$7*n_SA_b+$HU$5&lt;pax_b)</f>
        <v>6.5</v>
      </c>
      <c r="HZ27" s="281">
        <f>$HV$5</f>
        <v>-1.84</v>
      </c>
      <c r="IA27" s="281">
        <f t="shared" si="63"/>
        <v>-11.310479999999998</v>
      </c>
    </row>
    <row r="28" spans="1:235" x14ac:dyDescent="0.25">
      <c r="A28" s="289">
        <f>33/50</f>
        <v>0.66</v>
      </c>
      <c r="B28" s="290">
        <f t="shared" si="0"/>
        <v>3673.750840125882</v>
      </c>
      <c r="C28" s="291">
        <f t="shared" si="1"/>
        <v>374.61832941176471</v>
      </c>
      <c r="D28" s="281">
        <f t="shared" si="2"/>
        <v>0.18974175126050416</v>
      </c>
      <c r="E28" s="281">
        <f t="shared" si="3"/>
        <v>0.2194155421601327</v>
      </c>
      <c r="F28" s="281">
        <f t="shared" si="4"/>
        <v>0.21104328049055099</v>
      </c>
      <c r="G28" s="281">
        <f t="shared" si="5"/>
        <v>0.31488770425748153</v>
      </c>
      <c r="H28" s="281">
        <f t="shared" si="6"/>
        <v>0.31488770425748153</v>
      </c>
      <c r="X28" s="281">
        <f>T19-L_fus/2</f>
        <v>14.306452</v>
      </c>
      <c r="Y28" s="281">
        <f>V19+-1*U19</f>
        <v>-0.90511987098035585</v>
      </c>
      <c r="Z28" s="281">
        <f>-1*U19</f>
        <v>-1.370464926274489</v>
      </c>
      <c r="AA28" s="281">
        <f>T19</f>
        <v>32.116931999999998</v>
      </c>
      <c r="AP28" s="281">
        <f>x_nose-L_fus/2+0.86603*D_nose/2</f>
        <v>-13.51615263085243</v>
      </c>
      <c r="AQ28" s="281">
        <f>-h_cg+D_nose/2+-0.5*D_nose/2</f>
        <v>-3.4760223160570431</v>
      </c>
      <c r="AY28" s="293">
        <f>MAX(0,MIN(23,n_rows-1))</f>
        <v>23</v>
      </c>
      <c r="AZ28" s="281">
        <f t="shared" si="14"/>
        <v>25.130000000000003</v>
      </c>
      <c r="BD28" s="281">
        <f>T19-L_fus/2</f>
        <v>14.306452</v>
      </c>
      <c r="BE28" s="281">
        <f>U19*0.86603</f>
        <v>1.1868637401014956</v>
      </c>
      <c r="BF28" s="281">
        <f>V19+U19*0.5</f>
        <v>1.1505775184313776</v>
      </c>
      <c r="BG28" s="281">
        <f t="shared" si="18"/>
        <v>11.722279361871855</v>
      </c>
      <c r="BH28" s="281">
        <f t="shared" si="19"/>
        <v>-2.4593839772176311</v>
      </c>
      <c r="BM28" s="281">
        <f>$AZ$7+(seat_pitch)</f>
        <v>8.9300000000000015</v>
      </c>
      <c r="BN28" s="281">
        <f>$AX$5</f>
        <v>-1.84</v>
      </c>
      <c r="BO28" s="281">
        <f t="shared" si="20"/>
        <v>-8.8804799999999968</v>
      </c>
      <c r="CA28" s="281">
        <f>$BX$7+1*lav_len</f>
        <v>29.25</v>
      </c>
      <c r="CB28" s="281">
        <f>$BY$7+1*lav_w</f>
        <v>1.865</v>
      </c>
      <c r="CE28" s="281">
        <f>23/24*CLmax_c</f>
        <v>1.4375</v>
      </c>
      <c r="CF28" s="294">
        <f t="shared" si="26"/>
        <v>0.10454704450618076</v>
      </c>
      <c r="CG28" s="289">
        <f t="shared" si="27"/>
        <v>13.749790888780369</v>
      </c>
      <c r="CH28" s="281">
        <f>23/24*CLmaxTO</f>
        <v>2.0125000000000002</v>
      </c>
      <c r="CI28" s="294">
        <f t="shared" si="28"/>
        <v>0.20554887389878096</v>
      </c>
      <c r="CJ28" s="289">
        <f t="shared" si="29"/>
        <v>9.790858795903798</v>
      </c>
      <c r="CK28" s="281">
        <f>23/24*CLmaxL</f>
        <v>2.5875000000000004</v>
      </c>
      <c r="CL28" s="294">
        <f t="shared" si="30"/>
        <v>0.33829408100475944</v>
      </c>
      <c r="CM28" s="289">
        <f t="shared" si="31"/>
        <v>7.6486706250222483</v>
      </c>
      <c r="CR28" s="293">
        <f>23/28*h_abs</f>
        <v>9418.020887469389</v>
      </c>
      <c r="CS28" s="289">
        <f t="shared" si="32"/>
        <v>226.93286423144895</v>
      </c>
      <c r="CT28" s="294">
        <f t="shared" si="33"/>
        <v>0.4433135270186459</v>
      </c>
      <c r="CU28" s="291">
        <f t="shared" si="34"/>
        <v>301.99083308392352</v>
      </c>
      <c r="CV28" s="294">
        <f t="shared" si="35"/>
        <v>7.7918327366342938E-2</v>
      </c>
      <c r="CW28" s="291">
        <f t="shared" si="36"/>
        <v>204.21585262360415</v>
      </c>
      <c r="CX28" s="289">
        <f t="shared" si="37"/>
        <v>4.4766169828071085</v>
      </c>
      <c r="CY28" s="293">
        <f t="shared" si="38"/>
        <v>101.70766102083282</v>
      </c>
      <c r="CZ28" s="295">
        <f t="shared" si="39"/>
        <v>3.0556983967747809E-3</v>
      </c>
      <c r="DA28" s="291">
        <f t="shared" si="40"/>
        <v>122.2628193502006</v>
      </c>
      <c r="DB28" s="291">
        <f t="shared" si="41"/>
        <v>247.63248312881731</v>
      </c>
      <c r="DC28" s="281">
        <f t="shared" si="42"/>
        <v>0.40485606169450733</v>
      </c>
      <c r="DD28" s="281">
        <f t="shared" si="43"/>
        <v>0.82000000000000006</v>
      </c>
      <c r="DJ28" s="291">
        <f>1/10*V_S1*SQRT(-n_neg/0.8)</f>
        <v>8.4764647921999607</v>
      </c>
      <c r="DK28" s="289">
        <f>-0.8*(1/10*SQRT(-n_neg/0.8))^2</f>
        <v>-1.0000000000000002E-2</v>
      </c>
      <c r="DX28" s="281">
        <f>d_fus/2*0.96593</f>
        <v>1.9230941852499996</v>
      </c>
      <c r="DY28" s="281">
        <f>d_fus/2*-0.25882</f>
        <v>-0.51529120849999999</v>
      </c>
      <c r="EB28" s="281">
        <f>$AH$6+D_nac/2*0</f>
        <v>-6.0190949159048603</v>
      </c>
      <c r="EC28" s="281">
        <f>$AJ$6+D_nac/2*-1</f>
        <v>-3.1238021677071828</v>
      </c>
      <c r="EG28" s="281">
        <f>d_fus/2*-0.64279</f>
        <v>-1.2797466807499998</v>
      </c>
      <c r="EH28" s="281">
        <f>d_fus/2*-0.76604</f>
        <v>-1.525128187</v>
      </c>
      <c r="EI28" s="281">
        <f>w_cabin/2*-0.64279</f>
        <v>-1.1988033499999999</v>
      </c>
      <c r="EJ28" s="281">
        <f>w_cabin/2*-0.76604</f>
        <v>-1.4286646000000001</v>
      </c>
      <c r="EM28" s="281">
        <f>$AX$10+0.95*seat_w</f>
        <v>1.8135000000000003</v>
      </c>
      <c r="EN28" s="281">
        <f>z_floor+0</f>
        <v>-0.6</v>
      </c>
      <c r="GA28" s="292" t="s">
        <v>1567</v>
      </c>
      <c r="GB28" s="297">
        <v>0</v>
      </c>
      <c r="GC28" s="297">
        <v>447700</v>
      </c>
      <c r="GD28" s="297">
        <v>197130</v>
      </c>
      <c r="GE28" s="297">
        <v>554</v>
      </c>
      <c r="GF28" s="297">
        <v>68.400000000000006</v>
      </c>
      <c r="GG28" s="297">
        <v>76.3</v>
      </c>
      <c r="GH28" s="297">
        <v>296</v>
      </c>
      <c r="GI28" s="297">
        <v>4</v>
      </c>
      <c r="GJ28" s="297">
        <v>8130</v>
      </c>
      <c r="GK28" s="281">
        <f t="shared" si="47"/>
        <v>6.8512066198446631</v>
      </c>
      <c r="GZ28" s="292" t="s">
        <v>1568</v>
      </c>
      <c r="HA28" s="294">
        <f>HA24-HA22</f>
        <v>-4.3357426976286639E-2</v>
      </c>
      <c r="HB28" s="294">
        <f>HB24-HB22</f>
        <v>0.44911247142321892</v>
      </c>
      <c r="HC28" s="294">
        <f>$HA$5+(SM_target-HA28)*($HB$5-$HA$5)/IF(ABS(HB28-HA28)&lt;0.000000001,0.000000001,HB28-HA28)</f>
        <v>0.4265758179144557</v>
      </c>
      <c r="HF28" s="297">
        <f t="shared" si="65"/>
        <v>72991.522942206226</v>
      </c>
      <c r="HG28" s="297">
        <f t="shared" si="48"/>
        <v>135.54273251688232</v>
      </c>
      <c r="HH28" s="297">
        <f t="shared" si="49"/>
        <v>35.883923404644342</v>
      </c>
      <c r="HI28" s="297">
        <f t="shared" si="50"/>
        <v>6.0436081523611529</v>
      </c>
      <c r="HJ28" s="297">
        <f t="shared" si="51"/>
        <v>4.2305257066528066</v>
      </c>
      <c r="HK28" s="297">
        <f t="shared" si="52"/>
        <v>5511.4890315349085</v>
      </c>
      <c r="HL28" s="297">
        <f t="shared" si="53"/>
        <v>1703.1985669924381</v>
      </c>
      <c r="HM28" s="297">
        <f t="shared" si="54"/>
        <v>9147.0379438144791</v>
      </c>
      <c r="HN28" s="297">
        <f t="shared" si="55"/>
        <v>3138.6354865148674</v>
      </c>
      <c r="HO28" s="297">
        <f t="shared" si="56"/>
        <v>4710.4339361878283</v>
      </c>
      <c r="HP28" s="297">
        <f t="shared" si="57"/>
        <v>12408.55890017506</v>
      </c>
      <c r="HQ28" s="297">
        <f t="shared" si="58"/>
        <v>36619.353865219586</v>
      </c>
      <c r="HR28" s="297">
        <f t="shared" si="59"/>
        <v>72991.525066200047</v>
      </c>
      <c r="HY28" s="281">
        <f>$HX$7+(bus_pitch*(n_rows_b&gt;0))</f>
        <v>6.5</v>
      </c>
      <c r="HZ28" s="281">
        <f>$HV$5</f>
        <v>-1.84</v>
      </c>
      <c r="IA28" s="281">
        <f t="shared" si="63"/>
        <v>-11.310479999999998</v>
      </c>
    </row>
    <row r="29" spans="1:235" x14ac:dyDescent="0.25">
      <c r="A29" s="289">
        <f>34/50</f>
        <v>0.68</v>
      </c>
      <c r="B29" s="290">
        <f t="shared" si="0"/>
        <v>3785.0766231599996</v>
      </c>
      <c r="C29" s="291">
        <f t="shared" si="1"/>
        <v>385.97039999999998</v>
      </c>
      <c r="D29" s="281">
        <f t="shared" si="2"/>
        <v>0.19549150129870127</v>
      </c>
      <c r="E29" s="281">
        <f t="shared" si="3"/>
        <v>0.2194155421601327</v>
      </c>
      <c r="F29" s="281">
        <f t="shared" si="4"/>
        <v>0.21104328049055099</v>
      </c>
      <c r="G29" s="281">
        <f t="shared" si="5"/>
        <v>0.31008524645747942</v>
      </c>
      <c r="H29" s="281">
        <f t="shared" si="6"/>
        <v>0.31008524645747942</v>
      </c>
      <c r="X29" s="281">
        <f>T18-L_fus/2</f>
        <v>13.350807999999997</v>
      </c>
      <c r="Y29" s="281">
        <f>V18+-1*U18</f>
        <v>-1.3499615694663452</v>
      </c>
      <c r="Z29" s="281">
        <f>-1*U18</f>
        <v>-1.6246601825521971</v>
      </c>
      <c r="AA29" s="281">
        <f>T18</f>
        <v>31.161287999999995</v>
      </c>
      <c r="AP29" s="281">
        <f>x_nose-L_fus/2+1*D_nose/2</f>
        <v>-13.465972912336753</v>
      </c>
      <c r="AQ29" s="281">
        <f>-h_cg+D_nose/2+0*D_nose/2</f>
        <v>-3.2887426321140869</v>
      </c>
      <c r="AY29" s="293">
        <f>MAX(0,MIN(24,n_rows-1))</f>
        <v>24</v>
      </c>
      <c r="AZ29" s="281">
        <f t="shared" si="14"/>
        <v>25.94</v>
      </c>
      <c r="BD29" s="281">
        <f>T18-L_fus/2</f>
        <v>13.350807999999997</v>
      </c>
      <c r="BE29" s="281">
        <f>U18*0.86603</f>
        <v>1.4070044578956793</v>
      </c>
      <c r="BF29" s="281">
        <f>V18+U18*0.5</f>
        <v>1.0870287043619506</v>
      </c>
      <c r="BG29" s="281">
        <f t="shared" si="18"/>
        <v>11.131717311857463</v>
      </c>
      <c r="BH29" s="281">
        <f t="shared" si="19"/>
        <v>-2.1861051369515496</v>
      </c>
      <c r="BM29" s="281">
        <f>$AZ$8+0.2*(seat_pitch)*($AY$8*n_SA+$AW$5&lt;pax_e)</f>
        <v>9.0920000000000005</v>
      </c>
      <c r="BN29" s="281">
        <f>$AX$5</f>
        <v>-1.84</v>
      </c>
      <c r="BO29" s="281">
        <f t="shared" si="20"/>
        <v>-8.7184799999999978</v>
      </c>
      <c r="CA29" s="281">
        <f>$BX$7+1*lav_len</f>
        <v>29.25</v>
      </c>
      <c r="CB29" s="281">
        <f>$BY$7+0*lav_w</f>
        <v>0.86499999999999999</v>
      </c>
      <c r="CE29" s="281">
        <f>24/24*CLmax_c</f>
        <v>1.5</v>
      </c>
      <c r="CF29" s="294">
        <f t="shared" si="26"/>
        <v>0.11223647946230646</v>
      </c>
      <c r="CG29" s="289">
        <f t="shared" si="27"/>
        <v>13.364638726963639</v>
      </c>
      <c r="CH29" s="281">
        <f>24/24*CLmaxTO</f>
        <v>2.1</v>
      </c>
      <c r="CI29" s="294">
        <f t="shared" si="28"/>
        <v>0.22062016641278731</v>
      </c>
      <c r="CJ29" s="289">
        <f t="shared" si="29"/>
        <v>9.5186221375195306</v>
      </c>
      <c r="CK29" s="281">
        <f>24/24*CLmaxL</f>
        <v>2.7</v>
      </c>
      <c r="CL29" s="294">
        <f t="shared" si="30"/>
        <v>0.36320785026260666</v>
      </c>
      <c r="CM29" s="289">
        <f t="shared" si="31"/>
        <v>7.4337600303733673</v>
      </c>
      <c r="CR29" s="293">
        <f>24/28*h_abs</f>
        <v>9827.5000564897982</v>
      </c>
      <c r="CS29" s="289">
        <f t="shared" si="32"/>
        <v>224.27124963281631</v>
      </c>
      <c r="CT29" s="294">
        <f t="shared" si="33"/>
        <v>0.42160401764916822</v>
      </c>
      <c r="CU29" s="291">
        <f t="shared" si="34"/>
        <v>300.21463826600518</v>
      </c>
      <c r="CV29" s="294">
        <f t="shared" si="35"/>
        <v>7.3022686075259469E-2</v>
      </c>
      <c r="CW29" s="291">
        <f t="shared" si="36"/>
        <v>205.22819786114891</v>
      </c>
      <c r="CX29" s="289">
        <f t="shared" si="37"/>
        <v>3.5754641467851931</v>
      </c>
      <c r="CY29" s="293">
        <f t="shared" si="38"/>
        <v>130.50272063406717</v>
      </c>
      <c r="CZ29" s="295">
        <f t="shared" si="39"/>
        <v>2.3167453388520868E-3</v>
      </c>
      <c r="DA29" s="291">
        <f t="shared" si="40"/>
        <v>127.67482552735356</v>
      </c>
      <c r="DB29" s="291">
        <f t="shared" si="41"/>
        <v>246.17600337812428</v>
      </c>
      <c r="DC29" s="281">
        <f t="shared" si="42"/>
        <v>0.42527848163828469</v>
      </c>
      <c r="DD29" s="281">
        <f t="shared" si="43"/>
        <v>0.82000000000000006</v>
      </c>
      <c r="DJ29" s="291">
        <f>0/10*V_S1*SQRT(-n_neg/0.8)</f>
        <v>0</v>
      </c>
      <c r="DK29" s="289">
        <f>-0.8*(0/10*SQRT(-n_neg/0.8))^2</f>
        <v>0</v>
      </c>
      <c r="DX29" s="281">
        <f>d_fus/2*1</f>
        <v>1.9909249999999998</v>
      </c>
      <c r="DY29" s="281">
        <f>d_fus/2*0</f>
        <v>0</v>
      </c>
      <c r="EB29" s="281">
        <f>$AH$6+D_nac/2*0.5</f>
        <v>-5.4609472482831825</v>
      </c>
      <c r="EC29" s="281">
        <f>$AJ$6+D_nac/2*-0.86603</f>
        <v>-2.9742520816446305</v>
      </c>
      <c r="ED29" s="281">
        <f>-1*0.48*B_box</f>
        <v>-18.807866879999999</v>
      </c>
      <c r="EE29" s="281">
        <f>-h_cg</f>
        <v>-3.6633019999999998</v>
      </c>
      <c r="EG29" s="281">
        <f>d_fus/2*-0.5</f>
        <v>-0.99546249999999992</v>
      </c>
      <c r="EH29" s="281">
        <f>d_fus/2*-0.86603</f>
        <v>-1.7242007777499997</v>
      </c>
      <c r="EI29" s="281">
        <f>w_cabin/2*-0.5</f>
        <v>-0.9325</v>
      </c>
      <c r="EJ29" s="281">
        <f>w_cabin/2*-0.86603</f>
        <v>-1.6151459499999998</v>
      </c>
      <c r="EM29" s="281">
        <f>$AX$11+0.05*seat_w</f>
        <v>1.3365000000000002</v>
      </c>
      <c r="EN29" s="281">
        <f>z_floor+0</f>
        <v>-0.6</v>
      </c>
      <c r="GZ29" s="292" t="s">
        <v>1569</v>
      </c>
      <c r="HA29" s="294">
        <f>HA24-HA23</f>
        <v>-0.23323973689775601</v>
      </c>
      <c r="HB29" s="294">
        <f>HB24-HB23</f>
        <v>0.74507274159314152</v>
      </c>
      <c r="HC29" s="294">
        <f>$HA$5+(SM_target-HA29)*($HB$5-$HA$5)/IF(ABS(HB29-HA29)&lt;0.000000001,0.000000001,HB29-HA29)</f>
        <v>0.43450033509322866</v>
      </c>
      <c r="HF29" s="297">
        <f t="shared" si="65"/>
        <v>72991.525066200047</v>
      </c>
      <c r="HG29" s="297">
        <f t="shared" si="48"/>
        <v>135.54273646106537</v>
      </c>
      <c r="HH29" s="297">
        <f t="shared" si="49"/>
        <v>35.883923926740799</v>
      </c>
      <c r="HI29" s="297">
        <f t="shared" si="50"/>
        <v>6.0436082402931879</v>
      </c>
      <c r="HJ29" s="297">
        <f t="shared" si="51"/>
        <v>4.2305257682052311</v>
      </c>
      <c r="HK29" s="297">
        <f t="shared" si="52"/>
        <v>5511.4892076434007</v>
      </c>
      <c r="HL29" s="297">
        <f t="shared" si="53"/>
        <v>1703.1986413349741</v>
      </c>
      <c r="HM29" s="297">
        <f t="shared" si="54"/>
        <v>9147.0379438144791</v>
      </c>
      <c r="HN29" s="297">
        <f t="shared" si="55"/>
        <v>3138.6355778466018</v>
      </c>
      <c r="HO29" s="297">
        <f t="shared" si="56"/>
        <v>4710.4340869645966</v>
      </c>
      <c r="HP29" s="297">
        <f t="shared" si="57"/>
        <v>12408.559261254009</v>
      </c>
      <c r="HQ29" s="297">
        <f t="shared" si="58"/>
        <v>36619.354718858063</v>
      </c>
      <c r="HR29" s="297">
        <f t="shared" si="59"/>
        <v>72991.526279975413</v>
      </c>
      <c r="HY29" s="281">
        <f>$HX$8+0.2*(bus_pitch*(n_rows_b&gt;0))*($HW$8*n_SA_b+$HU$5&lt;pax_b)</f>
        <v>6.5</v>
      </c>
      <c r="HZ29" s="281">
        <f>$HV$5</f>
        <v>-1.84</v>
      </c>
      <c r="IA29" s="281">
        <f t="shared" si="63"/>
        <v>-11.310479999999998</v>
      </c>
    </row>
    <row r="30" spans="1:235" x14ac:dyDescent="0.25">
      <c r="A30" s="289">
        <f>35/50</f>
        <v>0.7</v>
      </c>
      <c r="B30" s="290">
        <f t="shared" si="0"/>
        <v>3896.4024061941168</v>
      </c>
      <c r="C30" s="291">
        <f t="shared" si="1"/>
        <v>397.32247058823521</v>
      </c>
      <c r="D30" s="281">
        <f t="shared" si="2"/>
        <v>0.20124125133689835</v>
      </c>
      <c r="E30" s="281">
        <f t="shared" si="3"/>
        <v>0.2194155421601327</v>
      </c>
      <c r="F30" s="281">
        <f t="shared" si="4"/>
        <v>0.21104328049055099</v>
      </c>
      <c r="G30" s="281">
        <f t="shared" si="5"/>
        <v>0.30566285396460346</v>
      </c>
      <c r="H30" s="281">
        <f t="shared" si="6"/>
        <v>0.30566285396460346</v>
      </c>
      <c r="X30" s="281">
        <f>T17-L_fus/2</f>
        <v>12.395163999999998</v>
      </c>
      <c r="Y30" s="281">
        <f>V17+-1*U17</f>
        <v>-1.7306129587861623</v>
      </c>
      <c r="Z30" s="281">
        <f>-1*U17</f>
        <v>-1.8421752621635212</v>
      </c>
      <c r="AA30" s="281">
        <f>T17</f>
        <v>30.205643999999996</v>
      </c>
      <c r="AP30" s="281">
        <f>x_nose-L_fus/2+0.86603*D_nose/2</f>
        <v>-13.51615263085243</v>
      </c>
      <c r="AQ30" s="281">
        <f>-h_cg+D_nose/2+0.5*D_nose/2</f>
        <v>-3.1014629481711307</v>
      </c>
      <c r="AY30" s="293">
        <f>MAX(0,MIN(25,n_rows-1))</f>
        <v>24</v>
      </c>
      <c r="AZ30" s="281">
        <f t="shared" si="14"/>
        <v>25.94</v>
      </c>
      <c r="BD30" s="281">
        <f>T17-L_fus/2</f>
        <v>12.395163999999998</v>
      </c>
      <c r="BE30" s="281">
        <f>U17*0.86603</f>
        <v>1.5953790422914742</v>
      </c>
      <c r="BF30" s="281">
        <f>V17+U17*0.5</f>
        <v>1.0326499344591196</v>
      </c>
      <c r="BG30" s="281">
        <f t="shared" si="18"/>
        <v>10.52073638488694</v>
      </c>
      <c r="BH30" s="281">
        <f t="shared" si="19"/>
        <v>-1.9147995211249307</v>
      </c>
      <c r="BM30" s="281">
        <f>$AZ$8+0.2*(seat_pitch)*($AY$8*n_SA+$AW$5&lt;pax_e)</f>
        <v>9.0920000000000005</v>
      </c>
      <c r="BN30" s="281">
        <f>$AX$5+seat_w*($AY$8*n_SA+$AW$5&lt;pax_e)</f>
        <v>-1.31</v>
      </c>
      <c r="BO30" s="281">
        <f t="shared" si="20"/>
        <v>-8.7184799999999978</v>
      </c>
      <c r="CA30" s="281">
        <f>$BX$7+0*lav_len</f>
        <v>28.25</v>
      </c>
      <c r="CB30" s="281">
        <f>$BY$7+1*lav_w</f>
        <v>1.865</v>
      </c>
      <c r="CR30" s="293">
        <f>25/28*h_abs</f>
        <v>10236.979225510207</v>
      </c>
      <c r="CS30" s="289">
        <f t="shared" si="32"/>
        <v>221.60963503418361</v>
      </c>
      <c r="CT30" s="294">
        <f t="shared" si="33"/>
        <v>0.40071735715506901</v>
      </c>
      <c r="CU30" s="291">
        <f t="shared" si="34"/>
        <v>298.4278720087226</v>
      </c>
      <c r="CV30" s="294">
        <f t="shared" si="35"/>
        <v>6.8381642042980514E-2</v>
      </c>
      <c r="CW30" s="291">
        <f t="shared" si="36"/>
        <v>206.42710185309727</v>
      </c>
      <c r="CX30" s="289">
        <f t="shared" si="37"/>
        <v>2.6999478451011512</v>
      </c>
      <c r="CY30" s="293">
        <f t="shared" si="38"/>
        <v>180.08218471882162</v>
      </c>
      <c r="CZ30" s="295">
        <f t="shared" si="39"/>
        <v>1.6604816257005145E-3</v>
      </c>
      <c r="DA30" s="291">
        <f t="shared" si="40"/>
        <v>137.98641937497709</v>
      </c>
      <c r="DB30" s="291">
        <f t="shared" si="41"/>
        <v>244.71085504715256</v>
      </c>
      <c r="DC30" s="281">
        <f t="shared" si="42"/>
        <v>0.46237778812745733</v>
      </c>
      <c r="DD30" s="281">
        <f t="shared" si="43"/>
        <v>0.82000000000000006</v>
      </c>
      <c r="EB30" s="281">
        <f>$AH$6+D_nac/2*0.86603</f>
        <v>-5.0523496667240568</v>
      </c>
      <c r="EC30" s="281">
        <f>$AJ$6+D_nac/2*-0.5</f>
        <v>-2.5656545000855049</v>
      </c>
      <c r="ED30" s="281">
        <f>1*0.48*B_box</f>
        <v>18.807866879999999</v>
      </c>
      <c r="EE30" s="281">
        <f>-h_cg</f>
        <v>-3.6633019999999998</v>
      </c>
      <c r="EG30" s="281">
        <f>d_fus/2*-0.34202</f>
        <v>-0.68093616849999994</v>
      </c>
      <c r="EH30" s="281">
        <f>d_fus/2*-0.93969</f>
        <v>-1.8708523132499999</v>
      </c>
      <c r="EI30" s="281">
        <f>w_cabin/2*-0.34202</f>
        <v>-0.63786730000000003</v>
      </c>
      <c r="EJ30" s="281">
        <f>w_cabin/2*-0.93969</f>
        <v>-1.7525218499999999</v>
      </c>
      <c r="EM30" s="281">
        <f>$AX$11+0.05*seat_w</f>
        <v>1.3365000000000002</v>
      </c>
      <c r="EN30" s="281">
        <f>z_floor+1.1</f>
        <v>0.50000000000000011</v>
      </c>
      <c r="HF30" s="297">
        <f t="shared" si="65"/>
        <v>72991.526279975413</v>
      </c>
      <c r="HG30" s="297">
        <f t="shared" si="48"/>
        <v>135.54273871500422</v>
      </c>
      <c r="HH30" s="297">
        <f t="shared" si="49"/>
        <v>35.883924225097509</v>
      </c>
      <c r="HI30" s="297">
        <f t="shared" si="50"/>
        <v>6.04360829054274</v>
      </c>
      <c r="HJ30" s="297">
        <f t="shared" si="51"/>
        <v>4.2305258033799173</v>
      </c>
      <c r="HK30" s="297">
        <f t="shared" si="52"/>
        <v>5511.4893082821818</v>
      </c>
      <c r="HL30" s="297">
        <f t="shared" si="53"/>
        <v>1703.1986838186847</v>
      </c>
      <c r="HM30" s="297">
        <f t="shared" si="54"/>
        <v>9147.0379438144791</v>
      </c>
      <c r="HN30" s="297">
        <f t="shared" si="55"/>
        <v>3138.6356300389425</v>
      </c>
      <c r="HO30" s="297">
        <f t="shared" si="56"/>
        <v>4710.434173127338</v>
      </c>
      <c r="HP30" s="297">
        <f t="shared" si="57"/>
        <v>12408.559467595822</v>
      </c>
      <c r="HQ30" s="297">
        <f t="shared" si="58"/>
        <v>36619.35520667745</v>
      </c>
      <c r="HR30" s="297">
        <f t="shared" si="59"/>
        <v>72991.526973598273</v>
      </c>
      <c r="HY30" s="281">
        <f>$HX$8+0.2*(bus_pitch*(n_rows_b&gt;0))*($HW$8*n_SA_b+$HU$5&lt;pax_b)</f>
        <v>6.5</v>
      </c>
      <c r="HZ30" s="281">
        <f>$HV$5+seat_w_b*($HW$8*n_SA_b+$HU$5&lt;pax_b)</f>
        <v>-1.84</v>
      </c>
      <c r="IA30" s="281">
        <f t="shared" si="63"/>
        <v>-11.310479999999998</v>
      </c>
    </row>
    <row r="31" spans="1:235" x14ac:dyDescent="0.25">
      <c r="A31" s="289">
        <f>36/50</f>
        <v>0.72</v>
      </c>
      <c r="B31" s="290">
        <f t="shared" si="0"/>
        <v>4007.7281892282344</v>
      </c>
      <c r="C31" s="291">
        <f t="shared" si="1"/>
        <v>408.67454117647054</v>
      </c>
      <c r="D31" s="281">
        <f t="shared" si="2"/>
        <v>0.20699100137509543</v>
      </c>
      <c r="E31" s="281">
        <f t="shared" si="3"/>
        <v>0.2194155421601327</v>
      </c>
      <c r="F31" s="281">
        <f t="shared" si="4"/>
        <v>0.21104328049055099</v>
      </c>
      <c r="G31" s="281">
        <f t="shared" si="5"/>
        <v>0.30158885466992652</v>
      </c>
      <c r="H31" s="281">
        <f t="shared" si="6"/>
        <v>0.30158885466992652</v>
      </c>
      <c r="X31" s="281">
        <f>T16-L_fus/2</f>
        <v>11.439519999999998</v>
      </c>
      <c r="Y31" s="281">
        <f>V16+-1*U16</f>
        <v>-1.9909249999999998</v>
      </c>
      <c r="Z31" s="281">
        <f>-1*U16</f>
        <v>-1.9909249999999998</v>
      </c>
      <c r="AA31" s="281">
        <f>T16</f>
        <v>29.249999999999996</v>
      </c>
      <c r="AP31" s="281">
        <f>x_nose-L_fus/2+0.5*D_nose/2</f>
        <v>-13.65325259627971</v>
      </c>
      <c r="AQ31" s="281">
        <f>-h_cg+D_nose/2+0.86603*D_nose/2</f>
        <v>-2.9643629827438498</v>
      </c>
      <c r="AY31" s="293">
        <f>MAX(0,MIN(26,n_rows-1))</f>
        <v>24</v>
      </c>
      <c r="AZ31" s="281">
        <f t="shared" si="14"/>
        <v>25.94</v>
      </c>
      <c r="BD31" s="281">
        <f>T16-L_fus/2</f>
        <v>11.439519999999998</v>
      </c>
      <c r="BE31" s="281">
        <f>U16*0.86603</f>
        <v>1.7242007777499997</v>
      </c>
      <c r="BF31" s="281">
        <f>V16+U16*0.5</f>
        <v>0.99546249999999992</v>
      </c>
      <c r="BG31" s="281">
        <f t="shared" si="18"/>
        <v>9.8714756244980038</v>
      </c>
      <c r="BH31" s="281">
        <f t="shared" si="19"/>
        <v>-1.6471931637346091</v>
      </c>
      <c r="BM31" s="281">
        <f>$AZ$8</f>
        <v>8.93</v>
      </c>
      <c r="BN31" s="281">
        <f>$AX$5+seat_w*($AY$8*n_SA+$AW$5&lt;pax_e)</f>
        <v>-1.31</v>
      </c>
      <c r="BO31" s="281">
        <f t="shared" si="20"/>
        <v>-8.8804799999999986</v>
      </c>
      <c r="CR31" s="293">
        <f>26/28*h_abs</f>
        <v>10646.458394530615</v>
      </c>
      <c r="CS31" s="289">
        <f t="shared" si="32"/>
        <v>218.94802043555097</v>
      </c>
      <c r="CT31" s="294">
        <f t="shared" si="33"/>
        <v>0.38063168053254254</v>
      </c>
      <c r="CU31" s="291">
        <f t="shared" si="34"/>
        <v>296.63034327951124</v>
      </c>
      <c r="CV31" s="294">
        <f t="shared" si="35"/>
        <v>6.3984775965206755E-2</v>
      </c>
      <c r="CW31" s="291">
        <f t="shared" si="36"/>
        <v>207.82303147090718</v>
      </c>
      <c r="CX31" s="289">
        <f t="shared" si="37"/>
        <v>1.8477443062325716</v>
      </c>
      <c r="CY31" s="293">
        <f t="shared" si="38"/>
        <v>15.179602874058961</v>
      </c>
      <c r="CZ31" s="295">
        <f t="shared" si="39"/>
        <v>1.0784842125238941E-3</v>
      </c>
      <c r="DA31" s="291">
        <f t="shared" si="40"/>
        <v>150.30811925747631</v>
      </c>
      <c r="DB31" s="291">
        <f t="shared" si="41"/>
        <v>243.23688148919922</v>
      </c>
      <c r="DC31" s="281">
        <f t="shared" si="42"/>
        <v>0.50671862357602016</v>
      </c>
      <c r="DD31" s="281">
        <f t="shared" si="43"/>
        <v>0.82000000000000006</v>
      </c>
      <c r="EB31" s="281">
        <f>$AH$6+D_nac/2*1</f>
        <v>-4.9027995806615046</v>
      </c>
      <c r="EC31" s="281">
        <f>$AJ$6+D_nac/2*0</f>
        <v>-2.007506832463827</v>
      </c>
      <c r="EG31" s="281">
        <f>d_fus/2*-0.17365</f>
        <v>-0.34572412624999999</v>
      </c>
      <c r="EH31" s="281">
        <f>d_fus/2*-0.98481</f>
        <v>-1.9606828492499997</v>
      </c>
      <c r="EI31" s="281">
        <f>w_cabin/2*-0.17365</f>
        <v>-0.32385724999999999</v>
      </c>
      <c r="EJ31" s="281">
        <f>w_cabin/2*-0.98481</f>
        <v>-1.8366706499999998</v>
      </c>
      <c r="EM31" s="281">
        <f>$AX$11+0.95*seat_w</f>
        <v>1.8135000000000003</v>
      </c>
      <c r="EN31" s="281">
        <f>z_floor+1.1</f>
        <v>0.50000000000000011</v>
      </c>
      <c r="HF31" s="297">
        <f t="shared" si="65"/>
        <v>72991.526973598273</v>
      </c>
      <c r="HG31" s="297">
        <f t="shared" si="48"/>
        <v>135.54274000303789</v>
      </c>
      <c r="HH31" s="297">
        <f t="shared" si="49"/>
        <v>35.883924395596139</v>
      </c>
      <c r="HI31" s="297">
        <f t="shared" si="50"/>
        <v>6.0436083192582988</v>
      </c>
      <c r="HJ31" s="297">
        <f t="shared" si="51"/>
        <v>4.230525823480809</v>
      </c>
      <c r="HK31" s="297">
        <f t="shared" si="52"/>
        <v>5511.4893657931207</v>
      </c>
      <c r="HL31" s="297">
        <f t="shared" si="53"/>
        <v>1703.1987080963845</v>
      </c>
      <c r="HM31" s="297">
        <f t="shared" si="54"/>
        <v>9147.0379438144791</v>
      </c>
      <c r="HN31" s="297">
        <f t="shared" si="55"/>
        <v>3138.6356598647253</v>
      </c>
      <c r="HO31" s="297">
        <f t="shared" si="56"/>
        <v>4710.4342223658132</v>
      </c>
      <c r="HP31" s="297">
        <f t="shared" si="57"/>
        <v>12408.559585511708</v>
      </c>
      <c r="HQ31" s="297">
        <f t="shared" si="58"/>
        <v>36619.355485446235</v>
      </c>
      <c r="HR31" s="297">
        <f t="shared" si="59"/>
        <v>72991.527369975302</v>
      </c>
      <c r="HY31" s="281">
        <f>$HX$8</f>
        <v>6.5</v>
      </c>
      <c r="HZ31" s="281">
        <f>$HV$5+seat_w_b*($HW$8*n_SA_b+$HU$5&lt;pax_b)</f>
        <v>-1.84</v>
      </c>
      <c r="IA31" s="281">
        <f t="shared" si="63"/>
        <v>-11.310479999999998</v>
      </c>
    </row>
    <row r="32" spans="1:235" x14ac:dyDescent="0.25">
      <c r="A32" s="289">
        <f>37/50</f>
        <v>0.74</v>
      </c>
      <c r="B32" s="290">
        <f t="shared" si="0"/>
        <v>4119.0539722623525</v>
      </c>
      <c r="C32" s="291">
        <f t="shared" si="1"/>
        <v>420.02661176470588</v>
      </c>
      <c r="D32" s="281">
        <f t="shared" si="2"/>
        <v>0.21274075141329257</v>
      </c>
      <c r="E32" s="281">
        <f t="shared" si="3"/>
        <v>0.2194155421601327</v>
      </c>
      <c r="F32" s="281">
        <f t="shared" si="4"/>
        <v>0.21104328049055099</v>
      </c>
      <c r="G32" s="281">
        <f t="shared" si="5"/>
        <v>0.29783500047629735</v>
      </c>
      <c r="H32" s="281">
        <f t="shared" si="6"/>
        <v>0.29783500047629735</v>
      </c>
      <c r="X32" s="281">
        <f>T15-L_fus/2</f>
        <v>3.0228533333333161</v>
      </c>
      <c r="Y32" s="281">
        <f>V15+-1*U15</f>
        <v>-1.9909249999999998</v>
      </c>
      <c r="Z32" s="281">
        <f>-1*U15</f>
        <v>-1.9909249999999998</v>
      </c>
      <c r="AA32" s="281">
        <f>T15</f>
        <v>20.833333333333314</v>
      </c>
      <c r="AP32" s="281">
        <f>x_nose-L_fus/2+0*D_nose/2</f>
        <v>-13.840532280222666</v>
      </c>
      <c r="AQ32" s="281">
        <f>-h_cg+D_nose/2+1*D_nose/2</f>
        <v>-2.914183264228174</v>
      </c>
      <c r="AY32" s="293">
        <f>MAX(0,MIN(27,n_rows-1))</f>
        <v>24</v>
      </c>
      <c r="AZ32" s="281">
        <f t="shared" si="14"/>
        <v>25.94</v>
      </c>
      <c r="BD32" s="281">
        <f>T15-L_fus/2</f>
        <v>3.0228533333333161</v>
      </c>
      <c r="BE32" s="281">
        <f>U15*0.86603</f>
        <v>1.7242007777499997</v>
      </c>
      <c r="BF32" s="281">
        <f>V15+U15*0.5</f>
        <v>0.99546249999999992</v>
      </c>
      <c r="BG32" s="281">
        <f t="shared" si="18"/>
        <v>3.4239348949132609</v>
      </c>
      <c r="BH32" s="281">
        <f t="shared" si="19"/>
        <v>0.63922617040644703</v>
      </c>
      <c r="BM32" s="281">
        <f>$AZ$8+1*(seat_pitch)*($AY$8*n_SA+$AW$5&lt;pax_e)</f>
        <v>9.74</v>
      </c>
      <c r="BN32" s="281">
        <f>$AX$5+seat_w*($AY$8*n_SA+$AW$5&lt;pax_e)</f>
        <v>-1.31</v>
      </c>
      <c r="BO32" s="281">
        <f t="shared" si="20"/>
        <v>-8.0704799999999981</v>
      </c>
      <c r="CA32" s="281">
        <f>$BX$8+0*lav_len</f>
        <v>28.25</v>
      </c>
      <c r="CB32" s="281">
        <f>$BY$8+0*lav_w</f>
        <v>0.86499999999999999</v>
      </c>
      <c r="CR32" s="293">
        <f>27/28*h_abs</f>
        <v>11055.937563551024</v>
      </c>
      <c r="CS32" s="289">
        <f t="shared" si="32"/>
        <v>216.65</v>
      </c>
      <c r="CT32" s="294">
        <f t="shared" si="33"/>
        <v>0.36072408462502692</v>
      </c>
      <c r="CU32" s="291">
        <f t="shared" si="34"/>
        <v>295.06956032434113</v>
      </c>
      <c r="CV32" s="294">
        <f t="shared" si="35"/>
        <v>5.9693334641741327E-2</v>
      </c>
      <c r="CW32" s="291">
        <f t="shared" si="36"/>
        <v>209.48098879146536</v>
      </c>
      <c r="CX32" s="289">
        <f t="shared" si="37"/>
        <v>0.99048613340540181</v>
      </c>
      <c r="CY32" s="293">
        <f t="shared" si="38"/>
        <v>0</v>
      </c>
      <c r="CZ32" s="295">
        <f t="shared" si="39"/>
        <v>5.4772685785710925E-4</v>
      </c>
      <c r="DA32" s="291">
        <f t="shared" si="40"/>
        <v>166.66669075786254</v>
      </c>
      <c r="DB32" s="291">
        <f t="shared" si="41"/>
        <v>241.95703946595975</v>
      </c>
      <c r="DC32" s="281">
        <f t="shared" si="42"/>
        <v>0.56483864541859941</v>
      </c>
      <c r="DD32" s="281">
        <f t="shared" si="43"/>
        <v>0.82000000000000006</v>
      </c>
      <c r="EG32" s="281">
        <f>d_fus/2*0</f>
        <v>0</v>
      </c>
      <c r="EH32" s="281">
        <f>d_fus/2*-1</f>
        <v>-1.9909249999999998</v>
      </c>
      <c r="EI32" s="281">
        <f>w_cabin/2*0</f>
        <v>0</v>
      </c>
      <c r="EJ32" s="281">
        <f>w_cabin/2*-1</f>
        <v>-1.865</v>
      </c>
      <c r="EM32" s="281">
        <f>$AX$11+0.95*seat_w</f>
        <v>1.8135000000000003</v>
      </c>
      <c r="EN32" s="281">
        <f>z_floor+0</f>
        <v>-0.6</v>
      </c>
      <c r="HF32" s="297">
        <f t="shared" si="65"/>
        <v>72991.527369975302</v>
      </c>
      <c r="HG32" s="297">
        <f t="shared" si="48"/>
        <v>135.5427407390963</v>
      </c>
      <c r="HH32" s="297">
        <f t="shared" si="49"/>
        <v>35.883924493029113</v>
      </c>
      <c r="HI32" s="297">
        <f t="shared" si="50"/>
        <v>6.0436083356680621</v>
      </c>
      <c r="HJ32" s="297">
        <f t="shared" si="51"/>
        <v>4.2305258349676427</v>
      </c>
      <c r="HK32" s="297">
        <f t="shared" si="52"/>
        <v>5511.4893986582629</v>
      </c>
      <c r="HL32" s="297">
        <f t="shared" si="53"/>
        <v>1703.1987219700936</v>
      </c>
      <c r="HM32" s="297">
        <f t="shared" si="54"/>
        <v>9147.0379438144791</v>
      </c>
      <c r="HN32" s="297">
        <f t="shared" si="55"/>
        <v>3138.6356769089375</v>
      </c>
      <c r="HO32" s="297">
        <f t="shared" si="56"/>
        <v>4710.4342505035793</v>
      </c>
      <c r="HP32" s="297">
        <f t="shared" si="57"/>
        <v>12408.559652895801</v>
      </c>
      <c r="HQ32" s="297">
        <f t="shared" si="58"/>
        <v>36619.355644751151</v>
      </c>
      <c r="HR32" s="297">
        <f t="shared" si="59"/>
        <v>72991.527596488508</v>
      </c>
      <c r="HY32" s="281">
        <f>$HX$8+1*(bus_pitch*(n_rows_b&gt;0))*($HW$8*n_SA_b+$HU$5&lt;pax_b)</f>
        <v>6.5</v>
      </c>
      <c r="HZ32" s="281">
        <f>$HV$5+seat_w_b*($HW$8*n_SA_b+$HU$5&lt;pax_b)</f>
        <v>-1.84</v>
      </c>
      <c r="IA32" s="281">
        <f t="shared" si="63"/>
        <v>-11.310479999999998</v>
      </c>
    </row>
    <row r="33" spans="1:235" x14ac:dyDescent="0.25">
      <c r="A33" s="289">
        <f>38/50</f>
        <v>0.76</v>
      </c>
      <c r="B33" s="290">
        <f t="shared" si="0"/>
        <v>4230.3797552964697</v>
      </c>
      <c r="C33" s="291">
        <f t="shared" si="1"/>
        <v>431.3786823529411</v>
      </c>
      <c r="D33" s="281">
        <f t="shared" si="2"/>
        <v>0.21849050145148963</v>
      </c>
      <c r="E33" s="281">
        <f t="shared" si="3"/>
        <v>0.2194155421601327</v>
      </c>
      <c r="F33" s="281">
        <f t="shared" si="4"/>
        <v>0.21104328049055099</v>
      </c>
      <c r="G33" s="281">
        <f t="shared" si="5"/>
        <v>0.29437601677047526</v>
      </c>
      <c r="H33" s="281">
        <f t="shared" si="6"/>
        <v>0.29437601677047526</v>
      </c>
      <c r="X33" s="281">
        <f>T14-L_fus/2</f>
        <v>-5.3938133333333411</v>
      </c>
      <c r="Y33" s="281">
        <f>V14+-1*U14</f>
        <v>-1.9909249999999998</v>
      </c>
      <c r="Z33" s="281">
        <f>-1*U14</f>
        <v>-1.9909249999999998</v>
      </c>
      <c r="AA33" s="281">
        <f>T14</f>
        <v>12.416666666666657</v>
      </c>
      <c r="AP33" s="281">
        <f>x_nose-L_fus/2</f>
        <v>-13.840532280222666</v>
      </c>
      <c r="AQ33" s="281">
        <f>-0.35*d_fus</f>
        <v>-1.3936474999999997</v>
      </c>
      <c r="AY33" s="293">
        <f>MAX(0,MIN(28,n_rows-1))</f>
        <v>24</v>
      </c>
      <c r="AZ33" s="281">
        <f t="shared" si="14"/>
        <v>25.94</v>
      </c>
      <c r="BD33" s="281">
        <f>T14-L_fus/2</f>
        <v>-5.3938133333333411</v>
      </c>
      <c r="BE33" s="281">
        <f>U14*0.86603</f>
        <v>1.7242007777499997</v>
      </c>
      <c r="BF33" s="281">
        <f>V14+U14*0.5</f>
        <v>0.99546249999999992</v>
      </c>
      <c r="BG33" s="281">
        <f t="shared" si="18"/>
        <v>-3.0236058346714634</v>
      </c>
      <c r="BH33" s="281">
        <f t="shared" si="19"/>
        <v>2.9256455045474961</v>
      </c>
      <c r="BM33" s="281">
        <f>$AZ$8+0.8*(seat_pitch)*($AY$8*n_SA+$AW$5&lt;pax_e)</f>
        <v>9.5779999999999994</v>
      </c>
      <c r="BN33" s="281">
        <f>$AX$5+seat_w*($AY$8*n_SA+$AW$5&lt;pax_e)</f>
        <v>-1.31</v>
      </c>
      <c r="BO33" s="281">
        <f t="shared" si="20"/>
        <v>-8.2324799999999989</v>
      </c>
      <c r="CA33" s="281">
        <f>$BX$8+1*lav_len</f>
        <v>29.25</v>
      </c>
      <c r="CB33" s="281">
        <f>$BY$8+0*lav_w</f>
        <v>0.86499999999999999</v>
      </c>
      <c r="CR33" s="293">
        <f>28/28*h_abs</f>
        <v>11465.416732571432</v>
      </c>
      <c r="CS33" s="289">
        <f t="shared" si="32"/>
        <v>216.65</v>
      </c>
      <c r="CT33" s="294">
        <f t="shared" si="33"/>
        <v>0.33816814319180744</v>
      </c>
      <c r="CU33" s="291">
        <f t="shared" si="34"/>
        <v>295.06956032434113</v>
      </c>
      <c r="CV33" s="294">
        <f t="shared" si="35"/>
        <v>5.4914181618174018E-2</v>
      </c>
      <c r="CW33" s="291">
        <f t="shared" si="36"/>
        <v>211.7484249088271</v>
      </c>
      <c r="CX33" s="289">
        <f t="shared" si="37"/>
        <v>0</v>
      </c>
      <c r="CZ33" s="295">
        <f t="shared" si="39"/>
        <v>0</v>
      </c>
      <c r="DA33" s="291">
        <f t="shared" si="40"/>
        <v>211.74842490882708</v>
      </c>
      <c r="DB33" s="291">
        <f t="shared" si="41"/>
        <v>211.74842490882708</v>
      </c>
      <c r="DC33" s="281">
        <f t="shared" si="42"/>
        <v>0.71762205723990213</v>
      </c>
      <c r="DD33" s="281">
        <f t="shared" si="43"/>
        <v>0.71762205723990213</v>
      </c>
      <c r="EB33" s="281">
        <f>$AH$7+D_nac/2*1</f>
        <v>7.1353902511482161</v>
      </c>
      <c r="EC33" s="281">
        <f>$AJ$7+D_nac/2*0</f>
        <v>-2.007506832463827</v>
      </c>
      <c r="EG33" s="281">
        <f>d_fus/2*0.17365</f>
        <v>0.34572412624999999</v>
      </c>
      <c r="EH33" s="281">
        <f>d_fus/2*-0.98481</f>
        <v>-1.9606828492499997</v>
      </c>
      <c r="EI33" s="281">
        <f>w_cabin/2*0.17365</f>
        <v>0.32385724999999999</v>
      </c>
      <c r="EJ33" s="281">
        <f>w_cabin/2*-0.98481</f>
        <v>-1.8366706499999998</v>
      </c>
      <c r="EM33" s="281">
        <f>$AX$12+0.05*seat_w</f>
        <v>1.3365000000000002</v>
      </c>
      <c r="EN33" s="281">
        <f>z_floor+0</f>
        <v>-0.6</v>
      </c>
      <c r="HF33" s="297">
        <f t="shared" si="65"/>
        <v>72991.527596488508</v>
      </c>
      <c r="HG33" s="297">
        <f t="shared" si="48"/>
        <v>135.54274115972351</v>
      </c>
      <c r="HH33" s="297">
        <f t="shared" si="49"/>
        <v>35.883924548708066</v>
      </c>
      <c r="HI33" s="297">
        <f t="shared" si="50"/>
        <v>6.043608345045568</v>
      </c>
      <c r="HJ33" s="297">
        <f t="shared" si="51"/>
        <v>4.2305258415318967</v>
      </c>
      <c r="HK33" s="297">
        <f t="shared" si="52"/>
        <v>5511.4894174393448</v>
      </c>
      <c r="HL33" s="297">
        <f t="shared" si="53"/>
        <v>1703.1987298983497</v>
      </c>
      <c r="HM33" s="297">
        <f t="shared" si="54"/>
        <v>9147.0379438144791</v>
      </c>
      <c r="HN33" s="297">
        <f t="shared" si="55"/>
        <v>3138.6356866490055</v>
      </c>
      <c r="HO33" s="297">
        <f t="shared" si="56"/>
        <v>4710.4342665831564</v>
      </c>
      <c r="HP33" s="297">
        <f t="shared" si="57"/>
        <v>12408.559691403047</v>
      </c>
      <c r="HQ33" s="297">
        <f t="shared" si="58"/>
        <v>36619.35573578738</v>
      </c>
      <c r="HR33" s="297">
        <f t="shared" si="59"/>
        <v>72991.527725931504</v>
      </c>
      <c r="HY33" s="281">
        <f>$HX$8+0.8*(bus_pitch*(n_rows_b&gt;0))*($HW$8*n_SA_b+$HU$5&lt;pax_b)</f>
        <v>6.5</v>
      </c>
      <c r="HZ33" s="281">
        <f>$HV$5+seat_w_b*($HW$8*n_SA_b+$HU$5&lt;pax_b)</f>
        <v>-1.84</v>
      </c>
      <c r="IA33" s="281">
        <f t="shared" si="63"/>
        <v>-11.310479999999998</v>
      </c>
    </row>
    <row r="34" spans="1:235" x14ac:dyDescent="0.25">
      <c r="A34" s="289">
        <f>39/50</f>
        <v>0.78</v>
      </c>
      <c r="B34" s="290">
        <f t="shared" si="0"/>
        <v>4341.7055383305878</v>
      </c>
      <c r="C34" s="291">
        <f t="shared" si="1"/>
        <v>442.73075294117643</v>
      </c>
      <c r="D34" s="281">
        <f t="shared" si="2"/>
        <v>0.22424025148968676</v>
      </c>
      <c r="E34" s="281">
        <f t="shared" si="3"/>
        <v>0.2194155421601327</v>
      </c>
      <c r="F34" s="281">
        <f t="shared" si="4"/>
        <v>0.21104328049055099</v>
      </c>
      <c r="G34" s="281">
        <f t="shared" si="5"/>
        <v>0.29118922120724439</v>
      </c>
      <c r="H34" s="281">
        <f t="shared" si="6"/>
        <v>0.29118922120724439</v>
      </c>
      <c r="X34" s="281">
        <f>T13-L_fus/2</f>
        <v>-13.810479999999998</v>
      </c>
      <c r="Y34" s="281">
        <f>V13+-1*U13</f>
        <v>-1.9909249999999998</v>
      </c>
      <c r="Z34" s="281">
        <f>-1*U13</f>
        <v>-1.9909249999999998</v>
      </c>
      <c r="AA34" s="281">
        <f>T13</f>
        <v>4</v>
      </c>
      <c r="AY34" s="293">
        <f>MAX(0,MIN(29,n_rows-1))</f>
        <v>24</v>
      </c>
      <c r="AZ34" s="281">
        <f t="shared" si="14"/>
        <v>25.94</v>
      </c>
      <c r="BD34" s="281">
        <f>T13-L_fus/2</f>
        <v>-13.810479999999998</v>
      </c>
      <c r="BE34" s="281">
        <f>U13*0.86603</f>
        <v>1.7242007777499997</v>
      </c>
      <c r="BF34" s="281">
        <f>V13+U13*0.5</f>
        <v>0.99546249999999992</v>
      </c>
      <c r="BG34" s="281">
        <f t="shared" si="18"/>
        <v>-9.4711465642561876</v>
      </c>
      <c r="BH34" s="281">
        <f t="shared" si="19"/>
        <v>5.212064838688546</v>
      </c>
      <c r="BM34" s="281">
        <f>$AZ$8+0.8*(seat_pitch)*($AY$8*n_SA+$AW$5&lt;pax_e)</f>
        <v>9.5779999999999994</v>
      </c>
      <c r="BN34" s="281">
        <f>$AX$5</f>
        <v>-1.84</v>
      </c>
      <c r="BO34" s="281">
        <f t="shared" si="20"/>
        <v>-8.2324799999999989</v>
      </c>
      <c r="CA34" s="281">
        <f>$BX$8+1*lav_len</f>
        <v>29.25</v>
      </c>
      <c r="CB34" s="281">
        <f>$BY$8+1*lav_w</f>
        <v>1.865</v>
      </c>
      <c r="EB34" s="281">
        <f>$AH$7+D_nac/2*0.86603</f>
        <v>6.9858401650856639</v>
      </c>
      <c r="EC34" s="281">
        <f>$AJ$7+D_nac/2*0.5</f>
        <v>-1.4493591648421491</v>
      </c>
      <c r="EG34" s="281">
        <f>d_fus/2*0.34202</f>
        <v>0.68093616849999994</v>
      </c>
      <c r="EH34" s="281">
        <f>d_fus/2*-0.93969</f>
        <v>-1.8708523132499999</v>
      </c>
      <c r="EI34" s="281">
        <f>w_cabin/2*0.34202</f>
        <v>0.63786730000000003</v>
      </c>
      <c r="EJ34" s="281">
        <f>w_cabin/2*-0.93969</f>
        <v>-1.7525218499999999</v>
      </c>
      <c r="EM34" s="281">
        <f>$AX$12+0.05*seat_w</f>
        <v>1.3365000000000002</v>
      </c>
      <c r="EN34" s="281">
        <f>z_floor+1.1</f>
        <v>0.50000000000000011</v>
      </c>
      <c r="HF34" s="297">
        <f t="shared" si="65"/>
        <v>72991.527725931504</v>
      </c>
      <c r="HG34" s="297">
        <f t="shared" si="48"/>
        <v>135.54274140009466</v>
      </c>
      <c r="HH34" s="297">
        <f t="shared" si="49"/>
        <v>35.883924580526298</v>
      </c>
      <c r="HI34" s="297">
        <f t="shared" si="50"/>
        <v>6.043608350404428</v>
      </c>
      <c r="HJ34" s="297">
        <f t="shared" si="51"/>
        <v>4.2305258452830987</v>
      </c>
      <c r="HK34" s="297">
        <f t="shared" si="52"/>
        <v>5511.4894281719608</v>
      </c>
      <c r="HL34" s="297">
        <f t="shared" si="53"/>
        <v>1703.1987344290221</v>
      </c>
      <c r="HM34" s="297">
        <f t="shared" si="54"/>
        <v>9147.0379438144791</v>
      </c>
      <c r="HN34" s="297">
        <f t="shared" si="55"/>
        <v>3138.6356922150544</v>
      </c>
      <c r="HO34" s="297">
        <f t="shared" si="56"/>
        <v>4710.434275771976</v>
      </c>
      <c r="HP34" s="297">
        <f t="shared" si="57"/>
        <v>12408.559713408356</v>
      </c>
      <c r="HQ34" s="297">
        <f t="shared" si="58"/>
        <v>36619.355787810848</v>
      </c>
      <c r="HR34" s="297">
        <f t="shared" si="59"/>
        <v>72991.527799902877</v>
      </c>
      <c r="HY34" s="281">
        <f>$HX$8+0.8*(bus_pitch*(n_rows_b&gt;0))*($HW$8*n_SA_b+$HU$5&lt;pax_b)</f>
        <v>6.5</v>
      </c>
      <c r="HZ34" s="281">
        <f>$HV$5</f>
        <v>-1.84</v>
      </c>
      <c r="IA34" s="281">
        <f t="shared" si="63"/>
        <v>-11.310479999999998</v>
      </c>
    </row>
    <row r="35" spans="1:235" x14ac:dyDescent="0.25">
      <c r="A35" s="289">
        <f>40/50</f>
        <v>0.8</v>
      </c>
      <c r="B35" s="290">
        <f t="shared" si="0"/>
        <v>4453.031321364705</v>
      </c>
      <c r="C35" s="291">
        <f t="shared" si="1"/>
        <v>454.08282352941171</v>
      </c>
      <c r="D35" s="281">
        <f t="shared" si="2"/>
        <v>0.22999000152788382</v>
      </c>
      <c r="E35" s="281">
        <f t="shared" si="3"/>
        <v>0.2194155421601327</v>
      </c>
      <c r="F35" s="281">
        <f t="shared" si="4"/>
        <v>0.21104328049055099</v>
      </c>
      <c r="G35" s="281">
        <f t="shared" si="5"/>
        <v>0.28825419967591043</v>
      </c>
      <c r="H35" s="281">
        <f t="shared" si="6"/>
        <v>0.28825419967591043</v>
      </c>
      <c r="X35" s="281">
        <f>T12-L_fus/2</f>
        <v>-14.610479999999999</v>
      </c>
      <c r="Y35" s="281">
        <f>V12+-1*U12</f>
        <v>-1.9627676025221674</v>
      </c>
      <c r="Z35" s="281">
        <f>-1*U12</f>
        <v>-1.9507001464602394</v>
      </c>
      <c r="AA35" s="281">
        <f>T12</f>
        <v>3.2</v>
      </c>
      <c r="AP35" s="281">
        <f>-1*0.48*B_box</f>
        <v>-18.807866879999999</v>
      </c>
      <c r="AQ35" s="281">
        <f>-h_cg</f>
        <v>-3.6633019999999998</v>
      </c>
      <c r="AY35" s="293">
        <f>MAX(0,MIN(30,n_rows-1))</f>
        <v>24</v>
      </c>
      <c r="AZ35" s="281">
        <f t="shared" si="14"/>
        <v>25.94</v>
      </c>
      <c r="BD35" s="281">
        <f>T12-L_fus/2</f>
        <v>-14.610479999999999</v>
      </c>
      <c r="BE35" s="281">
        <f>U12*0.86603</f>
        <v>1.6893648478389611</v>
      </c>
      <c r="BF35" s="281">
        <f>V12+U12*0.5</f>
        <v>0.96328261716819152</v>
      </c>
      <c r="BG35" s="281">
        <f t="shared" si="18"/>
        <v>-10.106374222870095</v>
      </c>
      <c r="BH35" s="281">
        <f t="shared" si="19"/>
        <v>5.3889450498953968</v>
      </c>
      <c r="BM35" s="281">
        <f>$AZ$8+0.2*(seat_pitch)*($AY$8*n_SA+$AW$5&lt;pax_e)</f>
        <v>9.0920000000000005</v>
      </c>
      <c r="BN35" s="281">
        <f>$AX$5</f>
        <v>-1.84</v>
      </c>
      <c r="BO35" s="281">
        <f t="shared" si="20"/>
        <v>-8.7184799999999978</v>
      </c>
      <c r="CA35" s="281">
        <f>$BX$8+0*lav_len</f>
        <v>28.25</v>
      </c>
      <c r="CB35" s="281">
        <f>$BY$8+1*lav_w</f>
        <v>1.865</v>
      </c>
      <c r="EB35" s="281">
        <f>$AH$7+D_nac/2*0.5</f>
        <v>6.5772425835265382</v>
      </c>
      <c r="EC35" s="281">
        <f>$AJ$7+D_nac/2*0.86603</f>
        <v>-1.0407615832830235</v>
      </c>
      <c r="EG35" s="281">
        <f>d_fus/2*0.5</f>
        <v>0.99546249999999992</v>
      </c>
      <c r="EH35" s="281">
        <f>d_fus/2*-0.86603</f>
        <v>-1.7242007777499997</v>
      </c>
      <c r="EI35" s="281">
        <f>w_cabin/2*0.5</f>
        <v>0.9325</v>
      </c>
      <c r="EJ35" s="281">
        <f>w_cabin/2*-0.86603</f>
        <v>-1.6151459499999998</v>
      </c>
      <c r="EM35" s="281">
        <f>$AX$12+0.95*seat_w</f>
        <v>1.8135000000000003</v>
      </c>
      <c r="EN35" s="281">
        <f>z_floor+1.1</f>
        <v>0.50000000000000011</v>
      </c>
      <c r="HF35" s="297">
        <f t="shared" si="65"/>
        <v>72991.527799902877</v>
      </c>
      <c r="HG35" s="297">
        <f t="shared" si="48"/>
        <v>135.54274153745695</v>
      </c>
      <c r="HH35" s="297">
        <f t="shared" si="49"/>
        <v>35.883924598709115</v>
      </c>
      <c r="HI35" s="297">
        <f t="shared" si="50"/>
        <v>6.0436083534667979</v>
      </c>
      <c r="HJ35" s="297">
        <f t="shared" si="51"/>
        <v>4.2305258474267582</v>
      </c>
      <c r="HK35" s="297">
        <f t="shared" si="52"/>
        <v>5511.4894343052119</v>
      </c>
      <c r="HL35" s="297">
        <f t="shared" si="53"/>
        <v>1703.1987370181166</v>
      </c>
      <c r="HM35" s="297">
        <f t="shared" si="54"/>
        <v>9147.0379438144791</v>
      </c>
      <c r="HN35" s="297">
        <f t="shared" si="55"/>
        <v>3138.6356953958234</v>
      </c>
      <c r="HO35" s="297">
        <f t="shared" si="56"/>
        <v>4710.4342810230164</v>
      </c>
      <c r="HP35" s="297">
        <f t="shared" si="57"/>
        <v>12408.55972598349</v>
      </c>
      <c r="HQ35" s="297">
        <f t="shared" si="58"/>
        <v>36619.355817540141</v>
      </c>
      <c r="HR35" s="297">
        <f t="shared" si="59"/>
        <v>72991.527842174502</v>
      </c>
      <c r="HY35" s="281">
        <f>$HX$8+0.2*(bus_pitch*(n_rows_b&gt;0))*($HW$8*n_SA_b+$HU$5&lt;pax_b)</f>
        <v>6.5</v>
      </c>
      <c r="HZ35" s="281">
        <f>$HV$5</f>
        <v>-1.84</v>
      </c>
      <c r="IA35" s="281">
        <f t="shared" si="63"/>
        <v>-11.310479999999998</v>
      </c>
    </row>
    <row r="36" spans="1:235" x14ac:dyDescent="0.25">
      <c r="A36" s="289">
        <f>41/50</f>
        <v>0.82</v>
      </c>
      <c r="B36" s="290">
        <f t="shared" si="0"/>
        <v>4564.3571043988222</v>
      </c>
      <c r="C36" s="291">
        <f t="shared" si="1"/>
        <v>465.43489411764693</v>
      </c>
      <c r="D36" s="281">
        <f t="shared" si="2"/>
        <v>0.2357397515660809</v>
      </c>
      <c r="E36" s="281">
        <f t="shared" si="3"/>
        <v>0.2194155421601327</v>
      </c>
      <c r="F36" s="281">
        <f t="shared" si="4"/>
        <v>0.21104328049055099</v>
      </c>
      <c r="G36" s="281">
        <f t="shared" si="5"/>
        <v>0.28555252968633443</v>
      </c>
      <c r="H36" s="281">
        <f t="shared" si="6"/>
        <v>0.28555252968633443</v>
      </c>
      <c r="X36" s="281">
        <f>T11-L_fus/2</f>
        <v>-15.410479999999998</v>
      </c>
      <c r="Y36" s="281">
        <f>V11+-1*U11</f>
        <v>-1.8745765321671937</v>
      </c>
      <c r="Z36" s="281">
        <f>-1*U11</f>
        <v>-1.824712903095991</v>
      </c>
      <c r="AA36" s="281">
        <f>T11</f>
        <v>2.4</v>
      </c>
      <c r="AP36" s="281">
        <f>1*0.48*B_box</f>
        <v>18.807866879999999</v>
      </c>
      <c r="AQ36" s="281">
        <f>-h_cg</f>
        <v>-3.6633019999999998</v>
      </c>
      <c r="AY36" s="293">
        <f>MAX(0,MIN(31,n_rows-1))</f>
        <v>24</v>
      </c>
      <c r="AZ36" s="281">
        <f t="shared" si="14"/>
        <v>25.94</v>
      </c>
      <c r="BD36" s="281">
        <f>T11-L_fus/2</f>
        <v>-15.410479999999998</v>
      </c>
      <c r="BE36" s="281">
        <f>U11*0.86603</f>
        <v>1.5802561154682211</v>
      </c>
      <c r="BF36" s="281">
        <f>V11+U11*0.5</f>
        <v>0.86249282247679282</v>
      </c>
      <c r="BG36" s="281">
        <f t="shared" si="18"/>
        <v>-10.789343518641793</v>
      </c>
      <c r="BH36" s="281">
        <f t="shared" si="19"/>
        <v>5.4795981620037253</v>
      </c>
      <c r="BM36" s="281">
        <f>$AZ$8+(seat_pitch)</f>
        <v>9.74</v>
      </c>
      <c r="BN36" s="281">
        <f>$AX$5</f>
        <v>-1.84</v>
      </c>
      <c r="BO36" s="281">
        <f t="shared" si="20"/>
        <v>-8.0704799999999981</v>
      </c>
      <c r="CA36" s="281">
        <f>$BX$8+0*lav_len</f>
        <v>28.25</v>
      </c>
      <c r="CB36" s="281">
        <f>$BY$8+0*lav_w</f>
        <v>0.86499999999999999</v>
      </c>
      <c r="EB36" s="281">
        <f>$AH$7+D_nac/2*0</f>
        <v>6.0190949159048603</v>
      </c>
      <c r="EC36" s="281">
        <f>$AJ$7+D_nac/2*1</f>
        <v>-0.89121149722047099</v>
      </c>
      <c r="EG36" s="281">
        <f>d_fus/2*0.64279</f>
        <v>1.2797466807499998</v>
      </c>
      <c r="EH36" s="281">
        <f>d_fus/2*-0.76604</f>
        <v>-1.525128187</v>
      </c>
      <c r="EI36" s="281">
        <f>w_cabin/2*0.64279</f>
        <v>1.1988033499999999</v>
      </c>
      <c r="EJ36" s="281">
        <f>w_cabin/2*-0.76604</f>
        <v>-1.4286646000000001</v>
      </c>
      <c r="EM36" s="281">
        <f>$AX$12+0.95*seat_w</f>
        <v>1.8135000000000003</v>
      </c>
      <c r="EN36" s="281">
        <f>z_floor+0</f>
        <v>-0.6</v>
      </c>
      <c r="HF36" s="297">
        <f t="shared" si="65"/>
        <v>72991.527842174502</v>
      </c>
      <c r="HG36" s="297">
        <f t="shared" si="48"/>
        <v>135.5427416159539</v>
      </c>
      <c r="HH36" s="297">
        <f t="shared" si="49"/>
        <v>35.883924609099857</v>
      </c>
      <c r="HI36" s="297">
        <f t="shared" si="50"/>
        <v>6.0436083552168167</v>
      </c>
      <c r="HJ36" s="297">
        <f t="shared" si="51"/>
        <v>4.2305258486517712</v>
      </c>
      <c r="HK36" s="297">
        <f t="shared" si="52"/>
        <v>5511.4894378101153</v>
      </c>
      <c r="HL36" s="297">
        <f t="shared" si="53"/>
        <v>1703.1987384976785</v>
      </c>
      <c r="HM36" s="297">
        <f t="shared" si="54"/>
        <v>9147.0379438144791</v>
      </c>
      <c r="HN36" s="297">
        <f t="shared" si="55"/>
        <v>3138.6356972135031</v>
      </c>
      <c r="HO36" s="297">
        <f t="shared" si="56"/>
        <v>4710.4342840237668</v>
      </c>
      <c r="HP36" s="297">
        <f t="shared" si="57"/>
        <v>12408.559733169666</v>
      </c>
      <c r="HQ36" s="297">
        <f t="shared" si="58"/>
        <v>36619.355834529211</v>
      </c>
      <c r="HR36" s="297">
        <f t="shared" si="59"/>
        <v>72991.527866330987</v>
      </c>
      <c r="HY36" s="281">
        <f>$HX$8+(bus_pitch*(n_rows_b&gt;0))</f>
        <v>6.5</v>
      </c>
      <c r="HZ36" s="281">
        <f>$HV$5</f>
        <v>-1.84</v>
      </c>
      <c r="IA36" s="281">
        <f t="shared" si="63"/>
        <v>-11.310479999999998</v>
      </c>
    </row>
    <row r="37" spans="1:235" x14ac:dyDescent="0.25">
      <c r="A37" s="289">
        <f>42/50</f>
        <v>0.84</v>
      </c>
      <c r="B37" s="290">
        <f t="shared" ref="B37:B55" si="78">A37*WS_max</f>
        <v>4675.6828874329403</v>
      </c>
      <c r="C37" s="291">
        <f t="shared" ref="C37:C55" si="79">B37/grav</f>
        <v>476.78696470588227</v>
      </c>
      <c r="D37" s="281">
        <f t="shared" ref="D37:D55" si="80">TO_slope*B37</f>
        <v>0.24148950160427801</v>
      </c>
      <c r="E37" s="281">
        <f t="shared" ref="E37:E55" si="81">TW_2</f>
        <v>0.2194155421601327</v>
      </c>
      <c r="F37" s="281">
        <f t="shared" ref="F37:F55" si="82">TW_MA</f>
        <v>0.21104328049055099</v>
      </c>
      <c r="G37" s="281">
        <f t="shared" ref="G37:G55" si="83">beta_cr/alpha_cr*(q_cr*CD_0/(beta_cr*B37)+K_ind*beta_cr*B37/q_cr+ROC_cr/V_cr)</f>
        <v>0.28306754327124817</v>
      </c>
      <c r="H37" s="281">
        <f t="shared" ref="H37:H55" si="84">MAX(D37:G37)</f>
        <v>0.28306754327124817</v>
      </c>
      <c r="X37" s="281">
        <f>T10-L_fus/2</f>
        <v>-16.010479999999998</v>
      </c>
      <c r="Y37" s="281">
        <f>V10+-1*U10</f>
        <v>-1.7612026327270727</v>
      </c>
      <c r="Z37" s="281">
        <f>-1*U10</f>
        <v>-1.662750189610104</v>
      </c>
      <c r="AA37" s="281">
        <f>T10</f>
        <v>1.8</v>
      </c>
      <c r="AY37" s="293">
        <f>MAX(0,MIN(32,n_rows-1))</f>
        <v>24</v>
      </c>
      <c r="AZ37" s="281">
        <f t="shared" ref="AZ37:AZ64" si="85">x_eco0+AY37*(seat_pitch)</f>
        <v>25.94</v>
      </c>
      <c r="BD37" s="281">
        <f>T10-L_fus/2</f>
        <v>-16.010479999999998</v>
      </c>
      <c r="BE37" s="281">
        <f>U10*0.86603</f>
        <v>1.4399915467080384</v>
      </c>
      <c r="BF37" s="281">
        <f>V10+U10*0.5</f>
        <v>0.73292265168808324</v>
      </c>
      <c r="BG37" s="281">
        <f t="shared" si="18"/>
        <v>-11.339130511390252</v>
      </c>
      <c r="BH37" s="281">
        <f t="shared" si="19"/>
        <v>5.4797501120325265</v>
      </c>
      <c r="BM37" s="281">
        <f>$AZ$9+0.2*(seat_pitch)*($AY$9*n_SA+$AW$5&lt;pax_e)</f>
        <v>9.902000000000001</v>
      </c>
      <c r="BN37" s="281">
        <f>$AX$5</f>
        <v>-1.84</v>
      </c>
      <c r="BO37" s="281">
        <f t="shared" si="20"/>
        <v>-7.9084799999999973</v>
      </c>
      <c r="CA37" s="281">
        <f>$BX$8+1*lav_len</f>
        <v>29.25</v>
      </c>
      <c r="CB37" s="281">
        <f>$BY$8+1*lav_w</f>
        <v>1.865</v>
      </c>
      <c r="EB37" s="281">
        <f>$AH$7+D_nac/2*-0.5</f>
        <v>5.4609472482831825</v>
      </c>
      <c r="EC37" s="281">
        <f>$AJ$7+D_nac/2*0.86603</f>
        <v>-1.0407615832830235</v>
      </c>
      <c r="EG37" s="281">
        <f>d_fus/2*0.76604</f>
        <v>1.525128187</v>
      </c>
      <c r="EH37" s="281">
        <f>d_fus/2*-0.64279</f>
        <v>-1.2797466807499998</v>
      </c>
      <c r="EI37" s="281">
        <f>w_cabin/2*0.76604</f>
        <v>1.4286646000000001</v>
      </c>
      <c r="EJ37" s="281">
        <f>w_cabin/2*-0.64279</f>
        <v>-1.1988033499999999</v>
      </c>
      <c r="EM37" s="281">
        <f>$AX$13+0.05*seat_w</f>
        <v>1.3365000000000002</v>
      </c>
      <c r="EN37" s="281">
        <f>z_floor+0</f>
        <v>-0.6</v>
      </c>
      <c r="HF37" s="297">
        <f t="shared" si="65"/>
        <v>72991.527866330987</v>
      </c>
      <c r="HG37" s="297">
        <f t="shared" si="48"/>
        <v>135.54274166081166</v>
      </c>
      <c r="HH37" s="297">
        <f t="shared" si="49"/>
        <v>35.883924615037728</v>
      </c>
      <c r="HI37" s="297">
        <f t="shared" si="50"/>
        <v>6.0436083562168816</v>
      </c>
      <c r="HJ37" s="297">
        <f t="shared" si="51"/>
        <v>4.2305258493518174</v>
      </c>
      <c r="HK37" s="297">
        <f t="shared" si="52"/>
        <v>5511.4894398130218</v>
      </c>
      <c r="HL37" s="297">
        <f t="shared" si="53"/>
        <v>1703.1987393431871</v>
      </c>
      <c r="HM37" s="297">
        <f t="shared" si="54"/>
        <v>9147.0379438144791</v>
      </c>
      <c r="HN37" s="297">
        <f t="shared" si="55"/>
        <v>3138.635698252232</v>
      </c>
      <c r="HO37" s="297">
        <f t="shared" si="56"/>
        <v>4710.4342857385718</v>
      </c>
      <c r="HP37" s="297">
        <f t="shared" si="57"/>
        <v>12408.55973727627</v>
      </c>
      <c r="HQ37" s="297">
        <f t="shared" si="58"/>
        <v>36619.355844237762</v>
      </c>
      <c r="HR37" s="297">
        <f t="shared" si="59"/>
        <v>72991.527880135429</v>
      </c>
      <c r="HY37" s="281">
        <f>$HX$9+0.2*(bus_pitch*(n_rows_b&gt;0))*($HW$9*n_SA_b+$HU$5&lt;pax_b)</f>
        <v>6.5</v>
      </c>
      <c r="HZ37" s="281">
        <f>$HV$5</f>
        <v>-1.84</v>
      </c>
      <c r="IA37" s="281">
        <f t="shared" si="63"/>
        <v>-11.310479999999998</v>
      </c>
    </row>
    <row r="38" spans="1:235" x14ac:dyDescent="0.25">
      <c r="A38" s="289">
        <f>43/50</f>
        <v>0.86</v>
      </c>
      <c r="B38" s="290">
        <f t="shared" si="78"/>
        <v>4787.0086704670584</v>
      </c>
      <c r="C38" s="291">
        <f t="shared" si="79"/>
        <v>488.13903529411766</v>
      </c>
      <c r="D38" s="281">
        <f t="shared" si="80"/>
        <v>0.24723925164247515</v>
      </c>
      <c r="E38" s="281">
        <f t="shared" si="81"/>
        <v>0.2194155421601327</v>
      </c>
      <c r="F38" s="281">
        <f t="shared" si="82"/>
        <v>0.21104328049055099</v>
      </c>
      <c r="G38" s="281">
        <f t="shared" si="83"/>
        <v>0.28078412297196614</v>
      </c>
      <c r="H38" s="281">
        <f t="shared" si="84"/>
        <v>0.28078412297196614</v>
      </c>
      <c r="X38" s="281">
        <f>T9-L_fus/2</f>
        <v>-16.610479999999999</v>
      </c>
      <c r="Y38" s="281">
        <f>V9+-1*U9</f>
        <v>-1.592540887586767</v>
      </c>
      <c r="Z38" s="281">
        <f>-1*U9</f>
        <v>-1.4218048394096672</v>
      </c>
      <c r="AA38" s="281">
        <f>T9</f>
        <v>1.2</v>
      </c>
      <c r="AY38" s="293">
        <f>MAX(0,MIN(33,n_rows-1))</f>
        <v>24</v>
      </c>
      <c r="AZ38" s="281">
        <f t="shared" si="85"/>
        <v>25.94</v>
      </c>
      <c r="BD38" s="281">
        <f>T9-L_fus/2</f>
        <v>-16.610479999999999</v>
      </c>
      <c r="BE38" s="281">
        <f>U9*0.86603</f>
        <v>1.231325645073954</v>
      </c>
      <c r="BF38" s="281">
        <f>V9+U9*0.5</f>
        <v>0.54016637152773384</v>
      </c>
      <c r="BG38" s="281">
        <f t="shared" si="18"/>
        <v>-11.932885033396097</v>
      </c>
      <c r="BH38" s="281">
        <f t="shared" si="19"/>
        <v>5.4004914526206935</v>
      </c>
      <c r="BM38" s="281">
        <f>$AZ$9+0.2*(seat_pitch)*($AY$9*n_SA+$AW$5&lt;pax_e)</f>
        <v>9.902000000000001</v>
      </c>
      <c r="BN38" s="281">
        <f>$AX$5+seat_w*($AY$9*n_SA+$AW$5&lt;pax_e)</f>
        <v>-1.31</v>
      </c>
      <c r="BO38" s="281">
        <f t="shared" si="20"/>
        <v>-7.9084799999999973</v>
      </c>
      <c r="CA38" s="281">
        <f>$BX$8+1*lav_len</f>
        <v>29.25</v>
      </c>
      <c r="CB38" s="281">
        <f>$BY$8+0*lav_w</f>
        <v>0.86499999999999999</v>
      </c>
      <c r="EB38" s="281">
        <f>$AH$7+D_nac/2*-0.86603</f>
        <v>5.0523496667240568</v>
      </c>
      <c r="EC38" s="281">
        <f>$AJ$7+D_nac/2*0.5</f>
        <v>-1.4493591648421491</v>
      </c>
      <c r="EG38" s="281">
        <f>d_fus/2*0.86603</f>
        <v>1.7242007777499997</v>
      </c>
      <c r="EH38" s="281">
        <f>d_fus/2*-0.5</f>
        <v>-0.99546249999999992</v>
      </c>
      <c r="EI38" s="281">
        <f>w_cabin/2*0.86603</f>
        <v>1.6151459499999998</v>
      </c>
      <c r="EJ38" s="281">
        <f>w_cabin/2*-0.5</f>
        <v>-0.9325</v>
      </c>
      <c r="EM38" s="281">
        <f>$AX$13+0.05*seat_w</f>
        <v>1.3365000000000002</v>
      </c>
      <c r="EN38" s="281">
        <f>z_floor+1.1</f>
        <v>0.50000000000000011</v>
      </c>
      <c r="HF38" s="297">
        <f t="shared" si="65"/>
        <v>72991.527880135429</v>
      </c>
      <c r="HG38" s="297">
        <f t="shared" si="48"/>
        <v>135.54274168644602</v>
      </c>
      <c r="HH38" s="297">
        <f t="shared" si="49"/>
        <v>35.883924618430981</v>
      </c>
      <c r="HI38" s="297">
        <f t="shared" si="50"/>
        <v>6.0436083567883774</v>
      </c>
      <c r="HJ38" s="297">
        <f t="shared" si="51"/>
        <v>4.2305258497518636</v>
      </c>
      <c r="HK38" s="297">
        <f t="shared" si="52"/>
        <v>5511.4894409576009</v>
      </c>
      <c r="HL38" s="297">
        <f t="shared" si="53"/>
        <v>1703.19873982636</v>
      </c>
      <c r="HM38" s="297">
        <f t="shared" si="54"/>
        <v>9147.0379438144791</v>
      </c>
      <c r="HN38" s="297">
        <f t="shared" si="55"/>
        <v>3138.6356988458233</v>
      </c>
      <c r="HO38" s="297">
        <f t="shared" si="56"/>
        <v>4710.4342867185123</v>
      </c>
      <c r="HP38" s="297">
        <f t="shared" si="57"/>
        <v>12408.559739623024</v>
      </c>
      <c r="HQ38" s="297">
        <f t="shared" si="58"/>
        <v>36619.355849785803</v>
      </c>
      <c r="HR38" s="297">
        <f t="shared" si="59"/>
        <v>72991.527888024109</v>
      </c>
      <c r="HY38" s="281">
        <f>$HX$9+0.2*(bus_pitch*(n_rows_b&gt;0))*($HW$9*n_SA_b+$HU$5&lt;pax_b)</f>
        <v>6.5</v>
      </c>
      <c r="HZ38" s="281">
        <f>$HV$5+seat_w_b*($HW$9*n_SA_b+$HU$5&lt;pax_b)</f>
        <v>-1.84</v>
      </c>
      <c r="IA38" s="281">
        <f t="shared" si="63"/>
        <v>-11.310479999999998</v>
      </c>
    </row>
    <row r="39" spans="1:235" x14ac:dyDescent="0.25">
      <c r="A39" s="289">
        <f>44/50</f>
        <v>0.88</v>
      </c>
      <c r="B39" s="290">
        <f t="shared" si="78"/>
        <v>4898.3344535011756</v>
      </c>
      <c r="C39" s="291">
        <f t="shared" si="79"/>
        <v>499.49110588235288</v>
      </c>
      <c r="D39" s="281">
        <f t="shared" si="80"/>
        <v>0.25298900168067223</v>
      </c>
      <c r="E39" s="281">
        <f t="shared" si="81"/>
        <v>0.2194155421601327</v>
      </c>
      <c r="F39" s="281">
        <f t="shared" si="82"/>
        <v>0.21104328049055099</v>
      </c>
      <c r="G39" s="281">
        <f t="shared" si="83"/>
        <v>0.27868852564422902</v>
      </c>
      <c r="H39" s="281">
        <f t="shared" si="84"/>
        <v>0.27868852564422902</v>
      </c>
      <c r="X39" s="281">
        <f>T8-L_fus/2</f>
        <v>-17.210479999999997</v>
      </c>
      <c r="Y39" s="281">
        <f>V8+-1*U8</f>
        <v>-1.3314268756764418</v>
      </c>
      <c r="Z39" s="281">
        <f>-1*U8</f>
        <v>-1.048784822394917</v>
      </c>
      <c r="AA39" s="281">
        <f>T8</f>
        <v>0.6</v>
      </c>
      <c r="AY39" s="293">
        <f>MAX(0,MIN(34,n_rows-1))</f>
        <v>24</v>
      </c>
      <c r="AZ39" s="281">
        <f t="shared" si="85"/>
        <v>25.94</v>
      </c>
      <c r="BD39" s="281">
        <f>T8-L_fus/2</f>
        <v>-17.210479999999997</v>
      </c>
      <c r="BE39" s="281">
        <f>U8*0.86603</f>
        <v>0.90827911973866993</v>
      </c>
      <c r="BF39" s="281">
        <f>V8+U8*0.5</f>
        <v>0.24175035791593363</v>
      </c>
      <c r="BG39" s="281">
        <f t="shared" si="18"/>
        <v>-12.600162003105293</v>
      </c>
      <c r="BH39" s="281">
        <f t="shared" si="19"/>
        <v>5.1884424709346266</v>
      </c>
      <c r="BM39" s="281">
        <f>$AZ$9</f>
        <v>9.74</v>
      </c>
      <c r="BN39" s="281">
        <f>$AX$5+seat_w*($AY$9*n_SA+$AW$5&lt;pax_e)</f>
        <v>-1.31</v>
      </c>
      <c r="BO39" s="281">
        <f t="shared" si="20"/>
        <v>-8.0704799999999981</v>
      </c>
      <c r="CA39" s="281">
        <f>$BX$8+0*lav_len</f>
        <v>28.25</v>
      </c>
      <c r="CB39" s="281">
        <f>$BY$8+1*lav_w</f>
        <v>1.865</v>
      </c>
      <c r="EB39" s="281">
        <f>$AH$7+D_nac/2*-1</f>
        <v>4.9027995806615046</v>
      </c>
      <c r="EC39" s="281">
        <f>$AJ$7+D_nac/2*0</f>
        <v>-2.007506832463827</v>
      </c>
      <c r="EG39" s="281">
        <f>d_fus/2*0.93969</f>
        <v>1.8708523132499999</v>
      </c>
      <c r="EH39" s="281">
        <f>d_fus/2*-0.34202</f>
        <v>-0.68093616849999994</v>
      </c>
      <c r="EI39" s="281">
        <f>w_cabin/2*0.93969</f>
        <v>1.7525218499999999</v>
      </c>
      <c r="EJ39" s="281">
        <f>w_cabin/2*-0.34202</f>
        <v>-0.63786730000000003</v>
      </c>
      <c r="EM39" s="281">
        <f>$AX$13+0.95*seat_w</f>
        <v>1.8135000000000003</v>
      </c>
      <c r="EN39" s="281">
        <f>z_floor+1.1</f>
        <v>0.50000000000000011</v>
      </c>
      <c r="HF39" s="297">
        <f t="shared" si="65"/>
        <v>72991.527888024109</v>
      </c>
      <c r="HG39" s="297">
        <f t="shared" si="48"/>
        <v>135.54274170109503</v>
      </c>
      <c r="HH39" s="297">
        <f t="shared" si="49"/>
        <v>35.883924620370088</v>
      </c>
      <c r="HI39" s="297">
        <f t="shared" si="50"/>
        <v>6.0436083571149624</v>
      </c>
      <c r="HJ39" s="297">
        <f t="shared" si="51"/>
        <v>4.2305258499804737</v>
      </c>
      <c r="HK39" s="297">
        <f t="shared" si="52"/>
        <v>5511.4894416116822</v>
      </c>
      <c r="HL39" s="297">
        <f t="shared" si="53"/>
        <v>1703.1987401024739</v>
      </c>
      <c r="HM39" s="297">
        <f t="shared" si="54"/>
        <v>9147.0379438144791</v>
      </c>
      <c r="HN39" s="297">
        <f t="shared" si="55"/>
        <v>3138.6356991850366</v>
      </c>
      <c r="HO39" s="297">
        <f t="shared" si="56"/>
        <v>4710.4342872785101</v>
      </c>
      <c r="HP39" s="297">
        <f t="shared" si="57"/>
        <v>12408.5597409641</v>
      </c>
      <c r="HQ39" s="297">
        <f t="shared" si="58"/>
        <v>36619.35585295628</v>
      </c>
      <c r="HR39" s="297">
        <f t="shared" si="59"/>
        <v>72991.527892532162</v>
      </c>
      <c r="HY39" s="281">
        <f>$HX$9</f>
        <v>6.5</v>
      </c>
      <c r="HZ39" s="281">
        <f>$HV$5+seat_w_b*($HW$9*n_SA_b+$HU$5&lt;pax_b)</f>
        <v>-1.84</v>
      </c>
      <c r="IA39" s="281">
        <f t="shared" si="63"/>
        <v>-11.310479999999998</v>
      </c>
    </row>
    <row r="40" spans="1:235" x14ac:dyDescent="0.25">
      <c r="A40" s="289">
        <f>45/50</f>
        <v>0.9</v>
      </c>
      <c r="B40" s="290">
        <f t="shared" si="78"/>
        <v>5009.6602365352937</v>
      </c>
      <c r="C40" s="291">
        <f t="shared" si="79"/>
        <v>510.84317647058822</v>
      </c>
      <c r="D40" s="281">
        <f t="shared" si="80"/>
        <v>0.25873875171886934</v>
      </c>
      <c r="E40" s="281">
        <f t="shared" si="81"/>
        <v>0.2194155421601327</v>
      </c>
      <c r="F40" s="281">
        <f t="shared" si="82"/>
        <v>0.21104328049055099</v>
      </c>
      <c r="G40" s="281">
        <f t="shared" si="83"/>
        <v>0.27676822975660054</v>
      </c>
      <c r="H40" s="281">
        <f t="shared" si="84"/>
        <v>0.27676822975660054</v>
      </c>
      <c r="X40" s="281">
        <f>T7-L_fus/2</f>
        <v>-17.530479999999997</v>
      </c>
      <c r="Y40" s="281">
        <f>V7+-1*U7</f>
        <v>-1.1095259047413124</v>
      </c>
      <c r="Z40" s="281">
        <f>-1*U7</f>
        <v>-0.73178343534473222</v>
      </c>
      <c r="AA40" s="281">
        <f>T7</f>
        <v>0.28000000000000003</v>
      </c>
      <c r="AY40" s="293">
        <f>MAX(0,MIN(35,n_rows-1))</f>
        <v>24</v>
      </c>
      <c r="AZ40" s="281">
        <f t="shared" si="85"/>
        <v>25.94</v>
      </c>
      <c r="BD40" s="281">
        <f>T7-L_fus/2</f>
        <v>-17.530479999999997</v>
      </c>
      <c r="BE40" s="281">
        <f>U7*0.86603</f>
        <v>0.63374640851159847</v>
      </c>
      <c r="BF40" s="281">
        <f>V7+U7*0.5</f>
        <v>-1.1850751724214126E-2</v>
      </c>
      <c r="BG40" s="281">
        <f t="shared" si="18"/>
        <v>-13.02176245013378</v>
      </c>
      <c r="BH40" s="281">
        <f t="shared" si="19"/>
        <v>4.9566526008882734</v>
      </c>
      <c r="BM40" s="281">
        <f>$AZ$9+1*(seat_pitch)*($AY$9*n_SA+$AW$5&lt;pax_e)</f>
        <v>10.55</v>
      </c>
      <c r="BN40" s="281">
        <f>$AX$5+seat_w*($AY$9*n_SA+$AW$5&lt;pax_e)</f>
        <v>-1.31</v>
      </c>
      <c r="BO40" s="281">
        <f t="shared" si="20"/>
        <v>-7.2604799999999976</v>
      </c>
      <c r="EB40" s="281">
        <f>$AH$7+D_nac/2*-0.86603</f>
        <v>5.0523496667240568</v>
      </c>
      <c r="EC40" s="281">
        <f>$AJ$7+D_nac/2*-0.5</f>
        <v>-2.5656545000855049</v>
      </c>
      <c r="EG40" s="281">
        <f>d_fus/2*0.98481</f>
        <v>1.9606828492499997</v>
      </c>
      <c r="EH40" s="281">
        <f>d_fus/2*-0.17365</f>
        <v>-0.34572412624999999</v>
      </c>
      <c r="EI40" s="281">
        <f>w_cabin/2*0.98481</f>
        <v>1.8366706499999998</v>
      </c>
      <c r="EJ40" s="281">
        <f>w_cabin/2*-0.17365</f>
        <v>-0.32385724999999999</v>
      </c>
      <c r="EM40" s="281">
        <f>$AX$13+0.95*seat_w</f>
        <v>1.8135000000000003</v>
      </c>
      <c r="EN40" s="281">
        <f>z_floor+0</f>
        <v>-0.6</v>
      </c>
      <c r="HF40" s="297">
        <f t="shared" si="65"/>
        <v>72991.527892532162</v>
      </c>
      <c r="HG40" s="297">
        <f t="shared" si="48"/>
        <v>135.54274170946633</v>
      </c>
      <c r="HH40" s="297">
        <f t="shared" si="49"/>
        <v>35.883924621478215</v>
      </c>
      <c r="HI40" s="297">
        <f t="shared" si="50"/>
        <v>6.0436083573015917</v>
      </c>
      <c r="HJ40" s="297">
        <f t="shared" si="51"/>
        <v>4.230525850111114</v>
      </c>
      <c r="HK40" s="297">
        <f t="shared" si="52"/>
        <v>5511.4894419854627</v>
      </c>
      <c r="HL40" s="297">
        <f t="shared" si="53"/>
        <v>1703.1987402602617</v>
      </c>
      <c r="HM40" s="297">
        <f t="shared" si="54"/>
        <v>9147.0379438144791</v>
      </c>
      <c r="HN40" s="297">
        <f t="shared" si="55"/>
        <v>3138.6356993788827</v>
      </c>
      <c r="HO40" s="297">
        <f t="shared" si="56"/>
        <v>4710.4342875985267</v>
      </c>
      <c r="HP40" s="297">
        <f t="shared" si="57"/>
        <v>12408.559741730469</v>
      </c>
      <c r="HQ40" s="297">
        <f t="shared" si="58"/>
        <v>36619.35585476808</v>
      </c>
      <c r="HR40" s="297">
        <f t="shared" si="59"/>
        <v>72991.527895108331</v>
      </c>
      <c r="HY40" s="281">
        <f>$HX$9+1*(bus_pitch*(n_rows_b&gt;0))*($HW$9*n_SA_b+$HU$5&lt;pax_b)</f>
        <v>6.5</v>
      </c>
      <c r="HZ40" s="281">
        <f>$HV$5+seat_w_b*($HW$9*n_SA_b+$HU$5&lt;pax_b)</f>
        <v>-1.84</v>
      </c>
      <c r="IA40" s="281">
        <f t="shared" si="63"/>
        <v>-11.310479999999998</v>
      </c>
    </row>
    <row r="41" spans="1:235" x14ac:dyDescent="0.25">
      <c r="A41" s="289">
        <f>46/50</f>
        <v>0.92</v>
      </c>
      <c r="B41" s="290">
        <f t="shared" si="78"/>
        <v>5120.9860195694109</v>
      </c>
      <c r="C41" s="291">
        <f t="shared" si="79"/>
        <v>522.1952470588235</v>
      </c>
      <c r="D41" s="281">
        <f t="shared" si="80"/>
        <v>0.2644885017570664</v>
      </c>
      <c r="E41" s="281">
        <f t="shared" si="81"/>
        <v>0.2194155421601327</v>
      </c>
      <c r="F41" s="281">
        <f t="shared" si="82"/>
        <v>0.21104328049055099</v>
      </c>
      <c r="G41" s="281">
        <f t="shared" si="83"/>
        <v>0.27501180260646485</v>
      </c>
      <c r="H41" s="281">
        <f t="shared" si="84"/>
        <v>0.27501180260646485</v>
      </c>
      <c r="X41" s="281">
        <f>T6-L_fus/2</f>
        <v>-17.73048</v>
      </c>
      <c r="Y41" s="281">
        <f>V6+-1*U6</f>
        <v>-0.87460985085100984</v>
      </c>
      <c r="Z41" s="281">
        <f>-1*U6</f>
        <v>-0.39618907264429987</v>
      </c>
      <c r="AA41" s="281">
        <f>T6</f>
        <v>0.08</v>
      </c>
      <c r="AY41" s="293">
        <f>MAX(0,MIN(36,n_rows-1))</f>
        <v>24</v>
      </c>
      <c r="AZ41" s="281">
        <f t="shared" si="85"/>
        <v>25.94</v>
      </c>
      <c r="BD41" s="281">
        <f>T6-L_fus/2</f>
        <v>-17.73048</v>
      </c>
      <c r="BE41" s="281">
        <f>U6*0.86603</f>
        <v>0.34311162258214301</v>
      </c>
      <c r="BF41" s="281">
        <f>V6+U6*0.5</f>
        <v>-0.28032624188456001</v>
      </c>
      <c r="BG41" s="281">
        <f t="shared" si="18"/>
        <v>-13.361787778096931</v>
      </c>
      <c r="BH41" s="281">
        <f t="shared" si="19"/>
        <v>4.6735705540304293</v>
      </c>
      <c r="BM41" s="281">
        <f>$AZ$9+0.8*(seat_pitch)*($AY$9*n_SA+$AW$5&lt;pax_e)</f>
        <v>10.388</v>
      </c>
      <c r="BN41" s="281">
        <f>$AX$5+seat_w*($AY$9*n_SA+$AW$5&lt;pax_e)</f>
        <v>-1.31</v>
      </c>
      <c r="BO41" s="281">
        <f t="shared" si="20"/>
        <v>-7.4224799999999984</v>
      </c>
      <c r="CA41" s="281">
        <f>$BX$9+0*lav_len</f>
        <v>28.25</v>
      </c>
      <c r="CB41" s="281">
        <f>$BY$9+0*lav_w</f>
        <v>0.86499999999999999</v>
      </c>
      <c r="EB41" s="281">
        <f>$AH$7+D_nac/2*-0.5</f>
        <v>5.4609472482831825</v>
      </c>
      <c r="EC41" s="281">
        <f>$AJ$7+D_nac/2*-0.86603</f>
        <v>-2.9742520816446305</v>
      </c>
      <c r="EG41" s="281">
        <f>d_fus/2*1</f>
        <v>1.9909249999999998</v>
      </c>
      <c r="EH41" s="281">
        <f>d_fus/2*0</f>
        <v>0</v>
      </c>
      <c r="EI41" s="281">
        <f>w_cabin/2*1</f>
        <v>1.865</v>
      </c>
      <c r="EJ41" s="281">
        <f>w_cabin/2*0</f>
        <v>0</v>
      </c>
      <c r="EM41" s="281">
        <f>$AX$14+0.05*seat_w</f>
        <v>1.3365000000000002</v>
      </c>
      <c r="EN41" s="281">
        <f>z_floor+0</f>
        <v>-0.6</v>
      </c>
      <c r="HF41" s="297">
        <f t="shared" si="65"/>
        <v>72991.527895108331</v>
      </c>
      <c r="HG41" s="297">
        <f t="shared" si="48"/>
        <v>135.54274171425018</v>
      </c>
      <c r="HH41" s="297">
        <f t="shared" si="49"/>
        <v>35.883924622111458</v>
      </c>
      <c r="HI41" s="297">
        <f t="shared" si="50"/>
        <v>6.0436083574082442</v>
      </c>
      <c r="HJ41" s="297">
        <f t="shared" si="51"/>
        <v>4.2305258501857699</v>
      </c>
      <c r="HK41" s="297">
        <f t="shared" si="52"/>
        <v>5511.4894421990621</v>
      </c>
      <c r="HL41" s="297">
        <f t="shared" si="53"/>
        <v>1703.1987403504306</v>
      </c>
      <c r="HM41" s="297">
        <f t="shared" si="54"/>
        <v>9147.0379438144791</v>
      </c>
      <c r="HN41" s="297">
        <f t="shared" si="55"/>
        <v>3138.6356994896578</v>
      </c>
      <c r="HO41" s="297">
        <f t="shared" si="56"/>
        <v>4710.4342877813997</v>
      </c>
      <c r="HP41" s="297">
        <f t="shared" si="57"/>
        <v>12408.559742168418</v>
      </c>
      <c r="HQ41" s="297">
        <f t="shared" si="58"/>
        <v>36619.355855803442</v>
      </c>
      <c r="HR41" s="297">
        <f t="shared" si="59"/>
        <v>72991.52789658049</v>
      </c>
      <c r="HY41" s="281">
        <f>$HX$9+0.8*(bus_pitch*(n_rows_b&gt;0))*($HW$9*n_SA_b+$HU$5&lt;pax_b)</f>
        <v>6.5</v>
      </c>
      <c r="HZ41" s="281">
        <f>$HV$5+seat_w_b*($HW$9*n_SA_b+$HU$5&lt;pax_b)</f>
        <v>-1.84</v>
      </c>
      <c r="IA41" s="281">
        <f t="shared" si="63"/>
        <v>-11.310479999999998</v>
      </c>
    </row>
    <row r="42" spans="1:235" x14ac:dyDescent="0.25">
      <c r="A42" s="289">
        <f>47/50</f>
        <v>0.94</v>
      </c>
      <c r="B42" s="290">
        <f t="shared" si="78"/>
        <v>5232.3118026035281</v>
      </c>
      <c r="C42" s="291">
        <f t="shared" si="79"/>
        <v>533.54731764705878</v>
      </c>
      <c r="D42" s="281">
        <f t="shared" si="80"/>
        <v>0.27023825179526351</v>
      </c>
      <c r="E42" s="281">
        <f t="shared" si="81"/>
        <v>0.2194155421601327</v>
      </c>
      <c r="F42" s="281">
        <f t="shared" si="82"/>
        <v>0.21104328049055099</v>
      </c>
      <c r="G42" s="281">
        <f t="shared" si="83"/>
        <v>0.27340878448717354</v>
      </c>
      <c r="H42" s="281">
        <f t="shared" si="84"/>
        <v>0.27340878448717354</v>
      </c>
      <c r="X42" s="281">
        <f>T5-L_fus/2</f>
        <v>-17.810479999999998</v>
      </c>
      <c r="Y42" s="281">
        <f>V5+-1*U5</f>
        <v>-0.59727749999999991</v>
      </c>
      <c r="Z42" s="281">
        <f>-1*U5</f>
        <v>0</v>
      </c>
      <c r="AA42" s="281">
        <f>T5</f>
        <v>0</v>
      </c>
      <c r="AY42" s="293">
        <f>MAX(0,MIN(37,n_rows-1))</f>
        <v>24</v>
      </c>
      <c r="AZ42" s="281">
        <f t="shared" si="85"/>
        <v>25.94</v>
      </c>
      <c r="BD42" s="281">
        <f>T5-L_fus/2</f>
        <v>-17.810479999999998</v>
      </c>
      <c r="BE42" s="281">
        <f>U5*0.86603</f>
        <v>0</v>
      </c>
      <c r="BF42" s="281">
        <f>V5+U5*0.5</f>
        <v>-0.59727749999999991</v>
      </c>
      <c r="BG42" s="281">
        <f t="shared" si="18"/>
        <v>-13.643619233281694</v>
      </c>
      <c r="BH42" s="281">
        <f t="shared" si="19"/>
        <v>4.2969670068469323</v>
      </c>
      <c r="BM42" s="281">
        <f>$AZ$9+0.8*(seat_pitch)*($AY$9*n_SA+$AW$5&lt;pax_e)</f>
        <v>10.388</v>
      </c>
      <c r="BN42" s="281">
        <f>$AX$5</f>
        <v>-1.84</v>
      </c>
      <c r="BO42" s="281">
        <f t="shared" si="20"/>
        <v>-7.4224799999999984</v>
      </c>
      <c r="CA42" s="281">
        <f>$BX$9+1*lav_len</f>
        <v>29.25</v>
      </c>
      <c r="CB42" s="281">
        <f>$BY$9+0*lav_w</f>
        <v>0.86499999999999999</v>
      </c>
      <c r="EB42" s="281">
        <f>$AH$7+D_nac/2*0</f>
        <v>6.0190949159048603</v>
      </c>
      <c r="EC42" s="281">
        <f>$AJ$7+D_nac/2*-1</f>
        <v>-3.1238021677071828</v>
      </c>
      <c r="EM42" s="281">
        <f>$AX$14+0.05*seat_w</f>
        <v>1.3365000000000002</v>
      </c>
      <c r="EN42" s="281">
        <f>z_floor+1.1</f>
        <v>0.50000000000000011</v>
      </c>
      <c r="HF42" s="297">
        <f t="shared" si="65"/>
        <v>72991.52789658049</v>
      </c>
      <c r="HG42" s="297">
        <f t="shared" si="48"/>
        <v>135.54274171698393</v>
      </c>
      <c r="HH42" s="297">
        <f t="shared" si="49"/>
        <v>35.883924622473323</v>
      </c>
      <c r="HI42" s="297">
        <f t="shared" si="50"/>
        <v>6.043608357469191</v>
      </c>
      <c r="HJ42" s="297">
        <f t="shared" si="51"/>
        <v>4.2305258502284335</v>
      </c>
      <c r="HK42" s="297">
        <f t="shared" si="52"/>
        <v>5511.4894423211244</v>
      </c>
      <c r="HL42" s="297">
        <f t="shared" si="53"/>
        <v>1703.1987404019583</v>
      </c>
      <c r="HM42" s="297">
        <f t="shared" si="54"/>
        <v>9147.0379438144791</v>
      </c>
      <c r="HN42" s="297">
        <f t="shared" si="55"/>
        <v>3138.6356995529609</v>
      </c>
      <c r="HO42" s="297">
        <f t="shared" si="56"/>
        <v>4710.4342878859052</v>
      </c>
      <c r="HP42" s="297">
        <f t="shared" si="57"/>
        <v>12408.559742418684</v>
      </c>
      <c r="HQ42" s="297">
        <f t="shared" si="58"/>
        <v>36619.355856395116</v>
      </c>
      <c r="HR42" s="297">
        <f t="shared" si="59"/>
        <v>72991.52789742178</v>
      </c>
      <c r="HY42" s="281">
        <f>$HX$9+0.8*(bus_pitch*(n_rows_b&gt;0))*($HW$9*n_SA_b+$HU$5&lt;pax_b)</f>
        <v>6.5</v>
      </c>
      <c r="HZ42" s="281">
        <f>$HV$5</f>
        <v>-1.84</v>
      </c>
      <c r="IA42" s="281">
        <f t="shared" si="63"/>
        <v>-11.310479999999998</v>
      </c>
    </row>
    <row r="43" spans="1:235" x14ac:dyDescent="0.25">
      <c r="A43" s="289">
        <f>48/50</f>
        <v>0.96</v>
      </c>
      <c r="B43" s="290">
        <f t="shared" si="78"/>
        <v>5343.6375856376462</v>
      </c>
      <c r="C43" s="291">
        <f t="shared" si="79"/>
        <v>544.89938823529405</v>
      </c>
      <c r="D43" s="281">
        <f t="shared" si="80"/>
        <v>0.27598800183346062</v>
      </c>
      <c r="E43" s="281">
        <f t="shared" si="81"/>
        <v>0.2194155421601327</v>
      </c>
      <c r="F43" s="281">
        <f t="shared" si="82"/>
        <v>0.21104328049055099</v>
      </c>
      <c r="G43" s="281">
        <f t="shared" si="83"/>
        <v>0.27194958733429869</v>
      </c>
      <c r="H43" s="281">
        <f t="shared" si="84"/>
        <v>0.27598800183346062</v>
      </c>
      <c r="X43" s="281">
        <f>T5-L_fus/2</f>
        <v>-17.810479999999998</v>
      </c>
      <c r="Y43" s="281">
        <f>V5+1*U5</f>
        <v>-0.59727749999999991</v>
      </c>
      <c r="Z43" s="281">
        <f>1*U5</f>
        <v>0</v>
      </c>
      <c r="AA43" s="281">
        <f>T5</f>
        <v>0</v>
      </c>
      <c r="AY43" s="293">
        <f>MAX(0,MIN(38,n_rows-1))</f>
        <v>24</v>
      </c>
      <c r="AZ43" s="281">
        <f t="shared" si="85"/>
        <v>25.94</v>
      </c>
      <c r="BD43" s="281">
        <f t="shared" ref="BD43:BD61" si="86">T5-L_fus/2</f>
        <v>-17.810479999999998</v>
      </c>
      <c r="BE43" s="281">
        <f t="shared" ref="BE43:BE61" si="87">U5*0.5</f>
        <v>0</v>
      </c>
      <c r="BF43" s="281">
        <f t="shared" ref="BF43:BF61" si="88">V5+U5*0.86603</f>
        <v>-0.59727749999999991</v>
      </c>
      <c r="BG43" s="281">
        <f t="shared" si="18"/>
        <v>-13.643619233281694</v>
      </c>
      <c r="BH43" s="281">
        <f t="shared" si="19"/>
        <v>4.2969670068469323</v>
      </c>
      <c r="BM43" s="281">
        <f>$AZ$9+0.2*(seat_pitch)*($AY$9*n_SA+$AW$5&lt;pax_e)</f>
        <v>9.902000000000001</v>
      </c>
      <c r="BN43" s="281">
        <f>$AX$5</f>
        <v>-1.84</v>
      </c>
      <c r="BO43" s="281">
        <f t="shared" si="20"/>
        <v>-7.9084799999999973</v>
      </c>
      <c r="CA43" s="281">
        <f>$BX$9+1*lav_len</f>
        <v>29.25</v>
      </c>
      <c r="CB43" s="281">
        <f>$BY$9+1*lav_w</f>
        <v>1.865</v>
      </c>
      <c r="EB43" s="281">
        <f>$AH$7+D_nac/2*0.5</f>
        <v>6.5772425835265382</v>
      </c>
      <c r="EC43" s="281">
        <f>$AJ$7+D_nac/2*-0.86603</f>
        <v>-2.9742520816446305</v>
      </c>
      <c r="EM43" s="281">
        <f>$AX$14+0.95*seat_w</f>
        <v>1.8135000000000003</v>
      </c>
      <c r="EN43" s="281">
        <f>z_floor+1.1</f>
        <v>0.50000000000000011</v>
      </c>
      <c r="HF43" s="297">
        <f t="shared" si="65"/>
        <v>72991.52789742178</v>
      </c>
      <c r="HG43" s="297">
        <f t="shared" si="48"/>
        <v>135.54274171854618</v>
      </c>
      <c r="HH43" s="297">
        <f t="shared" si="49"/>
        <v>35.883924622680119</v>
      </c>
      <c r="HI43" s="297">
        <f t="shared" si="50"/>
        <v>6.0436083575040209</v>
      </c>
      <c r="HJ43" s="297">
        <f t="shared" si="51"/>
        <v>4.230525850252814</v>
      </c>
      <c r="HK43" s="297">
        <f t="shared" si="52"/>
        <v>5511.489442390879</v>
      </c>
      <c r="HL43" s="297">
        <f t="shared" si="53"/>
        <v>1703.1987404314048</v>
      </c>
      <c r="HM43" s="297">
        <f t="shared" si="54"/>
        <v>9147.0379438144791</v>
      </c>
      <c r="HN43" s="297">
        <f t="shared" si="55"/>
        <v>3138.6356995891365</v>
      </c>
      <c r="HO43" s="297">
        <f t="shared" si="56"/>
        <v>4710.4342879456235</v>
      </c>
      <c r="HP43" s="297">
        <f t="shared" si="57"/>
        <v>12408.559742561703</v>
      </c>
      <c r="HQ43" s="297">
        <f t="shared" si="58"/>
        <v>36619.355856733229</v>
      </c>
      <c r="HR43" s="297">
        <f t="shared" si="59"/>
        <v>72991.527897902546</v>
      </c>
      <c r="HY43" s="281">
        <f>$HX$9+0.2*(bus_pitch*(n_rows_b&gt;0))*($HW$9*n_SA_b+$HU$5&lt;pax_b)</f>
        <v>6.5</v>
      </c>
      <c r="HZ43" s="281">
        <f>$HV$5</f>
        <v>-1.84</v>
      </c>
      <c r="IA43" s="281">
        <f t="shared" si="63"/>
        <v>-11.310479999999998</v>
      </c>
    </row>
    <row r="44" spans="1:235" x14ac:dyDescent="0.25">
      <c r="A44" s="289">
        <f>49/50</f>
        <v>0.98</v>
      </c>
      <c r="B44" s="290">
        <f t="shared" si="78"/>
        <v>5454.9633686717634</v>
      </c>
      <c r="C44" s="291">
        <f t="shared" si="79"/>
        <v>556.25145882352933</v>
      </c>
      <c r="D44" s="281">
        <f t="shared" si="80"/>
        <v>0.28173775187165767</v>
      </c>
      <c r="E44" s="281">
        <f t="shared" si="81"/>
        <v>0.2194155421601327</v>
      </c>
      <c r="F44" s="281">
        <f t="shared" si="82"/>
        <v>0.21104328049055099</v>
      </c>
      <c r="G44" s="281">
        <f t="shared" si="83"/>
        <v>0.27062540578254968</v>
      </c>
      <c r="H44" s="281">
        <f t="shared" si="84"/>
        <v>0.28173775187165767</v>
      </c>
      <c r="AY44" s="293">
        <f>MAX(0,MIN(39,n_rows-1))</f>
        <v>24</v>
      </c>
      <c r="AZ44" s="281">
        <f t="shared" si="85"/>
        <v>25.94</v>
      </c>
      <c r="BD44" s="281">
        <f t="shared" si="86"/>
        <v>-17.73048</v>
      </c>
      <c r="BE44" s="281">
        <f t="shared" si="87"/>
        <v>0.19809453632214993</v>
      </c>
      <c r="BF44" s="281">
        <f t="shared" si="88"/>
        <v>-0.13530915562456697</v>
      </c>
      <c r="BG44" s="281">
        <f t="shared" si="18"/>
        <v>-13.455002964337698</v>
      </c>
      <c r="BH44" s="281">
        <f t="shared" si="19"/>
        <v>4.7580522031905081</v>
      </c>
      <c r="BM44" s="281">
        <f>$AZ$9+(seat_pitch)</f>
        <v>10.55</v>
      </c>
      <c r="BN44" s="281">
        <f>$AX$5</f>
        <v>-1.84</v>
      </c>
      <c r="BO44" s="281">
        <f t="shared" si="20"/>
        <v>-7.2604799999999976</v>
      </c>
      <c r="CA44" s="281">
        <f>$BX$9+0*lav_len</f>
        <v>28.25</v>
      </c>
      <c r="CB44" s="281">
        <f>$BY$9+1*lav_w</f>
        <v>1.865</v>
      </c>
      <c r="EB44" s="281">
        <f>$AH$7+D_nac/2*0.86603</f>
        <v>6.9858401650856639</v>
      </c>
      <c r="EC44" s="281">
        <f>$AJ$7+D_nac/2*-0.5</f>
        <v>-2.5656545000855049</v>
      </c>
      <c r="EM44" s="281">
        <f>$AX$14+0.95*seat_w</f>
        <v>1.8135000000000003</v>
      </c>
      <c r="EN44" s="281">
        <f>z_floor+0</f>
        <v>-0.6</v>
      </c>
      <c r="HF44" s="297">
        <f t="shared" si="65"/>
        <v>72991.527897902546</v>
      </c>
      <c r="HG44" s="297">
        <f t="shared" si="48"/>
        <v>135.54274171943894</v>
      </c>
      <c r="HH44" s="297">
        <f t="shared" si="49"/>
        <v>35.883924622798297</v>
      </c>
      <c r="HI44" s="297">
        <f t="shared" si="50"/>
        <v>6.0436083575239232</v>
      </c>
      <c r="HJ44" s="297">
        <f t="shared" si="51"/>
        <v>4.230525850266746</v>
      </c>
      <c r="HK44" s="297">
        <f t="shared" si="52"/>
        <v>5511.4894424307404</v>
      </c>
      <c r="HL44" s="297">
        <f t="shared" si="53"/>
        <v>1703.198740448232</v>
      </c>
      <c r="HM44" s="297">
        <f t="shared" si="54"/>
        <v>9147.0379438144791</v>
      </c>
      <c r="HN44" s="297">
        <f t="shared" si="55"/>
        <v>3138.6356996098093</v>
      </c>
      <c r="HO44" s="297">
        <f t="shared" si="56"/>
        <v>4710.4342879797541</v>
      </c>
      <c r="HP44" s="297">
        <f t="shared" si="57"/>
        <v>12408.559742643434</v>
      </c>
      <c r="HQ44" s="297">
        <f t="shared" si="58"/>
        <v>36619.35585692645</v>
      </c>
      <c r="HR44" s="297">
        <f t="shared" si="59"/>
        <v>72991.527898177286</v>
      </c>
      <c r="HY44" s="281">
        <f>$HX$9+(bus_pitch*(n_rows_b&gt;0))</f>
        <v>6.5</v>
      </c>
      <c r="HZ44" s="281">
        <f>$HV$5</f>
        <v>-1.84</v>
      </c>
      <c r="IA44" s="281">
        <f t="shared" si="63"/>
        <v>-11.310479999999998</v>
      </c>
    </row>
    <row r="45" spans="1:235" x14ac:dyDescent="0.25">
      <c r="A45" s="289">
        <f>50/50</f>
        <v>1</v>
      </c>
      <c r="B45" s="290">
        <f t="shared" si="78"/>
        <v>5566.2891517058815</v>
      </c>
      <c r="C45" s="291">
        <f t="shared" si="79"/>
        <v>567.60352941176461</v>
      </c>
      <c r="D45" s="281">
        <f t="shared" si="80"/>
        <v>0.28748750190985478</v>
      </c>
      <c r="E45" s="281">
        <f t="shared" si="81"/>
        <v>0.2194155421601327</v>
      </c>
      <c r="F45" s="281">
        <f t="shared" si="82"/>
        <v>0.21104328049055099</v>
      </c>
      <c r="G45" s="281">
        <f t="shared" si="83"/>
        <v>0.26942813889585887</v>
      </c>
      <c r="H45" s="281">
        <f t="shared" si="84"/>
        <v>0.28748750190985478</v>
      </c>
      <c r="AY45" s="293">
        <f>MAX(0,MIN(40,n_rows-1))</f>
        <v>24</v>
      </c>
      <c r="AZ45" s="281">
        <f t="shared" si="85"/>
        <v>25.94</v>
      </c>
      <c r="BD45" s="281">
        <f t="shared" si="86"/>
        <v>-17.530479999999997</v>
      </c>
      <c r="BE45" s="281">
        <f t="shared" si="87"/>
        <v>0.36589171767236611</v>
      </c>
      <c r="BF45" s="281">
        <f t="shared" si="88"/>
        <v>0.25600393911501823</v>
      </c>
      <c r="BG45" s="281">
        <f t="shared" si="18"/>
        <v>-13.193936126601656</v>
      </c>
      <c r="BH45" s="281">
        <f t="shared" si="19"/>
        <v>5.112694944593839</v>
      </c>
      <c r="BM45" s="281">
        <f>$AZ$10+0.2*(seat_pitch)*($AY$10*n_SA+$AW$5&lt;pax_e)</f>
        <v>10.712000000000002</v>
      </c>
      <c r="BN45" s="281">
        <f>$AX$5</f>
        <v>-1.84</v>
      </c>
      <c r="BO45" s="281">
        <f t="shared" si="20"/>
        <v>-7.0984799999999968</v>
      </c>
      <c r="CA45" s="281">
        <f>$BX$9+0*lav_len</f>
        <v>28.25</v>
      </c>
      <c r="CB45" s="281">
        <f>$BY$9+0*lav_w</f>
        <v>0.86499999999999999</v>
      </c>
      <c r="EB45" s="281">
        <f>$AH$7+D_nac/2*1</f>
        <v>7.1353902511482161</v>
      </c>
      <c r="EC45" s="281">
        <f>$AJ$7+D_nac/2*0</f>
        <v>-2.007506832463827</v>
      </c>
      <c r="HY45" s="281">
        <f>$HX$10+0.2*(bus_pitch*(n_rows_b&gt;0))*($HW$10*n_SA_b+$HU$5&lt;pax_b)</f>
        <v>6.5</v>
      </c>
      <c r="HZ45" s="281">
        <f>$HV$5</f>
        <v>-1.84</v>
      </c>
      <c r="IA45" s="281">
        <f t="shared" si="63"/>
        <v>-11.310479999999998</v>
      </c>
    </row>
    <row r="46" spans="1:235" x14ac:dyDescent="0.25">
      <c r="A46" s="289">
        <f>51/50</f>
        <v>1.02</v>
      </c>
      <c r="B46" s="290">
        <f t="shared" si="78"/>
        <v>5677.6149347399996</v>
      </c>
      <c r="C46" s="291">
        <f t="shared" si="79"/>
        <v>578.9556</v>
      </c>
      <c r="D46" s="281">
        <f t="shared" si="80"/>
        <v>0.29323725194805189</v>
      </c>
      <c r="E46" s="281">
        <f t="shared" si="81"/>
        <v>0.2194155421601327</v>
      </c>
      <c r="F46" s="281">
        <f t="shared" si="82"/>
        <v>0.21104328049055099</v>
      </c>
      <c r="G46" s="281">
        <f t="shared" si="83"/>
        <v>0.26835032110569351</v>
      </c>
      <c r="H46" s="281">
        <f t="shared" si="84"/>
        <v>0.29323725194805189</v>
      </c>
      <c r="AY46" s="293">
        <f>MAX(0,MIN(41,n_rows-1))</f>
        <v>24</v>
      </c>
      <c r="AZ46" s="281">
        <f t="shared" si="85"/>
        <v>25.94</v>
      </c>
      <c r="BD46" s="281">
        <f t="shared" si="86"/>
        <v>-17.210479999999997</v>
      </c>
      <c r="BE46" s="281">
        <f t="shared" si="87"/>
        <v>0.5243924111974585</v>
      </c>
      <c r="BF46" s="281">
        <f t="shared" si="88"/>
        <v>0.62563706645714512</v>
      </c>
      <c r="BG46" s="281">
        <f t="shared" si="18"/>
        <v>-12.846919622878932</v>
      </c>
      <c r="BH46" s="281">
        <f t="shared" si="19"/>
        <v>5.4120808232461046</v>
      </c>
      <c r="BM46" s="281">
        <f>$AZ$10+0.2*(seat_pitch)*($AY$10*n_SA+$AW$5&lt;pax_e)</f>
        <v>10.712000000000002</v>
      </c>
      <c r="BN46" s="281">
        <f>$AX$5+seat_w*($AY$10*n_SA+$AW$5&lt;pax_e)</f>
        <v>-1.31</v>
      </c>
      <c r="BO46" s="281">
        <f t="shared" si="20"/>
        <v>-7.0984799999999968</v>
      </c>
      <c r="CA46" s="281">
        <f>$BX$9+1*lav_len</f>
        <v>29.25</v>
      </c>
      <c r="CB46" s="281">
        <f>$BY$9+1*lav_w</f>
        <v>1.865</v>
      </c>
      <c r="HY46" s="281">
        <f>$HX$10+0.2*(bus_pitch*(n_rows_b&gt;0))*($HW$10*n_SA_b+$HU$5&lt;pax_b)</f>
        <v>6.5</v>
      </c>
      <c r="HZ46" s="281">
        <f>$HV$5+seat_w_b*($HW$10*n_SA_b+$HU$5&lt;pax_b)</f>
        <v>-1.84</v>
      </c>
      <c r="IA46" s="281">
        <f t="shared" si="63"/>
        <v>-11.310479999999998</v>
      </c>
    </row>
    <row r="47" spans="1:235" x14ac:dyDescent="0.25">
      <c r="A47" s="289">
        <f>52/50</f>
        <v>1.04</v>
      </c>
      <c r="B47" s="290">
        <f t="shared" si="78"/>
        <v>5788.9407177741168</v>
      </c>
      <c r="C47" s="291">
        <f t="shared" si="79"/>
        <v>590.30767058823528</v>
      </c>
      <c r="D47" s="281">
        <f t="shared" si="80"/>
        <v>0.298987001986249</v>
      </c>
      <c r="E47" s="281">
        <f t="shared" si="81"/>
        <v>0.2194155421601327</v>
      </c>
      <c r="F47" s="281">
        <f t="shared" si="82"/>
        <v>0.21104328049055099</v>
      </c>
      <c r="G47" s="281">
        <f t="shared" si="83"/>
        <v>0.26738506111802313</v>
      </c>
      <c r="H47" s="281">
        <f t="shared" si="84"/>
        <v>0.298987001986249</v>
      </c>
      <c r="AY47" s="293">
        <f>MAX(0,MIN(42,n_rows-1))</f>
        <v>24</v>
      </c>
      <c r="AZ47" s="281">
        <f t="shared" si="85"/>
        <v>25.94</v>
      </c>
      <c r="BD47" s="281">
        <f t="shared" si="86"/>
        <v>-16.610479999999999</v>
      </c>
      <c r="BE47" s="281">
        <f t="shared" si="87"/>
        <v>0.71090241970483359</v>
      </c>
      <c r="BF47" s="281">
        <f t="shared" si="88"/>
        <v>1.0605895968968542</v>
      </c>
      <c r="BG47" s="281">
        <f t="shared" si="18"/>
        <v>-12.267406634456474</v>
      </c>
      <c r="BH47" s="281">
        <f t="shared" si="19"/>
        <v>5.7036709845936802</v>
      </c>
      <c r="BM47" s="281">
        <f>$AZ$10</f>
        <v>10.55</v>
      </c>
      <c r="BN47" s="281">
        <f>$AX$5+seat_w*($AY$10*n_SA+$AW$5&lt;pax_e)</f>
        <v>-1.31</v>
      </c>
      <c r="BO47" s="281">
        <f t="shared" si="20"/>
        <v>-7.2604799999999976</v>
      </c>
      <c r="CA47" s="281">
        <f>$BX$9+1*lav_len</f>
        <v>29.25</v>
      </c>
      <c r="CB47" s="281">
        <f>$BY$9+0*lav_w</f>
        <v>0.86499999999999999</v>
      </c>
      <c r="EB47" s="281">
        <f>$AH$8+D_nac/2*1</f>
        <v>-4.9027995806615046</v>
      </c>
      <c r="EC47" s="281">
        <f>$AJ$8+D_nac/2*0</f>
        <v>-2.007506832463827</v>
      </c>
      <c r="HY47" s="281">
        <f>$HX$10</f>
        <v>6.5</v>
      </c>
      <c r="HZ47" s="281">
        <f>$HV$5+seat_w_b*($HW$10*n_SA_b+$HU$5&lt;pax_b)</f>
        <v>-1.84</v>
      </c>
      <c r="IA47" s="281">
        <f t="shared" si="63"/>
        <v>-11.310479999999998</v>
      </c>
    </row>
    <row r="48" spans="1:235" x14ac:dyDescent="0.25">
      <c r="A48" s="289">
        <f>53/50</f>
        <v>1.06</v>
      </c>
      <c r="B48" s="290">
        <f t="shared" si="78"/>
        <v>5900.2665008082349</v>
      </c>
      <c r="C48" s="291">
        <f t="shared" si="79"/>
        <v>601.65974117647056</v>
      </c>
      <c r="D48" s="281">
        <f t="shared" si="80"/>
        <v>0.30473675202444611</v>
      </c>
      <c r="E48" s="281">
        <f t="shared" si="81"/>
        <v>0.2194155421601327</v>
      </c>
      <c r="F48" s="281">
        <f t="shared" si="82"/>
        <v>0.21104328049055099</v>
      </c>
      <c r="G48" s="281">
        <f t="shared" si="83"/>
        <v>0.26652598773648017</v>
      </c>
      <c r="H48" s="281">
        <f t="shared" si="84"/>
        <v>0.30473675202444611</v>
      </c>
      <c r="AY48" s="293">
        <f>MAX(0,MIN(43,n_rows-1))</f>
        <v>24</v>
      </c>
      <c r="AZ48" s="281">
        <f t="shared" si="85"/>
        <v>25.94</v>
      </c>
      <c r="BD48" s="281">
        <f t="shared" si="86"/>
        <v>-16.010479999999998</v>
      </c>
      <c r="BE48" s="281">
        <f t="shared" si="87"/>
        <v>0.83137509480505201</v>
      </c>
      <c r="BF48" s="281">
        <f t="shared" si="88"/>
        <v>1.3415391035910698</v>
      </c>
      <c r="BG48" s="281">
        <f t="shared" si="18"/>
        <v>-11.730341625724874</v>
      </c>
      <c r="BH48" s="281">
        <f t="shared" si="19"/>
        <v>5.8343077913292811</v>
      </c>
      <c r="BM48" s="281">
        <f>$AZ$10+1*(seat_pitch)*($AY$10*n_SA+$AW$5&lt;pax_e)</f>
        <v>11.360000000000001</v>
      </c>
      <c r="BN48" s="281">
        <f>$AX$5+seat_w*($AY$10*n_SA+$AW$5&lt;pax_e)</f>
        <v>-1.31</v>
      </c>
      <c r="BO48" s="281">
        <f t="shared" si="20"/>
        <v>-6.4504799999999971</v>
      </c>
      <c r="CA48" s="281">
        <f>$BX$9+0*lav_len</f>
        <v>28.25</v>
      </c>
      <c r="CB48" s="281">
        <f>$BY$9+1*lav_w</f>
        <v>1.865</v>
      </c>
      <c r="EB48" s="281">
        <f>$AH$8+D_nac/2*0.86603</f>
        <v>-5.0523496667240568</v>
      </c>
      <c r="EC48" s="281">
        <f>$AJ$8+D_nac/2*0.5</f>
        <v>-1.4493591648421491</v>
      </c>
      <c r="HY48" s="281">
        <f>$HX$10+1*(bus_pitch*(n_rows_b&gt;0))*($HW$10*n_SA_b+$HU$5&lt;pax_b)</f>
        <v>6.5</v>
      </c>
      <c r="HZ48" s="281">
        <f>$HV$5+seat_w_b*($HW$10*n_SA_b+$HU$5&lt;pax_b)</f>
        <v>-1.84</v>
      </c>
      <c r="IA48" s="281">
        <f t="shared" si="63"/>
        <v>-11.310479999999998</v>
      </c>
    </row>
    <row r="49" spans="1:235" x14ac:dyDescent="0.25">
      <c r="A49" s="289">
        <f>54/50</f>
        <v>1.08</v>
      </c>
      <c r="B49" s="290">
        <f t="shared" si="78"/>
        <v>6011.5922838423521</v>
      </c>
      <c r="C49" s="291">
        <f t="shared" si="79"/>
        <v>613.01181176470584</v>
      </c>
      <c r="D49" s="281">
        <f t="shared" si="80"/>
        <v>0.31048650206264317</v>
      </c>
      <c r="E49" s="281">
        <f t="shared" si="81"/>
        <v>0.2194155421601327</v>
      </c>
      <c r="F49" s="281">
        <f t="shared" si="82"/>
        <v>0.21104328049055099</v>
      </c>
      <c r="G49" s="281">
        <f t="shared" si="83"/>
        <v>0.26576720170516865</v>
      </c>
      <c r="H49" s="281">
        <f t="shared" si="84"/>
        <v>0.31048650206264317</v>
      </c>
      <c r="AY49" s="293">
        <f>MAX(0,MIN(44,n_rows-1))</f>
        <v>24</v>
      </c>
      <c r="AZ49" s="281">
        <f t="shared" si="85"/>
        <v>25.94</v>
      </c>
      <c r="BD49" s="281">
        <f t="shared" si="86"/>
        <v>-15.410479999999998</v>
      </c>
      <c r="BE49" s="281">
        <f t="shared" si="87"/>
        <v>0.9123564515479955</v>
      </c>
      <c r="BF49" s="281">
        <f t="shared" si="88"/>
        <v>1.5303924863970184</v>
      </c>
      <c r="BG49" s="281">
        <f t="shared" si="18"/>
        <v>-11.218661147123518</v>
      </c>
      <c r="BH49" s="281">
        <f t="shared" si="19"/>
        <v>5.8686920718088196</v>
      </c>
      <c r="BM49" s="281">
        <f>$AZ$10+0.8*(seat_pitch)*($AY$10*n_SA+$AW$5&lt;pax_e)</f>
        <v>11.198</v>
      </c>
      <c r="BN49" s="281">
        <f>$AX$5+seat_w*($AY$10*n_SA+$AW$5&lt;pax_e)</f>
        <v>-1.31</v>
      </c>
      <c r="BO49" s="281">
        <f t="shared" si="20"/>
        <v>-6.6124799999999979</v>
      </c>
      <c r="EB49" s="281">
        <f>$AH$8+D_nac/2*0.5</f>
        <v>-5.4609472482831825</v>
      </c>
      <c r="EC49" s="281">
        <f>$AJ$8+D_nac/2*0.86603</f>
        <v>-1.0407615832830235</v>
      </c>
      <c r="HY49" s="281">
        <f>$HX$10+0.8*(bus_pitch*(n_rows_b&gt;0))*($HW$10*n_SA_b+$HU$5&lt;pax_b)</f>
        <v>6.5</v>
      </c>
      <c r="HZ49" s="281">
        <f>$HV$5+seat_w_b*($HW$10*n_SA_b+$HU$5&lt;pax_b)</f>
        <v>-1.84</v>
      </c>
      <c r="IA49" s="281">
        <f t="shared" si="63"/>
        <v>-11.310479999999998</v>
      </c>
    </row>
    <row r="50" spans="1:235" x14ac:dyDescent="0.25">
      <c r="A50" s="289">
        <f>55/50</f>
        <v>1.1000000000000001</v>
      </c>
      <c r="B50" s="290">
        <f t="shared" si="78"/>
        <v>6122.9180668764702</v>
      </c>
      <c r="C50" s="291">
        <f t="shared" si="79"/>
        <v>624.36388235294123</v>
      </c>
      <c r="D50" s="281">
        <f t="shared" si="80"/>
        <v>0.31623625210084033</v>
      </c>
      <c r="E50" s="281">
        <f t="shared" si="81"/>
        <v>0.2194155421601327</v>
      </c>
      <c r="F50" s="281">
        <f t="shared" si="82"/>
        <v>0.21104328049055099</v>
      </c>
      <c r="G50" s="281">
        <f t="shared" si="83"/>
        <v>0.2651032328049851</v>
      </c>
      <c r="H50" s="281">
        <f t="shared" si="84"/>
        <v>0.31623625210084033</v>
      </c>
      <c r="AY50" s="293">
        <f>MAX(0,MIN(45,n_rows-1))</f>
        <v>24</v>
      </c>
      <c r="AZ50" s="281">
        <f t="shared" si="85"/>
        <v>25.94</v>
      </c>
      <c r="BD50" s="281">
        <f t="shared" si="86"/>
        <v>-14.610479999999999</v>
      </c>
      <c r="BE50" s="281">
        <f t="shared" si="87"/>
        <v>0.97535007323011969</v>
      </c>
      <c r="BF50" s="281">
        <f t="shared" si="88"/>
        <v>1.6772973917770331</v>
      </c>
      <c r="BG50" s="281">
        <f t="shared" si="18"/>
        <v>-10.565334073121786</v>
      </c>
      <c r="BH50" s="281">
        <f t="shared" si="19"/>
        <v>5.8049039361156787</v>
      </c>
      <c r="BM50" s="281">
        <f>$AZ$10+0.8*(seat_pitch)*($AY$10*n_SA+$AW$5&lt;pax_e)</f>
        <v>11.198</v>
      </c>
      <c r="BN50" s="281">
        <f>$AX$5</f>
        <v>-1.84</v>
      </c>
      <c r="BO50" s="281">
        <f t="shared" si="20"/>
        <v>-6.6124799999999979</v>
      </c>
      <c r="CA50" s="281">
        <f>$BX$10+0*lav_len</f>
        <v>28.25</v>
      </c>
      <c r="CB50" s="281">
        <f>$BY$10+0*lav_w</f>
        <v>0.86499999999999999</v>
      </c>
      <c r="EB50" s="281">
        <f>$AH$8+D_nac/2*0</f>
        <v>-6.0190949159048603</v>
      </c>
      <c r="EC50" s="281">
        <f>$AJ$8+D_nac/2*1</f>
        <v>-0.89121149722047099</v>
      </c>
      <c r="HY50" s="281">
        <f>$HX$10+0.8*(bus_pitch*(n_rows_b&gt;0))*($HW$10*n_SA_b+$HU$5&lt;pax_b)</f>
        <v>6.5</v>
      </c>
      <c r="HZ50" s="281">
        <f>$HV$5</f>
        <v>-1.84</v>
      </c>
      <c r="IA50" s="281">
        <f t="shared" si="63"/>
        <v>-11.310479999999998</v>
      </c>
    </row>
    <row r="51" spans="1:235" x14ac:dyDescent="0.25">
      <c r="A51" s="289">
        <f>56/50</f>
        <v>1.1200000000000001</v>
      </c>
      <c r="B51" s="290">
        <f t="shared" si="78"/>
        <v>6234.2438499105883</v>
      </c>
      <c r="C51" s="291">
        <f t="shared" si="79"/>
        <v>635.71595294117651</v>
      </c>
      <c r="D51" s="281">
        <f t="shared" si="80"/>
        <v>0.32198600213903744</v>
      </c>
      <c r="E51" s="281">
        <f t="shared" si="81"/>
        <v>0.2194155421601327</v>
      </c>
      <c r="F51" s="281">
        <f t="shared" si="82"/>
        <v>0.21104328049055099</v>
      </c>
      <c r="G51" s="281">
        <f t="shared" si="83"/>
        <v>0.2645290015467619</v>
      </c>
      <c r="H51" s="281">
        <f t="shared" si="84"/>
        <v>0.32198600213903744</v>
      </c>
      <c r="AY51" s="293">
        <f>MAX(0,MIN(46,n_rows-1))</f>
        <v>24</v>
      </c>
      <c r="AZ51" s="281">
        <f t="shared" si="85"/>
        <v>25.94</v>
      </c>
      <c r="BD51" s="281">
        <f t="shared" si="86"/>
        <v>-13.810479999999998</v>
      </c>
      <c r="BE51" s="281">
        <f t="shared" si="87"/>
        <v>0.99546249999999992</v>
      </c>
      <c r="BF51" s="281">
        <f t="shared" si="88"/>
        <v>1.7242007777499997</v>
      </c>
      <c r="BG51" s="281">
        <f t="shared" si="18"/>
        <v>-9.9395704998981955</v>
      </c>
      <c r="BH51" s="281">
        <f t="shared" si="19"/>
        <v>5.6366010991952518</v>
      </c>
      <c r="BM51" s="281">
        <f>$AZ$10+0.2*(seat_pitch)*($AY$10*n_SA+$AW$5&lt;pax_e)</f>
        <v>10.712000000000002</v>
      </c>
      <c r="BN51" s="281">
        <f>$AX$5</f>
        <v>-1.84</v>
      </c>
      <c r="BO51" s="281">
        <f t="shared" si="20"/>
        <v>-7.0984799999999968</v>
      </c>
      <c r="CA51" s="281">
        <f>$BX$10+1*lav_len</f>
        <v>29.25</v>
      </c>
      <c r="CB51" s="281">
        <f>$BY$10+0*lav_w</f>
        <v>0.86499999999999999</v>
      </c>
      <c r="EB51" s="281">
        <f>$AH$8+D_nac/2*-0.5</f>
        <v>-6.5772425835265382</v>
      </c>
      <c r="EC51" s="281">
        <f>$AJ$8+D_nac/2*0.86603</f>
        <v>-1.0407615832830235</v>
      </c>
      <c r="HY51" s="281">
        <f>$HX$10+0.2*(bus_pitch*(n_rows_b&gt;0))*($HW$10*n_SA_b+$HU$5&lt;pax_b)</f>
        <v>6.5</v>
      </c>
      <c r="HZ51" s="281">
        <f>$HV$5</f>
        <v>-1.84</v>
      </c>
      <c r="IA51" s="281">
        <f t="shared" si="63"/>
        <v>-11.310479999999998</v>
      </c>
    </row>
    <row r="52" spans="1:235" x14ac:dyDescent="0.25">
      <c r="A52" s="289">
        <f>57/50</f>
        <v>1.1399999999999999</v>
      </c>
      <c r="B52" s="290">
        <f t="shared" si="78"/>
        <v>6345.5696329447046</v>
      </c>
      <c r="C52" s="291">
        <f t="shared" si="79"/>
        <v>647.06802352941168</v>
      </c>
      <c r="D52" s="281">
        <f t="shared" si="80"/>
        <v>0.32773575217723444</v>
      </c>
      <c r="E52" s="281">
        <f t="shared" si="81"/>
        <v>0.2194155421601327</v>
      </c>
      <c r="F52" s="281">
        <f t="shared" si="82"/>
        <v>0.21104328049055099</v>
      </c>
      <c r="G52" s="281">
        <f t="shared" si="83"/>
        <v>0.26403978489671159</v>
      </c>
      <c r="H52" s="281">
        <f t="shared" si="84"/>
        <v>0.32773575217723444</v>
      </c>
      <c r="AY52" s="293">
        <f>MAX(0,MIN(47,n_rows-1))</f>
        <v>24</v>
      </c>
      <c r="AZ52" s="281">
        <f t="shared" si="85"/>
        <v>25.94</v>
      </c>
      <c r="BD52" s="281">
        <f t="shared" si="86"/>
        <v>-5.3938133333333411</v>
      </c>
      <c r="BE52" s="281">
        <f t="shared" si="87"/>
        <v>0.99546249999999992</v>
      </c>
      <c r="BF52" s="281">
        <f t="shared" si="88"/>
        <v>1.7242007777499997</v>
      </c>
      <c r="BG52" s="281">
        <f t="shared" si="18"/>
        <v>-3.4920297703134713</v>
      </c>
      <c r="BH52" s="281">
        <f t="shared" si="19"/>
        <v>3.3501817650542027</v>
      </c>
      <c r="BM52" s="281">
        <f>$AZ$10+(seat_pitch)</f>
        <v>11.360000000000001</v>
      </c>
      <c r="BN52" s="281">
        <f>$AX$5</f>
        <v>-1.84</v>
      </c>
      <c r="BO52" s="281">
        <f t="shared" si="20"/>
        <v>-6.4504799999999971</v>
      </c>
      <c r="CA52" s="281">
        <f>$BX$10+1*lav_len</f>
        <v>29.25</v>
      </c>
      <c r="CB52" s="281">
        <f>$BY$10+1*lav_w</f>
        <v>1.865</v>
      </c>
      <c r="EB52" s="281">
        <f>$AH$8+D_nac/2*-0.86603</f>
        <v>-6.9858401650856639</v>
      </c>
      <c r="EC52" s="281">
        <f>$AJ$8+D_nac/2*0.5</f>
        <v>-1.4493591648421491</v>
      </c>
      <c r="HY52" s="281">
        <f>$HX$10+(bus_pitch*(n_rows_b&gt;0))</f>
        <v>6.5</v>
      </c>
      <c r="HZ52" s="281">
        <f>$HV$5</f>
        <v>-1.84</v>
      </c>
      <c r="IA52" s="281">
        <f t="shared" si="63"/>
        <v>-11.310479999999998</v>
      </c>
    </row>
    <row r="53" spans="1:235" x14ac:dyDescent="0.25">
      <c r="A53" s="289">
        <f>58/50</f>
        <v>1.1599999999999999</v>
      </c>
      <c r="B53" s="290">
        <f t="shared" si="78"/>
        <v>6456.8954159788218</v>
      </c>
      <c r="C53" s="291">
        <f t="shared" si="79"/>
        <v>658.42009411764695</v>
      </c>
      <c r="D53" s="281">
        <f t="shared" si="80"/>
        <v>0.33348550221543155</v>
      </c>
      <c r="E53" s="281">
        <f t="shared" si="81"/>
        <v>0.2194155421601327</v>
      </c>
      <c r="F53" s="281">
        <f t="shared" si="82"/>
        <v>0.21104328049055099</v>
      </c>
      <c r="G53" s="281">
        <f t="shared" si="83"/>
        <v>0.26363118554751502</v>
      </c>
      <c r="H53" s="281">
        <f t="shared" si="84"/>
        <v>0.33348550221543155</v>
      </c>
      <c r="AY53" s="293">
        <f>MAX(0,MIN(48,n_rows-1))</f>
        <v>24</v>
      </c>
      <c r="AZ53" s="281">
        <f t="shared" si="85"/>
        <v>25.94</v>
      </c>
      <c r="BD53" s="281">
        <f t="shared" si="86"/>
        <v>3.0228533333333161</v>
      </c>
      <c r="BE53" s="281">
        <f t="shared" si="87"/>
        <v>0.99546249999999992</v>
      </c>
      <c r="BF53" s="281">
        <f t="shared" si="88"/>
        <v>1.7242007777499997</v>
      </c>
      <c r="BG53" s="281">
        <f t="shared" si="18"/>
        <v>2.955510959271253</v>
      </c>
      <c r="BH53" s="281">
        <f t="shared" si="19"/>
        <v>1.0637624309131533</v>
      </c>
      <c r="BM53" s="281">
        <f>$AZ$11+0.2*(seat_pitch)*($AY$11*n_SA+$AW$5&lt;pax_e)</f>
        <v>11.522</v>
      </c>
      <c r="BN53" s="281">
        <f>$AX$5</f>
        <v>-1.84</v>
      </c>
      <c r="BO53" s="281">
        <f t="shared" si="20"/>
        <v>-6.2884799999999981</v>
      </c>
      <c r="CA53" s="281">
        <f>$BX$10+0*lav_len</f>
        <v>28.25</v>
      </c>
      <c r="CB53" s="281">
        <f>$BY$10+1*lav_w</f>
        <v>1.865</v>
      </c>
      <c r="EB53" s="281">
        <f>$AH$8+D_nac/2*-1</f>
        <v>-7.1353902511482161</v>
      </c>
      <c r="EC53" s="281">
        <f>$AJ$8+D_nac/2*0</f>
        <v>-2.007506832463827</v>
      </c>
      <c r="HY53" s="281">
        <f>$HX$11+0.2*(bus_pitch*(n_rows_b&gt;0))*($HW$11*n_SA_b+$HU$5&lt;pax_b)</f>
        <v>6.5</v>
      </c>
      <c r="HZ53" s="281">
        <f>$HV$5</f>
        <v>-1.84</v>
      </c>
      <c r="IA53" s="281">
        <f t="shared" si="63"/>
        <v>-11.310479999999998</v>
      </c>
    </row>
    <row r="54" spans="1:235" x14ac:dyDescent="0.25">
      <c r="A54" s="289">
        <f>59/50</f>
        <v>1.18</v>
      </c>
      <c r="B54" s="290">
        <f t="shared" si="78"/>
        <v>6568.2211990129399</v>
      </c>
      <c r="C54" s="291">
        <f t="shared" si="79"/>
        <v>669.77216470588223</v>
      </c>
      <c r="D54" s="281">
        <f t="shared" si="80"/>
        <v>0.33923525225362866</v>
      </c>
      <c r="E54" s="281">
        <f t="shared" si="81"/>
        <v>0.2194155421601327</v>
      </c>
      <c r="F54" s="281">
        <f t="shared" si="82"/>
        <v>0.21104328049055099</v>
      </c>
      <c r="G54" s="281">
        <f t="shared" si="83"/>
        <v>0.26329910431438291</v>
      </c>
      <c r="H54" s="281">
        <f t="shared" si="84"/>
        <v>0.33923525225362866</v>
      </c>
      <c r="AY54" s="293">
        <f>MAX(0,MIN(49,n_rows-1))</f>
        <v>24</v>
      </c>
      <c r="AZ54" s="281">
        <f t="shared" si="85"/>
        <v>25.94</v>
      </c>
      <c r="BD54" s="281">
        <f t="shared" si="86"/>
        <v>11.439519999999998</v>
      </c>
      <c r="BE54" s="281">
        <f t="shared" si="87"/>
        <v>0.99546249999999992</v>
      </c>
      <c r="BF54" s="281">
        <f t="shared" si="88"/>
        <v>1.7242007777499997</v>
      </c>
      <c r="BG54" s="281">
        <f t="shared" si="18"/>
        <v>9.4030516888559958</v>
      </c>
      <c r="BH54" s="281">
        <f t="shared" si="19"/>
        <v>-1.2226569032279029</v>
      </c>
      <c r="BM54" s="281">
        <f>$AZ$11+0.2*(seat_pitch)*($AY$11*n_SA+$AW$5&lt;pax_e)</f>
        <v>11.522</v>
      </c>
      <c r="BN54" s="281">
        <f>$AX$5+seat_w*($AY$11*n_SA+$AW$5&lt;pax_e)</f>
        <v>-1.31</v>
      </c>
      <c r="BO54" s="281">
        <f t="shared" si="20"/>
        <v>-6.2884799999999981</v>
      </c>
      <c r="CA54" s="281">
        <f>$BX$10+0*lav_len</f>
        <v>28.25</v>
      </c>
      <c r="CB54" s="281">
        <f>$BY$10+0*lav_w</f>
        <v>0.86499999999999999</v>
      </c>
      <c r="EB54" s="281">
        <f>$AH$8+D_nac/2*-0.86603</f>
        <v>-6.9858401650856639</v>
      </c>
      <c r="EC54" s="281">
        <f>$AJ$8+D_nac/2*-0.5</f>
        <v>-2.5656545000855049</v>
      </c>
      <c r="HY54" s="281">
        <f>$HX$11+0.2*(bus_pitch*(n_rows_b&gt;0))*($HW$11*n_SA_b+$HU$5&lt;pax_b)</f>
        <v>6.5</v>
      </c>
      <c r="HZ54" s="281">
        <f>$HV$5+seat_w_b*($HW$11*n_SA_b+$HU$5&lt;pax_b)</f>
        <v>-1.84</v>
      </c>
      <c r="IA54" s="281">
        <f t="shared" si="63"/>
        <v>-11.310479999999998</v>
      </c>
    </row>
    <row r="55" spans="1:235" x14ac:dyDescent="0.25">
      <c r="A55" s="289">
        <f>60/50</f>
        <v>1.2</v>
      </c>
      <c r="B55" s="290">
        <f t="shared" si="78"/>
        <v>6679.546982047058</v>
      </c>
      <c r="C55" s="291">
        <f t="shared" si="79"/>
        <v>681.12423529411763</v>
      </c>
      <c r="D55" s="281">
        <f t="shared" si="80"/>
        <v>0.34498500229182577</v>
      </c>
      <c r="E55" s="281">
        <f t="shared" si="81"/>
        <v>0.2194155421601327</v>
      </c>
      <c r="F55" s="281">
        <f t="shared" si="82"/>
        <v>0.21104328049055099</v>
      </c>
      <c r="G55" s="281">
        <f t="shared" si="83"/>
        <v>0.2630397152915121</v>
      </c>
      <c r="H55" s="281">
        <f t="shared" si="84"/>
        <v>0.34498500229182577</v>
      </c>
      <c r="AY55" s="293">
        <f>MAX(0,MIN(50,n_rows-1))</f>
        <v>24</v>
      </c>
      <c r="AZ55" s="281">
        <f t="shared" si="85"/>
        <v>25.94</v>
      </c>
      <c r="BD55" s="281">
        <f t="shared" si="86"/>
        <v>12.395163999999998</v>
      </c>
      <c r="BE55" s="281">
        <f t="shared" si="87"/>
        <v>0.92108763108176062</v>
      </c>
      <c r="BF55" s="281">
        <f t="shared" si="88"/>
        <v>1.7069413456688332</v>
      </c>
      <c r="BG55" s="281">
        <f t="shared" si="18"/>
        <v>10.087310220443285</v>
      </c>
      <c r="BH55" s="281">
        <f t="shared" si="19"/>
        <v>-1.5219820131842181</v>
      </c>
      <c r="BM55" s="281">
        <f>$AZ$11</f>
        <v>11.36</v>
      </c>
      <c r="BN55" s="281">
        <f>$AX$5+seat_w*($AY$11*n_SA+$AW$5&lt;pax_e)</f>
        <v>-1.31</v>
      </c>
      <c r="BO55" s="281">
        <f t="shared" si="20"/>
        <v>-6.4504799999999989</v>
      </c>
      <c r="CA55" s="281">
        <f>$BX$10+1*lav_len</f>
        <v>29.25</v>
      </c>
      <c r="CB55" s="281">
        <f>$BY$10+1*lav_w</f>
        <v>1.865</v>
      </c>
      <c r="EB55" s="281">
        <f>$AH$8+D_nac/2*-0.5</f>
        <v>-6.5772425835265382</v>
      </c>
      <c r="EC55" s="281">
        <f>$AJ$8+D_nac/2*-0.86603</f>
        <v>-2.9742520816446305</v>
      </c>
      <c r="HY55" s="281">
        <f>$HX$11</f>
        <v>6.5</v>
      </c>
      <c r="HZ55" s="281">
        <f>$HV$5+seat_w_b*($HW$11*n_SA_b+$HU$5&lt;pax_b)</f>
        <v>-1.84</v>
      </c>
      <c r="IA55" s="281">
        <f t="shared" si="63"/>
        <v>-11.310479999999998</v>
      </c>
    </row>
    <row r="56" spans="1:235" x14ac:dyDescent="0.25">
      <c r="AY56" s="293">
        <f>MAX(0,MIN(51,n_rows-1))</f>
        <v>24</v>
      </c>
      <c r="AZ56" s="281">
        <f t="shared" si="85"/>
        <v>25.94</v>
      </c>
      <c r="BD56" s="281">
        <f t="shared" si="86"/>
        <v>13.350807999999997</v>
      </c>
      <c r="BE56" s="281">
        <f t="shared" si="87"/>
        <v>0.81233009127609856</v>
      </c>
      <c r="BF56" s="281">
        <f t="shared" si="88"/>
        <v>1.6817030709815313</v>
      </c>
      <c r="BG56" s="281">
        <f t="shared" si="18"/>
        <v>10.749467997196206</v>
      </c>
      <c r="BH56" s="281">
        <f t="shared" si="19"/>
        <v>-1.8396696064846296</v>
      </c>
      <c r="BM56" s="281">
        <f>$AZ$11+1*(seat_pitch)*($AY$11*n_SA+$AW$5&lt;pax_e)</f>
        <v>12.17</v>
      </c>
      <c r="BN56" s="281">
        <f>$AX$5+seat_w*($AY$11*n_SA+$AW$5&lt;pax_e)</f>
        <v>-1.31</v>
      </c>
      <c r="BO56" s="281">
        <f t="shared" si="20"/>
        <v>-5.6404799999999984</v>
      </c>
      <c r="CA56" s="281">
        <f>$BX$10+1*lav_len</f>
        <v>29.25</v>
      </c>
      <c r="CB56" s="281">
        <f>$BY$10+0*lav_w</f>
        <v>0.86499999999999999</v>
      </c>
      <c r="EB56" s="281">
        <f>$AH$8+D_nac/2*0</f>
        <v>-6.0190949159048603</v>
      </c>
      <c r="EC56" s="281">
        <f>$AJ$8+D_nac/2*-1</f>
        <v>-3.1238021677071828</v>
      </c>
      <c r="HY56" s="281">
        <f>$HX$11+1*(bus_pitch*(n_rows_b&gt;0))*($HW$11*n_SA_b+$HU$5&lt;pax_b)</f>
        <v>6.5</v>
      </c>
      <c r="HZ56" s="281">
        <f>$HV$5+seat_w_b*($HW$11*n_SA_b+$HU$5&lt;pax_b)</f>
        <v>-1.84</v>
      </c>
      <c r="IA56" s="281">
        <f t="shared" si="63"/>
        <v>-11.310479999999998</v>
      </c>
    </row>
    <row r="57" spans="1:235" x14ac:dyDescent="0.25">
      <c r="AY57" s="293">
        <f>MAX(0,MIN(52,n_rows-1))</f>
        <v>24</v>
      </c>
      <c r="AZ57" s="281">
        <f t="shared" si="85"/>
        <v>25.94</v>
      </c>
      <c r="BD57" s="281">
        <f t="shared" si="86"/>
        <v>14.306452</v>
      </c>
      <c r="BE57" s="281">
        <f t="shared" si="87"/>
        <v>0.68523246313724451</v>
      </c>
      <c r="BF57" s="281">
        <f t="shared" si="88"/>
        <v>1.6522087953956288</v>
      </c>
      <c r="BG57" s="281">
        <f t="shared" si="18"/>
        <v>11.399836992407998</v>
      </c>
      <c r="BH57" s="281">
        <f t="shared" si="19"/>
        <v>-2.1671519469019884</v>
      </c>
      <c r="BM57" s="281">
        <f>$AZ$11+0.8*(seat_pitch)*($AY$11*n_SA+$AW$5&lt;pax_e)</f>
        <v>12.007999999999999</v>
      </c>
      <c r="BN57" s="281">
        <f>$AX$5+seat_w*($AY$11*n_SA+$AW$5&lt;pax_e)</f>
        <v>-1.31</v>
      </c>
      <c r="BO57" s="281">
        <f t="shared" si="20"/>
        <v>-5.8024799999999992</v>
      </c>
      <c r="CA57" s="281">
        <f>$BX$10+0*lav_len</f>
        <v>28.25</v>
      </c>
      <c r="CB57" s="281">
        <f>$BY$10+1*lav_w</f>
        <v>1.865</v>
      </c>
      <c r="EB57" s="281">
        <f>$AH$8+D_nac/2*0.5</f>
        <v>-5.4609472482831825</v>
      </c>
      <c r="EC57" s="281">
        <f>$AJ$8+D_nac/2*-0.86603</f>
        <v>-2.9742520816446305</v>
      </c>
      <c r="HY57" s="281">
        <f>$HX$11+0.8*(bus_pitch*(n_rows_b&gt;0))*($HW$11*n_SA_b+$HU$5&lt;pax_b)</f>
        <v>6.5</v>
      </c>
      <c r="HZ57" s="281">
        <f>$HV$5+seat_w_b*($HW$11*n_SA_b+$HU$5&lt;pax_b)</f>
        <v>-1.84</v>
      </c>
      <c r="IA57" s="281">
        <f t="shared" si="63"/>
        <v>-11.310479999999998</v>
      </c>
    </row>
    <row r="58" spans="1:235" x14ac:dyDescent="0.25">
      <c r="AY58" s="293">
        <f>MAX(0,MIN(53,n_rows-1))</f>
        <v>24</v>
      </c>
      <c r="AZ58" s="281">
        <f t="shared" si="85"/>
        <v>25.94</v>
      </c>
      <c r="BD58" s="281">
        <f t="shared" si="86"/>
        <v>15.262096</v>
      </c>
      <c r="BE58" s="281">
        <f t="shared" si="87"/>
        <v>0.54453761619434182</v>
      </c>
      <c r="BF58" s="281">
        <f t="shared" si="88"/>
        <v>1.6195591492140589</v>
      </c>
      <c r="BG58" s="281">
        <f t="shared" si="18"/>
        <v>12.04146586384635</v>
      </c>
      <c r="BH58" s="281">
        <f t="shared" si="19"/>
        <v>-2.5018960473098053</v>
      </c>
      <c r="BM58" s="281">
        <f>$AZ$11+0.8*(seat_pitch)*($AY$11*n_SA+$AW$5&lt;pax_e)</f>
        <v>12.007999999999999</v>
      </c>
      <c r="BN58" s="281">
        <f>$AX$5</f>
        <v>-1.84</v>
      </c>
      <c r="BO58" s="281">
        <f t="shared" si="20"/>
        <v>-5.8024799999999992</v>
      </c>
      <c r="EB58" s="281">
        <f>$AH$8+D_nac/2*0.86603</f>
        <v>-5.0523496667240568</v>
      </c>
      <c r="EC58" s="281">
        <f>$AJ$8+D_nac/2*-0.5</f>
        <v>-2.5656545000855049</v>
      </c>
      <c r="HY58" s="281">
        <f>$HX$11+0.8*(bus_pitch*(n_rows_b&gt;0))*($HW$11*n_SA_b+$HU$5&lt;pax_b)</f>
        <v>6.5</v>
      </c>
      <c r="HZ58" s="281">
        <f>$HV$5</f>
        <v>-1.84</v>
      </c>
      <c r="IA58" s="281">
        <f t="shared" si="63"/>
        <v>-11.310479999999998</v>
      </c>
    </row>
    <row r="59" spans="1:235" x14ac:dyDescent="0.25">
      <c r="AY59" s="293">
        <f>MAX(0,MIN(54,n_rows-1))</f>
        <v>24</v>
      </c>
      <c r="AZ59" s="281">
        <f t="shared" si="85"/>
        <v>25.94</v>
      </c>
      <c r="BD59" s="281">
        <f t="shared" si="86"/>
        <v>16.217739999999999</v>
      </c>
      <c r="BE59" s="281">
        <f t="shared" si="87"/>
        <v>0.39278189029748012</v>
      </c>
      <c r="BF59" s="281">
        <f t="shared" si="88"/>
        <v>1.584342715462433</v>
      </c>
      <c r="BG59" s="281">
        <f t="shared" si="18"/>
        <v>12.675984939340852</v>
      </c>
      <c r="BH59" s="281">
        <f t="shared" si="19"/>
        <v>-2.8425473445793239</v>
      </c>
      <c r="BM59" s="281">
        <f>$AZ$11+0.2*(seat_pitch)*($AY$11*n_SA+$AW$5&lt;pax_e)</f>
        <v>11.522</v>
      </c>
      <c r="BN59" s="281">
        <f>$AX$5</f>
        <v>-1.84</v>
      </c>
      <c r="BO59" s="281">
        <f t="shared" si="20"/>
        <v>-6.2884799999999981</v>
      </c>
      <c r="CA59" s="281">
        <f>$BX$11+0*lav_len</f>
        <v>28.25</v>
      </c>
      <c r="CB59" s="281">
        <f>$BY$11+0*lav_w</f>
        <v>0.86499999999999999</v>
      </c>
      <c r="EB59" s="281">
        <f>$AH$8+D_nac/2*1</f>
        <v>-4.9027995806615046</v>
      </c>
      <c r="EC59" s="281">
        <f>$AJ$8+D_nac/2*0</f>
        <v>-2.007506832463827</v>
      </c>
      <c r="HY59" s="281">
        <f>$HX$11+0.2*(bus_pitch*(n_rows_b&gt;0))*($HW$11*n_SA_b+$HU$5&lt;pax_b)</f>
        <v>6.5</v>
      </c>
      <c r="HZ59" s="281">
        <f>$HV$5</f>
        <v>-1.84</v>
      </c>
      <c r="IA59" s="281">
        <f t="shared" si="63"/>
        <v>-11.310479999999998</v>
      </c>
    </row>
    <row r="60" spans="1:235" x14ac:dyDescent="0.25">
      <c r="AY60" s="293">
        <f>MAX(0,MIN(55,n_rows-1))</f>
        <v>24</v>
      </c>
      <c r="AZ60" s="281">
        <f t="shared" si="85"/>
        <v>25.94</v>
      </c>
      <c r="BD60" s="281">
        <f t="shared" si="86"/>
        <v>17.173383999999999</v>
      </c>
      <c r="BE60" s="281">
        <f t="shared" si="87"/>
        <v>0.23158654652926203</v>
      </c>
      <c r="BF60" s="281">
        <f t="shared" si="88"/>
        <v>1.5469357239875803</v>
      </c>
      <c r="BG60" s="281">
        <f t="shared" si="18"/>
        <v>13.304436345427471</v>
      </c>
      <c r="BH60" s="281">
        <f t="shared" si="19"/>
        <v>-3.1882399845212892</v>
      </c>
      <c r="BM60" s="281">
        <f>$AZ$11+(seat_pitch)</f>
        <v>12.17</v>
      </c>
      <c r="BN60" s="281">
        <f>$AX$5</f>
        <v>-1.84</v>
      </c>
      <c r="BO60" s="281">
        <f t="shared" si="20"/>
        <v>-5.6404799999999984</v>
      </c>
      <c r="CA60" s="281">
        <f>$BX$11+1*lav_len</f>
        <v>29.25</v>
      </c>
      <c r="CB60" s="281">
        <f>$BY$11+0*lav_w</f>
        <v>0.86499999999999999</v>
      </c>
      <c r="HY60" s="281">
        <f>$HX$11+(bus_pitch*(n_rows_b&gt;0))</f>
        <v>6.5</v>
      </c>
      <c r="HZ60" s="281">
        <f>$HV$5</f>
        <v>-1.84</v>
      </c>
      <c r="IA60" s="281">
        <f t="shared" si="63"/>
        <v>-11.310479999999998</v>
      </c>
    </row>
    <row r="61" spans="1:235" x14ac:dyDescent="0.25">
      <c r="AY61" s="293">
        <f>MAX(0,MIN(56,n_rows-1))</f>
        <v>24</v>
      </c>
      <c r="AZ61" s="281">
        <f t="shared" si="85"/>
        <v>25.94</v>
      </c>
      <c r="BD61" s="281">
        <f t="shared" si="86"/>
        <v>17.810479999999998</v>
      </c>
      <c r="BE61" s="281">
        <f t="shared" si="87"/>
        <v>0.11945549999999999</v>
      </c>
      <c r="BF61" s="281">
        <f t="shared" si="88"/>
        <v>1.5209145933299999</v>
      </c>
      <c r="BG61" s="281">
        <f t="shared" si="18"/>
        <v>13.720403748590604</v>
      </c>
      <c r="BH61" s="281">
        <f t="shared" si="19"/>
        <v>-3.4211944710599997</v>
      </c>
      <c r="BM61" s="281">
        <f>$AZ$12+0.2*(seat_pitch)*($AY$12*n_SA+$AW$5&lt;pax_e)</f>
        <v>12.332000000000001</v>
      </c>
      <c r="BN61" s="281">
        <f>$AX$5</f>
        <v>-1.84</v>
      </c>
      <c r="BO61" s="281">
        <f t="shared" si="20"/>
        <v>-5.4784799999999976</v>
      </c>
      <c r="CA61" s="281">
        <f>$BX$11+1*lav_len</f>
        <v>29.25</v>
      </c>
      <c r="CB61" s="281">
        <f>$BY$11+1*lav_w</f>
        <v>1.865</v>
      </c>
      <c r="HY61" s="281">
        <f>$HX$12+0.2*(bus_pitch*(n_rows_b&gt;0))*($HW$12*n_SA_b+$HU$5&lt;pax_b)</f>
        <v>6.5</v>
      </c>
      <c r="HZ61" s="281">
        <f>$HV$5</f>
        <v>-1.84</v>
      </c>
      <c r="IA61" s="281">
        <f t="shared" si="63"/>
        <v>-11.310479999999998</v>
      </c>
    </row>
    <row r="62" spans="1:235" x14ac:dyDescent="0.25">
      <c r="AY62" s="293">
        <f>MAX(0,MIN(57,n_rows-1))</f>
        <v>24</v>
      </c>
      <c r="AZ62" s="281">
        <f t="shared" si="85"/>
        <v>25.94</v>
      </c>
      <c r="BD62" s="281">
        <f>T23-L_fus/2</f>
        <v>17.810479999999998</v>
      </c>
      <c r="BE62" s="281">
        <f>U23*0</f>
        <v>0</v>
      </c>
      <c r="BF62" s="281">
        <f>V23+U23*1</f>
        <v>1.5529215000000001</v>
      </c>
      <c r="BG62" s="281">
        <f t="shared" si="18"/>
        <v>13.643619233281694</v>
      </c>
      <c r="BH62" s="281">
        <f t="shared" si="19"/>
        <v>-3.4308594080120804</v>
      </c>
      <c r="BM62" s="281">
        <f>$AZ$12+0.2*(seat_pitch)*($AY$12*n_SA+$AW$5&lt;pax_e)</f>
        <v>12.332000000000001</v>
      </c>
      <c r="BN62" s="281">
        <f>$AX$5+seat_w*($AY$12*n_SA+$AW$5&lt;pax_e)</f>
        <v>-1.31</v>
      </c>
      <c r="BO62" s="281">
        <f t="shared" si="20"/>
        <v>-5.4784799999999976</v>
      </c>
      <c r="CA62" s="281">
        <f>$BX$11+0*lav_len</f>
        <v>28.25</v>
      </c>
      <c r="CB62" s="281">
        <f>$BY$11+1*lav_w</f>
        <v>1.865</v>
      </c>
      <c r="HY62" s="281">
        <f>$HX$12+0.2*(bus_pitch*(n_rows_b&gt;0))*($HW$12*n_SA_b+$HU$5&lt;pax_b)</f>
        <v>6.5</v>
      </c>
      <c r="HZ62" s="281">
        <f>$HV$5+seat_w_b*($HW$12*n_SA_b+$HU$5&lt;pax_b)</f>
        <v>-1.84</v>
      </c>
      <c r="IA62" s="281">
        <f t="shared" si="63"/>
        <v>-11.310479999999998</v>
      </c>
    </row>
    <row r="63" spans="1:235" x14ac:dyDescent="0.25">
      <c r="AY63" s="293">
        <f>MAX(0,MIN(58,n_rows-1))</f>
        <v>24</v>
      </c>
      <c r="AZ63" s="281">
        <f t="shared" si="85"/>
        <v>25.94</v>
      </c>
      <c r="BD63" s="281">
        <f>T22-L_fus/2</f>
        <v>17.173383999999999</v>
      </c>
      <c r="BE63" s="281">
        <f>U22*0</f>
        <v>0</v>
      </c>
      <c r="BF63" s="281">
        <f>V22+U22*1</f>
        <v>1.6089870232646308</v>
      </c>
      <c r="BG63" s="281">
        <f t="shared" si="18"/>
        <v>13.155575382748365</v>
      </c>
      <c r="BH63" s="281">
        <f t="shared" si="19"/>
        <v>-3.2069772496213078</v>
      </c>
      <c r="BM63" s="281">
        <f>$AZ$12</f>
        <v>12.17</v>
      </c>
      <c r="BN63" s="281">
        <f>$AX$5+seat_w*($AY$12*n_SA+$AW$5&lt;pax_e)</f>
        <v>-1.31</v>
      </c>
      <c r="BO63" s="281">
        <f t="shared" si="20"/>
        <v>-5.6404799999999984</v>
      </c>
      <c r="CA63" s="281">
        <f>$BX$11+0*lav_len</f>
        <v>28.25</v>
      </c>
      <c r="CB63" s="281">
        <f>$BY$11+0*lav_w</f>
        <v>0.86499999999999999</v>
      </c>
      <c r="HY63" s="281">
        <f>$HX$12</f>
        <v>6.5</v>
      </c>
      <c r="HZ63" s="281">
        <f>$HV$5+seat_w_b*($HW$12*n_SA_b+$HU$5&lt;pax_b)</f>
        <v>-1.84</v>
      </c>
      <c r="IA63" s="281">
        <f t="shared" si="63"/>
        <v>-11.310479999999998</v>
      </c>
    </row>
    <row r="64" spans="1:235" x14ac:dyDescent="0.25">
      <c r="AY64" s="293">
        <f>MAX(0,MIN(59,n_rows-1))</f>
        <v>24</v>
      </c>
      <c r="AZ64" s="281">
        <f t="shared" si="85"/>
        <v>25.94</v>
      </c>
      <c r="BD64" s="281">
        <f>T21-L_fus/2</f>
        <v>16.217739999999999</v>
      </c>
      <c r="BE64" s="281">
        <f>U21*0</f>
        <v>0</v>
      </c>
      <c r="BF64" s="281">
        <f>V21+U21*1</f>
        <v>1.6895846951487399</v>
      </c>
      <c r="BG64" s="281">
        <f t="shared" si="18"/>
        <v>12.423509606948373</v>
      </c>
      <c r="BH64" s="281">
        <f t="shared" si="19"/>
        <v>-2.8743266448680833</v>
      </c>
      <c r="BM64" s="281">
        <f>$AZ$12+1*(seat_pitch)*($AY$12*n_SA+$AW$5&lt;pax_e)</f>
        <v>12.98</v>
      </c>
      <c r="BN64" s="281">
        <f>$AX$5+seat_w*($AY$12*n_SA+$AW$5&lt;pax_e)</f>
        <v>-1.31</v>
      </c>
      <c r="BO64" s="281">
        <f t="shared" si="20"/>
        <v>-4.8304799999999979</v>
      </c>
      <c r="CA64" s="281">
        <f>$BX$11+1*lav_len</f>
        <v>29.25</v>
      </c>
      <c r="CB64" s="281">
        <f>$BY$11+1*lav_w</f>
        <v>1.865</v>
      </c>
      <c r="HY64" s="281">
        <f>$HX$12+1*(bus_pitch*(n_rows_b&gt;0))*($HW$12*n_SA_b+$HU$5&lt;pax_b)</f>
        <v>6.5</v>
      </c>
      <c r="HZ64" s="281">
        <f>$HV$5+seat_w_b*($HW$12*n_SA_b+$HU$5&lt;pax_b)</f>
        <v>-1.84</v>
      </c>
      <c r="IA64" s="281">
        <f t="shared" si="63"/>
        <v>-11.310479999999998</v>
      </c>
    </row>
    <row r="65" spans="56:235" x14ac:dyDescent="0.25">
      <c r="BD65" s="281">
        <f>T20-L_fus/2</f>
        <v>15.262096</v>
      </c>
      <c r="BE65" s="281">
        <f>U20*0</f>
        <v>0</v>
      </c>
      <c r="BF65" s="281">
        <f>V20+U20*1</f>
        <v>1.7654625580971708</v>
      </c>
      <c r="BG65" s="281">
        <f t="shared" si="18"/>
        <v>11.691443831148382</v>
      </c>
      <c r="BH65" s="281">
        <f t="shared" si="19"/>
        <v>-2.5459536397065907</v>
      </c>
      <c r="BM65" s="281">
        <f>$AZ$12+0.8*(seat_pitch)*($AY$12*n_SA+$AW$5&lt;pax_e)</f>
        <v>12.818</v>
      </c>
      <c r="BN65" s="281">
        <f>$AX$5+seat_w*($AY$12*n_SA+$AW$5&lt;pax_e)</f>
        <v>-1.31</v>
      </c>
      <c r="BO65" s="281">
        <f t="shared" si="20"/>
        <v>-4.9924799999999987</v>
      </c>
      <c r="CA65" s="281">
        <f>$BX$11+1*lav_len</f>
        <v>29.25</v>
      </c>
      <c r="CB65" s="281">
        <f>$BY$11+0*lav_w</f>
        <v>0.86499999999999999</v>
      </c>
      <c r="HY65" s="281">
        <f>$HX$12+0.8*(bus_pitch*(n_rows_b&gt;0))*($HW$12*n_SA_b+$HU$5&lt;pax_b)</f>
        <v>6.5</v>
      </c>
      <c r="HZ65" s="281">
        <f>$HV$5+seat_w_b*($HW$12*n_SA_b+$HU$5&lt;pax_b)</f>
        <v>-1.84</v>
      </c>
      <c r="IA65" s="281">
        <f t="shared" si="63"/>
        <v>-11.310479999999998</v>
      </c>
    </row>
    <row r="66" spans="56:235" x14ac:dyDescent="0.25">
      <c r="BD66" s="281">
        <f>T19-L_fus/2</f>
        <v>14.306452</v>
      </c>
      <c r="BE66" s="281">
        <f>U19*0</f>
        <v>0</v>
      </c>
      <c r="BF66" s="281">
        <f>V19+U19*1</f>
        <v>1.8358099815686222</v>
      </c>
      <c r="BG66" s="281">
        <f t="shared" si="18"/>
        <v>10.95937805534839</v>
      </c>
      <c r="BH66" s="281">
        <f t="shared" si="19"/>
        <v>-2.2225929149088186</v>
      </c>
      <c r="BM66" s="281">
        <f>$AZ$12+0.8*(seat_pitch)*($AY$12*n_SA+$AW$5&lt;pax_e)</f>
        <v>12.818</v>
      </c>
      <c r="BN66" s="281">
        <f>$AX$5</f>
        <v>-1.84</v>
      </c>
      <c r="BO66" s="281">
        <f t="shared" si="20"/>
        <v>-4.9924799999999987</v>
      </c>
      <c r="CA66" s="281">
        <f>$BX$11+0*lav_len</f>
        <v>28.25</v>
      </c>
      <c r="CB66" s="281">
        <f>$BY$11+1*lav_w</f>
        <v>1.865</v>
      </c>
      <c r="HY66" s="281">
        <f>$HX$12+0.8*(bus_pitch*(n_rows_b&gt;0))*($HW$12*n_SA_b+$HU$5&lt;pax_b)</f>
        <v>6.5</v>
      </c>
      <c r="HZ66" s="281">
        <f>$HV$5</f>
        <v>-1.84</v>
      </c>
      <c r="IA66" s="281">
        <f t="shared" si="63"/>
        <v>-11.310479999999998</v>
      </c>
    </row>
    <row r="67" spans="56:235" x14ac:dyDescent="0.25">
      <c r="BD67" s="281">
        <f>T18-L_fus/2</f>
        <v>13.350807999999997</v>
      </c>
      <c r="BE67" s="281">
        <f>U18*0</f>
        <v>0</v>
      </c>
      <c r="BF67" s="281">
        <f>V18+U18*1</f>
        <v>1.8993587956380491</v>
      </c>
      <c r="BG67" s="281">
        <f t="shared" si="18"/>
        <v>10.227312279548395</v>
      </c>
      <c r="BH67" s="281">
        <f t="shared" si="19"/>
        <v>-1.9053938227531215</v>
      </c>
      <c r="BM67" s="281">
        <f>$AZ$12+0.2*(seat_pitch)*($AY$12*n_SA+$AW$5&lt;pax_e)</f>
        <v>12.332000000000001</v>
      </c>
      <c r="BN67" s="281">
        <f>$AX$5</f>
        <v>-1.84</v>
      </c>
      <c r="BO67" s="281">
        <f t="shared" si="20"/>
        <v>-5.4784799999999976</v>
      </c>
      <c r="HY67" s="281">
        <f>$HX$12+0.2*(bus_pitch*(n_rows_b&gt;0))*($HW$12*n_SA_b+$HU$5&lt;pax_b)</f>
        <v>6.5</v>
      </c>
      <c r="HZ67" s="281">
        <f>$HV$5</f>
        <v>-1.84</v>
      </c>
      <c r="IA67" s="281">
        <f t="shared" si="63"/>
        <v>-11.310479999999998</v>
      </c>
    </row>
    <row r="68" spans="56:235" x14ac:dyDescent="0.25">
      <c r="BD68" s="281">
        <f>T17-L_fus/2</f>
        <v>12.395163999999998</v>
      </c>
      <c r="BE68" s="281">
        <f>U17*0</f>
        <v>0</v>
      </c>
      <c r="BF68" s="281">
        <f>V17+U17*1</f>
        <v>1.9537375655408802</v>
      </c>
      <c r="BG68" s="281">
        <f t="shared" si="18"/>
        <v>9.4952465037484028</v>
      </c>
      <c r="BH68" s="281">
        <f t="shared" si="19"/>
        <v>-1.596505613033081</v>
      </c>
      <c r="BM68" s="281">
        <f>$AZ$12+(seat_pitch)</f>
        <v>12.98</v>
      </c>
      <c r="BN68" s="281">
        <f>$AX$5</f>
        <v>-1.84</v>
      </c>
      <c r="BO68" s="281">
        <f t="shared" si="20"/>
        <v>-4.8304799999999979</v>
      </c>
      <c r="CA68" s="281">
        <f>$BX$12+0*lav_len</f>
        <v>28.25</v>
      </c>
      <c r="CB68" s="281">
        <f>$BY$12+0*lav_w</f>
        <v>0.86499999999999999</v>
      </c>
      <c r="HY68" s="281">
        <f>$HX$12+(bus_pitch*(n_rows_b&gt;0))</f>
        <v>6.5</v>
      </c>
      <c r="HZ68" s="281">
        <f>$HV$5</f>
        <v>-1.84</v>
      </c>
      <c r="IA68" s="281">
        <f t="shared" si="63"/>
        <v>-11.310479999999998</v>
      </c>
    </row>
    <row r="69" spans="56:235" x14ac:dyDescent="0.25">
      <c r="BD69" s="281">
        <f>T16-L_fus/2</f>
        <v>11.439519999999998</v>
      </c>
      <c r="BE69" s="281">
        <f>U16*0</f>
        <v>0</v>
      </c>
      <c r="BF69" s="281">
        <f>V16+U16*1</f>
        <v>1.9909249999999998</v>
      </c>
      <c r="BG69" s="281">
        <f t="shared" ref="BG69:BG132" si="89">BD69*COS(RADIANS(view_az))+BE69*SIN(RADIANS(view_az))</f>
        <v>8.7631807279484093</v>
      </c>
      <c r="BH69" s="281">
        <f t="shared" ref="BH69:BH132" si="90">BF69*COS(RADIANS(view_el))+(BE69*COS(RADIANS(view_az))-BD69*SIN(RADIANS(view_az)))*SIN(RADIANS(view_el))</f>
        <v>-1.3031980444952349</v>
      </c>
      <c r="BM69" s="281">
        <f>$AZ$13+0.2*(seat_pitch)*($AY$13*n_SA+$AW$5&lt;pax_e)</f>
        <v>13.142000000000001</v>
      </c>
      <c r="BN69" s="281">
        <f>$AX$5</f>
        <v>-1.84</v>
      </c>
      <c r="BO69" s="281">
        <f t="shared" ref="BO69:BO132" si="91">BM69-L_fus/2</f>
        <v>-4.6684799999999971</v>
      </c>
      <c r="CA69" s="281">
        <f>$BX$12+1*lav_len</f>
        <v>29.25</v>
      </c>
      <c r="CB69" s="281">
        <f>$BY$12+0*lav_w</f>
        <v>0.86499999999999999</v>
      </c>
      <c r="HY69" s="281">
        <f>$HX$13+0.2*(bus_pitch*(n_rows_b&gt;0))*($HW$13*n_SA_b+$HU$5&lt;pax_b)</f>
        <v>6.5</v>
      </c>
      <c r="HZ69" s="281">
        <f>$HV$5</f>
        <v>-1.84</v>
      </c>
      <c r="IA69" s="281">
        <f t="shared" ref="IA69:IA132" si="92">HY69-L_fus/2</f>
        <v>-11.310479999999998</v>
      </c>
    </row>
    <row r="70" spans="56:235" x14ac:dyDescent="0.25">
      <c r="BD70" s="281">
        <f>T15-L_fus/2</f>
        <v>3.0228533333333161</v>
      </c>
      <c r="BE70" s="281">
        <f>U15*0</f>
        <v>0</v>
      </c>
      <c r="BF70" s="281">
        <f>V15+U15*1</f>
        <v>1.9909249999999998</v>
      </c>
      <c r="BG70" s="281">
        <f t="shared" si="89"/>
        <v>2.3156399983636664</v>
      </c>
      <c r="BH70" s="281">
        <f t="shared" si="90"/>
        <v>0.98322128964582101</v>
      </c>
      <c r="BM70" s="281">
        <f>$AZ$13+0.2*(seat_pitch)*($AY$13*n_SA+$AW$5&lt;pax_e)</f>
        <v>13.142000000000001</v>
      </c>
      <c r="BN70" s="281">
        <f>$AX$5+seat_w*($AY$13*n_SA+$AW$5&lt;pax_e)</f>
        <v>-1.31</v>
      </c>
      <c r="BO70" s="281">
        <f t="shared" si="91"/>
        <v>-4.6684799999999971</v>
      </c>
      <c r="CA70" s="281">
        <f>$BX$12+1*lav_len</f>
        <v>29.25</v>
      </c>
      <c r="CB70" s="281">
        <f>$BY$12+1*lav_w</f>
        <v>1.865</v>
      </c>
      <c r="HY70" s="281">
        <f>$HX$13+0.2*(bus_pitch*(n_rows_b&gt;0))*($HW$13*n_SA_b+$HU$5&lt;pax_b)</f>
        <v>6.5</v>
      </c>
      <c r="HZ70" s="281">
        <f>$HV$5+seat_w_b*($HW$13*n_SA_b+$HU$5&lt;pax_b)</f>
        <v>-1.84</v>
      </c>
      <c r="IA70" s="281">
        <f t="shared" si="92"/>
        <v>-11.310479999999998</v>
      </c>
    </row>
    <row r="71" spans="56:235" x14ac:dyDescent="0.25">
      <c r="BD71" s="281">
        <f>T14-L_fus/2</f>
        <v>-5.3938133333333411</v>
      </c>
      <c r="BE71" s="281">
        <f>U14*0</f>
        <v>0</v>
      </c>
      <c r="BF71" s="281">
        <f>V14+U14*1</f>
        <v>1.9909249999999998</v>
      </c>
      <c r="BG71" s="281">
        <f t="shared" si="89"/>
        <v>-4.1319007312210578</v>
      </c>
      <c r="BH71" s="281">
        <f t="shared" si="90"/>
        <v>3.2696406237868705</v>
      </c>
      <c r="BM71" s="281">
        <f>$AZ$13</f>
        <v>12.98</v>
      </c>
      <c r="BN71" s="281">
        <f>$AX$5+seat_w*($AY$13*n_SA+$AW$5&lt;pax_e)</f>
        <v>-1.31</v>
      </c>
      <c r="BO71" s="281">
        <f t="shared" si="91"/>
        <v>-4.8304799999999979</v>
      </c>
      <c r="CA71" s="281">
        <f>$BX$12+0*lav_len</f>
        <v>28.25</v>
      </c>
      <c r="CB71" s="281">
        <f>$BY$12+1*lav_w</f>
        <v>1.865</v>
      </c>
      <c r="HY71" s="281">
        <f>$HX$13</f>
        <v>6.5</v>
      </c>
      <c r="HZ71" s="281">
        <f>$HV$5+seat_w_b*($HW$13*n_SA_b+$HU$5&lt;pax_b)</f>
        <v>-1.84</v>
      </c>
      <c r="IA71" s="281">
        <f t="shared" si="92"/>
        <v>-11.310479999999998</v>
      </c>
    </row>
    <row r="72" spans="56:235" x14ac:dyDescent="0.25">
      <c r="BD72" s="281">
        <f>T13-L_fus/2</f>
        <v>-13.810479999999998</v>
      </c>
      <c r="BE72" s="281">
        <f>U13*0</f>
        <v>0</v>
      </c>
      <c r="BF72" s="281">
        <f>V13+U13*1</f>
        <v>1.9909249999999998</v>
      </c>
      <c r="BG72" s="281">
        <f t="shared" si="89"/>
        <v>-10.579441460805782</v>
      </c>
      <c r="BH72" s="281">
        <f t="shared" si="90"/>
        <v>5.5560599579279195</v>
      </c>
      <c r="BM72" s="281">
        <f>$AZ$13+1*(seat_pitch)*($AY$13*n_SA+$AW$5&lt;pax_e)</f>
        <v>13.790000000000001</v>
      </c>
      <c r="BN72" s="281">
        <f>$AX$5+seat_w*($AY$13*n_SA+$AW$5&lt;pax_e)</f>
        <v>-1.31</v>
      </c>
      <c r="BO72" s="281">
        <f t="shared" si="91"/>
        <v>-4.0204799999999974</v>
      </c>
      <c r="CA72" s="281">
        <f>$BX$12+0*lav_len</f>
        <v>28.25</v>
      </c>
      <c r="CB72" s="281">
        <f>$BY$12+0*lav_w</f>
        <v>0.86499999999999999</v>
      </c>
      <c r="HY72" s="281">
        <f>$HX$13+1*(bus_pitch*(n_rows_b&gt;0))*($HW$13*n_SA_b+$HU$5&lt;pax_b)</f>
        <v>6.5</v>
      </c>
      <c r="HZ72" s="281">
        <f>$HV$5+seat_w_b*($HW$13*n_SA_b+$HU$5&lt;pax_b)</f>
        <v>-1.84</v>
      </c>
      <c r="IA72" s="281">
        <f t="shared" si="92"/>
        <v>-11.310479999999998</v>
      </c>
    </row>
    <row r="73" spans="56:235" x14ac:dyDescent="0.25">
      <c r="BD73" s="281">
        <f>T12-L_fus/2</f>
        <v>-14.610479999999999</v>
      </c>
      <c r="BE73" s="281">
        <f>U12*0</f>
        <v>0</v>
      </c>
      <c r="BF73" s="281">
        <f>V12+U12*1</f>
        <v>1.9386326903983113</v>
      </c>
      <c r="BG73" s="281">
        <f t="shared" si="89"/>
        <v>-11.192277015300965</v>
      </c>
      <c r="BH73" s="281">
        <f t="shared" si="90"/>
        <v>5.7259900563531252</v>
      </c>
      <c r="BM73" s="281">
        <f>$AZ$13+0.8*(seat_pitch)*($AY$13*n_SA+$AW$5&lt;pax_e)</f>
        <v>13.628</v>
      </c>
      <c r="BN73" s="281">
        <f>$AX$5+seat_w*($AY$13*n_SA+$AW$5&lt;pax_e)</f>
        <v>-1.31</v>
      </c>
      <c r="BO73" s="281">
        <f t="shared" si="91"/>
        <v>-4.1824799999999982</v>
      </c>
      <c r="CA73" s="281">
        <f>$BX$12+1*lav_len</f>
        <v>29.25</v>
      </c>
      <c r="CB73" s="281">
        <f>$BY$12+1*lav_w</f>
        <v>1.865</v>
      </c>
      <c r="HY73" s="281">
        <f>$HX$13+0.8*(bus_pitch*(n_rows_b&gt;0))*($HW$13*n_SA_b+$HU$5&lt;pax_b)</f>
        <v>6.5</v>
      </c>
      <c r="HZ73" s="281">
        <f>$HV$5+seat_w_b*($HW$13*n_SA_b+$HU$5&lt;pax_b)</f>
        <v>-1.84</v>
      </c>
      <c r="IA73" s="281">
        <f t="shared" si="92"/>
        <v>-11.310479999999998</v>
      </c>
    </row>
    <row r="74" spans="56:235" x14ac:dyDescent="0.25">
      <c r="BD74" s="281">
        <f>T11-L_fus/2</f>
        <v>-15.410479999999998</v>
      </c>
      <c r="BE74" s="281">
        <f>U11*0</f>
        <v>0</v>
      </c>
      <c r="BF74" s="281">
        <f>V11+U11*1</f>
        <v>1.7748492740247883</v>
      </c>
      <c r="BG74" s="281">
        <f t="shared" si="89"/>
        <v>-11.805112569796147</v>
      </c>
      <c r="BH74" s="281">
        <f t="shared" si="90"/>
        <v>5.7948748965256831</v>
      </c>
      <c r="BM74" s="281">
        <f>$AZ$13+0.8*(seat_pitch)*($AY$13*n_SA+$AW$5&lt;pax_e)</f>
        <v>13.628</v>
      </c>
      <c r="BN74" s="281">
        <f>$AX$5</f>
        <v>-1.84</v>
      </c>
      <c r="BO74" s="281">
        <f t="shared" si="91"/>
        <v>-4.1824799999999982</v>
      </c>
      <c r="CA74" s="281">
        <f>$BX$12+1*lav_len</f>
        <v>29.25</v>
      </c>
      <c r="CB74" s="281">
        <f>$BY$12+0*lav_w</f>
        <v>0.86499999999999999</v>
      </c>
      <c r="HY74" s="281">
        <f>$HX$13+0.8*(bus_pitch*(n_rows_b&gt;0))*($HW$13*n_SA_b+$HU$5&lt;pax_b)</f>
        <v>6.5</v>
      </c>
      <c r="HZ74" s="281">
        <f>$HV$5</f>
        <v>-1.84</v>
      </c>
      <c r="IA74" s="281">
        <f t="shared" si="92"/>
        <v>-11.310479999999998</v>
      </c>
    </row>
    <row r="75" spans="56:235" x14ac:dyDescent="0.25">
      <c r="BD75" s="281">
        <f>T10-L_fus/2</f>
        <v>-16.010479999999998</v>
      </c>
      <c r="BE75" s="281">
        <f>U10*0</f>
        <v>0</v>
      </c>
      <c r="BF75" s="281">
        <f>V10+U10*1</f>
        <v>1.5642977464931354</v>
      </c>
      <c r="BG75" s="281">
        <f t="shared" si="89"/>
        <v>-12.264739235667534</v>
      </c>
      <c r="BH75" s="281">
        <f t="shared" si="90"/>
        <v>5.7670426769157945</v>
      </c>
      <c r="BM75" s="281">
        <f>$AZ$13+0.2*(seat_pitch)*($AY$13*n_SA+$AW$5&lt;pax_e)</f>
        <v>13.142000000000001</v>
      </c>
      <c r="BN75" s="281">
        <f>$AX$5</f>
        <v>-1.84</v>
      </c>
      <c r="BO75" s="281">
        <f t="shared" si="91"/>
        <v>-4.6684799999999971</v>
      </c>
      <c r="CA75" s="281">
        <f>$BX$12+0*lav_len</f>
        <v>28.25</v>
      </c>
      <c r="CB75" s="281">
        <f>$BY$12+1*lav_w</f>
        <v>1.865</v>
      </c>
      <c r="HY75" s="281">
        <f>$HX$13+0.2*(bus_pitch*(n_rows_b&gt;0))*($HW$13*n_SA_b+$HU$5&lt;pax_b)</f>
        <v>6.5</v>
      </c>
      <c r="HZ75" s="281">
        <f>$HV$5</f>
        <v>-1.84</v>
      </c>
      <c r="IA75" s="281">
        <f t="shared" si="92"/>
        <v>-11.310479999999998</v>
      </c>
    </row>
    <row r="76" spans="56:235" x14ac:dyDescent="0.25">
      <c r="BD76" s="281">
        <f>T9-L_fus/2</f>
        <v>-16.610479999999999</v>
      </c>
      <c r="BE76" s="281">
        <f>U9*0</f>
        <v>0</v>
      </c>
      <c r="BF76" s="281">
        <f>V9+U9*1</f>
        <v>1.2510687912325673</v>
      </c>
      <c r="BG76" s="281">
        <f t="shared" si="89"/>
        <v>-12.724365901538921</v>
      </c>
      <c r="BH76" s="281">
        <f t="shared" si="90"/>
        <v>5.6461531050022984</v>
      </c>
      <c r="BM76" s="281">
        <f>$AZ$13+(seat_pitch)</f>
        <v>13.790000000000001</v>
      </c>
      <c r="BN76" s="281">
        <f>$AX$5</f>
        <v>-1.84</v>
      </c>
      <c r="BO76" s="281">
        <f t="shared" si="91"/>
        <v>-4.0204799999999974</v>
      </c>
      <c r="HY76" s="281">
        <f>$HX$13+(bus_pitch*(n_rows_b&gt;0))</f>
        <v>6.5</v>
      </c>
      <c r="HZ76" s="281">
        <f>$HV$5</f>
        <v>-1.84</v>
      </c>
      <c r="IA76" s="281">
        <f t="shared" si="92"/>
        <v>-11.310479999999998</v>
      </c>
    </row>
    <row r="77" spans="56:235" x14ac:dyDescent="0.25">
      <c r="BD77" s="281">
        <f>T8-L_fus/2</f>
        <v>-17.210479999999997</v>
      </c>
      <c r="BE77" s="281">
        <f>U8*0</f>
        <v>0</v>
      </c>
      <c r="BF77" s="281">
        <f>V8+U8*1</f>
        <v>0.76614276911339219</v>
      </c>
      <c r="BG77" s="281">
        <f t="shared" si="89"/>
        <v>-13.183992567410307</v>
      </c>
      <c r="BH77" s="281">
        <f t="shared" si="90"/>
        <v>5.3696531443834941</v>
      </c>
      <c r="BM77" s="281">
        <f>$AZ$14+0.2*(seat_pitch)*($AY$14*n_SA+$AW$5&lt;pax_e)</f>
        <v>13.952000000000002</v>
      </c>
      <c r="BN77" s="281">
        <f>$AX$5</f>
        <v>-1.84</v>
      </c>
      <c r="BO77" s="281">
        <f t="shared" si="91"/>
        <v>-3.8584799999999966</v>
      </c>
      <c r="CA77" s="281">
        <f>$BX$13+0*lav_len</f>
        <v>28.25</v>
      </c>
      <c r="CB77" s="281">
        <f>$BY$13+0*lav_w</f>
        <v>0.86499999999999999</v>
      </c>
      <c r="HY77" s="281">
        <f>$HX$14+0.2*(bus_pitch*(n_rows_b&gt;0))*($HW$14*n_SA_b+$HU$5&lt;pax_b)</f>
        <v>6.5</v>
      </c>
      <c r="HZ77" s="281">
        <f>$HV$5</f>
        <v>-1.84</v>
      </c>
      <c r="IA77" s="281">
        <f t="shared" si="92"/>
        <v>-11.310479999999998</v>
      </c>
    </row>
    <row r="78" spans="56:235" x14ac:dyDescent="0.25">
      <c r="BD78" s="281">
        <f>T7-L_fus/2</f>
        <v>-17.530479999999997</v>
      </c>
      <c r="BE78" s="281">
        <f>U7*0</f>
        <v>0</v>
      </c>
      <c r="BF78" s="281">
        <f>V7+U7*1</f>
        <v>0.35404096594815199</v>
      </c>
      <c r="BG78" s="281">
        <f t="shared" si="89"/>
        <v>-13.429126789208379</v>
      </c>
      <c r="BH78" s="281">
        <f t="shared" si="90"/>
        <v>5.0830912814507307</v>
      </c>
      <c r="BM78" s="281">
        <f>$AZ$14+0.2*(seat_pitch)*($AY$14*n_SA+$AW$5&lt;pax_e)</f>
        <v>13.952000000000002</v>
      </c>
      <c r="BN78" s="281">
        <f>$AX$5+seat_w*($AY$14*n_SA+$AW$5&lt;pax_e)</f>
        <v>-1.31</v>
      </c>
      <c r="BO78" s="281">
        <f t="shared" si="91"/>
        <v>-3.8584799999999966</v>
      </c>
      <c r="CA78" s="281">
        <f>$BX$13+1*lav_len</f>
        <v>29.25</v>
      </c>
      <c r="CB78" s="281">
        <f>$BY$13+0*lav_w</f>
        <v>0.86499999999999999</v>
      </c>
      <c r="HY78" s="281">
        <f>$HX$14+0.2*(bus_pitch*(n_rows_b&gt;0))*($HW$14*n_SA_b+$HU$5&lt;pax_b)</f>
        <v>6.5</v>
      </c>
      <c r="HZ78" s="281">
        <f>$HV$5+seat_w_b*($HW$14*n_SA_b+$HU$5&lt;pax_b)</f>
        <v>-1.84</v>
      </c>
      <c r="IA78" s="281">
        <f t="shared" si="92"/>
        <v>-11.310479999999998</v>
      </c>
    </row>
    <row r="79" spans="56:235" x14ac:dyDescent="0.25">
      <c r="BD79" s="281">
        <f>T6-L_fus/2</f>
        <v>-17.73048</v>
      </c>
      <c r="BE79" s="281">
        <f>U6*0</f>
        <v>0</v>
      </c>
      <c r="BF79" s="281">
        <f>V6+U6*1</f>
        <v>-8.2231705562410107E-2</v>
      </c>
      <c r="BG79" s="281">
        <f t="shared" si="89"/>
        <v>-13.582335677832177</v>
      </c>
      <c r="BH79" s="281">
        <f t="shared" si="90"/>
        <v>4.742024718444263</v>
      </c>
      <c r="BM79" s="281">
        <f>$AZ$14</f>
        <v>13.790000000000001</v>
      </c>
      <c r="BN79" s="281">
        <f>$AX$5+seat_w*($AY$14*n_SA+$AW$5&lt;pax_e)</f>
        <v>-1.31</v>
      </c>
      <c r="BO79" s="281">
        <f t="shared" si="91"/>
        <v>-4.0204799999999974</v>
      </c>
      <c r="CA79" s="281">
        <f>$BX$13+1*lav_len</f>
        <v>29.25</v>
      </c>
      <c r="CB79" s="281">
        <f>$BY$13+1*lav_w</f>
        <v>1.865</v>
      </c>
      <c r="HY79" s="281">
        <f>$HX$14</f>
        <v>6.5</v>
      </c>
      <c r="HZ79" s="281">
        <f>$HV$5+seat_w_b*($HW$14*n_SA_b+$HU$5&lt;pax_b)</f>
        <v>-1.84</v>
      </c>
      <c r="IA79" s="281">
        <f t="shared" si="92"/>
        <v>-11.310479999999998</v>
      </c>
    </row>
    <row r="80" spans="56:235" x14ac:dyDescent="0.25">
      <c r="BD80" s="281">
        <f>T5-L_fus/2</f>
        <v>-17.810479999999998</v>
      </c>
      <c r="BE80" s="281">
        <f>U5*0</f>
        <v>0</v>
      </c>
      <c r="BF80" s="281">
        <f>V5+U5*1</f>
        <v>-0.59727749999999991</v>
      </c>
      <c r="BG80" s="281">
        <f t="shared" si="89"/>
        <v>-13.643619233281694</v>
      </c>
      <c r="BH80" s="281">
        <f t="shared" si="90"/>
        <v>4.2969670068469323</v>
      </c>
      <c r="BM80" s="281">
        <f>$AZ$14+1*(seat_pitch)*($AY$14*n_SA+$AW$5&lt;pax_e)</f>
        <v>14.600000000000001</v>
      </c>
      <c r="BN80" s="281">
        <f>$AX$5+seat_w*($AY$14*n_SA+$AW$5&lt;pax_e)</f>
        <v>-1.31</v>
      </c>
      <c r="BO80" s="281">
        <f t="shared" si="91"/>
        <v>-3.2104799999999969</v>
      </c>
      <c r="CA80" s="281">
        <f>$BX$13+0*lav_len</f>
        <v>28.25</v>
      </c>
      <c r="CB80" s="281">
        <f>$BY$13+1*lav_w</f>
        <v>1.865</v>
      </c>
      <c r="HY80" s="281">
        <f>$HX$14+1*(bus_pitch*(n_rows_b&gt;0))*($HW$14*n_SA_b+$HU$5&lt;pax_b)</f>
        <v>6.5</v>
      </c>
      <c r="HZ80" s="281">
        <f>$HV$5+seat_w_b*($HW$14*n_SA_b+$HU$5&lt;pax_b)</f>
        <v>-1.84</v>
      </c>
      <c r="IA80" s="281">
        <f t="shared" si="92"/>
        <v>-11.310479999999998</v>
      </c>
    </row>
    <row r="81" spans="56:235" x14ac:dyDescent="0.25">
      <c r="BD81" s="281">
        <f t="shared" ref="BD81:BD99" si="93">T5-L_fus/2</f>
        <v>-17.810479999999998</v>
      </c>
      <c r="BE81" s="281">
        <f t="shared" ref="BE81:BE99" si="94">U5*-0.5</f>
        <v>0</v>
      </c>
      <c r="BF81" s="281">
        <f t="shared" ref="BF81:BF99" si="95">V5+U5*0.86603</f>
        <v>-0.59727749999999991</v>
      </c>
      <c r="BG81" s="281">
        <f t="shared" si="89"/>
        <v>-13.643619233281694</v>
      </c>
      <c r="BH81" s="281">
        <f t="shared" si="90"/>
        <v>4.2969670068469323</v>
      </c>
      <c r="BM81" s="281">
        <f>$AZ$14+0.8*(seat_pitch)*($AY$14*n_SA+$AW$5&lt;pax_e)</f>
        <v>14.438000000000001</v>
      </c>
      <c r="BN81" s="281">
        <f>$AX$5+seat_w*($AY$14*n_SA+$AW$5&lt;pax_e)</f>
        <v>-1.31</v>
      </c>
      <c r="BO81" s="281">
        <f t="shared" si="91"/>
        <v>-3.3724799999999977</v>
      </c>
      <c r="CA81" s="281">
        <f>$BX$13+0*lav_len</f>
        <v>28.25</v>
      </c>
      <c r="CB81" s="281">
        <f>$BY$13+0*lav_w</f>
        <v>0.86499999999999999</v>
      </c>
      <c r="HY81" s="281">
        <f>$HX$14+0.8*(bus_pitch*(n_rows_b&gt;0))*($HW$14*n_SA_b+$HU$5&lt;pax_b)</f>
        <v>6.5</v>
      </c>
      <c r="HZ81" s="281">
        <f>$HV$5+seat_w_b*($HW$14*n_SA_b+$HU$5&lt;pax_b)</f>
        <v>-1.84</v>
      </c>
      <c r="IA81" s="281">
        <f t="shared" si="92"/>
        <v>-11.310479999999998</v>
      </c>
    </row>
    <row r="82" spans="56:235" x14ac:dyDescent="0.25">
      <c r="BD82" s="281">
        <f t="shared" si="93"/>
        <v>-17.73048</v>
      </c>
      <c r="BE82" s="281">
        <f t="shared" si="94"/>
        <v>-0.19809453632214993</v>
      </c>
      <c r="BF82" s="281">
        <f t="shared" si="95"/>
        <v>-0.13530915562456697</v>
      </c>
      <c r="BG82" s="281">
        <f t="shared" si="89"/>
        <v>-13.709668391326655</v>
      </c>
      <c r="BH82" s="281">
        <f t="shared" si="90"/>
        <v>4.6297882210832553</v>
      </c>
      <c r="BM82" s="281">
        <f>$AZ$14+0.8*(seat_pitch)*($AY$14*n_SA+$AW$5&lt;pax_e)</f>
        <v>14.438000000000001</v>
      </c>
      <c r="BN82" s="281">
        <f>$AX$5</f>
        <v>-1.84</v>
      </c>
      <c r="BO82" s="281">
        <f t="shared" si="91"/>
        <v>-3.3724799999999977</v>
      </c>
      <c r="CA82" s="281">
        <f>$BX$13+1*lav_len</f>
        <v>29.25</v>
      </c>
      <c r="CB82" s="281">
        <f>$BY$13+1*lav_w</f>
        <v>1.865</v>
      </c>
      <c r="HY82" s="281">
        <f>$HX$14+0.8*(bus_pitch*(n_rows_b&gt;0))*($HW$14*n_SA_b+$HU$5&lt;pax_b)</f>
        <v>6.5</v>
      </c>
      <c r="HZ82" s="281">
        <f>$HV$5</f>
        <v>-1.84</v>
      </c>
      <c r="IA82" s="281">
        <f t="shared" si="92"/>
        <v>-11.310479999999998</v>
      </c>
    </row>
    <row r="83" spans="56:235" x14ac:dyDescent="0.25">
      <c r="BD83" s="281">
        <f t="shared" si="93"/>
        <v>-17.530479999999997</v>
      </c>
      <c r="BE83" s="281">
        <f t="shared" si="94"/>
        <v>-0.36589171767236611</v>
      </c>
      <c r="BF83" s="281">
        <f t="shared" si="95"/>
        <v>0.25600393911501823</v>
      </c>
      <c r="BG83" s="281">
        <f t="shared" si="89"/>
        <v>-13.664317451815101</v>
      </c>
      <c r="BH83" s="281">
        <f t="shared" si="90"/>
        <v>4.875784176634042</v>
      </c>
      <c r="BM83" s="281">
        <f>$AZ$14+0.2*(seat_pitch)*($AY$14*n_SA+$AW$5&lt;pax_e)</f>
        <v>13.952000000000002</v>
      </c>
      <c r="BN83" s="281">
        <f>$AX$5</f>
        <v>-1.84</v>
      </c>
      <c r="BO83" s="281">
        <f t="shared" si="91"/>
        <v>-3.8584799999999966</v>
      </c>
      <c r="CA83" s="281">
        <f>$BX$13+1*lav_len</f>
        <v>29.25</v>
      </c>
      <c r="CB83" s="281">
        <f>$BY$13+0*lav_w</f>
        <v>0.86499999999999999</v>
      </c>
      <c r="HY83" s="281">
        <f>$HX$14+0.2*(bus_pitch*(n_rows_b&gt;0))*($HW$14*n_SA_b+$HU$5&lt;pax_b)</f>
        <v>6.5</v>
      </c>
      <c r="HZ83" s="281">
        <f>$HV$5</f>
        <v>-1.84</v>
      </c>
      <c r="IA83" s="281">
        <f t="shared" si="92"/>
        <v>-11.310479999999998</v>
      </c>
    </row>
    <row r="84" spans="56:235" x14ac:dyDescent="0.25">
      <c r="BD84" s="281">
        <f t="shared" si="93"/>
        <v>-17.210479999999997</v>
      </c>
      <c r="BE84" s="281">
        <f t="shared" si="94"/>
        <v>-0.5243924111974585</v>
      </c>
      <c r="BF84" s="281">
        <f t="shared" si="95"/>
        <v>0.62563706645714512</v>
      </c>
      <c r="BG84" s="281">
        <f t="shared" si="89"/>
        <v>-13.521065511941682</v>
      </c>
      <c r="BH84" s="281">
        <f t="shared" si="90"/>
        <v>5.0725426406400569</v>
      </c>
      <c r="BM84" s="281">
        <f>$AZ$14+(seat_pitch)</f>
        <v>14.600000000000001</v>
      </c>
      <c r="BN84" s="281">
        <f>$AX$5</f>
        <v>-1.84</v>
      </c>
      <c r="BO84" s="281">
        <f t="shared" si="91"/>
        <v>-3.2104799999999969</v>
      </c>
      <c r="CA84" s="281">
        <f>$BX$13+0*lav_len</f>
        <v>28.25</v>
      </c>
      <c r="CB84" s="281">
        <f>$BY$13+1*lav_w</f>
        <v>1.865</v>
      </c>
      <c r="HY84" s="281">
        <f>$HX$14+(bus_pitch*(n_rows_b&gt;0))</f>
        <v>6.5</v>
      </c>
      <c r="HZ84" s="281">
        <f>$HV$5</f>
        <v>-1.84</v>
      </c>
      <c r="IA84" s="281">
        <f t="shared" si="92"/>
        <v>-11.310479999999998</v>
      </c>
    </row>
    <row r="85" spans="56:235" x14ac:dyDescent="0.25">
      <c r="BD85" s="281">
        <f t="shared" si="93"/>
        <v>-16.610479999999999</v>
      </c>
      <c r="BE85" s="281">
        <f t="shared" si="94"/>
        <v>-0.71090241970483359</v>
      </c>
      <c r="BF85" s="281">
        <f t="shared" si="95"/>
        <v>1.0605895968968542</v>
      </c>
      <c r="BG85" s="281">
        <f t="shared" si="89"/>
        <v>-13.181325168621367</v>
      </c>
      <c r="BH85" s="281">
        <f t="shared" si="90"/>
        <v>5.2433696712210693</v>
      </c>
      <c r="BM85" s="281">
        <f>$AZ$15+0.2*(seat_pitch)*($AY$15*n_SA+$AW$5&lt;pax_e)</f>
        <v>14.762000000000002</v>
      </c>
      <c r="BN85" s="281">
        <f>$AX$5</f>
        <v>-1.84</v>
      </c>
      <c r="BO85" s="281">
        <f t="shared" si="91"/>
        <v>-3.0484799999999961</v>
      </c>
      <c r="HY85" s="281">
        <f>$HX$15+0.2*(bus_pitch*(n_rows_b&gt;0))*($HW$15*n_SA_b+$HU$5&lt;pax_b)</f>
        <v>6.5</v>
      </c>
      <c r="HZ85" s="281">
        <f>$HV$5</f>
        <v>-1.84</v>
      </c>
      <c r="IA85" s="281">
        <f t="shared" si="92"/>
        <v>-11.310479999999998</v>
      </c>
    </row>
    <row r="86" spans="56:235" x14ac:dyDescent="0.25">
      <c r="BD86" s="281">
        <f t="shared" si="93"/>
        <v>-16.010479999999998</v>
      </c>
      <c r="BE86" s="281">
        <f t="shared" si="94"/>
        <v>-0.83137509480505201</v>
      </c>
      <c r="BF86" s="281">
        <f t="shared" si="95"/>
        <v>1.3415391035910698</v>
      </c>
      <c r="BG86" s="281">
        <f t="shared" si="89"/>
        <v>-12.799136845610194</v>
      </c>
      <c r="BH86" s="281">
        <f t="shared" si="90"/>
        <v>5.2960017771185912</v>
      </c>
      <c r="BM86" s="281">
        <f>$AZ$15+0.2*(seat_pitch)*($AY$15*n_SA+$AW$5&lt;pax_e)</f>
        <v>14.762000000000002</v>
      </c>
      <c r="BN86" s="281">
        <f>$AX$5+seat_w*($AY$15*n_SA+$AW$5&lt;pax_e)</f>
        <v>-1.31</v>
      </c>
      <c r="BO86" s="281">
        <f t="shared" si="91"/>
        <v>-3.0484799999999961</v>
      </c>
      <c r="CA86" s="281">
        <f>$BX$14+0*lav_len</f>
        <v>28.25</v>
      </c>
      <c r="CB86" s="281">
        <f>$BY$14+0*lav_w</f>
        <v>0.86499999999999999</v>
      </c>
      <c r="HY86" s="281">
        <f>$HX$15+0.2*(bus_pitch*(n_rows_b&gt;0))*($HW$15*n_SA_b+$HU$5&lt;pax_b)</f>
        <v>6.5</v>
      </c>
      <c r="HZ86" s="281">
        <f>$HV$5+seat_w_b*($HW$15*n_SA_b+$HU$5&lt;pax_b)</f>
        <v>-1.84</v>
      </c>
      <c r="IA86" s="281">
        <f t="shared" si="92"/>
        <v>-11.310479999999998</v>
      </c>
    </row>
    <row r="87" spans="56:235" x14ac:dyDescent="0.25">
      <c r="BD87" s="281">
        <f t="shared" si="93"/>
        <v>-15.410479999999998</v>
      </c>
      <c r="BE87" s="281">
        <f t="shared" si="94"/>
        <v>-0.9123564515479955</v>
      </c>
      <c r="BF87" s="281">
        <f t="shared" si="95"/>
        <v>1.5303924863970184</v>
      </c>
      <c r="BG87" s="281">
        <f t="shared" si="89"/>
        <v>-12.391563992468777</v>
      </c>
      <c r="BH87" s="281">
        <f t="shared" si="90"/>
        <v>5.2779515408005224</v>
      </c>
      <c r="BM87" s="281">
        <f>$AZ$15</f>
        <v>14.600000000000001</v>
      </c>
      <c r="BN87" s="281">
        <f>$AX$5+seat_w*($AY$15*n_SA+$AW$5&lt;pax_e)</f>
        <v>-1.31</v>
      </c>
      <c r="BO87" s="281">
        <f t="shared" si="91"/>
        <v>-3.2104799999999969</v>
      </c>
      <c r="CA87" s="281">
        <f>$BX$14+1*lav_len</f>
        <v>29.25</v>
      </c>
      <c r="CB87" s="281">
        <f>$BY$14+0*lav_w</f>
        <v>0.86499999999999999</v>
      </c>
      <c r="HY87" s="281">
        <f>$HX$15</f>
        <v>6.5</v>
      </c>
      <c r="HZ87" s="281">
        <f>$HV$5+seat_w_b*($HW$15*n_SA_b+$HU$5&lt;pax_b)</f>
        <v>-1.84</v>
      </c>
      <c r="IA87" s="281">
        <f t="shared" si="92"/>
        <v>-11.310479999999998</v>
      </c>
    </row>
    <row r="88" spans="56:235" x14ac:dyDescent="0.25">
      <c r="BD88" s="281">
        <f t="shared" si="93"/>
        <v>-14.610479999999999</v>
      </c>
      <c r="BE88" s="281">
        <f t="shared" si="94"/>
        <v>-0.97535007323011969</v>
      </c>
      <c r="BF88" s="281">
        <f t="shared" si="95"/>
        <v>1.6772973917770331</v>
      </c>
      <c r="BG88" s="281">
        <f t="shared" si="89"/>
        <v>-11.819219957480144</v>
      </c>
      <c r="BH88" s="281">
        <f t="shared" si="90"/>
        <v>5.1733757442545469</v>
      </c>
      <c r="BM88" s="281">
        <f>$AZ$15+1*(seat_pitch)*($AY$15*n_SA+$AW$5&lt;pax_e)</f>
        <v>15.410000000000002</v>
      </c>
      <c r="BN88" s="281">
        <f>$AX$5+seat_w*($AY$15*n_SA+$AW$5&lt;pax_e)</f>
        <v>-1.31</v>
      </c>
      <c r="BO88" s="281">
        <f t="shared" si="91"/>
        <v>-2.4004799999999964</v>
      </c>
      <c r="CA88" s="281">
        <f>$BX$14+1*lav_len</f>
        <v>29.25</v>
      </c>
      <c r="CB88" s="281">
        <f>$BY$14+1*lav_w</f>
        <v>1.865</v>
      </c>
      <c r="HY88" s="281">
        <f>$HX$15+1*(bus_pitch*(n_rows_b&gt;0))*($HW$15*n_SA_b+$HU$5&lt;pax_b)</f>
        <v>6.5</v>
      </c>
      <c r="HZ88" s="281">
        <f>$HV$5+seat_w_b*($HW$15*n_SA_b+$HU$5&lt;pax_b)</f>
        <v>-1.84</v>
      </c>
      <c r="IA88" s="281">
        <f t="shared" si="92"/>
        <v>-11.310479999999998</v>
      </c>
    </row>
    <row r="89" spans="56:235" x14ac:dyDescent="0.25">
      <c r="BD89" s="281">
        <f t="shared" si="93"/>
        <v>-13.810479999999998</v>
      </c>
      <c r="BE89" s="281">
        <f t="shared" si="94"/>
        <v>-0.99546249999999992</v>
      </c>
      <c r="BF89" s="281">
        <f t="shared" si="95"/>
        <v>1.7242007777499997</v>
      </c>
      <c r="BG89" s="281">
        <f t="shared" si="89"/>
        <v>-11.219312421713369</v>
      </c>
      <c r="BH89" s="281">
        <f t="shared" si="90"/>
        <v>4.9920503374276493</v>
      </c>
      <c r="BM89" s="281">
        <f>$AZ$15+0.8*(seat_pitch)*($AY$15*n_SA+$AW$5&lt;pax_e)</f>
        <v>15.248000000000001</v>
      </c>
      <c r="BN89" s="281">
        <f>$AX$5+seat_w*($AY$15*n_SA+$AW$5&lt;pax_e)</f>
        <v>-1.31</v>
      </c>
      <c r="BO89" s="281">
        <f t="shared" si="91"/>
        <v>-2.5624799999999972</v>
      </c>
      <c r="CA89" s="281">
        <f>$BX$14+0*lav_len</f>
        <v>28.25</v>
      </c>
      <c r="CB89" s="281">
        <f>$BY$14+1*lav_w</f>
        <v>1.865</v>
      </c>
      <c r="HY89" s="281">
        <f>$HX$15+0.8*(bus_pitch*(n_rows_b&gt;0))*($HW$15*n_SA_b+$HU$5&lt;pax_b)</f>
        <v>6.5</v>
      </c>
      <c r="HZ89" s="281">
        <f>$HV$5+seat_w_b*($HW$15*n_SA_b+$HU$5&lt;pax_b)</f>
        <v>-1.84</v>
      </c>
      <c r="IA89" s="281">
        <f t="shared" si="92"/>
        <v>-11.310479999999998</v>
      </c>
    </row>
    <row r="90" spans="56:235" x14ac:dyDescent="0.25">
      <c r="BD90" s="281">
        <f t="shared" si="93"/>
        <v>-5.3938133333333411</v>
      </c>
      <c r="BE90" s="281">
        <f t="shared" si="94"/>
        <v>-0.99546249999999992</v>
      </c>
      <c r="BF90" s="281">
        <f t="shared" si="95"/>
        <v>1.7242007777499997</v>
      </c>
      <c r="BG90" s="281">
        <f t="shared" si="89"/>
        <v>-4.7717716921286444</v>
      </c>
      <c r="BH90" s="281">
        <f t="shared" si="90"/>
        <v>2.7056310032865998</v>
      </c>
      <c r="BM90" s="281">
        <f>$AZ$15+0.8*(seat_pitch)*($AY$15*n_SA+$AW$5&lt;pax_e)</f>
        <v>15.248000000000001</v>
      </c>
      <c r="BN90" s="281">
        <f>$AX$5</f>
        <v>-1.84</v>
      </c>
      <c r="BO90" s="281">
        <f t="shared" si="91"/>
        <v>-2.5624799999999972</v>
      </c>
      <c r="CA90" s="281">
        <f>$BX$14+0*lav_len</f>
        <v>28.25</v>
      </c>
      <c r="CB90" s="281">
        <f>$BY$14+0*lav_w</f>
        <v>0.86499999999999999</v>
      </c>
      <c r="HY90" s="281">
        <f>$HX$15+0.8*(bus_pitch*(n_rows_b&gt;0))*($HW$15*n_SA_b+$HU$5&lt;pax_b)</f>
        <v>6.5</v>
      </c>
      <c r="HZ90" s="281">
        <f>$HV$5</f>
        <v>-1.84</v>
      </c>
      <c r="IA90" s="281">
        <f t="shared" si="92"/>
        <v>-11.310479999999998</v>
      </c>
    </row>
    <row r="91" spans="56:235" x14ac:dyDescent="0.25">
      <c r="BD91" s="281">
        <f t="shared" si="93"/>
        <v>3.0228533333333161</v>
      </c>
      <c r="BE91" s="281">
        <f t="shared" si="94"/>
        <v>-0.99546249999999992</v>
      </c>
      <c r="BF91" s="281">
        <f t="shared" si="95"/>
        <v>1.7242007777499997</v>
      </c>
      <c r="BG91" s="281">
        <f t="shared" si="89"/>
        <v>1.6757690374560799</v>
      </c>
      <c r="BH91" s="281">
        <f t="shared" si="90"/>
        <v>0.4192116691455503</v>
      </c>
      <c r="BM91" s="281">
        <f>$AZ$15+0.2*(seat_pitch)*($AY$15*n_SA+$AW$5&lt;pax_e)</f>
        <v>14.762000000000002</v>
      </c>
      <c r="BN91" s="281">
        <f>$AX$5</f>
        <v>-1.84</v>
      </c>
      <c r="BO91" s="281">
        <f t="shared" si="91"/>
        <v>-3.0484799999999961</v>
      </c>
      <c r="CA91" s="281">
        <f>$BX$14+1*lav_len</f>
        <v>29.25</v>
      </c>
      <c r="CB91" s="281">
        <f>$BY$14+1*lav_w</f>
        <v>1.865</v>
      </c>
      <c r="HY91" s="281">
        <f>$HX$15+0.2*(bus_pitch*(n_rows_b&gt;0))*($HW$15*n_SA_b+$HU$5&lt;pax_b)</f>
        <v>6.5</v>
      </c>
      <c r="HZ91" s="281">
        <f>$HV$5</f>
        <v>-1.84</v>
      </c>
      <c r="IA91" s="281">
        <f t="shared" si="92"/>
        <v>-11.310479999999998</v>
      </c>
    </row>
    <row r="92" spans="56:235" x14ac:dyDescent="0.25">
      <c r="BD92" s="281">
        <f t="shared" si="93"/>
        <v>11.439519999999998</v>
      </c>
      <c r="BE92" s="281">
        <f t="shared" si="94"/>
        <v>-0.99546249999999992</v>
      </c>
      <c r="BF92" s="281">
        <f t="shared" si="95"/>
        <v>1.7242007777499997</v>
      </c>
      <c r="BG92" s="281">
        <f t="shared" si="89"/>
        <v>8.1233097670408227</v>
      </c>
      <c r="BH92" s="281">
        <f t="shared" si="90"/>
        <v>-1.8672076649955058</v>
      </c>
      <c r="BM92" s="281">
        <f>$AZ$15+(seat_pitch)</f>
        <v>15.410000000000002</v>
      </c>
      <c r="BN92" s="281">
        <f>$AX$5</f>
        <v>-1.84</v>
      </c>
      <c r="BO92" s="281">
        <f t="shared" si="91"/>
        <v>-2.4004799999999964</v>
      </c>
      <c r="CA92" s="281">
        <f>$BX$14+1*lav_len</f>
        <v>29.25</v>
      </c>
      <c r="CB92" s="281">
        <f>$BY$14+0*lav_w</f>
        <v>0.86499999999999999</v>
      </c>
      <c r="HY92" s="281">
        <f>$HX$15+(bus_pitch*(n_rows_b&gt;0))</f>
        <v>6.5</v>
      </c>
      <c r="HZ92" s="281">
        <f>$HV$5</f>
        <v>-1.84</v>
      </c>
      <c r="IA92" s="281">
        <f t="shared" si="92"/>
        <v>-11.310479999999998</v>
      </c>
    </row>
    <row r="93" spans="56:235" x14ac:dyDescent="0.25">
      <c r="BD93" s="281">
        <f t="shared" si="93"/>
        <v>12.395163999999998</v>
      </c>
      <c r="BE93" s="281">
        <f t="shared" si="94"/>
        <v>-0.92108763108176062</v>
      </c>
      <c r="BF93" s="281">
        <f t="shared" si="95"/>
        <v>1.7069413456688332</v>
      </c>
      <c r="BG93" s="281">
        <f t="shared" si="89"/>
        <v>8.9031827870535203</v>
      </c>
      <c r="BH93" s="281">
        <f t="shared" si="90"/>
        <v>-2.1183758846444349</v>
      </c>
      <c r="BM93" s="281">
        <f>$AZ$16+0.2*(seat_pitch)*($AY$16*n_SA+$AW$5&lt;pax_e)</f>
        <v>15.572000000000001</v>
      </c>
      <c r="BN93" s="281">
        <f>$AX$5</f>
        <v>-1.84</v>
      </c>
      <c r="BO93" s="281">
        <f t="shared" si="91"/>
        <v>-2.2384799999999974</v>
      </c>
      <c r="CA93" s="281">
        <f>$BX$14+0*lav_len</f>
        <v>28.25</v>
      </c>
      <c r="CB93" s="281">
        <f>$BY$14+1*lav_w</f>
        <v>1.865</v>
      </c>
      <c r="HY93" s="281">
        <f>$HX$16+0.2*(bus_pitch*(n_rows_b&gt;0))*($HW$16*n_SA_b+$HU$5&lt;pax_b)</f>
        <v>6.5</v>
      </c>
      <c r="HZ93" s="281">
        <f>$HV$5</f>
        <v>-1.84</v>
      </c>
      <c r="IA93" s="281">
        <f t="shared" si="92"/>
        <v>-11.310479999999998</v>
      </c>
    </row>
    <row r="94" spans="56:235" x14ac:dyDescent="0.25">
      <c r="BD94" s="281">
        <f t="shared" si="93"/>
        <v>13.350807999999997</v>
      </c>
      <c r="BE94" s="281">
        <f t="shared" si="94"/>
        <v>-0.81233009127609856</v>
      </c>
      <c r="BF94" s="281">
        <f t="shared" si="95"/>
        <v>1.6817030709815313</v>
      </c>
      <c r="BG94" s="281">
        <f t="shared" si="89"/>
        <v>9.7051565619005835</v>
      </c>
      <c r="BH94" s="281">
        <f t="shared" si="90"/>
        <v>-2.3656441953202272</v>
      </c>
      <c r="BM94" s="281">
        <f>$AZ$16+0.2*(seat_pitch)*($AY$16*n_SA+$AW$5&lt;pax_e)</f>
        <v>15.572000000000001</v>
      </c>
      <c r="BN94" s="281">
        <f>$AX$5+seat_w*($AY$16*n_SA+$AW$5&lt;pax_e)</f>
        <v>-1.31</v>
      </c>
      <c r="BO94" s="281">
        <f t="shared" si="91"/>
        <v>-2.2384799999999974</v>
      </c>
      <c r="HY94" s="281">
        <f>$HX$16+0.2*(bus_pitch*(n_rows_b&gt;0))*($HW$16*n_SA_b+$HU$5&lt;pax_b)</f>
        <v>6.5</v>
      </c>
      <c r="HZ94" s="281">
        <f>$HV$5+seat_w_b*($HW$16*n_SA_b+$HU$5&lt;pax_b)</f>
        <v>-1.84</v>
      </c>
      <c r="IA94" s="281">
        <f t="shared" si="92"/>
        <v>-11.310479999999998</v>
      </c>
    </row>
    <row r="95" spans="56:235" x14ac:dyDescent="0.25">
      <c r="BD95" s="281">
        <f t="shared" si="93"/>
        <v>14.306452</v>
      </c>
      <c r="BE95" s="281">
        <f t="shared" si="94"/>
        <v>-0.68523246313724451</v>
      </c>
      <c r="BF95" s="281">
        <f t="shared" si="95"/>
        <v>1.6522087953956288</v>
      </c>
      <c r="BG95" s="281">
        <f t="shared" si="89"/>
        <v>10.518919118288782</v>
      </c>
      <c r="BH95" s="281">
        <f t="shared" si="90"/>
        <v>-2.6108322523911482</v>
      </c>
      <c r="BM95" s="281">
        <f>$AZ$16</f>
        <v>15.41</v>
      </c>
      <c r="BN95" s="281">
        <f>$AX$5+seat_w*($AY$16*n_SA+$AW$5&lt;pax_e)</f>
        <v>-1.31</v>
      </c>
      <c r="BO95" s="281">
        <f t="shared" si="91"/>
        <v>-2.4004799999999982</v>
      </c>
      <c r="CA95" s="281">
        <f>$BX$15+0*lav_len</f>
        <v>28.25</v>
      </c>
      <c r="CB95" s="281">
        <f>$BY$15+0*lav_w</f>
        <v>0.86499999999999999</v>
      </c>
      <c r="HY95" s="281">
        <f>$HX$16</f>
        <v>6.5</v>
      </c>
      <c r="HZ95" s="281">
        <f>$HV$5+seat_w_b*($HW$16*n_SA_b+$HU$5&lt;pax_b)</f>
        <v>-1.84</v>
      </c>
      <c r="IA95" s="281">
        <f t="shared" si="92"/>
        <v>-11.310479999999998</v>
      </c>
    </row>
    <row r="96" spans="56:235" x14ac:dyDescent="0.25">
      <c r="BD96" s="281">
        <f t="shared" si="93"/>
        <v>15.262096</v>
      </c>
      <c r="BE96" s="281">
        <f t="shared" si="94"/>
        <v>-0.54453761619434182</v>
      </c>
      <c r="BF96" s="281">
        <f t="shared" si="95"/>
        <v>1.6195591492140589</v>
      </c>
      <c r="BG96" s="281">
        <f t="shared" si="89"/>
        <v>11.341421798450414</v>
      </c>
      <c r="BH96" s="281">
        <f t="shared" si="90"/>
        <v>-2.8544780233552887</v>
      </c>
      <c r="BM96" s="281">
        <f>$AZ$16+1*(seat_pitch)*($AY$16*n_SA+$AW$5&lt;pax_e)</f>
        <v>16.22</v>
      </c>
      <c r="BN96" s="281">
        <f>$AX$5+seat_w*($AY$16*n_SA+$AW$5&lt;pax_e)</f>
        <v>-1.31</v>
      </c>
      <c r="BO96" s="281">
        <f t="shared" si="91"/>
        <v>-1.5904799999999994</v>
      </c>
      <c r="CA96" s="281">
        <f>$BX$15+1*lav_len</f>
        <v>29.25</v>
      </c>
      <c r="CB96" s="281">
        <f>$BY$15+0*lav_w</f>
        <v>0.86499999999999999</v>
      </c>
      <c r="HY96" s="281">
        <f>$HX$16+1*(bus_pitch*(n_rows_b&gt;0))*($HW$16*n_SA_b+$HU$5&lt;pax_b)</f>
        <v>6.5</v>
      </c>
      <c r="HZ96" s="281">
        <f>$HV$5+seat_w_b*($HW$16*n_SA_b+$HU$5&lt;pax_b)</f>
        <v>-1.84</v>
      </c>
      <c r="IA96" s="281">
        <f t="shared" si="92"/>
        <v>-11.310479999999998</v>
      </c>
    </row>
    <row r="97" spans="56:235" x14ac:dyDescent="0.25">
      <c r="BD97" s="281">
        <f t="shared" si="93"/>
        <v>16.217739999999999</v>
      </c>
      <c r="BE97" s="281">
        <f t="shared" si="94"/>
        <v>-0.39278189029748012</v>
      </c>
      <c r="BF97" s="281">
        <f t="shared" si="95"/>
        <v>1.584342715462433</v>
      </c>
      <c r="BG97" s="281">
        <f t="shared" si="89"/>
        <v>12.171034274555895</v>
      </c>
      <c r="BH97" s="281">
        <f t="shared" si="90"/>
        <v>-3.0968691965825492</v>
      </c>
      <c r="BM97" s="281">
        <f>$AZ$16+0.8*(seat_pitch)*($AY$16*n_SA+$AW$5&lt;pax_e)</f>
        <v>16.058</v>
      </c>
      <c r="BN97" s="281">
        <f>$AX$5+seat_w*($AY$16*n_SA+$AW$5&lt;pax_e)</f>
        <v>-1.31</v>
      </c>
      <c r="BO97" s="281">
        <f t="shared" si="91"/>
        <v>-1.7524799999999985</v>
      </c>
      <c r="CA97" s="281">
        <f>$BX$15+1*lav_len</f>
        <v>29.25</v>
      </c>
      <c r="CB97" s="281">
        <f>$BY$15+1*lav_w</f>
        <v>1.865</v>
      </c>
      <c r="HY97" s="281">
        <f>$HX$16+0.8*(bus_pitch*(n_rows_b&gt;0))*($HW$16*n_SA_b+$HU$5&lt;pax_b)</f>
        <v>6.5</v>
      </c>
      <c r="HZ97" s="281">
        <f>$HV$5+seat_w_b*($HW$16*n_SA_b+$HU$5&lt;pax_b)</f>
        <v>-1.84</v>
      </c>
      <c r="IA97" s="281">
        <f t="shared" si="92"/>
        <v>-11.310479999999998</v>
      </c>
    </row>
    <row r="98" spans="56:235" x14ac:dyDescent="0.25">
      <c r="BD98" s="281">
        <f t="shared" si="93"/>
        <v>17.173383999999999</v>
      </c>
      <c r="BE98" s="281">
        <f t="shared" si="94"/>
        <v>-0.23158654652926203</v>
      </c>
      <c r="BF98" s="281">
        <f t="shared" si="95"/>
        <v>1.5469357239875803</v>
      </c>
      <c r="BG98" s="281">
        <f t="shared" si="89"/>
        <v>13.00671442006926</v>
      </c>
      <c r="BH98" s="281">
        <f t="shared" si="90"/>
        <v>-3.3381896661823904</v>
      </c>
      <c r="BM98" s="281">
        <f>$AZ$16+0.8*(seat_pitch)*($AY$16*n_SA+$AW$5&lt;pax_e)</f>
        <v>16.058</v>
      </c>
      <c r="BN98" s="281">
        <f>$AX$5</f>
        <v>-1.84</v>
      </c>
      <c r="BO98" s="281">
        <f t="shared" si="91"/>
        <v>-1.7524799999999985</v>
      </c>
      <c r="CA98" s="281">
        <f>$BX$15+0*lav_len</f>
        <v>28.25</v>
      </c>
      <c r="CB98" s="281">
        <f>$BY$15+1*lav_w</f>
        <v>1.865</v>
      </c>
      <c r="HY98" s="281">
        <f>$HX$16+0.8*(bus_pitch*(n_rows_b&gt;0))*($HW$16*n_SA_b+$HU$5&lt;pax_b)</f>
        <v>6.5</v>
      </c>
      <c r="HZ98" s="281">
        <f>$HV$5</f>
        <v>-1.84</v>
      </c>
      <c r="IA98" s="281">
        <f t="shared" si="92"/>
        <v>-11.310479999999998</v>
      </c>
    </row>
    <row r="99" spans="56:235" x14ac:dyDescent="0.25">
      <c r="BD99" s="281">
        <f t="shared" si="93"/>
        <v>17.810479999999998</v>
      </c>
      <c r="BE99" s="281">
        <f t="shared" si="94"/>
        <v>-0.11945549999999999</v>
      </c>
      <c r="BF99" s="281">
        <f t="shared" si="95"/>
        <v>1.5209145933299999</v>
      </c>
      <c r="BG99" s="281">
        <f t="shared" si="89"/>
        <v>13.566834717972784</v>
      </c>
      <c r="BH99" s="281">
        <f t="shared" si="90"/>
        <v>-3.4985405624721126</v>
      </c>
      <c r="BM99" s="281">
        <f>$AZ$16+0.2*(seat_pitch)*($AY$16*n_SA+$AW$5&lt;pax_e)</f>
        <v>15.572000000000001</v>
      </c>
      <c r="BN99" s="281">
        <f>$AX$5</f>
        <v>-1.84</v>
      </c>
      <c r="BO99" s="281">
        <f t="shared" si="91"/>
        <v>-2.2384799999999974</v>
      </c>
      <c r="CA99" s="281">
        <f>$BX$15+0*lav_len</f>
        <v>28.25</v>
      </c>
      <c r="CB99" s="281">
        <f>$BY$15+0*lav_w</f>
        <v>0.86499999999999999</v>
      </c>
      <c r="HY99" s="281">
        <f>$HX$16+0.2*(bus_pitch*(n_rows_b&gt;0))*($HW$16*n_SA_b+$HU$5&lt;pax_b)</f>
        <v>6.5</v>
      </c>
      <c r="HZ99" s="281">
        <f>$HV$5</f>
        <v>-1.84</v>
      </c>
      <c r="IA99" s="281">
        <f t="shared" si="92"/>
        <v>-11.310479999999998</v>
      </c>
    </row>
    <row r="100" spans="56:235" x14ac:dyDescent="0.25">
      <c r="BD100" s="281">
        <f>T23-L_fus/2</f>
        <v>17.810479999999998</v>
      </c>
      <c r="BE100" s="281">
        <f>U23*-0.86603</f>
        <v>-0.20690409332999998</v>
      </c>
      <c r="BF100" s="281">
        <f>V23+U23*0.5</f>
        <v>1.4334659999999999</v>
      </c>
      <c r="BG100" s="281">
        <f t="shared" si="89"/>
        <v>13.510623845695742</v>
      </c>
      <c r="BH100" s="281">
        <f t="shared" si="90"/>
        <v>-3.6061068934120684</v>
      </c>
      <c r="BM100" s="281">
        <f>$AZ$16+(seat_pitch)</f>
        <v>16.22</v>
      </c>
      <c r="BN100" s="281">
        <f>$AX$5</f>
        <v>-1.84</v>
      </c>
      <c r="BO100" s="281">
        <f t="shared" si="91"/>
        <v>-1.5904799999999994</v>
      </c>
      <c r="CA100" s="281">
        <f>$BX$15+1*lav_len</f>
        <v>29.25</v>
      </c>
      <c r="CB100" s="281">
        <f>$BY$15+1*lav_w</f>
        <v>1.865</v>
      </c>
      <c r="HY100" s="281">
        <f>$HX$16+(bus_pitch*(n_rows_b&gt;0))</f>
        <v>6.5</v>
      </c>
      <c r="HZ100" s="281">
        <f>$HV$5</f>
        <v>-1.84</v>
      </c>
      <c r="IA100" s="281">
        <f t="shared" si="92"/>
        <v>-11.310479999999998</v>
      </c>
    </row>
    <row r="101" spans="56:235" x14ac:dyDescent="0.25">
      <c r="BD101" s="281">
        <f>T22-L_fus/2</f>
        <v>17.173383999999999</v>
      </c>
      <c r="BE101" s="281">
        <f>U22*-0.86603</f>
        <v>-0.40112179378147356</v>
      </c>
      <c r="BF101" s="281">
        <f>V22+U22*0.5</f>
        <v>1.3774004767353687</v>
      </c>
      <c r="BG101" s="281">
        <f t="shared" si="89"/>
        <v>12.897739263730395</v>
      </c>
      <c r="BH101" s="281">
        <f t="shared" si="90"/>
        <v>-3.5467268629226676</v>
      </c>
      <c r="BM101" s="281">
        <f>$AZ$17+0.2*(seat_pitch)*($AY$17*n_SA+$AW$5&lt;pax_e)</f>
        <v>16.381999999999998</v>
      </c>
      <c r="BN101" s="281">
        <f>$AX$5</f>
        <v>-1.84</v>
      </c>
      <c r="BO101" s="281">
        <f t="shared" si="91"/>
        <v>-1.4284800000000004</v>
      </c>
      <c r="CA101" s="281">
        <f>$BX$15+1*lav_len</f>
        <v>29.25</v>
      </c>
      <c r="CB101" s="281">
        <f>$BY$15+0*lav_w</f>
        <v>0.86499999999999999</v>
      </c>
      <c r="HY101" s="281">
        <f>$HX$17+0.2*(bus_pitch*(n_rows_b&gt;0))*($HW$17*n_SA_b+$HU$5&lt;pax_b)</f>
        <v>6.5</v>
      </c>
      <c r="HZ101" s="281">
        <f>$HV$5</f>
        <v>-1.84</v>
      </c>
      <c r="IA101" s="281">
        <f t="shared" si="92"/>
        <v>-11.310479999999998</v>
      </c>
    </row>
    <row r="102" spans="56:235" x14ac:dyDescent="0.25">
      <c r="BD102" s="281">
        <f>T21-L_fus/2</f>
        <v>16.217739999999999</v>
      </c>
      <c r="BE102" s="281">
        <f>U21*-0.86603</f>
        <v>-0.68032180090865335</v>
      </c>
      <c r="BF102" s="281">
        <f>V21+U21*0.5</f>
        <v>1.2968028048512599</v>
      </c>
      <c r="BG102" s="281">
        <f t="shared" si="89"/>
        <v>11.986207182724659</v>
      </c>
      <c r="BH102" s="281">
        <f t="shared" si="90"/>
        <v>-3.4505582841420175</v>
      </c>
      <c r="BM102" s="281">
        <f>$AZ$17+0.2*(seat_pitch)*($AY$17*n_SA+$AW$5&lt;pax_e)</f>
        <v>16.381999999999998</v>
      </c>
      <c r="BN102" s="281">
        <f>$AX$5+seat_w*($AY$17*n_SA+$AW$5&lt;pax_e)</f>
        <v>-1.31</v>
      </c>
      <c r="BO102" s="281">
        <f t="shared" si="91"/>
        <v>-1.4284800000000004</v>
      </c>
      <c r="CA102" s="281">
        <f>$BX$15+0*lav_len</f>
        <v>28.25</v>
      </c>
      <c r="CB102" s="281">
        <f>$BY$15+1*lav_w</f>
        <v>1.865</v>
      </c>
      <c r="HY102" s="281">
        <f>$HX$17+0.2*(bus_pitch*(n_rows_b&gt;0))*($HW$17*n_SA_b+$HU$5&lt;pax_b)</f>
        <v>6.5</v>
      </c>
      <c r="HZ102" s="281">
        <f>$HV$5+seat_w_b*($HW$17*n_SA_b+$HU$5&lt;pax_b)</f>
        <v>-1.84</v>
      </c>
      <c r="IA102" s="281">
        <f t="shared" si="92"/>
        <v>-11.310479999999998</v>
      </c>
    </row>
    <row r="103" spans="56:235" x14ac:dyDescent="0.25">
      <c r="BD103" s="281">
        <f>T20-L_fus/2</f>
        <v>15.262096</v>
      </c>
      <c r="BE103" s="281">
        <f>U20*-0.86603</f>
        <v>-0.94317182350557172</v>
      </c>
      <c r="BF103" s="281">
        <f>V20+U20*0.5</f>
        <v>1.220924941902829</v>
      </c>
      <c r="BG103" s="281">
        <f t="shared" si="89"/>
        <v>11.085184669193541</v>
      </c>
      <c r="BH103" s="281">
        <f t="shared" si="90"/>
        <v>-3.3448188903125682</v>
      </c>
      <c r="BM103" s="281">
        <f>$AZ$17</f>
        <v>16.22</v>
      </c>
      <c r="BN103" s="281">
        <f>$AX$5+seat_w*($AY$17*n_SA+$AW$5&lt;pax_e)</f>
        <v>-1.31</v>
      </c>
      <c r="BO103" s="281">
        <f t="shared" si="91"/>
        <v>-1.5904799999999994</v>
      </c>
      <c r="HY103" s="281">
        <f>$HX$17</f>
        <v>6.5</v>
      </c>
      <c r="HZ103" s="281">
        <f>$HV$5+seat_w_b*($HW$17*n_SA_b+$HU$5&lt;pax_b)</f>
        <v>-1.84</v>
      </c>
      <c r="IA103" s="281">
        <f t="shared" si="92"/>
        <v>-11.310479999999998</v>
      </c>
    </row>
    <row r="104" spans="56:235" x14ac:dyDescent="0.25">
      <c r="BD104" s="281">
        <f>T19-L_fus/2</f>
        <v>14.306452</v>
      </c>
      <c r="BE104" s="281">
        <f>U19*-0.86603</f>
        <v>-1.1868637401014956</v>
      </c>
      <c r="BF104" s="281">
        <f>V19+U19*0.5</f>
        <v>1.1505775184313776</v>
      </c>
      <c r="BG104" s="281">
        <f t="shared" si="89"/>
        <v>10.196476748824924</v>
      </c>
      <c r="BH104" s="281">
        <f t="shared" si="90"/>
        <v>-3.2278648871431841</v>
      </c>
      <c r="BM104" s="281">
        <f>$AZ$17+1*(seat_pitch)*($AY$17*n_SA+$AW$5&lt;pax_e)</f>
        <v>17.029999999999998</v>
      </c>
      <c r="BN104" s="281">
        <f>$AX$5+seat_w*($AY$17*n_SA+$AW$5&lt;pax_e)</f>
        <v>-1.31</v>
      </c>
      <c r="BO104" s="281">
        <f t="shared" si="91"/>
        <v>-0.78048000000000073</v>
      </c>
      <c r="CA104" s="281">
        <f>$BX$16+0*lav_len</f>
        <v>28.25</v>
      </c>
      <c r="CB104" s="281">
        <f>$BY$16+0*lav_w</f>
        <v>0.86499999999999999</v>
      </c>
      <c r="HY104" s="281">
        <f>$HX$17+1*(bus_pitch*(n_rows_b&gt;0))*($HW$17*n_SA_b+$HU$5&lt;pax_b)</f>
        <v>6.5</v>
      </c>
      <c r="HZ104" s="281">
        <f>$HV$5+seat_w_b*($HW$17*n_SA_b+$HU$5&lt;pax_b)</f>
        <v>-1.84</v>
      </c>
      <c r="IA104" s="281">
        <f t="shared" si="92"/>
        <v>-11.310479999999998</v>
      </c>
    </row>
    <row r="105" spans="56:235" x14ac:dyDescent="0.25">
      <c r="BD105" s="281">
        <f>T18-L_fus/2</f>
        <v>13.350807999999997</v>
      </c>
      <c r="BE105" s="281">
        <f>U18*-0.86603</f>
        <v>-1.4070044578956793</v>
      </c>
      <c r="BF105" s="281">
        <f>V18+U18*0.5</f>
        <v>1.0870287043619506</v>
      </c>
      <c r="BG105" s="281">
        <f t="shared" si="89"/>
        <v>9.3229072472393266</v>
      </c>
      <c r="BH105" s="281">
        <f t="shared" si="90"/>
        <v>-3.0971246832901347</v>
      </c>
      <c r="BM105" s="281">
        <f>$AZ$17+0.8*(seat_pitch)*($AY$17*n_SA+$AW$5&lt;pax_e)</f>
        <v>16.867999999999999</v>
      </c>
      <c r="BN105" s="281">
        <f>$AX$5+seat_w*($AY$17*n_SA+$AW$5&lt;pax_e)</f>
        <v>-1.31</v>
      </c>
      <c r="BO105" s="281">
        <f t="shared" si="91"/>
        <v>-0.94247999999999976</v>
      </c>
      <c r="CA105" s="281">
        <f>$BX$16+1*lav_len</f>
        <v>29.25</v>
      </c>
      <c r="CB105" s="281">
        <f>$BY$16+0*lav_w</f>
        <v>0.86499999999999999</v>
      </c>
      <c r="HY105" s="281">
        <f>$HX$17+0.8*(bus_pitch*(n_rows_b&gt;0))*($HW$17*n_SA_b+$HU$5&lt;pax_b)</f>
        <v>6.5</v>
      </c>
      <c r="HZ105" s="281">
        <f>$HV$5+seat_w_b*($HW$17*n_SA_b+$HU$5&lt;pax_b)</f>
        <v>-1.84</v>
      </c>
      <c r="IA105" s="281">
        <f t="shared" si="92"/>
        <v>-11.310479999999998</v>
      </c>
    </row>
    <row r="106" spans="56:235" x14ac:dyDescent="0.25">
      <c r="BD106" s="281">
        <f>T17-L_fus/2</f>
        <v>12.395163999999998</v>
      </c>
      <c r="BE106" s="281">
        <f>U17*-0.86603</f>
        <v>-1.5953790422914742</v>
      </c>
      <c r="BF106" s="281">
        <f>V17+U17*0.5</f>
        <v>1.0326499344591196</v>
      </c>
      <c r="BG106" s="281">
        <f t="shared" si="89"/>
        <v>8.4697566226098662</v>
      </c>
      <c r="BH106" s="281">
        <f t="shared" si="90"/>
        <v>-2.9477894901263126</v>
      </c>
      <c r="BM106" s="281">
        <f>$AZ$17+0.8*(seat_pitch)*($AY$17*n_SA+$AW$5&lt;pax_e)</f>
        <v>16.867999999999999</v>
      </c>
      <c r="BN106" s="281">
        <f>$AX$5</f>
        <v>-1.84</v>
      </c>
      <c r="BO106" s="281">
        <f t="shared" si="91"/>
        <v>-0.94247999999999976</v>
      </c>
      <c r="CA106" s="281">
        <f>$BX$16+1*lav_len</f>
        <v>29.25</v>
      </c>
      <c r="CB106" s="281">
        <f>$BY$16+1*lav_w</f>
        <v>1.865</v>
      </c>
      <c r="HY106" s="281">
        <f>$HX$17+0.8*(bus_pitch*(n_rows_b&gt;0))*($HW$17*n_SA_b+$HU$5&lt;pax_b)</f>
        <v>6.5</v>
      </c>
      <c r="HZ106" s="281">
        <f>$HV$5</f>
        <v>-1.84</v>
      </c>
      <c r="IA106" s="281">
        <f t="shared" si="92"/>
        <v>-11.310479999999998</v>
      </c>
    </row>
    <row r="107" spans="56:235" x14ac:dyDescent="0.25">
      <c r="BD107" s="281">
        <f>T16-L_fus/2</f>
        <v>11.439519999999998</v>
      </c>
      <c r="BE107" s="281">
        <f>U16*-0.86603</f>
        <v>-1.7242007777499997</v>
      </c>
      <c r="BF107" s="281">
        <f>V16+U16*0.5</f>
        <v>0.99546249999999992</v>
      </c>
      <c r="BG107" s="281">
        <f t="shared" si="89"/>
        <v>7.6548858313988148</v>
      </c>
      <c r="BH107" s="281">
        <f t="shared" si="90"/>
        <v>-2.7635937561618031</v>
      </c>
      <c r="BM107" s="281">
        <f>$AZ$17+0.2*(seat_pitch)*($AY$17*n_SA+$AW$5&lt;pax_e)</f>
        <v>16.381999999999998</v>
      </c>
      <c r="BN107" s="281">
        <f>$AX$5</f>
        <v>-1.84</v>
      </c>
      <c r="BO107" s="281">
        <f t="shared" si="91"/>
        <v>-1.4284800000000004</v>
      </c>
      <c r="CA107" s="281">
        <f>$BX$16+0*lav_len</f>
        <v>28.25</v>
      </c>
      <c r="CB107" s="281">
        <f>$BY$16+1*lav_w</f>
        <v>1.865</v>
      </c>
      <c r="HY107" s="281">
        <f>$HX$17+0.2*(bus_pitch*(n_rows_b&gt;0))*($HW$17*n_SA_b+$HU$5&lt;pax_b)</f>
        <v>6.5</v>
      </c>
      <c r="HZ107" s="281">
        <f>$HV$5</f>
        <v>-1.84</v>
      </c>
      <c r="IA107" s="281">
        <f t="shared" si="92"/>
        <v>-11.310479999999998</v>
      </c>
    </row>
    <row r="108" spans="56:235" x14ac:dyDescent="0.25">
      <c r="BD108" s="281">
        <f>T15-L_fus/2</f>
        <v>3.0228533333333161</v>
      </c>
      <c r="BE108" s="281">
        <f>U15*-0.86603</f>
        <v>-1.7242007777499997</v>
      </c>
      <c r="BF108" s="281">
        <f>V15+U15*0.5</f>
        <v>0.99546249999999992</v>
      </c>
      <c r="BG108" s="281">
        <f t="shared" si="89"/>
        <v>1.2073451018140722</v>
      </c>
      <c r="BH108" s="281">
        <f t="shared" si="90"/>
        <v>-0.47717442202074711</v>
      </c>
      <c r="BM108" s="281">
        <f>$AZ$17+(seat_pitch)</f>
        <v>17.029999999999998</v>
      </c>
      <c r="BN108" s="281">
        <f>$AX$5</f>
        <v>-1.84</v>
      </c>
      <c r="BO108" s="281">
        <f t="shared" si="91"/>
        <v>-0.78048000000000073</v>
      </c>
      <c r="CA108" s="281">
        <f>$BX$16+0*lav_len</f>
        <v>28.25</v>
      </c>
      <c r="CB108" s="281">
        <f>$BY$16+0*lav_w</f>
        <v>0.86499999999999999</v>
      </c>
      <c r="HY108" s="281">
        <f>$HX$17+(bus_pitch*(n_rows_b&gt;0))</f>
        <v>6.5</v>
      </c>
      <c r="HZ108" s="281">
        <f>$HV$5</f>
        <v>-1.84</v>
      </c>
      <c r="IA108" s="281">
        <f t="shared" si="92"/>
        <v>-11.310479999999998</v>
      </c>
    </row>
    <row r="109" spans="56:235" x14ac:dyDescent="0.25">
      <c r="BD109" s="281">
        <f>T14-L_fus/2</f>
        <v>-5.3938133333333411</v>
      </c>
      <c r="BE109" s="281">
        <f>U14*-0.86603</f>
        <v>-1.7242007777499997</v>
      </c>
      <c r="BF109" s="281">
        <f>V14+U14*0.5</f>
        <v>0.99546249999999992</v>
      </c>
      <c r="BG109" s="281">
        <f t="shared" si="89"/>
        <v>-5.2401956277706523</v>
      </c>
      <c r="BH109" s="281">
        <f t="shared" si="90"/>
        <v>1.8092449121203023</v>
      </c>
      <c r="BM109" s="281">
        <f>$AZ$18+0.2*(seat_pitch)*($AY$18*n_SA+$AW$5&lt;pax_e)</f>
        <v>17.192</v>
      </c>
      <c r="BN109" s="281">
        <f>$AX$5</f>
        <v>-1.84</v>
      </c>
      <c r="BO109" s="281">
        <f t="shared" si="91"/>
        <v>-0.61847999999999814</v>
      </c>
      <c r="CA109" s="281">
        <f>$BX$16+1*lav_len</f>
        <v>29.25</v>
      </c>
      <c r="CB109" s="281">
        <f>$BY$16+1*lav_w</f>
        <v>1.865</v>
      </c>
      <c r="HY109" s="281">
        <f>$HX$18+0.2*(bus_pitch*(n_rows_b&gt;0))*($HW$18*n_SA_b+$HU$5&lt;pax_b)</f>
        <v>6.5</v>
      </c>
      <c r="HZ109" s="281">
        <f>$HV$5</f>
        <v>-1.84</v>
      </c>
      <c r="IA109" s="281">
        <f t="shared" si="92"/>
        <v>-11.310479999999998</v>
      </c>
    </row>
    <row r="110" spans="56:235" x14ac:dyDescent="0.25">
      <c r="BD110" s="281">
        <f>T13-L_fus/2</f>
        <v>-13.810479999999998</v>
      </c>
      <c r="BE110" s="281">
        <f>U13*-0.86603</f>
        <v>-1.7242007777499997</v>
      </c>
      <c r="BF110" s="281">
        <f>V13+U13*0.5</f>
        <v>0.99546249999999992</v>
      </c>
      <c r="BG110" s="281">
        <f t="shared" si="89"/>
        <v>-11.687736357355377</v>
      </c>
      <c r="BH110" s="281">
        <f t="shared" si="90"/>
        <v>4.0956642462613519</v>
      </c>
      <c r="BM110" s="281">
        <f>$AZ$18+0.2*(seat_pitch)*($AY$18*n_SA+$AW$5&lt;pax_e)</f>
        <v>17.192</v>
      </c>
      <c r="BN110" s="281">
        <f>$AX$5+seat_w*($AY$18*n_SA+$AW$5&lt;pax_e)</f>
        <v>-1.31</v>
      </c>
      <c r="BO110" s="281">
        <f t="shared" si="91"/>
        <v>-0.61847999999999814</v>
      </c>
      <c r="CA110" s="281">
        <f>$BX$16+1*lav_len</f>
        <v>29.25</v>
      </c>
      <c r="CB110" s="281">
        <f>$BY$16+0*lav_w</f>
        <v>0.86499999999999999</v>
      </c>
      <c r="HY110" s="281">
        <f>$HX$18+0.2*(bus_pitch*(n_rows_b&gt;0))*($HW$18*n_SA_b+$HU$5&lt;pax_b)</f>
        <v>6.5</v>
      </c>
      <c r="HZ110" s="281">
        <f>$HV$5+seat_w_b*($HW$18*n_SA_b+$HU$5&lt;pax_b)</f>
        <v>-1.84</v>
      </c>
      <c r="IA110" s="281">
        <f t="shared" si="92"/>
        <v>-11.310479999999998</v>
      </c>
    </row>
    <row r="111" spans="56:235" x14ac:dyDescent="0.25">
      <c r="BD111" s="281">
        <f>T12-L_fus/2</f>
        <v>-14.610479999999999</v>
      </c>
      <c r="BE111" s="281">
        <f>U12*-0.86603</f>
        <v>-1.6893648478389611</v>
      </c>
      <c r="BF111" s="281">
        <f>V12+U12*0.5</f>
        <v>0.96328261716819152</v>
      </c>
      <c r="BG111" s="281">
        <f t="shared" si="89"/>
        <v>-12.278179807731835</v>
      </c>
      <c r="BH111" s="281">
        <f t="shared" si="90"/>
        <v>4.2951003299004054</v>
      </c>
      <c r="BM111" s="281">
        <f>$AZ$18</f>
        <v>17.03</v>
      </c>
      <c r="BN111" s="281">
        <f>$AX$5+seat_w*($AY$18*n_SA+$AW$5&lt;pax_e)</f>
        <v>-1.31</v>
      </c>
      <c r="BO111" s="281">
        <f t="shared" si="91"/>
        <v>-0.78047999999999718</v>
      </c>
      <c r="CA111" s="281">
        <f>$BX$16+0*lav_len</f>
        <v>28.25</v>
      </c>
      <c r="CB111" s="281">
        <f>$BY$16+1*lav_w</f>
        <v>1.865</v>
      </c>
      <c r="HY111" s="281">
        <f>$HX$18</f>
        <v>6.5</v>
      </c>
      <c r="HZ111" s="281">
        <f>$HV$5+seat_w_b*($HW$18*n_SA_b+$HU$5&lt;pax_b)</f>
        <v>-1.84</v>
      </c>
      <c r="IA111" s="281">
        <f t="shared" si="92"/>
        <v>-11.310479999999998</v>
      </c>
    </row>
    <row r="112" spans="56:235" x14ac:dyDescent="0.25">
      <c r="BD112" s="281">
        <f>T11-L_fus/2</f>
        <v>-15.410479999999998</v>
      </c>
      <c r="BE112" s="281">
        <f>U11*-0.86603</f>
        <v>-1.5802561154682211</v>
      </c>
      <c r="BF112" s="281">
        <f>V11+U11*0.5</f>
        <v>0.86249282247679282</v>
      </c>
      <c r="BG112" s="281">
        <f t="shared" si="89"/>
        <v>-12.820881620950502</v>
      </c>
      <c r="BH112" s="281">
        <f t="shared" si="90"/>
        <v>4.4564001178654928</v>
      </c>
      <c r="BM112" s="281">
        <f>$AZ$18+1*(seat_pitch)*($AY$18*n_SA+$AW$5&lt;pax_e)</f>
        <v>17.84</v>
      </c>
      <c r="BN112" s="281">
        <f>$AX$5+seat_w*($AY$18*n_SA+$AW$5&lt;pax_e)</f>
        <v>-1.31</v>
      </c>
      <c r="BO112" s="281">
        <f t="shared" si="91"/>
        <v>2.9520000000001545E-2</v>
      </c>
      <c r="HY112" s="281">
        <f>$HX$18+1*(bus_pitch*(n_rows_b&gt;0))*($HW$18*n_SA_b+$HU$5&lt;pax_b)</f>
        <v>6.5</v>
      </c>
      <c r="HZ112" s="281">
        <f>$HV$5+seat_w_b*($HW$18*n_SA_b+$HU$5&lt;pax_b)</f>
        <v>-1.84</v>
      </c>
      <c r="IA112" s="281">
        <f t="shared" si="92"/>
        <v>-11.310479999999998</v>
      </c>
    </row>
    <row r="113" spans="56:235" x14ac:dyDescent="0.25">
      <c r="BD113" s="281">
        <f>T10-L_fus/2</f>
        <v>-16.010479999999998</v>
      </c>
      <c r="BE113" s="281">
        <f>U10*-0.86603</f>
        <v>-1.4399915467080384</v>
      </c>
      <c r="BF113" s="281">
        <f>V10+U10*0.5</f>
        <v>0.73292265168808324</v>
      </c>
      <c r="BG113" s="281">
        <f t="shared" si="89"/>
        <v>-13.190347959944816</v>
      </c>
      <c r="BH113" s="281">
        <f t="shared" si="90"/>
        <v>4.5473717970587586</v>
      </c>
      <c r="BM113" s="281">
        <f>$AZ$18+0.8*(seat_pitch)*($AY$18*n_SA+$AW$5&lt;pax_e)</f>
        <v>17.678000000000001</v>
      </c>
      <c r="BN113" s="281">
        <f>$AX$5+seat_w*($AY$18*n_SA+$AW$5&lt;pax_e)</f>
        <v>-1.31</v>
      </c>
      <c r="BO113" s="281">
        <f t="shared" si="91"/>
        <v>-0.13247999999999749</v>
      </c>
      <c r="HY113" s="281">
        <f>$HX$18+0.8*(bus_pitch*(n_rows_b&gt;0))*($HW$18*n_SA_b+$HU$5&lt;pax_b)</f>
        <v>6.5</v>
      </c>
      <c r="HZ113" s="281">
        <f>$HV$5+seat_w_b*($HW$18*n_SA_b+$HU$5&lt;pax_b)</f>
        <v>-1.84</v>
      </c>
      <c r="IA113" s="281">
        <f t="shared" si="92"/>
        <v>-11.310479999999998</v>
      </c>
    </row>
    <row r="114" spans="56:235" x14ac:dyDescent="0.25">
      <c r="BD114" s="281">
        <f>T9-L_fus/2</f>
        <v>-16.610479999999999</v>
      </c>
      <c r="BE114" s="281">
        <f>U9*-0.86603</f>
        <v>-1.231325645073954</v>
      </c>
      <c r="BF114" s="281">
        <f>V9+U9*0.5</f>
        <v>0.54016637152773384</v>
      </c>
      <c r="BG114" s="281">
        <f t="shared" si="89"/>
        <v>-13.515846769681744</v>
      </c>
      <c r="BH114" s="281">
        <f t="shared" si="90"/>
        <v>4.6032219597805284</v>
      </c>
      <c r="BM114" s="281">
        <f>$AZ$18+0.8*(seat_pitch)*($AY$18*n_SA+$AW$5&lt;pax_e)</f>
        <v>17.678000000000001</v>
      </c>
      <c r="BN114" s="281">
        <f>$AX$5</f>
        <v>-1.84</v>
      </c>
      <c r="BO114" s="281">
        <f t="shared" si="91"/>
        <v>-0.13247999999999749</v>
      </c>
      <c r="HY114" s="281">
        <f>$HX$18+0.8*(bus_pitch*(n_rows_b&gt;0))*($HW$18*n_SA_b+$HU$5&lt;pax_b)</f>
        <v>6.5</v>
      </c>
      <c r="HZ114" s="281">
        <f>$HV$5</f>
        <v>-1.84</v>
      </c>
      <c r="IA114" s="281">
        <f t="shared" si="92"/>
        <v>-11.310479999999998</v>
      </c>
    </row>
    <row r="115" spans="56:235" x14ac:dyDescent="0.25">
      <c r="BD115" s="281">
        <f>T8-L_fus/2</f>
        <v>-17.210479999999997</v>
      </c>
      <c r="BE115" s="281">
        <f>U8*-0.86603</f>
        <v>-0.90827911973866993</v>
      </c>
      <c r="BF115" s="281">
        <f>V8+U8*0.5</f>
        <v>0.24175035791593363</v>
      </c>
      <c r="BG115" s="281">
        <f t="shared" si="89"/>
        <v>-13.767823131715321</v>
      </c>
      <c r="BH115" s="281">
        <f t="shared" si="90"/>
        <v>4.6003419663699967</v>
      </c>
      <c r="BM115" s="281">
        <f>$AZ$18+0.2*(seat_pitch)*($AY$18*n_SA+$AW$5&lt;pax_e)</f>
        <v>17.192</v>
      </c>
      <c r="BN115" s="281">
        <f>$AX$5</f>
        <v>-1.84</v>
      </c>
      <c r="BO115" s="281">
        <f t="shared" si="91"/>
        <v>-0.61847999999999814</v>
      </c>
      <c r="HY115" s="281">
        <f>$HX$18+0.2*(bus_pitch*(n_rows_b&gt;0))*($HW$18*n_SA_b+$HU$5&lt;pax_b)</f>
        <v>6.5</v>
      </c>
      <c r="HZ115" s="281">
        <f>$HV$5</f>
        <v>-1.84</v>
      </c>
      <c r="IA115" s="281">
        <f t="shared" si="92"/>
        <v>-11.310479999999998</v>
      </c>
    </row>
    <row r="116" spans="56:235" x14ac:dyDescent="0.25">
      <c r="BD116" s="281">
        <f>T7-L_fus/2</f>
        <v>-17.530479999999997</v>
      </c>
      <c r="BE116" s="281">
        <f>U7*-0.86603</f>
        <v>-0.63374640851159847</v>
      </c>
      <c r="BF116" s="281">
        <f>V7+U7*0.5</f>
        <v>-1.1850751724214126E-2</v>
      </c>
      <c r="BG116" s="281">
        <f t="shared" si="89"/>
        <v>-13.836491128282978</v>
      </c>
      <c r="BH116" s="281">
        <f t="shared" si="90"/>
        <v>4.5463089361358255</v>
      </c>
      <c r="BM116" s="281">
        <f>$AZ$18+(seat_pitch)</f>
        <v>17.84</v>
      </c>
      <c r="BN116" s="281">
        <f>$AX$5</f>
        <v>-1.84</v>
      </c>
      <c r="BO116" s="281">
        <f t="shared" si="91"/>
        <v>2.9520000000001545E-2</v>
      </c>
      <c r="HY116" s="281">
        <f>$HX$18+(bus_pitch*(n_rows_b&gt;0))</f>
        <v>6.5</v>
      </c>
      <c r="HZ116" s="281">
        <f>$HV$5</f>
        <v>-1.84</v>
      </c>
      <c r="IA116" s="281">
        <f t="shared" si="92"/>
        <v>-11.310479999999998</v>
      </c>
    </row>
    <row r="117" spans="56:235" x14ac:dyDescent="0.25">
      <c r="BD117" s="281">
        <f>T6-L_fus/2</f>
        <v>-17.73048</v>
      </c>
      <c r="BE117" s="281">
        <f>U6*-0.86603</f>
        <v>-0.34311162258214301</v>
      </c>
      <c r="BF117" s="281">
        <f>V6+U6*0.5</f>
        <v>-0.28032624188456001</v>
      </c>
      <c r="BG117" s="281">
        <f t="shared" si="89"/>
        <v>-13.802883577567423</v>
      </c>
      <c r="BH117" s="281">
        <f t="shared" si="90"/>
        <v>4.4514096411817397</v>
      </c>
      <c r="BM117" s="281">
        <f>$AZ$19+0.2*(seat_pitch)*($AY$19*n_SA+$AW$5&lt;pax_e)</f>
        <v>18.001999999999999</v>
      </c>
      <c r="BN117" s="281">
        <f>$AX$5</f>
        <v>-1.84</v>
      </c>
      <c r="BO117" s="281">
        <f t="shared" si="91"/>
        <v>0.19152000000000058</v>
      </c>
      <c r="HY117" s="281">
        <f>$HX$19+0.2*(bus_pitch*(n_rows_b&gt;0))*($HW$19*n_SA_b+$HU$5&lt;pax_b)</f>
        <v>6.5</v>
      </c>
      <c r="HZ117" s="281">
        <f>$HV$5</f>
        <v>-1.84</v>
      </c>
      <c r="IA117" s="281">
        <f t="shared" si="92"/>
        <v>-11.310479999999998</v>
      </c>
    </row>
    <row r="118" spans="56:235" x14ac:dyDescent="0.25">
      <c r="BD118" s="281">
        <f>T5-L_fus/2</f>
        <v>-17.810479999999998</v>
      </c>
      <c r="BE118" s="281">
        <f>U5*-0.86603</f>
        <v>0</v>
      </c>
      <c r="BF118" s="281">
        <f>V5+U5*0.5</f>
        <v>-0.59727749999999991</v>
      </c>
      <c r="BG118" s="281">
        <f t="shared" si="89"/>
        <v>-13.643619233281694</v>
      </c>
      <c r="BH118" s="281">
        <f t="shared" si="90"/>
        <v>4.2969670068469323</v>
      </c>
      <c r="BM118" s="281">
        <f>$AZ$19+0.2*(seat_pitch)*($AY$19*n_SA+$AW$5&lt;pax_e)</f>
        <v>18.001999999999999</v>
      </c>
      <c r="BN118" s="281">
        <f>$AX$5+seat_w*($AY$19*n_SA+$AW$5&lt;pax_e)</f>
        <v>-1.31</v>
      </c>
      <c r="BO118" s="281">
        <f t="shared" si="91"/>
        <v>0.19152000000000058</v>
      </c>
      <c r="HY118" s="281">
        <f>$HX$19+0.2*(bus_pitch*(n_rows_b&gt;0))*($HW$19*n_SA_b+$HU$5&lt;pax_b)</f>
        <v>6.5</v>
      </c>
      <c r="HZ118" s="281">
        <f>$HV$5+seat_w_b*($HW$19*n_SA_b+$HU$5&lt;pax_b)</f>
        <v>-1.84</v>
      </c>
      <c r="IA118" s="281">
        <f t="shared" si="92"/>
        <v>-11.310479999999998</v>
      </c>
    </row>
    <row r="119" spans="56:235" x14ac:dyDescent="0.25">
      <c r="BD119" s="281">
        <f t="shared" ref="BD119:BD137" si="96">T5-L_fus/2</f>
        <v>-17.810479999999998</v>
      </c>
      <c r="BE119" s="281">
        <f t="shared" ref="BE119:BE137" si="97">U5*-1</f>
        <v>0</v>
      </c>
      <c r="BF119" s="281">
        <f t="shared" ref="BF119:BF137" si="98">V5+U5*0</f>
        <v>-0.59727749999999991</v>
      </c>
      <c r="BG119" s="281">
        <f t="shared" si="89"/>
        <v>-13.643619233281694</v>
      </c>
      <c r="BH119" s="281">
        <f t="shared" si="90"/>
        <v>4.2969670068469323</v>
      </c>
      <c r="BM119" s="281">
        <f>$AZ$19</f>
        <v>17.84</v>
      </c>
      <c r="BN119" s="281">
        <f>$AX$5+seat_w*($AY$19*n_SA+$AW$5&lt;pax_e)</f>
        <v>-1.31</v>
      </c>
      <c r="BO119" s="281">
        <f t="shared" si="91"/>
        <v>2.9520000000001545E-2</v>
      </c>
      <c r="HY119" s="281">
        <f>$HX$19</f>
        <v>6.5</v>
      </c>
      <c r="HZ119" s="281">
        <f>$HV$5+seat_w_b*($HW$19*n_SA_b+$HU$5&lt;pax_b)</f>
        <v>-1.84</v>
      </c>
      <c r="IA119" s="281">
        <f t="shared" si="92"/>
        <v>-11.310479999999998</v>
      </c>
    </row>
    <row r="120" spans="56:235" x14ac:dyDescent="0.25">
      <c r="BD120" s="281">
        <f t="shared" si="96"/>
        <v>-17.73048</v>
      </c>
      <c r="BE120" s="281">
        <f t="shared" si="97"/>
        <v>-0.39618907264429987</v>
      </c>
      <c r="BF120" s="281">
        <f t="shared" si="98"/>
        <v>-0.47842077820670997</v>
      </c>
      <c r="BG120" s="281">
        <f t="shared" si="89"/>
        <v>-13.837001104821132</v>
      </c>
      <c r="BH120" s="281">
        <f t="shared" si="90"/>
        <v>4.2546914946606513</v>
      </c>
      <c r="BM120" s="281">
        <f>$AZ$19+1*(seat_pitch)*($AY$19*n_SA+$AW$5&lt;pax_e)</f>
        <v>18.649999999999999</v>
      </c>
      <c r="BN120" s="281">
        <f>$AX$5+seat_w*($AY$19*n_SA+$AW$5&lt;pax_e)</f>
        <v>-1.31</v>
      </c>
      <c r="BO120" s="281">
        <f t="shared" si="91"/>
        <v>0.83952000000000027</v>
      </c>
      <c r="HY120" s="281">
        <f>$HX$19+1*(bus_pitch*(n_rows_b&gt;0))*($HW$19*n_SA_b+$HU$5&lt;pax_b)</f>
        <v>6.5</v>
      </c>
      <c r="HZ120" s="281">
        <f>$HV$5+seat_w_b*($HW$19*n_SA_b+$HU$5&lt;pax_b)</f>
        <v>-1.84</v>
      </c>
      <c r="IA120" s="281">
        <f t="shared" si="92"/>
        <v>-11.310479999999998</v>
      </c>
    </row>
    <row r="121" spans="56:235" x14ac:dyDescent="0.25">
      <c r="BD121" s="281">
        <f t="shared" si="96"/>
        <v>-17.530479999999997</v>
      </c>
      <c r="BE121" s="281">
        <f t="shared" si="97"/>
        <v>-0.73178343534473222</v>
      </c>
      <c r="BF121" s="281">
        <f t="shared" si="98"/>
        <v>-0.37774246939658024</v>
      </c>
      <c r="BG121" s="281">
        <f t="shared" si="89"/>
        <v>-13.899508114421824</v>
      </c>
      <c r="BH121" s="281">
        <f t="shared" si="90"/>
        <v>4.1829594876135712</v>
      </c>
      <c r="BM121" s="281">
        <f>$AZ$19+0.8*(seat_pitch)*($AY$19*n_SA+$AW$5&lt;pax_e)</f>
        <v>18.488</v>
      </c>
      <c r="BN121" s="281">
        <f>$AX$5+seat_w*($AY$19*n_SA+$AW$5&lt;pax_e)</f>
        <v>-1.31</v>
      </c>
      <c r="BO121" s="281">
        <f t="shared" si="91"/>
        <v>0.67752000000000123</v>
      </c>
      <c r="HY121" s="281">
        <f>$HX$19+0.8*(bus_pitch*(n_rows_b&gt;0))*($HW$19*n_SA_b+$HU$5&lt;pax_b)</f>
        <v>6.5</v>
      </c>
      <c r="HZ121" s="281">
        <f>$HV$5+seat_w_b*($HW$19*n_SA_b+$HU$5&lt;pax_b)</f>
        <v>-1.84</v>
      </c>
      <c r="IA121" s="281">
        <f t="shared" si="92"/>
        <v>-11.310479999999998</v>
      </c>
    </row>
    <row r="122" spans="56:235" x14ac:dyDescent="0.25">
      <c r="BD122" s="281">
        <f t="shared" si="96"/>
        <v>-17.210479999999997</v>
      </c>
      <c r="BE122" s="281">
        <f t="shared" si="97"/>
        <v>-1.048784822394917</v>
      </c>
      <c r="BF122" s="281">
        <f t="shared" si="98"/>
        <v>-0.28264205328152486</v>
      </c>
      <c r="BG122" s="281">
        <f t="shared" si="89"/>
        <v>-13.858138456473057</v>
      </c>
      <c r="BH122" s="281">
        <f t="shared" si="90"/>
        <v>4.0795931103150833</v>
      </c>
      <c r="BM122" s="281">
        <f>$AZ$19+0.8*(seat_pitch)*($AY$19*n_SA+$AW$5&lt;pax_e)</f>
        <v>18.488</v>
      </c>
      <c r="BN122" s="281">
        <f>$AX$5</f>
        <v>-1.84</v>
      </c>
      <c r="BO122" s="281">
        <f t="shared" si="91"/>
        <v>0.67752000000000123</v>
      </c>
      <c r="HY122" s="281">
        <f>$HX$19+0.8*(bus_pitch*(n_rows_b&gt;0))*($HW$19*n_SA_b+$HU$5&lt;pax_b)</f>
        <v>6.5</v>
      </c>
      <c r="HZ122" s="281">
        <f>$HV$5</f>
        <v>-1.84</v>
      </c>
      <c r="IA122" s="281">
        <f t="shared" si="92"/>
        <v>-11.310479999999998</v>
      </c>
    </row>
    <row r="123" spans="56:235" x14ac:dyDescent="0.25">
      <c r="BD123" s="281">
        <f t="shared" si="96"/>
        <v>-16.610479999999999</v>
      </c>
      <c r="BE123" s="281">
        <f t="shared" si="97"/>
        <v>-1.4218048394096672</v>
      </c>
      <c r="BF123" s="281">
        <f t="shared" si="98"/>
        <v>-0.17073604817709978</v>
      </c>
      <c r="BG123" s="281">
        <f t="shared" si="89"/>
        <v>-13.638284435703815</v>
      </c>
      <c r="BH123" s="281">
        <f t="shared" si="90"/>
        <v>3.8972589940263132</v>
      </c>
      <c r="BM123" s="281">
        <f>$AZ$19+0.2*(seat_pitch)*($AY$19*n_SA+$AW$5&lt;pax_e)</f>
        <v>18.001999999999999</v>
      </c>
      <c r="BN123" s="281">
        <f>$AX$5</f>
        <v>-1.84</v>
      </c>
      <c r="BO123" s="281">
        <f t="shared" si="91"/>
        <v>0.19152000000000058</v>
      </c>
      <c r="HY123" s="281">
        <f>$HX$19+0.2*(bus_pitch*(n_rows_b&gt;0))*($HW$19*n_SA_b+$HU$5&lt;pax_b)</f>
        <v>6.5</v>
      </c>
      <c r="HZ123" s="281">
        <f>$HV$5</f>
        <v>-1.84</v>
      </c>
      <c r="IA123" s="281">
        <f t="shared" si="92"/>
        <v>-11.310479999999998</v>
      </c>
    </row>
    <row r="124" spans="56:235" x14ac:dyDescent="0.25">
      <c r="BD124" s="281">
        <f t="shared" si="96"/>
        <v>-16.010479999999998</v>
      </c>
      <c r="BE124" s="281">
        <f t="shared" si="97"/>
        <v>-1.662750189610104</v>
      </c>
      <c r="BF124" s="281">
        <f t="shared" si="98"/>
        <v>-9.8452443116968741E-2</v>
      </c>
      <c r="BG124" s="281">
        <f t="shared" si="89"/>
        <v>-13.333534455552853</v>
      </c>
      <c r="BH124" s="281">
        <f t="shared" si="90"/>
        <v>3.7217732179648011</v>
      </c>
      <c r="BM124" s="281">
        <f>$AZ$19+(seat_pitch)</f>
        <v>18.649999999999999</v>
      </c>
      <c r="BN124" s="281">
        <f>$AX$5</f>
        <v>-1.84</v>
      </c>
      <c r="BO124" s="281">
        <f t="shared" si="91"/>
        <v>0.83952000000000027</v>
      </c>
      <c r="HY124" s="281">
        <f>$HX$19+(bus_pitch*(n_rows_b&gt;0))</f>
        <v>6.5</v>
      </c>
      <c r="HZ124" s="281">
        <f>$HV$5</f>
        <v>-1.84</v>
      </c>
      <c r="IA124" s="281">
        <f t="shared" si="92"/>
        <v>-11.310479999999998</v>
      </c>
    </row>
    <row r="125" spans="56:235" x14ac:dyDescent="0.25">
      <c r="BD125" s="281">
        <f t="shared" si="96"/>
        <v>-15.410479999999998</v>
      </c>
      <c r="BE125" s="281">
        <f t="shared" si="97"/>
        <v>-1.824712903095991</v>
      </c>
      <c r="BF125" s="281">
        <f t="shared" si="98"/>
        <v>-4.9863629071202654E-2</v>
      </c>
      <c r="BG125" s="281">
        <f t="shared" si="89"/>
        <v>-12.978015415141405</v>
      </c>
      <c r="BH125" s="281">
        <f t="shared" si="90"/>
        <v>3.5503828523352365</v>
      </c>
      <c r="BM125" s="281">
        <f>$AZ$20+0.2*(seat_pitch)*($AY$20*n_SA+$AW$5&lt;pax_e)</f>
        <v>18.811999999999998</v>
      </c>
      <c r="BN125" s="281">
        <f>$AX$5</f>
        <v>-1.84</v>
      </c>
      <c r="BO125" s="281">
        <f t="shared" si="91"/>
        <v>1.0015199999999993</v>
      </c>
      <c r="HY125" s="281">
        <f>$HX$20+0.2*(bus_pitch*(n_rows_b&gt;0))*($HW$20*n_SA_b+$HU$5&lt;pax_b)</f>
        <v>6.5</v>
      </c>
      <c r="HZ125" s="281">
        <f>$HV$5</f>
        <v>-1.84</v>
      </c>
      <c r="IA125" s="281">
        <f t="shared" si="92"/>
        <v>-11.310479999999998</v>
      </c>
    </row>
    <row r="126" spans="56:235" x14ac:dyDescent="0.25">
      <c r="BD126" s="281">
        <f t="shared" si="96"/>
        <v>-14.610479999999999</v>
      </c>
      <c r="BE126" s="281">
        <f t="shared" si="97"/>
        <v>-1.9507001464602394</v>
      </c>
      <c r="BF126" s="281">
        <f t="shared" si="98"/>
        <v>-1.2067456061928139E-2</v>
      </c>
      <c r="BG126" s="281">
        <f t="shared" si="89"/>
        <v>-12.446162899659324</v>
      </c>
      <c r="BH126" s="281">
        <f t="shared" si="90"/>
        <v>3.3265271315815461</v>
      </c>
      <c r="BM126" s="281">
        <f>$AZ$20+0.2*(seat_pitch)*($AY$20*n_SA+$AW$5&lt;pax_e)</f>
        <v>18.811999999999998</v>
      </c>
      <c r="BN126" s="281">
        <f>$AX$5+seat_w*($AY$20*n_SA+$AW$5&lt;pax_e)</f>
        <v>-1.31</v>
      </c>
      <c r="BO126" s="281">
        <f t="shared" si="91"/>
        <v>1.0015199999999993</v>
      </c>
      <c r="HY126" s="281">
        <f>$HX$20+0.2*(bus_pitch*(n_rows_b&gt;0))*($HW$20*n_SA_b+$HU$5&lt;pax_b)</f>
        <v>6.5</v>
      </c>
      <c r="HZ126" s="281">
        <f>$HV$5+seat_w_b*($HW$20*n_SA_b+$HU$5&lt;pax_b)</f>
        <v>-1.84</v>
      </c>
      <c r="IA126" s="281">
        <f t="shared" si="92"/>
        <v>-11.310479999999998</v>
      </c>
    </row>
    <row r="127" spans="56:235" x14ac:dyDescent="0.25">
      <c r="BD127" s="281">
        <f t="shared" si="96"/>
        <v>-13.810479999999998</v>
      </c>
      <c r="BE127" s="281">
        <f t="shared" si="97"/>
        <v>-1.9909249999999998</v>
      </c>
      <c r="BF127" s="281">
        <f t="shared" si="98"/>
        <v>0</v>
      </c>
      <c r="BG127" s="281">
        <f t="shared" si="89"/>
        <v>-11.859183382620955</v>
      </c>
      <c r="BH127" s="281">
        <f t="shared" si="90"/>
        <v>3.1071183652543741</v>
      </c>
      <c r="BM127" s="281">
        <f>$AZ$20</f>
        <v>18.649999999999999</v>
      </c>
      <c r="BN127" s="281">
        <f>$AX$5+seat_w*($AY$20*n_SA+$AW$5&lt;pax_e)</f>
        <v>-1.31</v>
      </c>
      <c r="BO127" s="281">
        <f t="shared" si="91"/>
        <v>0.83952000000000027</v>
      </c>
      <c r="HY127" s="281">
        <f>$HX$20</f>
        <v>6.5</v>
      </c>
      <c r="HZ127" s="281">
        <f>$HV$5+seat_w_b*($HW$20*n_SA_b+$HU$5&lt;pax_b)</f>
        <v>-1.84</v>
      </c>
      <c r="IA127" s="281">
        <f t="shared" si="92"/>
        <v>-11.310479999999998</v>
      </c>
    </row>
    <row r="128" spans="56:235" x14ac:dyDescent="0.25">
      <c r="BD128" s="281">
        <f t="shared" si="96"/>
        <v>-5.3938133333333411</v>
      </c>
      <c r="BE128" s="281">
        <f t="shared" si="97"/>
        <v>-1.9909249999999998</v>
      </c>
      <c r="BF128" s="281">
        <f t="shared" si="98"/>
        <v>0</v>
      </c>
      <c r="BG128" s="281">
        <f t="shared" si="89"/>
        <v>-5.4116426530362309</v>
      </c>
      <c r="BH128" s="281">
        <f t="shared" si="90"/>
        <v>0.82069903111332509</v>
      </c>
      <c r="BM128" s="281">
        <f>$AZ$20+1*(seat_pitch)*($AY$20*n_SA+$AW$5&lt;pax_e)</f>
        <v>19.459999999999997</v>
      </c>
      <c r="BN128" s="281">
        <f>$AX$5+seat_w*($AY$20*n_SA+$AW$5&lt;pax_e)</f>
        <v>-1.31</v>
      </c>
      <c r="BO128" s="281">
        <f t="shared" si="91"/>
        <v>1.649519999999999</v>
      </c>
      <c r="HY128" s="281">
        <f>$HX$20+1*(bus_pitch*(n_rows_b&gt;0))*($HW$20*n_SA_b+$HU$5&lt;pax_b)</f>
        <v>6.5</v>
      </c>
      <c r="HZ128" s="281">
        <f>$HV$5+seat_w_b*($HW$20*n_SA_b+$HU$5&lt;pax_b)</f>
        <v>-1.84</v>
      </c>
      <c r="IA128" s="281">
        <f t="shared" si="92"/>
        <v>-11.310479999999998</v>
      </c>
    </row>
    <row r="129" spans="56:235" x14ac:dyDescent="0.25">
      <c r="BD129" s="281">
        <f t="shared" si="96"/>
        <v>3.0228533333333161</v>
      </c>
      <c r="BE129" s="281">
        <f t="shared" si="97"/>
        <v>-1.9909249999999998</v>
      </c>
      <c r="BF129" s="281">
        <f t="shared" si="98"/>
        <v>0</v>
      </c>
      <c r="BG129" s="281">
        <f t="shared" si="89"/>
        <v>1.0358980765484933</v>
      </c>
      <c r="BH129" s="281">
        <f t="shared" si="90"/>
        <v>-1.4657203030277242</v>
      </c>
      <c r="BM129" s="281">
        <f>$AZ$20+0.8*(seat_pitch)*($AY$20*n_SA+$AW$5&lt;pax_e)</f>
        <v>19.297999999999998</v>
      </c>
      <c r="BN129" s="281">
        <f>$AX$5+seat_w*($AY$20*n_SA+$AW$5&lt;pax_e)</f>
        <v>-1.31</v>
      </c>
      <c r="BO129" s="281">
        <f t="shared" si="91"/>
        <v>1.48752</v>
      </c>
      <c r="HY129" s="281">
        <f>$HX$20+0.8*(bus_pitch*(n_rows_b&gt;0))*($HW$20*n_SA_b+$HU$5&lt;pax_b)</f>
        <v>6.5</v>
      </c>
      <c r="HZ129" s="281">
        <f>$HV$5+seat_w_b*($HW$20*n_SA_b+$HU$5&lt;pax_b)</f>
        <v>-1.84</v>
      </c>
      <c r="IA129" s="281">
        <f t="shared" si="92"/>
        <v>-11.310479999999998</v>
      </c>
    </row>
    <row r="130" spans="56:235" x14ac:dyDescent="0.25">
      <c r="BD130" s="281">
        <f t="shared" si="96"/>
        <v>11.439519999999998</v>
      </c>
      <c r="BE130" s="281">
        <f t="shared" si="97"/>
        <v>-1.9909249999999998</v>
      </c>
      <c r="BF130" s="281">
        <f t="shared" si="98"/>
        <v>0</v>
      </c>
      <c r="BG130" s="281">
        <f t="shared" si="89"/>
        <v>7.4834388061332362</v>
      </c>
      <c r="BH130" s="281">
        <f t="shared" si="90"/>
        <v>-3.7521396371687801</v>
      </c>
      <c r="BM130" s="281">
        <f>$AZ$20+0.8*(seat_pitch)*($AY$20*n_SA+$AW$5&lt;pax_e)</f>
        <v>19.297999999999998</v>
      </c>
      <c r="BN130" s="281">
        <f>$AX$5</f>
        <v>-1.84</v>
      </c>
      <c r="BO130" s="281">
        <f t="shared" si="91"/>
        <v>1.48752</v>
      </c>
      <c r="HY130" s="281">
        <f>$HX$20+0.8*(bus_pitch*(n_rows_b&gt;0))*($HW$20*n_SA_b+$HU$5&lt;pax_b)</f>
        <v>6.5</v>
      </c>
      <c r="HZ130" s="281">
        <f>$HV$5</f>
        <v>-1.84</v>
      </c>
      <c r="IA130" s="281">
        <f t="shared" si="92"/>
        <v>-11.310479999999998</v>
      </c>
    </row>
    <row r="131" spans="56:235" x14ac:dyDescent="0.25">
      <c r="BD131" s="281">
        <f t="shared" si="96"/>
        <v>12.395163999999998</v>
      </c>
      <c r="BE131" s="281">
        <f t="shared" si="97"/>
        <v>-1.8421752621635212</v>
      </c>
      <c r="BF131" s="281">
        <f t="shared" si="98"/>
        <v>0.11156230337735895</v>
      </c>
      <c r="BG131" s="281">
        <f t="shared" si="89"/>
        <v>8.3111190703586395</v>
      </c>
      <c r="BH131" s="281">
        <f t="shared" si="90"/>
        <v>-3.8624772696783789</v>
      </c>
      <c r="BM131" s="281">
        <f>$AZ$20+0.2*(seat_pitch)*($AY$20*n_SA+$AW$5&lt;pax_e)</f>
        <v>18.811999999999998</v>
      </c>
      <c r="BN131" s="281">
        <f>$AX$5</f>
        <v>-1.84</v>
      </c>
      <c r="BO131" s="281">
        <f t="shared" si="91"/>
        <v>1.0015199999999993</v>
      </c>
      <c r="HY131" s="281">
        <f>$HX$20+0.2*(bus_pitch*(n_rows_b&gt;0))*($HW$20*n_SA_b+$HU$5&lt;pax_b)</f>
        <v>6.5</v>
      </c>
      <c r="HZ131" s="281">
        <f>$HV$5</f>
        <v>-1.84</v>
      </c>
      <c r="IA131" s="281">
        <f t="shared" si="92"/>
        <v>-11.310479999999998</v>
      </c>
    </row>
    <row r="132" spans="56:235" x14ac:dyDescent="0.25">
      <c r="BD132" s="281">
        <f t="shared" si="96"/>
        <v>13.350807999999997</v>
      </c>
      <c r="BE132" s="281">
        <f t="shared" si="97"/>
        <v>-1.6246601825521971</v>
      </c>
      <c r="BF132" s="281">
        <f t="shared" si="98"/>
        <v>0.27469861308585203</v>
      </c>
      <c r="BG132" s="281">
        <f t="shared" si="89"/>
        <v>9.1830008442527706</v>
      </c>
      <c r="BH132" s="281">
        <f t="shared" si="90"/>
        <v>-3.9038105863241603</v>
      </c>
      <c r="BM132" s="281">
        <f>$AZ$20+(seat_pitch)</f>
        <v>19.459999999999997</v>
      </c>
      <c r="BN132" s="281">
        <f>$AX$5</f>
        <v>-1.84</v>
      </c>
      <c r="BO132" s="281">
        <f t="shared" si="91"/>
        <v>1.649519999999999</v>
      </c>
      <c r="HY132" s="281">
        <f>$HX$20+(bus_pitch*(n_rows_b&gt;0))</f>
        <v>6.5</v>
      </c>
      <c r="HZ132" s="281">
        <f>$HV$5</f>
        <v>-1.84</v>
      </c>
      <c r="IA132" s="281">
        <f t="shared" si="92"/>
        <v>-11.310479999999998</v>
      </c>
    </row>
    <row r="133" spans="56:235" x14ac:dyDescent="0.25">
      <c r="BD133" s="281">
        <f t="shared" si="96"/>
        <v>14.306452</v>
      </c>
      <c r="BE133" s="281">
        <f t="shared" si="97"/>
        <v>-1.370464926274489</v>
      </c>
      <c r="BF133" s="281">
        <f t="shared" si="98"/>
        <v>0.46534505529413311</v>
      </c>
      <c r="BG133" s="281">
        <f t="shared" ref="BG133:BG196" si="99">BD133*COS(RADIANS(view_az))+BE133*SIN(RADIANS(view_az))</f>
        <v>10.078460181229172</v>
      </c>
      <c r="BH133" s="281">
        <f t="shared" ref="BH133:BH196" si="100">BF133*COS(RADIANS(view_el))+(BE133*COS(RADIANS(view_az))-BD133*SIN(RADIANS(view_az)))*SIN(RADIANS(view_el))</f>
        <v>-3.9083362549411556</v>
      </c>
      <c r="BM133" s="281">
        <f>$AZ$21+0.2*(seat_pitch)*($AY$21*n_SA+$AW$5&lt;pax_e)</f>
        <v>19.622</v>
      </c>
      <c r="BN133" s="281">
        <f>$AX$5</f>
        <v>-1.84</v>
      </c>
      <c r="BO133" s="281">
        <f t="shared" ref="BO133:BO196" si="101">BM133-L_fus/2</f>
        <v>1.8115200000000016</v>
      </c>
      <c r="HY133" s="281">
        <f>$HX$21+0.2*(bus_pitch*(n_rows_b&gt;0))*($HW$21*n_SA_b+$HU$5&lt;pax_b)</f>
        <v>6.5</v>
      </c>
      <c r="HZ133" s="281">
        <f>$HV$5</f>
        <v>-1.84</v>
      </c>
      <c r="IA133" s="281">
        <f t="shared" ref="IA133:IA196" si="102">HY133-L_fus/2</f>
        <v>-11.310479999999998</v>
      </c>
    </row>
    <row r="134" spans="56:235" x14ac:dyDescent="0.25">
      <c r="BD134" s="281">
        <f t="shared" si="96"/>
        <v>15.262096</v>
      </c>
      <c r="BE134" s="281">
        <f t="shared" si="97"/>
        <v>-1.0890752323886836</v>
      </c>
      <c r="BF134" s="281">
        <f t="shared" si="98"/>
        <v>0.67638732570848714</v>
      </c>
      <c r="BG134" s="281">
        <f t="shared" si="99"/>
        <v>10.991399765752448</v>
      </c>
      <c r="BH134" s="281">
        <f t="shared" si="100"/>
        <v>-3.8855729795346878</v>
      </c>
      <c r="BM134" s="281">
        <f>$AZ$21+0.2*(seat_pitch)*($AY$21*n_SA+$AW$5&lt;pax_e)</f>
        <v>19.622</v>
      </c>
      <c r="BN134" s="281">
        <f>$AX$5+seat_w*($AY$21*n_SA+$AW$5&lt;pax_e)</f>
        <v>-1.31</v>
      </c>
      <c r="BO134" s="281">
        <f t="shared" si="101"/>
        <v>1.8115200000000016</v>
      </c>
      <c r="HY134" s="281">
        <f>$HX$21+0.2*(bus_pitch*(n_rows_b&gt;0))*($HW$21*n_SA_b+$HU$5&lt;pax_b)</f>
        <v>6.5</v>
      </c>
      <c r="HZ134" s="281">
        <f>$HV$5+seat_w_b*($HW$21*n_SA_b+$HU$5&lt;pax_b)</f>
        <v>-1.84</v>
      </c>
      <c r="IA134" s="281">
        <f t="shared" si="102"/>
        <v>-11.310479999999998</v>
      </c>
    </row>
    <row r="135" spans="56:235" x14ac:dyDescent="0.25">
      <c r="BD135" s="281">
        <f t="shared" si="96"/>
        <v>16.217739999999999</v>
      </c>
      <c r="BE135" s="281">
        <f t="shared" si="97"/>
        <v>-0.78556378059496024</v>
      </c>
      <c r="BF135" s="281">
        <f t="shared" si="98"/>
        <v>0.90402091455377964</v>
      </c>
      <c r="BG135" s="281">
        <f t="shared" si="99"/>
        <v>11.918558942163418</v>
      </c>
      <c r="BH135" s="281">
        <f t="shared" si="100"/>
        <v>-3.8406110684384709</v>
      </c>
      <c r="BM135" s="281">
        <f>$AZ$21</f>
        <v>19.46</v>
      </c>
      <c r="BN135" s="281">
        <f>$AX$5+seat_w*($AY$21*n_SA+$AW$5&lt;pax_e)</f>
        <v>-1.31</v>
      </c>
      <c r="BO135" s="281">
        <f t="shared" si="101"/>
        <v>1.6495200000000025</v>
      </c>
      <c r="HY135" s="281">
        <f>$HX$21</f>
        <v>6.5</v>
      </c>
      <c r="HZ135" s="281">
        <f>$HV$5+seat_w_b*($HW$21*n_SA_b+$HU$5&lt;pax_b)</f>
        <v>-1.84</v>
      </c>
      <c r="IA135" s="281">
        <f t="shared" si="102"/>
        <v>-11.310479999999998</v>
      </c>
    </row>
    <row r="136" spans="56:235" x14ac:dyDescent="0.25">
      <c r="BD136" s="281">
        <f t="shared" si="96"/>
        <v>17.173383999999999</v>
      </c>
      <c r="BE136" s="281">
        <f t="shared" si="97"/>
        <v>-0.46317309305852405</v>
      </c>
      <c r="BF136" s="281">
        <f t="shared" si="98"/>
        <v>1.1458139302061068</v>
      </c>
      <c r="BG136" s="281">
        <f t="shared" si="99"/>
        <v>12.857853457390156</v>
      </c>
      <c r="BH136" s="281">
        <f t="shared" si="100"/>
        <v>-3.7767043122672002</v>
      </c>
      <c r="BM136" s="281">
        <f>$AZ$21+1*(seat_pitch)*($AY$21*n_SA+$AW$5&lt;pax_e)</f>
        <v>20.27</v>
      </c>
      <c r="BN136" s="281">
        <f>$AX$5+seat_w*($AY$21*n_SA+$AW$5&lt;pax_e)</f>
        <v>-1.31</v>
      </c>
      <c r="BO136" s="281">
        <f t="shared" si="101"/>
        <v>2.4595200000000013</v>
      </c>
      <c r="HY136" s="281">
        <f>$HX$21+1*(bus_pitch*(n_rows_b&gt;0))*($HW$21*n_SA_b+$HU$5&lt;pax_b)</f>
        <v>6.5</v>
      </c>
      <c r="HZ136" s="281">
        <f>$HV$5+seat_w_b*($HW$21*n_SA_b+$HU$5&lt;pax_b)</f>
        <v>-1.84</v>
      </c>
      <c r="IA136" s="281">
        <f t="shared" si="102"/>
        <v>-11.310479999999998</v>
      </c>
    </row>
    <row r="137" spans="56:235" x14ac:dyDescent="0.25">
      <c r="BD137" s="281">
        <f t="shared" si="96"/>
        <v>17.810479999999998</v>
      </c>
      <c r="BE137" s="281">
        <f t="shared" si="97"/>
        <v>-0.23891099999999998</v>
      </c>
      <c r="BF137" s="281">
        <f t="shared" si="98"/>
        <v>1.3140105</v>
      </c>
      <c r="BG137" s="281">
        <f t="shared" si="99"/>
        <v>13.490050202663873</v>
      </c>
      <c r="BH137" s="281">
        <f t="shared" si="100"/>
        <v>-3.7247323991329058</v>
      </c>
      <c r="BM137" s="281">
        <f>$AZ$21+0.8*(seat_pitch)*($AY$21*n_SA+$AW$5&lt;pax_e)</f>
        <v>20.108000000000001</v>
      </c>
      <c r="BN137" s="281">
        <f>$AX$5+seat_w*($AY$21*n_SA+$AW$5&lt;pax_e)</f>
        <v>-1.31</v>
      </c>
      <c r="BO137" s="281">
        <f t="shared" si="101"/>
        <v>2.2975200000000022</v>
      </c>
      <c r="HY137" s="281">
        <f>$HX$21+0.8*(bus_pitch*(n_rows_b&gt;0))*($HW$21*n_SA_b+$HU$5&lt;pax_b)</f>
        <v>6.5</v>
      </c>
      <c r="HZ137" s="281">
        <f>$HV$5+seat_w_b*($HW$21*n_SA_b+$HU$5&lt;pax_b)</f>
        <v>-1.84</v>
      </c>
      <c r="IA137" s="281">
        <f t="shared" si="102"/>
        <v>-11.310479999999998</v>
      </c>
    </row>
    <row r="138" spans="56:235" x14ac:dyDescent="0.25">
      <c r="BD138" s="281">
        <f>T23-L_fus/2</f>
        <v>17.810479999999998</v>
      </c>
      <c r="BE138" s="281">
        <f>U23*-0.86603</f>
        <v>-0.20690409332999998</v>
      </c>
      <c r="BF138" s="281">
        <f>V23+U23*-0.5</f>
        <v>1.194555</v>
      </c>
      <c r="BG138" s="281">
        <f t="shared" si="99"/>
        <v>13.510623845695742</v>
      </c>
      <c r="BH138" s="281">
        <f t="shared" si="100"/>
        <v>-3.8226337931207812</v>
      </c>
      <c r="BM138" s="281">
        <f>$AZ$21+0.8*(seat_pitch)*($AY$21*n_SA+$AW$5&lt;pax_e)</f>
        <v>20.108000000000001</v>
      </c>
      <c r="BN138" s="281">
        <f>$AX$5</f>
        <v>-1.84</v>
      </c>
      <c r="BO138" s="281">
        <f t="shared" si="101"/>
        <v>2.2975200000000022</v>
      </c>
      <c r="HY138" s="281">
        <f>$HX$21+0.8*(bus_pitch*(n_rows_b&gt;0))*($HW$21*n_SA_b+$HU$5&lt;pax_b)</f>
        <v>6.5</v>
      </c>
      <c r="HZ138" s="281">
        <f>$HV$5</f>
        <v>-1.84</v>
      </c>
      <c r="IA138" s="281">
        <f t="shared" si="102"/>
        <v>-11.310479999999998</v>
      </c>
    </row>
    <row r="139" spans="56:235" x14ac:dyDescent="0.25">
      <c r="BD139" s="281">
        <f>T22-L_fus/2</f>
        <v>17.173383999999999</v>
      </c>
      <c r="BE139" s="281">
        <f>U22*-0.86603</f>
        <v>-0.40112179378147356</v>
      </c>
      <c r="BF139" s="281">
        <f>V22+U22*-0.5</f>
        <v>0.91422738367684475</v>
      </c>
      <c r="BG139" s="281">
        <f t="shared" si="99"/>
        <v>12.897739263730395</v>
      </c>
      <c r="BH139" s="281">
        <f t="shared" si="100"/>
        <v>-3.9665042439074587</v>
      </c>
      <c r="BM139" s="281">
        <f>$AZ$21+0.2*(seat_pitch)*($AY$21*n_SA+$AW$5&lt;pax_e)</f>
        <v>19.622</v>
      </c>
      <c r="BN139" s="281">
        <f>$AX$5</f>
        <v>-1.84</v>
      </c>
      <c r="BO139" s="281">
        <f t="shared" si="101"/>
        <v>1.8115200000000016</v>
      </c>
      <c r="HY139" s="281">
        <f>$HX$21+0.2*(bus_pitch*(n_rows_b&gt;0))*($HW$21*n_SA_b+$HU$5&lt;pax_b)</f>
        <v>6.5</v>
      </c>
      <c r="HZ139" s="281">
        <f>$HV$5</f>
        <v>-1.84</v>
      </c>
      <c r="IA139" s="281">
        <f t="shared" si="102"/>
        <v>-11.310479999999998</v>
      </c>
    </row>
    <row r="140" spans="56:235" x14ac:dyDescent="0.25">
      <c r="BD140" s="281">
        <f>T21-L_fus/2</f>
        <v>16.217739999999999</v>
      </c>
      <c r="BE140" s="281">
        <f>U21*-0.86603</f>
        <v>-0.68032180090865335</v>
      </c>
      <c r="BF140" s="281">
        <f>V21+U21*-0.5</f>
        <v>0.51123902425629952</v>
      </c>
      <c r="BG140" s="281">
        <f t="shared" si="99"/>
        <v>11.986207182724659</v>
      </c>
      <c r="BH140" s="281">
        <f t="shared" si="100"/>
        <v>-4.1625208557091806</v>
      </c>
      <c r="BM140" s="281">
        <f>$AZ$21+(seat_pitch)</f>
        <v>20.27</v>
      </c>
      <c r="BN140" s="281">
        <f>$AX$5</f>
        <v>-1.84</v>
      </c>
      <c r="BO140" s="281">
        <f t="shared" si="101"/>
        <v>2.4595200000000013</v>
      </c>
      <c r="HY140" s="281">
        <f>$HX$21+(bus_pitch*(n_rows_b&gt;0))</f>
        <v>6.5</v>
      </c>
      <c r="HZ140" s="281">
        <f>$HV$5</f>
        <v>-1.84</v>
      </c>
      <c r="IA140" s="281">
        <f t="shared" si="102"/>
        <v>-11.310479999999998</v>
      </c>
    </row>
    <row r="141" spans="56:235" x14ac:dyDescent="0.25">
      <c r="BD141" s="281">
        <f>T20-L_fus/2</f>
        <v>15.262096</v>
      </c>
      <c r="BE141" s="281">
        <f>U20*-0.86603</f>
        <v>-0.94317182350557172</v>
      </c>
      <c r="BF141" s="281">
        <f>V20+U20*-0.5</f>
        <v>0.13184970951414532</v>
      </c>
      <c r="BG141" s="281">
        <f t="shared" si="99"/>
        <v>11.085184669193541</v>
      </c>
      <c r="BH141" s="281">
        <f t="shared" si="100"/>
        <v>-4.3318562540951815</v>
      </c>
      <c r="BM141" s="281">
        <f>$AZ$22+0.2*(seat_pitch)*($AY$22*n_SA+$AW$5&lt;pax_e)</f>
        <v>20.432000000000002</v>
      </c>
      <c r="BN141" s="281">
        <f>$AX$5</f>
        <v>-1.84</v>
      </c>
      <c r="BO141" s="281">
        <f t="shared" si="101"/>
        <v>2.6215200000000038</v>
      </c>
      <c r="HY141" s="281">
        <f>$HX$22+0.2*(bus_pitch*(n_rows_b&gt;0))*($HW$22*n_SA_b+$HU$5&lt;pax_b)</f>
        <v>6.5</v>
      </c>
      <c r="HZ141" s="281">
        <f>$HV$5</f>
        <v>-1.84</v>
      </c>
      <c r="IA141" s="281">
        <f t="shared" si="102"/>
        <v>-11.310479999999998</v>
      </c>
    </row>
    <row r="142" spans="56:235" x14ac:dyDescent="0.25">
      <c r="BD142" s="281">
        <f>T19-L_fus/2</f>
        <v>14.306452</v>
      </c>
      <c r="BE142" s="281">
        <f>U19*-0.86603</f>
        <v>-1.1868637401014956</v>
      </c>
      <c r="BF142" s="281">
        <f>V19+U19*-0.5</f>
        <v>-0.21988740784311139</v>
      </c>
      <c r="BG142" s="281">
        <f t="shared" si="99"/>
        <v>10.196476748824924</v>
      </c>
      <c r="BH142" s="281">
        <f t="shared" si="100"/>
        <v>-4.4699279216863612</v>
      </c>
      <c r="BM142" s="281">
        <f>$AZ$22+0.2*(seat_pitch)*($AY$22*n_SA+$AW$5&lt;pax_e)</f>
        <v>20.432000000000002</v>
      </c>
      <c r="BN142" s="281">
        <f>$AX$5+seat_w*($AY$22*n_SA+$AW$5&lt;pax_e)</f>
        <v>-1.31</v>
      </c>
      <c r="BO142" s="281">
        <f t="shared" si="101"/>
        <v>2.6215200000000038</v>
      </c>
      <c r="HY142" s="281">
        <f>$HX$22+0.2*(bus_pitch*(n_rows_b&gt;0))*($HW$22*n_SA_b+$HU$5&lt;pax_b)</f>
        <v>6.5</v>
      </c>
      <c r="HZ142" s="281">
        <f>$HV$5+seat_w_b*($HW$22*n_SA_b+$HU$5&lt;pax_b)</f>
        <v>-1.84</v>
      </c>
      <c r="IA142" s="281">
        <f t="shared" si="102"/>
        <v>-11.310479999999998</v>
      </c>
    </row>
    <row r="143" spans="56:235" x14ac:dyDescent="0.25">
      <c r="BD143" s="281">
        <f>T18-L_fus/2</f>
        <v>13.350807999999997</v>
      </c>
      <c r="BE143" s="281">
        <f>U18*-0.86603</f>
        <v>-1.4070044578956793</v>
      </c>
      <c r="BF143" s="281">
        <f>V18+U18*-0.5</f>
        <v>-0.53763147819024648</v>
      </c>
      <c r="BG143" s="281">
        <f t="shared" si="99"/>
        <v>9.3229072472393266</v>
      </c>
      <c r="BH143" s="281">
        <f t="shared" si="100"/>
        <v>-4.5695668580255759</v>
      </c>
      <c r="BM143" s="281">
        <f>$AZ$22</f>
        <v>20.270000000000003</v>
      </c>
      <c r="BN143" s="281">
        <f>$AX$5+seat_w*($AY$22*n_SA+$AW$5&lt;pax_e)</f>
        <v>-1.31</v>
      </c>
      <c r="BO143" s="281">
        <f t="shared" si="101"/>
        <v>2.4595200000000048</v>
      </c>
      <c r="HY143" s="281">
        <f>$HX$22</f>
        <v>6.5</v>
      </c>
      <c r="HZ143" s="281">
        <f>$HV$5+seat_w_b*($HW$22*n_SA_b+$HU$5&lt;pax_b)</f>
        <v>-1.84</v>
      </c>
      <c r="IA143" s="281">
        <f t="shared" si="102"/>
        <v>-11.310479999999998</v>
      </c>
    </row>
    <row r="144" spans="56:235" x14ac:dyDescent="0.25">
      <c r="BD144" s="281">
        <f>T17-L_fus/2</f>
        <v>12.395163999999998</v>
      </c>
      <c r="BE144" s="281">
        <f>U17*-0.86603</f>
        <v>-1.5953790422914742</v>
      </c>
      <c r="BF144" s="281">
        <f>V17+U17*-0.5</f>
        <v>-0.80952532770440166</v>
      </c>
      <c r="BG144" s="281">
        <f t="shared" si="99"/>
        <v>8.4697566226098662</v>
      </c>
      <c r="BH144" s="281">
        <f t="shared" si="100"/>
        <v>-4.6173672753113939</v>
      </c>
      <c r="BM144" s="281">
        <f>$AZ$22+1*(seat_pitch)*($AY$22*n_SA+$AW$5&lt;pax_e)</f>
        <v>21.080000000000002</v>
      </c>
      <c r="BN144" s="281">
        <f>$AX$5+seat_w*($AY$22*n_SA+$AW$5&lt;pax_e)</f>
        <v>-1.31</v>
      </c>
      <c r="BO144" s="281">
        <f t="shared" si="101"/>
        <v>3.2695200000000035</v>
      </c>
      <c r="HY144" s="281">
        <f>$HX$22+1*(bus_pitch*(n_rows_b&gt;0))*($HW$22*n_SA_b+$HU$5&lt;pax_b)</f>
        <v>6.5</v>
      </c>
      <c r="HZ144" s="281">
        <f>$HV$5+seat_w_b*($HW$22*n_SA_b+$HU$5&lt;pax_b)</f>
        <v>-1.84</v>
      </c>
      <c r="IA144" s="281">
        <f t="shared" si="102"/>
        <v>-11.310479999999998</v>
      </c>
    </row>
    <row r="145" spans="56:235" x14ac:dyDescent="0.25">
      <c r="BD145" s="281">
        <f>T16-L_fus/2</f>
        <v>11.439519999999998</v>
      </c>
      <c r="BE145" s="281">
        <f>U16*-0.86603</f>
        <v>-1.7242007777499997</v>
      </c>
      <c r="BF145" s="281">
        <f>V16+U16*-0.5</f>
        <v>-0.99546249999999992</v>
      </c>
      <c r="BG145" s="281">
        <f t="shared" si="99"/>
        <v>7.6548858313988148</v>
      </c>
      <c r="BH145" s="281">
        <f t="shared" si="100"/>
        <v>-4.5679845870677456</v>
      </c>
      <c r="BM145" s="281">
        <f>$AZ$22+0.8*(seat_pitch)*($AY$22*n_SA+$AW$5&lt;pax_e)</f>
        <v>20.918000000000003</v>
      </c>
      <c r="BN145" s="281">
        <f>$AX$5+seat_w*($AY$22*n_SA+$AW$5&lt;pax_e)</f>
        <v>-1.31</v>
      </c>
      <c r="BO145" s="281">
        <f t="shared" si="101"/>
        <v>3.1075200000000045</v>
      </c>
      <c r="HY145" s="281">
        <f>$HX$22+0.8*(bus_pitch*(n_rows_b&gt;0))*($HW$22*n_SA_b+$HU$5&lt;pax_b)</f>
        <v>6.5</v>
      </c>
      <c r="HZ145" s="281">
        <f>$HV$5+seat_w_b*($HW$22*n_SA_b+$HU$5&lt;pax_b)</f>
        <v>-1.84</v>
      </c>
      <c r="IA145" s="281">
        <f t="shared" si="102"/>
        <v>-11.310479999999998</v>
      </c>
    </row>
    <row r="146" spans="56:235" x14ac:dyDescent="0.25">
      <c r="BD146" s="281">
        <f>T15-L_fus/2</f>
        <v>3.0228533333333161</v>
      </c>
      <c r="BE146" s="281">
        <f>U15*-0.86603</f>
        <v>-1.7242007777499997</v>
      </c>
      <c r="BF146" s="281">
        <f>V15+U15*-0.5</f>
        <v>-0.99546249999999992</v>
      </c>
      <c r="BG146" s="281">
        <f t="shared" si="99"/>
        <v>1.2073451018140722</v>
      </c>
      <c r="BH146" s="281">
        <f t="shared" si="100"/>
        <v>-2.2815652529266894</v>
      </c>
      <c r="BM146" s="281">
        <f>$AZ$22+0.8*(seat_pitch)*($AY$22*n_SA+$AW$5&lt;pax_e)</f>
        <v>20.918000000000003</v>
      </c>
      <c r="BN146" s="281">
        <f>$AX$5</f>
        <v>-1.84</v>
      </c>
      <c r="BO146" s="281">
        <f t="shared" si="101"/>
        <v>3.1075200000000045</v>
      </c>
      <c r="HY146" s="281">
        <f>$HX$22+0.8*(bus_pitch*(n_rows_b&gt;0))*($HW$22*n_SA_b+$HU$5&lt;pax_b)</f>
        <v>6.5</v>
      </c>
      <c r="HZ146" s="281">
        <f>$HV$5</f>
        <v>-1.84</v>
      </c>
      <c r="IA146" s="281">
        <f t="shared" si="102"/>
        <v>-11.310479999999998</v>
      </c>
    </row>
    <row r="147" spans="56:235" x14ac:dyDescent="0.25">
      <c r="BD147" s="281">
        <f>T14-L_fus/2</f>
        <v>-5.3938133333333411</v>
      </c>
      <c r="BE147" s="281">
        <f>U14*-0.86603</f>
        <v>-1.7242007777499997</v>
      </c>
      <c r="BF147" s="281">
        <f>V14+U14*-0.5</f>
        <v>-0.99546249999999992</v>
      </c>
      <c r="BG147" s="281">
        <f t="shared" si="99"/>
        <v>-5.2401956277706523</v>
      </c>
      <c r="BH147" s="281">
        <f t="shared" si="100"/>
        <v>4.8540812143600398E-3</v>
      </c>
      <c r="BM147" s="281">
        <f>$AZ$22+0.2*(seat_pitch)*($AY$22*n_SA+$AW$5&lt;pax_e)</f>
        <v>20.432000000000002</v>
      </c>
      <c r="BN147" s="281">
        <f>$AX$5</f>
        <v>-1.84</v>
      </c>
      <c r="BO147" s="281">
        <f t="shared" si="101"/>
        <v>2.6215200000000038</v>
      </c>
      <c r="HY147" s="281">
        <f>$HX$22+0.2*(bus_pitch*(n_rows_b&gt;0))*($HW$22*n_SA_b+$HU$5&lt;pax_b)</f>
        <v>6.5</v>
      </c>
      <c r="HZ147" s="281">
        <f>$HV$5</f>
        <v>-1.84</v>
      </c>
      <c r="IA147" s="281">
        <f t="shared" si="102"/>
        <v>-11.310479999999998</v>
      </c>
    </row>
    <row r="148" spans="56:235" x14ac:dyDescent="0.25">
      <c r="BD148" s="281">
        <f>T13-L_fus/2</f>
        <v>-13.810479999999998</v>
      </c>
      <c r="BE148" s="281">
        <f>U13*-0.86603</f>
        <v>-1.7242007777499997</v>
      </c>
      <c r="BF148" s="281">
        <f>V13+U13*-0.5</f>
        <v>-0.99546249999999992</v>
      </c>
      <c r="BG148" s="281">
        <f t="shared" si="99"/>
        <v>-11.687736357355377</v>
      </c>
      <c r="BH148" s="281">
        <f t="shared" si="100"/>
        <v>2.2912734153554095</v>
      </c>
      <c r="BM148" s="281">
        <f>$AZ$22+(seat_pitch)</f>
        <v>21.080000000000002</v>
      </c>
      <c r="BN148" s="281">
        <f>$AX$5</f>
        <v>-1.84</v>
      </c>
      <c r="BO148" s="281">
        <f t="shared" si="101"/>
        <v>3.2695200000000035</v>
      </c>
      <c r="HY148" s="281">
        <f>$HX$22+(bus_pitch*(n_rows_b&gt;0))</f>
        <v>6.5</v>
      </c>
      <c r="HZ148" s="281">
        <f>$HV$5</f>
        <v>-1.84</v>
      </c>
      <c r="IA148" s="281">
        <f t="shared" si="102"/>
        <v>-11.310479999999998</v>
      </c>
    </row>
    <row r="149" spans="56:235" x14ac:dyDescent="0.25">
      <c r="BD149" s="281">
        <f>T12-L_fus/2</f>
        <v>-14.610479999999999</v>
      </c>
      <c r="BE149" s="281">
        <f>U12*-0.86603</f>
        <v>-1.6893648478389611</v>
      </c>
      <c r="BF149" s="281">
        <f>V12+U12*-0.5</f>
        <v>-0.98741752929204785</v>
      </c>
      <c r="BG149" s="281">
        <f t="shared" si="99"/>
        <v>-12.278179807731835</v>
      </c>
      <c r="BH149" s="281">
        <f t="shared" si="100"/>
        <v>2.5271655969899571</v>
      </c>
      <c r="BM149" s="281">
        <f>$AZ$23+0.2*(seat_pitch)*($AY$23*n_SA+$AW$5&lt;pax_e)</f>
        <v>21.242000000000001</v>
      </c>
      <c r="BN149" s="281">
        <f>$AX$5</f>
        <v>-1.84</v>
      </c>
      <c r="BO149" s="281">
        <f t="shared" si="101"/>
        <v>3.4315200000000026</v>
      </c>
      <c r="HY149" s="281">
        <f>$HX$23+0.2*(bus_pitch*(n_rows_b&gt;0))*($HW$23*n_SA_b+$HU$5&lt;pax_b)</f>
        <v>6.5</v>
      </c>
      <c r="HZ149" s="281">
        <f>$HV$5</f>
        <v>-1.84</v>
      </c>
      <c r="IA149" s="281">
        <f t="shared" si="102"/>
        <v>-11.310479999999998</v>
      </c>
    </row>
    <row r="150" spans="56:235" x14ac:dyDescent="0.25">
      <c r="BD150" s="281">
        <f>T11-L_fus/2</f>
        <v>-15.410479999999998</v>
      </c>
      <c r="BE150" s="281">
        <f>U11*-0.86603</f>
        <v>-1.5802561154682211</v>
      </c>
      <c r="BF150" s="281">
        <f>V11+U11*-0.5</f>
        <v>-0.96222008061919817</v>
      </c>
      <c r="BG150" s="281">
        <f t="shared" si="99"/>
        <v>-12.820881620950502</v>
      </c>
      <c r="BH150" s="281">
        <f t="shared" si="100"/>
        <v>2.8026486046833439</v>
      </c>
      <c r="BM150" s="281">
        <f>$AZ$23+0.2*(seat_pitch)*($AY$23*n_SA+$AW$5&lt;pax_e)</f>
        <v>21.242000000000001</v>
      </c>
      <c r="BN150" s="281">
        <f>$AX$5+seat_w*($AY$23*n_SA+$AW$5&lt;pax_e)</f>
        <v>-1.31</v>
      </c>
      <c r="BO150" s="281">
        <f t="shared" si="101"/>
        <v>3.4315200000000026</v>
      </c>
      <c r="HY150" s="281">
        <f>$HX$23+0.2*(bus_pitch*(n_rows_b&gt;0))*($HW$23*n_SA_b+$HU$5&lt;pax_b)</f>
        <v>6.5</v>
      </c>
      <c r="HZ150" s="281">
        <f>$HV$5+seat_w_b*($HW$23*n_SA_b+$HU$5&lt;pax_b)</f>
        <v>-1.84</v>
      </c>
      <c r="IA150" s="281">
        <f t="shared" si="102"/>
        <v>-11.310479999999998</v>
      </c>
    </row>
    <row r="151" spans="56:235" x14ac:dyDescent="0.25">
      <c r="BD151" s="281">
        <f>T10-L_fus/2</f>
        <v>-16.010479999999998</v>
      </c>
      <c r="BE151" s="281">
        <f>U10*-0.86603</f>
        <v>-1.4399915467080384</v>
      </c>
      <c r="BF151" s="281">
        <f>V10+U10*-0.5</f>
        <v>-0.92982753792202077</v>
      </c>
      <c r="BG151" s="281">
        <f t="shared" si="99"/>
        <v>-13.190347959944816</v>
      </c>
      <c r="BH151" s="281">
        <f t="shared" si="100"/>
        <v>3.0404083523184555</v>
      </c>
      <c r="BM151" s="281">
        <f>$AZ$23</f>
        <v>21.080000000000002</v>
      </c>
      <c r="BN151" s="281">
        <f>$AX$5+seat_w*($AY$23*n_SA+$AW$5&lt;pax_e)</f>
        <v>-1.31</v>
      </c>
      <c r="BO151" s="281">
        <f t="shared" si="101"/>
        <v>3.2695200000000035</v>
      </c>
      <c r="HY151" s="281">
        <f>$HX$23</f>
        <v>6.5</v>
      </c>
      <c r="HZ151" s="281">
        <f>$HV$5+seat_w_b*($HW$23*n_SA_b+$HU$5&lt;pax_b)</f>
        <v>-1.84</v>
      </c>
      <c r="IA151" s="281">
        <f t="shared" si="102"/>
        <v>-11.310479999999998</v>
      </c>
    </row>
    <row r="152" spans="56:235" x14ac:dyDescent="0.25">
      <c r="BD152" s="281">
        <f>T9-L_fus/2</f>
        <v>-16.610479999999999</v>
      </c>
      <c r="BE152" s="281">
        <f>U9*-0.86603</f>
        <v>-1.231325645073954</v>
      </c>
      <c r="BF152" s="281">
        <f>V9+U9*-0.5</f>
        <v>-0.88163846788193334</v>
      </c>
      <c r="BG152" s="281">
        <f t="shared" si="99"/>
        <v>-13.515846769681744</v>
      </c>
      <c r="BH152" s="281">
        <f t="shared" si="100"/>
        <v>3.3146291621771535</v>
      </c>
      <c r="BM152" s="281">
        <f>$AZ$23+1*(seat_pitch)*($AY$23*n_SA+$AW$5&lt;pax_e)</f>
        <v>21.89</v>
      </c>
      <c r="BN152" s="281">
        <f>$AX$5+seat_w*($AY$23*n_SA+$AW$5&lt;pax_e)</f>
        <v>-1.31</v>
      </c>
      <c r="BO152" s="281">
        <f t="shared" si="101"/>
        <v>4.0795200000000023</v>
      </c>
      <c r="HY152" s="281">
        <f>$HX$23+1*(bus_pitch*(n_rows_b&gt;0))*($HW$23*n_SA_b+$HU$5&lt;pax_b)</f>
        <v>6.5</v>
      </c>
      <c r="HZ152" s="281">
        <f>$HV$5+seat_w_b*($HW$23*n_SA_b+$HU$5&lt;pax_b)</f>
        <v>-1.84</v>
      </c>
      <c r="IA152" s="281">
        <f t="shared" si="102"/>
        <v>-11.310479999999998</v>
      </c>
    </row>
    <row r="153" spans="56:235" x14ac:dyDescent="0.25">
      <c r="BD153" s="281">
        <f>T8-L_fus/2</f>
        <v>-17.210479999999997</v>
      </c>
      <c r="BE153" s="281">
        <f>U8*-0.86603</f>
        <v>-0.90827911973866993</v>
      </c>
      <c r="BF153" s="281">
        <f>V8+U8*-0.5</f>
        <v>-0.8070344644789833</v>
      </c>
      <c r="BG153" s="281">
        <f t="shared" si="99"/>
        <v>-13.767823131715321</v>
      </c>
      <c r="BH153" s="281">
        <f t="shared" si="100"/>
        <v>3.6498201149076337</v>
      </c>
      <c r="BM153" s="281">
        <f>$AZ$23+0.8*(seat_pitch)*($AY$23*n_SA+$AW$5&lt;pax_e)</f>
        <v>21.728000000000002</v>
      </c>
      <c r="BN153" s="281">
        <f>$AX$5+seat_w*($AY$23*n_SA+$AW$5&lt;pax_e)</f>
        <v>-1.31</v>
      </c>
      <c r="BO153" s="281">
        <f t="shared" si="101"/>
        <v>3.9175200000000032</v>
      </c>
      <c r="HY153" s="281">
        <f>$HX$23+0.8*(bus_pitch*(n_rows_b&gt;0))*($HW$23*n_SA_b+$HU$5&lt;pax_b)</f>
        <v>6.5</v>
      </c>
      <c r="HZ153" s="281">
        <f>$HV$5+seat_w_b*($HW$23*n_SA_b+$HU$5&lt;pax_b)</f>
        <v>-1.84</v>
      </c>
      <c r="IA153" s="281">
        <f t="shared" si="102"/>
        <v>-11.310479999999998</v>
      </c>
    </row>
    <row r="154" spans="56:235" x14ac:dyDescent="0.25">
      <c r="BD154" s="281">
        <f>T7-L_fus/2</f>
        <v>-17.530479999999997</v>
      </c>
      <c r="BE154" s="281">
        <f>U7*-0.86603</f>
        <v>-0.63374640851159847</v>
      </c>
      <c r="BF154" s="281">
        <f>V7+U7*-0.5</f>
        <v>-0.74363418706894635</v>
      </c>
      <c r="BG154" s="281">
        <f t="shared" si="99"/>
        <v>-13.836491128282978</v>
      </c>
      <c r="BH154" s="281">
        <f t="shared" si="100"/>
        <v>3.8830879102584639</v>
      </c>
      <c r="BM154" s="281">
        <f>$AZ$23+0.8*(seat_pitch)*($AY$23*n_SA+$AW$5&lt;pax_e)</f>
        <v>21.728000000000002</v>
      </c>
      <c r="BN154" s="281">
        <f>$AX$5</f>
        <v>-1.84</v>
      </c>
      <c r="BO154" s="281">
        <f t="shared" si="101"/>
        <v>3.9175200000000032</v>
      </c>
      <c r="HY154" s="281">
        <f>$HX$23+0.8*(bus_pitch*(n_rows_b&gt;0))*($HW$23*n_SA_b+$HU$5&lt;pax_b)</f>
        <v>6.5</v>
      </c>
      <c r="HZ154" s="281">
        <f>$HV$5</f>
        <v>-1.84</v>
      </c>
      <c r="IA154" s="281">
        <f t="shared" si="102"/>
        <v>-11.310479999999998</v>
      </c>
    </row>
    <row r="155" spans="56:235" x14ac:dyDescent="0.25">
      <c r="BD155" s="281">
        <f>T6-L_fus/2</f>
        <v>-17.73048</v>
      </c>
      <c r="BE155" s="281">
        <f>U6*-0.86603</f>
        <v>-0.34311162258214301</v>
      </c>
      <c r="BF155" s="281">
        <f>V6+U6*-0.5</f>
        <v>-0.67651531452885993</v>
      </c>
      <c r="BG155" s="281">
        <f t="shared" si="99"/>
        <v>-13.802883577567423</v>
      </c>
      <c r="BH155" s="281">
        <f t="shared" si="100"/>
        <v>4.0923403995053818</v>
      </c>
      <c r="BM155" s="281">
        <f>$AZ$23+0.2*(seat_pitch)*($AY$23*n_SA+$AW$5&lt;pax_e)</f>
        <v>21.242000000000001</v>
      </c>
      <c r="BN155" s="281">
        <f>$AX$5</f>
        <v>-1.84</v>
      </c>
      <c r="BO155" s="281">
        <f t="shared" si="101"/>
        <v>3.4315200000000026</v>
      </c>
      <c r="HY155" s="281">
        <f>$HX$23+0.2*(bus_pitch*(n_rows_b&gt;0))*($HW$23*n_SA_b+$HU$5&lt;pax_b)</f>
        <v>6.5</v>
      </c>
      <c r="HZ155" s="281">
        <f>$HV$5</f>
        <v>-1.84</v>
      </c>
      <c r="IA155" s="281">
        <f t="shared" si="102"/>
        <v>-11.310479999999998</v>
      </c>
    </row>
    <row r="156" spans="56:235" x14ac:dyDescent="0.25">
      <c r="BD156" s="281">
        <f>T5-L_fus/2</f>
        <v>-17.810479999999998</v>
      </c>
      <c r="BE156" s="281">
        <f>U5*-0.86603</f>
        <v>0</v>
      </c>
      <c r="BF156" s="281">
        <f>V5+U5*-0.5</f>
        <v>-0.59727749999999991</v>
      </c>
      <c r="BG156" s="281">
        <f t="shared" si="99"/>
        <v>-13.643619233281694</v>
      </c>
      <c r="BH156" s="281">
        <f t="shared" si="100"/>
        <v>4.2969670068469323</v>
      </c>
      <c r="BM156" s="281">
        <f>$AZ$23+(seat_pitch)</f>
        <v>21.89</v>
      </c>
      <c r="BN156" s="281">
        <f>$AX$5</f>
        <v>-1.84</v>
      </c>
      <c r="BO156" s="281">
        <f t="shared" si="101"/>
        <v>4.0795200000000023</v>
      </c>
      <c r="HY156" s="281">
        <f>$HX$23+(bus_pitch*(n_rows_b&gt;0))</f>
        <v>6.5</v>
      </c>
      <c r="HZ156" s="281">
        <f>$HV$5</f>
        <v>-1.84</v>
      </c>
      <c r="IA156" s="281">
        <f t="shared" si="102"/>
        <v>-11.310479999999998</v>
      </c>
    </row>
    <row r="157" spans="56:235" x14ac:dyDescent="0.25">
      <c r="BD157" s="281">
        <f t="shared" ref="BD157:BD175" si="103">T5-L_fus/2</f>
        <v>-17.810479999999998</v>
      </c>
      <c r="BE157" s="281">
        <f t="shared" ref="BE157:BE175" si="104">U5*-0.5</f>
        <v>0</v>
      </c>
      <c r="BF157" s="281">
        <f t="shared" ref="BF157:BF175" si="105">V5+U5*-0.86603</f>
        <v>-0.59727749999999991</v>
      </c>
      <c r="BG157" s="281">
        <f t="shared" si="99"/>
        <v>-13.643619233281694</v>
      </c>
      <c r="BH157" s="281">
        <f t="shared" si="100"/>
        <v>4.2969670068469323</v>
      </c>
      <c r="BM157" s="281">
        <f>$AZ$24+0.2*(seat_pitch)*($AY$24*n_SA+$AW$5&lt;pax_e)</f>
        <v>22.052</v>
      </c>
      <c r="BN157" s="281">
        <f>$AX$5</f>
        <v>-1.84</v>
      </c>
      <c r="BO157" s="281">
        <f t="shared" si="101"/>
        <v>4.2415200000000013</v>
      </c>
      <c r="HY157" s="281">
        <f>$HX$24+0.2*(bus_pitch*(n_rows_b&gt;0))*($HW$24*n_SA_b+$HU$5&lt;pax_b)</f>
        <v>6.5</v>
      </c>
      <c r="HZ157" s="281">
        <f>$HV$5</f>
        <v>-1.84</v>
      </c>
      <c r="IA157" s="281">
        <f t="shared" si="102"/>
        <v>-11.310479999999998</v>
      </c>
    </row>
    <row r="158" spans="56:235" x14ac:dyDescent="0.25">
      <c r="BD158" s="281">
        <f t="shared" si="103"/>
        <v>-17.73048</v>
      </c>
      <c r="BE158" s="281">
        <f t="shared" si="104"/>
        <v>-0.19809453632214993</v>
      </c>
      <c r="BF158" s="281">
        <f t="shared" si="105"/>
        <v>-0.82153240078885292</v>
      </c>
      <c r="BG158" s="281">
        <f t="shared" si="99"/>
        <v>-13.709668391326655</v>
      </c>
      <c r="BH158" s="281">
        <f t="shared" si="100"/>
        <v>4.0078587503453029</v>
      </c>
      <c r="BM158" s="281">
        <f>$AZ$24+0.2*(seat_pitch)*($AY$24*n_SA+$AW$5&lt;pax_e)</f>
        <v>22.052</v>
      </c>
      <c r="BN158" s="281">
        <f>$AX$5+seat_w*($AY$24*n_SA+$AW$5&lt;pax_e)</f>
        <v>-1.31</v>
      </c>
      <c r="BO158" s="281">
        <f t="shared" si="101"/>
        <v>4.2415200000000013</v>
      </c>
      <c r="HY158" s="281">
        <f>$HX$24+0.2*(bus_pitch*(n_rows_b&gt;0))*($HW$24*n_SA_b+$HU$5&lt;pax_b)</f>
        <v>6.5</v>
      </c>
      <c r="HZ158" s="281">
        <f>$HV$5+seat_w_b*($HW$24*n_SA_b+$HU$5&lt;pax_b)</f>
        <v>-1.84</v>
      </c>
      <c r="IA158" s="281">
        <f t="shared" si="102"/>
        <v>-11.310479999999998</v>
      </c>
    </row>
    <row r="159" spans="56:235" x14ac:dyDescent="0.25">
      <c r="BD159" s="281">
        <f t="shared" si="103"/>
        <v>-17.530479999999997</v>
      </c>
      <c r="BE159" s="281">
        <f t="shared" si="104"/>
        <v>-0.36589171767236611</v>
      </c>
      <c r="BF159" s="281">
        <f t="shared" si="105"/>
        <v>-1.0114888779081788</v>
      </c>
      <c r="BG159" s="281">
        <f t="shared" si="99"/>
        <v>-13.664317451815101</v>
      </c>
      <c r="BH159" s="281">
        <f t="shared" si="100"/>
        <v>3.7270455665528988</v>
      </c>
      <c r="BM159" s="281">
        <f>$AZ$24</f>
        <v>21.89</v>
      </c>
      <c r="BN159" s="281">
        <f>$AX$5+seat_w*($AY$24*n_SA+$AW$5&lt;pax_e)</f>
        <v>-1.31</v>
      </c>
      <c r="BO159" s="281">
        <f t="shared" si="101"/>
        <v>4.0795200000000023</v>
      </c>
      <c r="HY159" s="281">
        <f>$HX$24</f>
        <v>6.5</v>
      </c>
      <c r="HZ159" s="281">
        <f>$HV$5+seat_w_b*($HW$24*n_SA_b+$HU$5&lt;pax_b)</f>
        <v>-1.84</v>
      </c>
      <c r="IA159" s="281">
        <f t="shared" si="102"/>
        <v>-11.310479999999998</v>
      </c>
    </row>
    <row r="160" spans="56:235" x14ac:dyDescent="0.25">
      <c r="BD160" s="281">
        <f t="shared" si="103"/>
        <v>-17.210479999999997</v>
      </c>
      <c r="BE160" s="281">
        <f t="shared" si="104"/>
        <v>-0.5243924111974585</v>
      </c>
      <c r="BF160" s="281">
        <f t="shared" si="105"/>
        <v>-1.1909211730201947</v>
      </c>
      <c r="BG160" s="281">
        <f t="shared" si="99"/>
        <v>-13.521065511941682</v>
      </c>
      <c r="BH160" s="281">
        <f t="shared" si="100"/>
        <v>3.4261817625961557</v>
      </c>
      <c r="BM160" s="281">
        <f>$AZ$24+1*(seat_pitch)*($AY$24*n_SA+$AW$5&lt;pax_e)</f>
        <v>22.7</v>
      </c>
      <c r="BN160" s="281">
        <f>$AX$5+seat_w*($AY$24*n_SA+$AW$5&lt;pax_e)</f>
        <v>-1.31</v>
      </c>
      <c r="BO160" s="281">
        <f t="shared" si="101"/>
        <v>4.889520000000001</v>
      </c>
      <c r="HY160" s="281">
        <f>$HX$24+1*(bus_pitch*(n_rows_b&gt;0))*($HW$24*n_SA_b+$HU$5&lt;pax_b)</f>
        <v>6.5</v>
      </c>
      <c r="HZ160" s="281">
        <f>$HV$5+seat_w_b*($HW$24*n_SA_b+$HU$5&lt;pax_b)</f>
        <v>-1.84</v>
      </c>
      <c r="IA160" s="281">
        <f t="shared" si="102"/>
        <v>-11.310479999999998</v>
      </c>
    </row>
    <row r="161" spans="56:235" x14ac:dyDescent="0.25">
      <c r="BD161" s="281">
        <f t="shared" si="103"/>
        <v>-16.610479999999999</v>
      </c>
      <c r="BE161" s="281">
        <f t="shared" si="104"/>
        <v>-0.71090241970483359</v>
      </c>
      <c r="BF161" s="281">
        <f t="shared" si="105"/>
        <v>-1.4020616932510539</v>
      </c>
      <c r="BG161" s="281">
        <f t="shared" si="99"/>
        <v>-13.181325168621367</v>
      </c>
      <c r="BH161" s="281">
        <f t="shared" si="100"/>
        <v>3.0114496302041678</v>
      </c>
      <c r="BM161" s="281">
        <f>$AZ$24+0.8*(seat_pitch)*($AY$24*n_SA+$AW$5&lt;pax_e)</f>
        <v>22.538</v>
      </c>
      <c r="BN161" s="281">
        <f>$AX$5+seat_w*($AY$24*n_SA+$AW$5&lt;pax_e)</f>
        <v>-1.31</v>
      </c>
      <c r="BO161" s="281">
        <f t="shared" si="101"/>
        <v>4.7275200000000019</v>
      </c>
      <c r="HY161" s="281">
        <f>$HX$24+0.8*(bus_pitch*(n_rows_b&gt;0))*($HW$24*n_SA_b+$HU$5&lt;pax_b)</f>
        <v>6.5</v>
      </c>
      <c r="HZ161" s="281">
        <f>$HV$5+seat_w_b*($HW$24*n_SA_b+$HU$5&lt;pax_b)</f>
        <v>-1.84</v>
      </c>
      <c r="IA161" s="281">
        <f t="shared" si="102"/>
        <v>-11.310479999999998</v>
      </c>
    </row>
    <row r="162" spans="56:235" x14ac:dyDescent="0.25">
      <c r="BD162" s="281">
        <f t="shared" si="103"/>
        <v>-16.010479999999998</v>
      </c>
      <c r="BE162" s="281">
        <f t="shared" si="104"/>
        <v>-0.83137509480505201</v>
      </c>
      <c r="BF162" s="281">
        <f t="shared" si="105"/>
        <v>-1.5384439898250071</v>
      </c>
      <c r="BG162" s="281">
        <f t="shared" si="99"/>
        <v>-12.799136845610194</v>
      </c>
      <c r="BH162" s="281">
        <f t="shared" si="100"/>
        <v>2.6858506730217013</v>
      </c>
      <c r="BM162" s="281">
        <f>$AZ$24+0.8*(seat_pitch)*($AY$24*n_SA+$AW$5&lt;pax_e)</f>
        <v>22.538</v>
      </c>
      <c r="BN162" s="281">
        <f>$AX$5</f>
        <v>-1.84</v>
      </c>
      <c r="BO162" s="281">
        <f t="shared" si="101"/>
        <v>4.7275200000000019</v>
      </c>
      <c r="HY162" s="281">
        <f>$HX$24+0.8*(bus_pitch*(n_rows_b&gt;0))*($HW$24*n_SA_b+$HU$5&lt;pax_b)</f>
        <v>6.5</v>
      </c>
      <c r="HZ162" s="281">
        <f>$HV$5</f>
        <v>-1.84</v>
      </c>
      <c r="IA162" s="281">
        <f t="shared" si="102"/>
        <v>-11.310479999999998</v>
      </c>
    </row>
    <row r="163" spans="56:235" x14ac:dyDescent="0.25">
      <c r="BD163" s="281">
        <f t="shared" si="103"/>
        <v>-15.410479999999998</v>
      </c>
      <c r="BE163" s="281">
        <f t="shared" si="104"/>
        <v>-0.9123564515479955</v>
      </c>
      <c r="BF163" s="281">
        <f t="shared" si="105"/>
        <v>-1.6301197445394238</v>
      </c>
      <c r="BG163" s="281">
        <f t="shared" si="99"/>
        <v>-12.391563992468777</v>
      </c>
      <c r="BH163" s="281">
        <f t="shared" si="100"/>
        <v>2.4135546948782496</v>
      </c>
      <c r="BM163" s="281">
        <f>$AZ$24+0.2*(seat_pitch)*($AY$24*n_SA+$AW$5&lt;pax_e)</f>
        <v>22.052</v>
      </c>
      <c r="BN163" s="281">
        <f>$AX$5</f>
        <v>-1.84</v>
      </c>
      <c r="BO163" s="281">
        <f t="shared" si="101"/>
        <v>4.2415200000000013</v>
      </c>
      <c r="HY163" s="281">
        <f>$HX$24+0.2*(bus_pitch*(n_rows_b&gt;0))*($HW$24*n_SA_b+$HU$5&lt;pax_b)</f>
        <v>6.5</v>
      </c>
      <c r="HZ163" s="281">
        <f>$HV$5</f>
        <v>-1.84</v>
      </c>
      <c r="IA163" s="281">
        <f t="shared" si="102"/>
        <v>-11.310479999999998</v>
      </c>
    </row>
    <row r="164" spans="56:235" x14ac:dyDescent="0.25">
      <c r="BD164" s="281">
        <f t="shared" si="103"/>
        <v>-14.610479999999999</v>
      </c>
      <c r="BE164" s="281">
        <f t="shared" si="104"/>
        <v>-0.97535007323011969</v>
      </c>
      <c r="BF164" s="281">
        <f t="shared" si="105"/>
        <v>-1.7014323039008892</v>
      </c>
      <c r="BG164" s="281">
        <f t="shared" si="99"/>
        <v>-11.819219957480144</v>
      </c>
      <c r="BH164" s="281">
        <f t="shared" si="100"/>
        <v>2.1112067107696753</v>
      </c>
      <c r="BM164" s="281">
        <f>$AZ$24+(seat_pitch)</f>
        <v>22.7</v>
      </c>
      <c r="BN164" s="281">
        <f>$AX$5</f>
        <v>-1.84</v>
      </c>
      <c r="BO164" s="281">
        <f t="shared" si="101"/>
        <v>4.889520000000001</v>
      </c>
      <c r="HY164" s="281">
        <f>$HX$24+(bus_pitch*(n_rows_b&gt;0))</f>
        <v>6.5</v>
      </c>
      <c r="HZ164" s="281">
        <f>$HV$5</f>
        <v>-1.84</v>
      </c>
      <c r="IA164" s="281">
        <f t="shared" si="102"/>
        <v>-11.310479999999998</v>
      </c>
    </row>
    <row r="165" spans="56:235" x14ac:dyDescent="0.25">
      <c r="BD165" s="281">
        <f t="shared" si="103"/>
        <v>-13.810479999999998</v>
      </c>
      <c r="BE165" s="281">
        <f t="shared" si="104"/>
        <v>-0.99546249999999992</v>
      </c>
      <c r="BF165" s="281">
        <f t="shared" si="105"/>
        <v>-1.7242007777499997</v>
      </c>
      <c r="BG165" s="281">
        <f t="shared" si="99"/>
        <v>-11.219312421713369</v>
      </c>
      <c r="BH165" s="281">
        <f t="shared" si="100"/>
        <v>1.8667371548487033</v>
      </c>
      <c r="BM165" s="281">
        <f>$AZ$25+0.2*(seat_pitch)*($AY$25*n_SA+$AW$5&lt;pax_e)</f>
        <v>22.862000000000002</v>
      </c>
      <c r="BN165" s="281">
        <f>$AX$5</f>
        <v>-1.84</v>
      </c>
      <c r="BO165" s="281">
        <f t="shared" si="101"/>
        <v>5.0515200000000036</v>
      </c>
      <c r="HY165" s="281">
        <f>x_eco0</f>
        <v>6.5</v>
      </c>
      <c r="HZ165" s="281">
        <f>$HV$6</f>
        <v>-1.84</v>
      </c>
      <c r="IA165" s="281">
        <f t="shared" si="102"/>
        <v>-11.310479999999998</v>
      </c>
    </row>
    <row r="166" spans="56:235" x14ac:dyDescent="0.25">
      <c r="BD166" s="281">
        <f t="shared" si="103"/>
        <v>-5.3938133333333411</v>
      </c>
      <c r="BE166" s="281">
        <f t="shared" si="104"/>
        <v>-0.99546249999999992</v>
      </c>
      <c r="BF166" s="281">
        <f t="shared" si="105"/>
        <v>-1.7242007777499997</v>
      </c>
      <c r="BG166" s="281">
        <f t="shared" si="99"/>
        <v>-4.7717716921286444</v>
      </c>
      <c r="BH166" s="281">
        <f t="shared" si="100"/>
        <v>-0.41968217929234641</v>
      </c>
      <c r="BM166" s="281">
        <f>$AZ$25+0.2*(seat_pitch)*($AY$25*n_SA+$AW$5&lt;pax_e)</f>
        <v>22.862000000000002</v>
      </c>
      <c r="BN166" s="281">
        <f>$AX$5+seat_w*($AY$25*n_SA+$AW$5&lt;pax_e)</f>
        <v>-1.31</v>
      </c>
      <c r="BO166" s="281">
        <f t="shared" si="101"/>
        <v>5.0515200000000036</v>
      </c>
      <c r="HY166" s="281">
        <f>x_seat0</f>
        <v>6.5</v>
      </c>
      <c r="HZ166" s="281">
        <f>$HV$6</f>
        <v>-1.84</v>
      </c>
      <c r="IA166" s="281">
        <f t="shared" si="102"/>
        <v>-11.310479999999998</v>
      </c>
    </row>
    <row r="167" spans="56:235" x14ac:dyDescent="0.25">
      <c r="BD167" s="281">
        <f t="shared" si="103"/>
        <v>3.0228533333333161</v>
      </c>
      <c r="BE167" s="281">
        <f t="shared" si="104"/>
        <v>-0.99546249999999992</v>
      </c>
      <c r="BF167" s="281">
        <f t="shared" si="105"/>
        <v>-1.7242007777499997</v>
      </c>
      <c r="BG167" s="281">
        <f t="shared" si="99"/>
        <v>1.6757690374560799</v>
      </c>
      <c r="BH167" s="281">
        <f t="shared" si="100"/>
        <v>-2.7061015134333957</v>
      </c>
      <c r="BM167" s="281">
        <f>$AZ$25</f>
        <v>22.700000000000003</v>
      </c>
      <c r="BN167" s="281">
        <f>$AX$5+seat_w*($AY$25*n_SA+$AW$5&lt;pax_e)</f>
        <v>-1.31</v>
      </c>
      <c r="BO167" s="281">
        <f t="shared" si="101"/>
        <v>4.8895200000000045</v>
      </c>
      <c r="HY167" s="281">
        <f>$HX$5+0.2*(bus_pitch*(n_rows_b&gt;0))*($HW$5*n_SA_b+$HU$6&lt;pax_b)</f>
        <v>6.5</v>
      </c>
      <c r="HZ167" s="281">
        <f>$HV$6</f>
        <v>-1.84</v>
      </c>
      <c r="IA167" s="281">
        <f t="shared" si="102"/>
        <v>-11.310479999999998</v>
      </c>
    </row>
    <row r="168" spans="56:235" x14ac:dyDescent="0.25">
      <c r="BD168" s="281">
        <f t="shared" si="103"/>
        <v>11.439519999999998</v>
      </c>
      <c r="BE168" s="281">
        <f t="shared" si="104"/>
        <v>-0.99546249999999992</v>
      </c>
      <c r="BF168" s="281">
        <f t="shared" si="105"/>
        <v>-1.7242007777499997</v>
      </c>
      <c r="BG168" s="281">
        <f t="shared" si="99"/>
        <v>8.1233097670408227</v>
      </c>
      <c r="BH168" s="281">
        <f t="shared" si="100"/>
        <v>-4.9925208475744522</v>
      </c>
      <c r="BM168" s="281">
        <f>$AZ$25+1*(seat_pitch)*($AY$25*n_SA+$AW$5&lt;pax_e)</f>
        <v>23.51</v>
      </c>
      <c r="BN168" s="281">
        <f>$AX$5+seat_w*($AY$25*n_SA+$AW$5&lt;pax_e)</f>
        <v>-1.31</v>
      </c>
      <c r="BO168" s="281">
        <f t="shared" si="101"/>
        <v>5.6995200000000033</v>
      </c>
      <c r="HY168" s="281">
        <f>$HX$5+0.2*(bus_pitch*(n_rows_b&gt;0))*($HW$5*n_SA_b+$HU$6&lt;pax_b)</f>
        <v>6.5</v>
      </c>
      <c r="HZ168" s="281">
        <f>$HV$6+seat_w_b*($HW$5*n_SA_b+$HU$6&lt;pax_b)</f>
        <v>-1.84</v>
      </c>
      <c r="IA168" s="281">
        <f t="shared" si="102"/>
        <v>-11.310479999999998</v>
      </c>
    </row>
    <row r="169" spans="56:235" x14ac:dyDescent="0.25">
      <c r="BD169" s="281">
        <f t="shared" si="103"/>
        <v>12.395163999999998</v>
      </c>
      <c r="BE169" s="281">
        <f t="shared" si="104"/>
        <v>-0.92108763108176062</v>
      </c>
      <c r="BF169" s="281">
        <f t="shared" si="105"/>
        <v>-1.4838167389141153</v>
      </c>
      <c r="BG169" s="281">
        <f t="shared" si="99"/>
        <v>8.9031827870535203</v>
      </c>
      <c r="BH169" s="281">
        <f t="shared" si="100"/>
        <v>-5.0101847832521065</v>
      </c>
      <c r="BM169" s="281">
        <f>$AZ$25+0.8*(seat_pitch)*($AY$25*n_SA+$AW$5&lt;pax_e)</f>
        <v>23.348000000000003</v>
      </c>
      <c r="BN169" s="281">
        <f>$AX$5+seat_w*($AY$25*n_SA+$AW$5&lt;pax_e)</f>
        <v>-1.31</v>
      </c>
      <c r="BO169" s="281">
        <f t="shared" si="101"/>
        <v>5.5375200000000042</v>
      </c>
      <c r="HY169" s="281">
        <f>$HX$5</f>
        <v>6.5</v>
      </c>
      <c r="HZ169" s="281">
        <f>$HV$6+seat_w_b*($HW$5*n_SA_b+$HU$6&lt;pax_b)</f>
        <v>-1.84</v>
      </c>
      <c r="IA169" s="281">
        <f t="shared" si="102"/>
        <v>-11.310479999999998</v>
      </c>
    </row>
    <row r="170" spans="56:235" x14ac:dyDescent="0.25">
      <c r="BD170" s="281">
        <f t="shared" si="103"/>
        <v>13.350807999999997</v>
      </c>
      <c r="BE170" s="281">
        <f t="shared" si="104"/>
        <v>-0.81233009127609856</v>
      </c>
      <c r="BF170" s="281">
        <f t="shared" si="105"/>
        <v>-1.1323058448098273</v>
      </c>
      <c r="BG170" s="281">
        <f t="shared" si="99"/>
        <v>9.7051565619005835</v>
      </c>
      <c r="BH170" s="281">
        <f t="shared" si="100"/>
        <v>-4.9160023884924957</v>
      </c>
      <c r="BM170" s="281">
        <f>$AZ$25+0.8*(seat_pitch)*($AY$25*n_SA+$AW$5&lt;pax_e)</f>
        <v>23.348000000000003</v>
      </c>
      <c r="BN170" s="281">
        <f>$AX$5</f>
        <v>-1.84</v>
      </c>
      <c r="BO170" s="281">
        <f t="shared" si="101"/>
        <v>5.5375200000000042</v>
      </c>
      <c r="HY170" s="281">
        <f>$HX$5+1*(bus_pitch*(n_rows_b&gt;0))*($HW$5*n_SA_b+$HU$6&lt;pax_b)</f>
        <v>6.5</v>
      </c>
      <c r="HZ170" s="281">
        <f>$HV$6+seat_w_b*($HW$5*n_SA_b+$HU$6&lt;pax_b)</f>
        <v>-1.84</v>
      </c>
      <c r="IA170" s="281">
        <f t="shared" si="102"/>
        <v>-11.310479999999998</v>
      </c>
    </row>
    <row r="171" spans="56:235" x14ac:dyDescent="0.25">
      <c r="BD171" s="281">
        <f t="shared" si="103"/>
        <v>14.306452</v>
      </c>
      <c r="BE171" s="281">
        <f t="shared" si="104"/>
        <v>-0.68523246313724451</v>
      </c>
      <c r="BF171" s="281">
        <f t="shared" si="105"/>
        <v>-0.72151868480736248</v>
      </c>
      <c r="BG171" s="281">
        <f t="shared" si="99"/>
        <v>10.518919118288782</v>
      </c>
      <c r="BH171" s="281">
        <f t="shared" si="100"/>
        <v>-4.7621599520020048</v>
      </c>
      <c r="BM171" s="281">
        <f>$AZ$25+0.2*(seat_pitch)*($AY$25*n_SA+$AW$5&lt;pax_e)</f>
        <v>22.862000000000002</v>
      </c>
      <c r="BN171" s="281">
        <f>$AX$5</f>
        <v>-1.84</v>
      </c>
      <c r="BO171" s="281">
        <f t="shared" si="101"/>
        <v>5.0515200000000036</v>
      </c>
      <c r="HY171" s="281">
        <f>$HX$5+0.8*(bus_pitch*(n_rows_b&gt;0))*($HW$5*n_SA_b+$HU$6&lt;pax_b)</f>
        <v>6.5</v>
      </c>
      <c r="HZ171" s="281">
        <f>$HV$6+seat_w_b*($HW$5*n_SA_b+$HU$6&lt;pax_b)</f>
        <v>-1.84</v>
      </c>
      <c r="IA171" s="281">
        <f t="shared" si="102"/>
        <v>-11.310479999999998</v>
      </c>
    </row>
    <row r="172" spans="56:235" x14ac:dyDescent="0.25">
      <c r="BD172" s="281">
        <f t="shared" si="103"/>
        <v>15.262096</v>
      </c>
      <c r="BE172" s="281">
        <f t="shared" si="104"/>
        <v>-0.54453761619434182</v>
      </c>
      <c r="BF172" s="281">
        <f t="shared" si="105"/>
        <v>-0.26678449779708457</v>
      </c>
      <c r="BG172" s="281">
        <f t="shared" si="99"/>
        <v>11.341421798450414</v>
      </c>
      <c r="BH172" s="281">
        <f t="shared" si="100"/>
        <v>-4.5640859596686019</v>
      </c>
      <c r="BM172" s="281">
        <f>$AZ$25+(seat_pitch)</f>
        <v>23.51</v>
      </c>
      <c r="BN172" s="281">
        <f>$AX$5</f>
        <v>-1.84</v>
      </c>
      <c r="BO172" s="281">
        <f t="shared" si="101"/>
        <v>5.6995200000000033</v>
      </c>
      <c r="HY172" s="281">
        <f>$HX$5+0.8*(bus_pitch*(n_rows_b&gt;0))*($HW$5*n_SA_b+$HU$6&lt;pax_b)</f>
        <v>6.5</v>
      </c>
      <c r="HZ172" s="281">
        <f>$HV$6</f>
        <v>-1.84</v>
      </c>
      <c r="IA172" s="281">
        <f t="shared" si="102"/>
        <v>-11.310479999999998</v>
      </c>
    </row>
    <row r="173" spans="56:235" x14ac:dyDescent="0.25">
      <c r="BD173" s="281">
        <f t="shared" si="103"/>
        <v>16.217739999999999</v>
      </c>
      <c r="BE173" s="281">
        <f t="shared" si="104"/>
        <v>-0.39278189029748012</v>
      </c>
      <c r="BF173" s="281">
        <f t="shared" si="105"/>
        <v>0.22369911364512629</v>
      </c>
      <c r="BG173" s="281">
        <f t="shared" si="99"/>
        <v>12.171034274555895</v>
      </c>
      <c r="BH173" s="281">
        <f t="shared" si="100"/>
        <v>-4.3300310882911699</v>
      </c>
      <c r="BM173" s="281">
        <f>$AZ$26+0.2*(seat_pitch)*($AY$26*n_SA+$AW$5&lt;pax_e)</f>
        <v>23.672000000000001</v>
      </c>
      <c r="BN173" s="281">
        <f>$AX$5</f>
        <v>-1.84</v>
      </c>
      <c r="BO173" s="281">
        <f t="shared" si="101"/>
        <v>5.8615200000000023</v>
      </c>
      <c r="HY173" s="281">
        <f>$HX$5+0.2*(bus_pitch*(n_rows_b&gt;0))*($HW$5*n_SA_b+$HU$6&lt;pax_b)</f>
        <v>6.5</v>
      </c>
      <c r="HZ173" s="281">
        <f>$HV$6</f>
        <v>-1.84</v>
      </c>
      <c r="IA173" s="281">
        <f t="shared" si="102"/>
        <v>-11.310479999999998</v>
      </c>
    </row>
    <row r="174" spans="56:235" x14ac:dyDescent="0.25">
      <c r="BD174" s="281">
        <f t="shared" si="103"/>
        <v>17.173383999999999</v>
      </c>
      <c r="BE174" s="281">
        <f t="shared" si="104"/>
        <v>-0.23158654652926203</v>
      </c>
      <c r="BF174" s="281">
        <f t="shared" si="105"/>
        <v>0.74469213642463328</v>
      </c>
      <c r="BG174" s="281">
        <f t="shared" si="99"/>
        <v>13.00671442006926</v>
      </c>
      <c r="BH174" s="281">
        <f t="shared" si="100"/>
        <v>-4.0652692766909082</v>
      </c>
      <c r="BM174" s="281">
        <f>$AZ$26+0.2*(seat_pitch)*($AY$26*n_SA+$AW$5&lt;pax_e)</f>
        <v>23.672000000000001</v>
      </c>
      <c r="BN174" s="281">
        <f>$AX$5+seat_w*($AY$26*n_SA+$AW$5&lt;pax_e)</f>
        <v>-1.31</v>
      </c>
      <c r="BO174" s="281">
        <f t="shared" si="101"/>
        <v>5.8615200000000023</v>
      </c>
      <c r="HY174" s="281">
        <f>$HX$5+(bus_pitch*(n_rows_b&gt;0))</f>
        <v>6.5</v>
      </c>
      <c r="HZ174" s="281">
        <f>$HV$6</f>
        <v>-1.84</v>
      </c>
      <c r="IA174" s="281">
        <f t="shared" si="102"/>
        <v>-11.310479999999998</v>
      </c>
    </row>
    <row r="175" spans="56:235" x14ac:dyDescent="0.25">
      <c r="BD175" s="281">
        <f t="shared" si="103"/>
        <v>17.810479999999998</v>
      </c>
      <c r="BE175" s="281">
        <f t="shared" si="104"/>
        <v>-0.11945549999999999</v>
      </c>
      <c r="BF175" s="281">
        <f t="shared" si="105"/>
        <v>1.10710640667</v>
      </c>
      <c r="BG175" s="281">
        <f t="shared" si="99"/>
        <v>13.566834717972784</v>
      </c>
      <c r="BH175" s="281">
        <f t="shared" si="100"/>
        <v>-3.873578144381586</v>
      </c>
      <c r="BM175" s="281">
        <f>$AZ$26</f>
        <v>23.51</v>
      </c>
      <c r="BN175" s="281">
        <f>$AX$5+seat_w*($AY$26*n_SA+$AW$5&lt;pax_e)</f>
        <v>-1.31</v>
      </c>
      <c r="BO175" s="281">
        <f t="shared" si="101"/>
        <v>5.6995200000000033</v>
      </c>
      <c r="HY175" s="281">
        <f>$HX$6+0.2*(bus_pitch*(n_rows_b&gt;0))*($HW$6*n_SA_b+$HU$6&lt;pax_b)</f>
        <v>6.5</v>
      </c>
      <c r="HZ175" s="281">
        <f>$HV$6</f>
        <v>-1.84</v>
      </c>
      <c r="IA175" s="281">
        <f t="shared" si="102"/>
        <v>-11.310479999999998</v>
      </c>
    </row>
    <row r="176" spans="56:235" x14ac:dyDescent="0.25">
      <c r="BD176" s="281">
        <f>T23-L_fus/2</f>
        <v>17.810479999999998</v>
      </c>
      <c r="BE176" s="281">
        <f>U23*0</f>
        <v>0</v>
      </c>
      <c r="BF176" s="281">
        <f>V23+U23*-1</f>
        <v>1.0750994999999999</v>
      </c>
      <c r="BG176" s="281">
        <f t="shared" si="99"/>
        <v>13.643619233281694</v>
      </c>
      <c r="BH176" s="281">
        <f t="shared" si="100"/>
        <v>-3.8639132074295066</v>
      </c>
      <c r="BM176" s="281">
        <f>$AZ$26+1*(seat_pitch)*($AY$26*n_SA+$AW$5&lt;pax_e)</f>
        <v>24.32</v>
      </c>
      <c r="BN176" s="281">
        <f>$AX$5+seat_w*($AY$26*n_SA+$AW$5&lt;pax_e)</f>
        <v>-1.31</v>
      </c>
      <c r="BO176" s="281">
        <f t="shared" si="101"/>
        <v>6.509520000000002</v>
      </c>
      <c r="HY176" s="281">
        <f>$HX$6+0.2*(bus_pitch*(n_rows_b&gt;0))*($HW$6*n_SA_b+$HU$6&lt;pax_b)</f>
        <v>6.5</v>
      </c>
      <c r="HZ176" s="281">
        <f>$HV$6+seat_w_b*($HW$6*n_SA_b+$HU$6&lt;pax_b)</f>
        <v>-1.84</v>
      </c>
      <c r="IA176" s="281">
        <f t="shared" si="102"/>
        <v>-11.310479999999998</v>
      </c>
    </row>
    <row r="177" spans="56:235" x14ac:dyDescent="0.25">
      <c r="BD177" s="281">
        <f>T22-L_fus/2</f>
        <v>17.173383999999999</v>
      </c>
      <c r="BE177" s="281">
        <f>U22*0</f>
        <v>0</v>
      </c>
      <c r="BF177" s="281">
        <f>V22+U22*-1</f>
        <v>0.68264083714758272</v>
      </c>
      <c r="BG177" s="281">
        <f t="shared" si="99"/>
        <v>13.155575382748365</v>
      </c>
      <c r="BH177" s="281">
        <f t="shared" si="100"/>
        <v>-4.04653201159089</v>
      </c>
      <c r="BM177" s="281">
        <f>$AZ$26+0.8*(seat_pitch)*($AY$26*n_SA+$AW$5&lt;pax_e)</f>
        <v>24.158000000000001</v>
      </c>
      <c r="BN177" s="281">
        <f>$AX$5+seat_w*($AY$26*n_SA+$AW$5&lt;pax_e)</f>
        <v>-1.31</v>
      </c>
      <c r="BO177" s="281">
        <f t="shared" si="101"/>
        <v>6.3475200000000029</v>
      </c>
      <c r="HY177" s="281">
        <f>$HX$6</f>
        <v>6.5</v>
      </c>
      <c r="HZ177" s="281">
        <f>$HV$6+seat_w_b*($HW$6*n_SA_b+$HU$6&lt;pax_b)</f>
        <v>-1.84</v>
      </c>
      <c r="IA177" s="281">
        <f t="shared" si="102"/>
        <v>-11.310479999999998</v>
      </c>
    </row>
    <row r="178" spans="56:235" x14ac:dyDescent="0.25">
      <c r="BD178" s="281">
        <f>T21-L_fus/2</f>
        <v>16.217739999999999</v>
      </c>
      <c r="BE178" s="281">
        <f>U21*0</f>
        <v>0</v>
      </c>
      <c r="BF178" s="281">
        <f>V21+U21*-1</f>
        <v>0.1184571339588194</v>
      </c>
      <c r="BG178" s="281">
        <f t="shared" si="99"/>
        <v>12.423509606948373</v>
      </c>
      <c r="BH178" s="281">
        <f t="shared" si="100"/>
        <v>-4.2982517880024096</v>
      </c>
      <c r="BM178" s="281">
        <f>$AZ$26+0.8*(seat_pitch)*($AY$26*n_SA+$AW$5&lt;pax_e)</f>
        <v>24.158000000000001</v>
      </c>
      <c r="BN178" s="281">
        <f>$AX$5</f>
        <v>-1.84</v>
      </c>
      <c r="BO178" s="281">
        <f t="shared" si="101"/>
        <v>6.3475200000000029</v>
      </c>
      <c r="HY178" s="281">
        <f>$HX$6+1*(bus_pitch*(n_rows_b&gt;0))*($HW$6*n_SA_b+$HU$6&lt;pax_b)</f>
        <v>6.5</v>
      </c>
      <c r="HZ178" s="281">
        <f>$HV$6+seat_w_b*($HW$6*n_SA_b+$HU$6&lt;pax_b)</f>
        <v>-1.84</v>
      </c>
      <c r="IA178" s="281">
        <f t="shared" si="102"/>
        <v>-11.310479999999998</v>
      </c>
    </row>
    <row r="179" spans="56:235" x14ac:dyDescent="0.25">
      <c r="BD179" s="281">
        <f>T20-L_fus/2</f>
        <v>15.262096</v>
      </c>
      <c r="BE179" s="281">
        <f>U20*0</f>
        <v>0</v>
      </c>
      <c r="BF179" s="281">
        <f>V20+U20*-1</f>
        <v>-0.4126879066801965</v>
      </c>
      <c r="BG179" s="281">
        <f t="shared" si="99"/>
        <v>11.691443831148382</v>
      </c>
      <c r="BH179" s="281">
        <f t="shared" si="100"/>
        <v>-4.5200283672718164</v>
      </c>
      <c r="BM179" s="281">
        <f>$AZ$26+0.2*(seat_pitch)*($AY$26*n_SA+$AW$5&lt;pax_e)</f>
        <v>23.672000000000001</v>
      </c>
      <c r="BN179" s="281">
        <f>$AX$5</f>
        <v>-1.84</v>
      </c>
      <c r="BO179" s="281">
        <f t="shared" si="101"/>
        <v>5.8615200000000023</v>
      </c>
      <c r="HY179" s="281">
        <f>$HX$6+0.8*(bus_pitch*(n_rows_b&gt;0))*($HW$6*n_SA_b+$HU$6&lt;pax_b)</f>
        <v>6.5</v>
      </c>
      <c r="HZ179" s="281">
        <f>$HV$6+seat_w_b*($HW$6*n_SA_b+$HU$6&lt;pax_b)</f>
        <v>-1.84</v>
      </c>
      <c r="IA179" s="281">
        <f t="shared" si="102"/>
        <v>-11.310479999999998</v>
      </c>
    </row>
    <row r="180" spans="56:235" x14ac:dyDescent="0.25">
      <c r="BD180" s="281">
        <f>T19-L_fus/2</f>
        <v>14.306452</v>
      </c>
      <c r="BE180" s="281">
        <f>U19*0</f>
        <v>0</v>
      </c>
      <c r="BF180" s="281">
        <f>V19+U19*-1</f>
        <v>-0.90511987098035585</v>
      </c>
      <c r="BG180" s="281">
        <f t="shared" si="99"/>
        <v>10.95937805534839</v>
      </c>
      <c r="BH180" s="281">
        <f t="shared" si="100"/>
        <v>-4.7067189839951737</v>
      </c>
      <c r="BM180" s="281">
        <f>$AZ$26+(seat_pitch)</f>
        <v>24.32</v>
      </c>
      <c r="BN180" s="281">
        <f>$AX$5</f>
        <v>-1.84</v>
      </c>
      <c r="BO180" s="281">
        <f t="shared" si="101"/>
        <v>6.509520000000002</v>
      </c>
      <c r="HY180" s="281">
        <f>$HX$6+0.8*(bus_pitch*(n_rows_b&gt;0))*($HW$6*n_SA_b+$HU$6&lt;pax_b)</f>
        <v>6.5</v>
      </c>
      <c r="HZ180" s="281">
        <f>$HV$6</f>
        <v>-1.84</v>
      </c>
      <c r="IA180" s="281">
        <f t="shared" si="102"/>
        <v>-11.310479999999998</v>
      </c>
    </row>
    <row r="181" spans="56:235" x14ac:dyDescent="0.25">
      <c r="BD181" s="281">
        <f>T18-L_fus/2</f>
        <v>13.350807999999997</v>
      </c>
      <c r="BE181" s="281">
        <f>U18*0</f>
        <v>0</v>
      </c>
      <c r="BF181" s="281">
        <f>V18+U18*-1</f>
        <v>-1.3499615694663452</v>
      </c>
      <c r="BG181" s="281">
        <f t="shared" si="99"/>
        <v>10.227312279548395</v>
      </c>
      <c r="BH181" s="281">
        <f t="shared" si="100"/>
        <v>-4.8502781722240043</v>
      </c>
      <c r="BM181" s="281">
        <f>$AZ$27+0.2*(seat_pitch)*($AY$27*n_SA+$AW$5&lt;pax_e)</f>
        <v>24.481999999999999</v>
      </c>
      <c r="BN181" s="281">
        <f>$AX$5</f>
        <v>-1.84</v>
      </c>
      <c r="BO181" s="281">
        <f t="shared" si="101"/>
        <v>6.671520000000001</v>
      </c>
      <c r="HY181" s="281">
        <f>$HX$6+0.2*(bus_pitch*(n_rows_b&gt;0))*($HW$6*n_SA_b+$HU$6&lt;pax_b)</f>
        <v>6.5</v>
      </c>
      <c r="HZ181" s="281">
        <f>$HV$6</f>
        <v>-1.84</v>
      </c>
      <c r="IA181" s="281">
        <f t="shared" si="102"/>
        <v>-11.310479999999998</v>
      </c>
    </row>
    <row r="182" spans="56:235" x14ac:dyDescent="0.25">
      <c r="BD182" s="281">
        <f>T17-L_fus/2</f>
        <v>12.395163999999998</v>
      </c>
      <c r="BE182" s="281">
        <f>U17*0</f>
        <v>0</v>
      </c>
      <c r="BF182" s="281">
        <f>V17+U17*-1</f>
        <v>-1.7306129587861623</v>
      </c>
      <c r="BG182" s="281">
        <f t="shared" si="99"/>
        <v>9.4952465037484028</v>
      </c>
      <c r="BH182" s="281">
        <f t="shared" si="100"/>
        <v>-4.9356611834032442</v>
      </c>
      <c r="BM182" s="281">
        <f>$AZ$27+0.2*(seat_pitch)*($AY$27*n_SA+$AW$5&lt;pax_e)</f>
        <v>24.481999999999999</v>
      </c>
      <c r="BN182" s="281">
        <f>$AX$5+seat_w*($AY$27*n_SA+$AW$5&lt;pax_e)</f>
        <v>-1.31</v>
      </c>
      <c r="BO182" s="281">
        <f t="shared" si="101"/>
        <v>6.671520000000001</v>
      </c>
      <c r="HY182" s="281">
        <f>$HX$6+(bus_pitch*(n_rows_b&gt;0))</f>
        <v>6.5</v>
      </c>
      <c r="HZ182" s="281">
        <f>$HV$6</f>
        <v>-1.84</v>
      </c>
      <c r="IA182" s="281">
        <f t="shared" si="102"/>
        <v>-11.310479999999998</v>
      </c>
    </row>
    <row r="183" spans="56:235" x14ac:dyDescent="0.25">
      <c r="BD183" s="281">
        <f>T16-L_fus/2</f>
        <v>11.439519999999998</v>
      </c>
      <c r="BE183" s="281">
        <f>U16*0</f>
        <v>0</v>
      </c>
      <c r="BF183" s="281">
        <f>V16+U16*-1</f>
        <v>-1.9909249999999998</v>
      </c>
      <c r="BG183" s="281">
        <f t="shared" si="99"/>
        <v>8.7631807279484093</v>
      </c>
      <c r="BH183" s="281">
        <f t="shared" si="100"/>
        <v>-4.9119797063071191</v>
      </c>
      <c r="BM183" s="281">
        <f>$AZ$27</f>
        <v>24.32</v>
      </c>
      <c r="BN183" s="281">
        <f>$AX$5+seat_w*($AY$27*n_SA+$AW$5&lt;pax_e)</f>
        <v>-1.31</v>
      </c>
      <c r="BO183" s="281">
        <f t="shared" si="101"/>
        <v>6.509520000000002</v>
      </c>
      <c r="HY183" s="281">
        <f>$HX$7+0.2*(bus_pitch*(n_rows_b&gt;0))*($HW$7*n_SA_b+$HU$6&lt;pax_b)</f>
        <v>6.5</v>
      </c>
      <c r="HZ183" s="281">
        <f>$HV$6</f>
        <v>-1.84</v>
      </c>
      <c r="IA183" s="281">
        <f t="shared" si="102"/>
        <v>-11.310479999999998</v>
      </c>
    </row>
    <row r="184" spans="56:235" x14ac:dyDescent="0.25">
      <c r="BD184" s="281">
        <f>T15-L_fus/2</f>
        <v>3.0228533333333161</v>
      </c>
      <c r="BE184" s="281">
        <f>U15*0</f>
        <v>0</v>
      </c>
      <c r="BF184" s="281">
        <f>V15+U15*-1</f>
        <v>-1.9909249999999998</v>
      </c>
      <c r="BG184" s="281">
        <f t="shared" si="99"/>
        <v>2.3156399983636664</v>
      </c>
      <c r="BH184" s="281">
        <f t="shared" si="100"/>
        <v>-2.6255603721660634</v>
      </c>
      <c r="BM184" s="281">
        <f>$AZ$27+1*(seat_pitch)*($AY$27*n_SA+$AW$5&lt;pax_e)</f>
        <v>25.13</v>
      </c>
      <c r="BN184" s="281">
        <f>$AX$5+seat_w*($AY$27*n_SA+$AW$5&lt;pax_e)</f>
        <v>-1.31</v>
      </c>
      <c r="BO184" s="281">
        <f t="shared" si="101"/>
        <v>7.3195200000000007</v>
      </c>
      <c r="HY184" s="281">
        <f>$HX$7+0.2*(bus_pitch*(n_rows_b&gt;0))*($HW$7*n_SA_b+$HU$6&lt;pax_b)</f>
        <v>6.5</v>
      </c>
      <c r="HZ184" s="281">
        <f>$HV$6+seat_w_b*($HW$7*n_SA_b+$HU$6&lt;pax_b)</f>
        <v>-1.84</v>
      </c>
      <c r="IA184" s="281">
        <f t="shared" si="102"/>
        <v>-11.310479999999998</v>
      </c>
    </row>
    <row r="185" spans="56:235" x14ac:dyDescent="0.25">
      <c r="BD185" s="281">
        <f>T14-L_fus/2</f>
        <v>-5.3938133333333411</v>
      </c>
      <c r="BE185" s="281">
        <f>U14*0</f>
        <v>0</v>
      </c>
      <c r="BF185" s="281">
        <f>V14+U14*-1</f>
        <v>-1.9909249999999998</v>
      </c>
      <c r="BG185" s="281">
        <f t="shared" si="99"/>
        <v>-4.1319007312210578</v>
      </c>
      <c r="BH185" s="281">
        <f t="shared" si="100"/>
        <v>-0.33914103802501394</v>
      </c>
      <c r="BM185" s="281">
        <f>$AZ$27+0.8*(seat_pitch)*($AY$27*n_SA+$AW$5&lt;pax_e)</f>
        <v>24.968</v>
      </c>
      <c r="BN185" s="281">
        <f>$AX$5+seat_w*($AY$27*n_SA+$AW$5&lt;pax_e)</f>
        <v>-1.31</v>
      </c>
      <c r="BO185" s="281">
        <f t="shared" si="101"/>
        <v>7.1575200000000017</v>
      </c>
      <c r="HY185" s="281">
        <f>$HX$7</f>
        <v>6.5</v>
      </c>
      <c r="HZ185" s="281">
        <f>$HV$6+seat_w_b*($HW$7*n_SA_b+$HU$6&lt;pax_b)</f>
        <v>-1.84</v>
      </c>
      <c r="IA185" s="281">
        <f t="shared" si="102"/>
        <v>-11.310479999999998</v>
      </c>
    </row>
    <row r="186" spans="56:235" x14ac:dyDescent="0.25">
      <c r="BD186" s="281">
        <f>T13-L_fus/2</f>
        <v>-13.810479999999998</v>
      </c>
      <c r="BE186" s="281">
        <f>U13*0</f>
        <v>0</v>
      </c>
      <c r="BF186" s="281">
        <f>V13+U13*-1</f>
        <v>-1.9909249999999998</v>
      </c>
      <c r="BG186" s="281">
        <f t="shared" si="99"/>
        <v>-10.579441460805782</v>
      </c>
      <c r="BH186" s="281">
        <f t="shared" si="100"/>
        <v>1.9472782961160353</v>
      </c>
      <c r="BM186" s="281">
        <f>$AZ$27+0.8*(seat_pitch)*($AY$27*n_SA+$AW$5&lt;pax_e)</f>
        <v>24.968</v>
      </c>
      <c r="BN186" s="281">
        <f>$AX$5</f>
        <v>-1.84</v>
      </c>
      <c r="BO186" s="281">
        <f t="shared" si="101"/>
        <v>7.1575200000000017</v>
      </c>
      <c r="HY186" s="281">
        <f>$HX$7+1*(bus_pitch*(n_rows_b&gt;0))*($HW$7*n_SA_b+$HU$6&lt;pax_b)</f>
        <v>6.5</v>
      </c>
      <c r="HZ186" s="281">
        <f>$HV$6+seat_w_b*($HW$7*n_SA_b+$HU$6&lt;pax_b)</f>
        <v>-1.84</v>
      </c>
      <c r="IA186" s="281">
        <f t="shared" si="102"/>
        <v>-11.310479999999998</v>
      </c>
    </row>
    <row r="187" spans="56:235" x14ac:dyDescent="0.25">
      <c r="BD187" s="281">
        <f>T12-L_fus/2</f>
        <v>-14.610479999999999</v>
      </c>
      <c r="BE187" s="281">
        <f>U12*0</f>
        <v>0</v>
      </c>
      <c r="BF187" s="281">
        <f>V12+U12*-1</f>
        <v>-1.9627676025221674</v>
      </c>
      <c r="BG187" s="281">
        <f t="shared" si="99"/>
        <v>-11.192277015300965</v>
      </c>
      <c r="BH187" s="281">
        <f t="shared" si="100"/>
        <v>2.1901205905322287</v>
      </c>
      <c r="BM187" s="281">
        <f>$AZ$27+0.2*(seat_pitch)*($AY$27*n_SA+$AW$5&lt;pax_e)</f>
        <v>24.481999999999999</v>
      </c>
      <c r="BN187" s="281">
        <f>$AX$5</f>
        <v>-1.84</v>
      </c>
      <c r="BO187" s="281">
        <f t="shared" si="101"/>
        <v>6.671520000000001</v>
      </c>
      <c r="HY187" s="281">
        <f>$HX$7+0.8*(bus_pitch*(n_rows_b&gt;0))*($HW$7*n_SA_b+$HU$6&lt;pax_b)</f>
        <v>6.5</v>
      </c>
      <c r="HZ187" s="281">
        <f>$HV$6+seat_w_b*($HW$7*n_SA_b+$HU$6&lt;pax_b)</f>
        <v>-1.84</v>
      </c>
      <c r="IA187" s="281">
        <f t="shared" si="102"/>
        <v>-11.310479999999998</v>
      </c>
    </row>
    <row r="188" spans="56:235" x14ac:dyDescent="0.25">
      <c r="BD188" s="281">
        <f>T11-L_fus/2</f>
        <v>-15.410479999999998</v>
      </c>
      <c r="BE188" s="281">
        <f>U11*0</f>
        <v>0</v>
      </c>
      <c r="BF188" s="281">
        <f>V11+U11*-1</f>
        <v>-1.8745765321671937</v>
      </c>
      <c r="BG188" s="281">
        <f t="shared" si="99"/>
        <v>-11.805112569796147</v>
      </c>
      <c r="BH188" s="281">
        <f t="shared" si="100"/>
        <v>2.4873718701613861</v>
      </c>
      <c r="BM188" s="281">
        <f>$AZ$27+(seat_pitch)</f>
        <v>25.13</v>
      </c>
      <c r="BN188" s="281">
        <f>$AX$5</f>
        <v>-1.84</v>
      </c>
      <c r="BO188" s="281">
        <f t="shared" si="101"/>
        <v>7.3195200000000007</v>
      </c>
      <c r="HY188" s="281">
        <f>$HX$7+0.8*(bus_pitch*(n_rows_b&gt;0))*($HW$7*n_SA_b+$HU$6&lt;pax_b)</f>
        <v>6.5</v>
      </c>
      <c r="HZ188" s="281">
        <f>$HV$6</f>
        <v>-1.84</v>
      </c>
      <c r="IA188" s="281">
        <f t="shared" si="102"/>
        <v>-11.310479999999998</v>
      </c>
    </row>
    <row r="189" spans="56:235" x14ac:dyDescent="0.25">
      <c r="BD189" s="281">
        <f>T10-L_fus/2</f>
        <v>-16.010479999999998</v>
      </c>
      <c r="BE189" s="281">
        <f>U10*0</f>
        <v>0</v>
      </c>
      <c r="BF189" s="281">
        <f>V10+U10*-1</f>
        <v>-1.7612026327270727</v>
      </c>
      <c r="BG189" s="281">
        <f t="shared" si="99"/>
        <v>-12.264739235667534</v>
      </c>
      <c r="BH189" s="281">
        <f t="shared" si="100"/>
        <v>2.7531157874351875</v>
      </c>
      <c r="BM189" s="281">
        <f>$AZ$28+0.2*(seat_pitch)*($AY$28*n_SA+$AW$5&lt;pax_e)</f>
        <v>25.292000000000002</v>
      </c>
      <c r="BN189" s="281">
        <f>$AX$5</f>
        <v>-1.84</v>
      </c>
      <c r="BO189" s="281">
        <f t="shared" si="101"/>
        <v>7.4815200000000033</v>
      </c>
      <c r="HY189" s="281">
        <f>$HX$7+0.2*(bus_pitch*(n_rows_b&gt;0))*($HW$7*n_SA_b+$HU$6&lt;pax_b)</f>
        <v>6.5</v>
      </c>
      <c r="HZ189" s="281">
        <f>$HV$6</f>
        <v>-1.84</v>
      </c>
      <c r="IA189" s="281">
        <f t="shared" si="102"/>
        <v>-11.310479999999998</v>
      </c>
    </row>
    <row r="190" spans="56:235" x14ac:dyDescent="0.25">
      <c r="BD190" s="281">
        <f>T9-L_fus/2</f>
        <v>-16.610479999999999</v>
      </c>
      <c r="BE190" s="281">
        <f>U9*0</f>
        <v>0</v>
      </c>
      <c r="BF190" s="281">
        <f>V9+U9*-1</f>
        <v>-1.592540887586767</v>
      </c>
      <c r="BG190" s="281">
        <f t="shared" si="99"/>
        <v>-12.724365901538921</v>
      </c>
      <c r="BH190" s="281">
        <f t="shared" si="100"/>
        <v>3.0689675097955487</v>
      </c>
      <c r="BM190" s="281">
        <f>$AZ$28+0.2*(seat_pitch)*($AY$28*n_SA+$AW$5&lt;pax_e)</f>
        <v>25.292000000000002</v>
      </c>
      <c r="BN190" s="281">
        <f>$AX$5+seat_w*($AY$28*n_SA+$AW$5&lt;pax_e)</f>
        <v>-1.31</v>
      </c>
      <c r="BO190" s="281">
        <f t="shared" si="101"/>
        <v>7.4815200000000033</v>
      </c>
      <c r="HY190" s="281">
        <f>$HX$7+(bus_pitch*(n_rows_b&gt;0))</f>
        <v>6.5</v>
      </c>
      <c r="HZ190" s="281">
        <f>$HV$6</f>
        <v>-1.84</v>
      </c>
      <c r="IA190" s="281">
        <f t="shared" si="102"/>
        <v>-11.310479999999998</v>
      </c>
    </row>
    <row r="191" spans="56:235" x14ac:dyDescent="0.25">
      <c r="BD191" s="281">
        <f>T8-L_fus/2</f>
        <v>-17.210479999999997</v>
      </c>
      <c r="BE191" s="281">
        <f>U8*0</f>
        <v>0</v>
      </c>
      <c r="BF191" s="281">
        <f>V8+U8*-1</f>
        <v>-1.3314268756764418</v>
      </c>
      <c r="BG191" s="281">
        <f t="shared" si="99"/>
        <v>-13.183992567410307</v>
      </c>
      <c r="BH191" s="281">
        <f t="shared" si="100"/>
        <v>3.4686094414587672</v>
      </c>
      <c r="BM191" s="281">
        <f>$AZ$28</f>
        <v>25.130000000000003</v>
      </c>
      <c r="BN191" s="281">
        <f>$AX$5+seat_w*($AY$28*n_SA+$AW$5&lt;pax_e)</f>
        <v>-1.31</v>
      </c>
      <c r="BO191" s="281">
        <f t="shared" si="101"/>
        <v>7.3195200000000042</v>
      </c>
      <c r="HY191" s="281">
        <f>$HX$8+0.2*(bus_pitch*(n_rows_b&gt;0))*($HW$8*n_SA_b+$HU$6&lt;pax_b)</f>
        <v>6.5</v>
      </c>
      <c r="HZ191" s="281">
        <f>$HV$6</f>
        <v>-1.84</v>
      </c>
      <c r="IA191" s="281">
        <f t="shared" si="102"/>
        <v>-11.310479999999998</v>
      </c>
    </row>
    <row r="192" spans="56:235" x14ac:dyDescent="0.25">
      <c r="BD192" s="281">
        <f>T7-L_fus/2</f>
        <v>-17.530479999999997</v>
      </c>
      <c r="BE192" s="281">
        <f>U7*0</f>
        <v>0</v>
      </c>
      <c r="BF192" s="281">
        <f>V7+U7*-1</f>
        <v>-1.1095259047413124</v>
      </c>
      <c r="BG192" s="281">
        <f t="shared" si="99"/>
        <v>-13.429126789208379</v>
      </c>
      <c r="BH192" s="281">
        <f t="shared" si="100"/>
        <v>3.7566492296960075</v>
      </c>
      <c r="BM192" s="281">
        <f>$AZ$28+1*(seat_pitch)*($AY$28*n_SA+$AW$5&lt;pax_e)</f>
        <v>25.94</v>
      </c>
      <c r="BN192" s="281">
        <f>$AX$5+seat_w*($AY$28*n_SA+$AW$5&lt;pax_e)</f>
        <v>-1.31</v>
      </c>
      <c r="BO192" s="281">
        <f t="shared" si="101"/>
        <v>8.129520000000003</v>
      </c>
      <c r="HY192" s="281">
        <f>$HX$8+0.2*(bus_pitch*(n_rows_b&gt;0))*($HW$8*n_SA_b+$HU$6&lt;pax_b)</f>
        <v>6.5</v>
      </c>
      <c r="HZ192" s="281">
        <f>$HV$6+seat_w_b*($HW$8*n_SA_b+$HU$6&lt;pax_b)</f>
        <v>-1.84</v>
      </c>
      <c r="IA192" s="281">
        <f t="shared" si="102"/>
        <v>-11.310479999999998</v>
      </c>
    </row>
    <row r="193" spans="56:235" x14ac:dyDescent="0.25">
      <c r="BD193" s="281">
        <f>T6-L_fus/2</f>
        <v>-17.73048</v>
      </c>
      <c r="BE193" s="281">
        <f>U6*0</f>
        <v>0</v>
      </c>
      <c r="BF193" s="281">
        <f>V6+U6*-1</f>
        <v>-0.87460985085100984</v>
      </c>
      <c r="BG193" s="281">
        <f t="shared" si="99"/>
        <v>-13.582335677832177</v>
      </c>
      <c r="BH193" s="281">
        <f t="shared" si="100"/>
        <v>4.0238862350915472</v>
      </c>
      <c r="BM193" s="281">
        <f>$AZ$28+0.8*(seat_pitch)*($AY$28*n_SA+$AW$5&lt;pax_e)</f>
        <v>25.778000000000002</v>
      </c>
      <c r="BN193" s="281">
        <f>$AX$5+seat_w*($AY$28*n_SA+$AW$5&lt;pax_e)</f>
        <v>-1.31</v>
      </c>
      <c r="BO193" s="281">
        <f t="shared" si="101"/>
        <v>7.9675200000000039</v>
      </c>
      <c r="HY193" s="281">
        <f>$HX$8</f>
        <v>6.5</v>
      </c>
      <c r="HZ193" s="281">
        <f>$HV$6+seat_w_b*($HW$8*n_SA_b+$HU$6&lt;pax_b)</f>
        <v>-1.84</v>
      </c>
      <c r="IA193" s="281">
        <f t="shared" si="102"/>
        <v>-11.310479999999998</v>
      </c>
    </row>
    <row r="194" spans="56:235" x14ac:dyDescent="0.25">
      <c r="BD194" s="281">
        <f>T5-L_fus/2</f>
        <v>-17.810479999999998</v>
      </c>
      <c r="BE194" s="281">
        <f>U5*0</f>
        <v>0</v>
      </c>
      <c r="BF194" s="281">
        <f>V5+U5*-1</f>
        <v>-0.59727749999999991</v>
      </c>
      <c r="BG194" s="281">
        <f t="shared" si="99"/>
        <v>-13.643619233281694</v>
      </c>
      <c r="BH194" s="281">
        <f t="shared" si="100"/>
        <v>4.2969670068469323</v>
      </c>
      <c r="BM194" s="281">
        <f>$AZ$28+0.8*(seat_pitch)*($AY$28*n_SA+$AW$5&lt;pax_e)</f>
        <v>25.778000000000002</v>
      </c>
      <c r="BN194" s="281">
        <f>$AX$5</f>
        <v>-1.84</v>
      </c>
      <c r="BO194" s="281">
        <f t="shared" si="101"/>
        <v>7.9675200000000039</v>
      </c>
      <c r="HY194" s="281">
        <f>$HX$8+1*(bus_pitch*(n_rows_b&gt;0))*($HW$8*n_SA_b+$HU$6&lt;pax_b)</f>
        <v>6.5</v>
      </c>
      <c r="HZ194" s="281">
        <f>$HV$6+seat_w_b*($HW$8*n_SA_b+$HU$6&lt;pax_b)</f>
        <v>-1.84</v>
      </c>
      <c r="IA194" s="281">
        <f t="shared" si="102"/>
        <v>-11.310479999999998</v>
      </c>
    </row>
    <row r="195" spans="56:235" x14ac:dyDescent="0.25">
      <c r="BD195" s="281">
        <f t="shared" ref="BD195:BD213" si="106">T5-L_fus/2</f>
        <v>-17.810479999999998</v>
      </c>
      <c r="BE195" s="281">
        <f t="shared" ref="BE195:BE213" si="107">U5*0.5</f>
        <v>0</v>
      </c>
      <c r="BF195" s="281">
        <f t="shared" ref="BF195:BF213" si="108">V5+U5*-0.86603</f>
        <v>-0.59727749999999991</v>
      </c>
      <c r="BG195" s="281">
        <f t="shared" si="99"/>
        <v>-13.643619233281694</v>
      </c>
      <c r="BH195" s="281">
        <f t="shared" si="100"/>
        <v>4.2969670068469323</v>
      </c>
      <c r="BM195" s="281">
        <f>$AZ$28+0.2*(seat_pitch)*($AY$28*n_SA+$AW$5&lt;pax_e)</f>
        <v>25.292000000000002</v>
      </c>
      <c r="BN195" s="281">
        <f>$AX$5</f>
        <v>-1.84</v>
      </c>
      <c r="BO195" s="281">
        <f t="shared" si="101"/>
        <v>7.4815200000000033</v>
      </c>
      <c r="HY195" s="281">
        <f>$HX$8+0.8*(bus_pitch*(n_rows_b&gt;0))*($HW$8*n_SA_b+$HU$6&lt;pax_b)</f>
        <v>6.5</v>
      </c>
      <c r="HZ195" s="281">
        <f>$HV$6+seat_w_b*($HW$8*n_SA_b+$HU$6&lt;pax_b)</f>
        <v>-1.84</v>
      </c>
      <c r="IA195" s="281">
        <f t="shared" si="102"/>
        <v>-11.310479999999998</v>
      </c>
    </row>
    <row r="196" spans="56:235" x14ac:dyDescent="0.25">
      <c r="BD196" s="281">
        <f t="shared" si="106"/>
        <v>-17.73048</v>
      </c>
      <c r="BE196" s="281">
        <f t="shared" si="107"/>
        <v>0.19809453632214993</v>
      </c>
      <c r="BF196" s="281">
        <f t="shared" si="108"/>
        <v>-0.82153240078885292</v>
      </c>
      <c r="BG196" s="281">
        <f t="shared" si="99"/>
        <v>-13.455002964337698</v>
      </c>
      <c r="BH196" s="281">
        <f t="shared" si="100"/>
        <v>4.1361227324525558</v>
      </c>
      <c r="BM196" s="281">
        <f>$AZ$28+(seat_pitch)</f>
        <v>25.94</v>
      </c>
      <c r="BN196" s="281">
        <f>$AX$5</f>
        <v>-1.84</v>
      </c>
      <c r="BO196" s="281">
        <f t="shared" si="101"/>
        <v>8.129520000000003</v>
      </c>
      <c r="HY196" s="281">
        <f>$HX$8+0.8*(bus_pitch*(n_rows_b&gt;0))*($HW$8*n_SA_b+$HU$6&lt;pax_b)</f>
        <v>6.5</v>
      </c>
      <c r="HZ196" s="281">
        <f>$HV$6</f>
        <v>-1.84</v>
      </c>
      <c r="IA196" s="281">
        <f t="shared" si="102"/>
        <v>-11.310479999999998</v>
      </c>
    </row>
    <row r="197" spans="56:235" x14ac:dyDescent="0.25">
      <c r="BD197" s="281">
        <f t="shared" si="106"/>
        <v>-17.530479999999997</v>
      </c>
      <c r="BE197" s="281">
        <f t="shared" si="107"/>
        <v>0.36589171767236611</v>
      </c>
      <c r="BF197" s="281">
        <f t="shared" si="108"/>
        <v>-1.0114888779081788</v>
      </c>
      <c r="BG197" s="281">
        <f t="shared" ref="BG197:BG260" si="109">BD197*COS(RADIANS(view_az))+BE197*SIN(RADIANS(view_az))</f>
        <v>-13.193936126601656</v>
      </c>
      <c r="BH197" s="281">
        <f t="shared" ref="BH197:BH260" si="110">BF197*COS(RADIANS(view_el))+(BE197*COS(RADIANS(view_az))-BD197*SIN(RADIANS(view_az)))*SIN(RADIANS(view_el))</f>
        <v>3.9639563345126958</v>
      </c>
      <c r="BM197" s="281">
        <f>$AZ$29+0.2*(seat_pitch)*($AY$29*n_SA+$AW$5&lt;pax_e)</f>
        <v>26.102</v>
      </c>
      <c r="BN197" s="281">
        <f>$AX$5</f>
        <v>-1.84</v>
      </c>
      <c r="BO197" s="281">
        <f t="shared" ref="BO197:BO260" si="111">BM197-L_fus/2</f>
        <v>8.291520000000002</v>
      </c>
      <c r="HY197" s="281">
        <f>$HX$8+0.2*(bus_pitch*(n_rows_b&gt;0))*($HW$8*n_SA_b+$HU$6&lt;pax_b)</f>
        <v>6.5</v>
      </c>
      <c r="HZ197" s="281">
        <f>$HV$6</f>
        <v>-1.84</v>
      </c>
      <c r="IA197" s="281">
        <f t="shared" ref="IA197:IA260" si="112">HY197-L_fus/2</f>
        <v>-11.310479999999998</v>
      </c>
    </row>
    <row r="198" spans="56:235" x14ac:dyDescent="0.25">
      <c r="BD198" s="281">
        <f t="shared" si="106"/>
        <v>-17.210479999999997</v>
      </c>
      <c r="BE198" s="281">
        <f t="shared" si="107"/>
        <v>0.5243924111974585</v>
      </c>
      <c r="BF198" s="281">
        <f t="shared" si="108"/>
        <v>-1.1909211730201947</v>
      </c>
      <c r="BG198" s="281">
        <f t="shared" si="109"/>
        <v>-12.846919622878932</v>
      </c>
      <c r="BH198" s="281">
        <f t="shared" si="110"/>
        <v>3.7657199452022034</v>
      </c>
      <c r="BM198" s="281">
        <f>$AZ$29+0.2*(seat_pitch)*($AY$29*n_SA+$AW$5&lt;pax_e)</f>
        <v>26.102</v>
      </c>
      <c r="BN198" s="281">
        <f>$AX$5+seat_w*($AY$29*n_SA+$AW$5&lt;pax_e)</f>
        <v>-1.31</v>
      </c>
      <c r="BO198" s="281">
        <f t="shared" si="111"/>
        <v>8.291520000000002</v>
      </c>
      <c r="HY198" s="281">
        <f>$HX$8+(bus_pitch*(n_rows_b&gt;0))</f>
        <v>6.5</v>
      </c>
      <c r="HZ198" s="281">
        <f>$HV$6</f>
        <v>-1.84</v>
      </c>
      <c r="IA198" s="281">
        <f t="shared" si="112"/>
        <v>-11.310479999999998</v>
      </c>
    </row>
    <row r="199" spans="56:235" x14ac:dyDescent="0.25">
      <c r="BD199" s="281">
        <f t="shared" si="106"/>
        <v>-16.610479999999999</v>
      </c>
      <c r="BE199" s="281">
        <f t="shared" si="107"/>
        <v>0.71090241970483359</v>
      </c>
      <c r="BF199" s="281">
        <f t="shared" si="108"/>
        <v>-1.4020616932510539</v>
      </c>
      <c r="BG199" s="281">
        <f t="shared" si="109"/>
        <v>-12.267406634456474</v>
      </c>
      <c r="BH199" s="281">
        <f t="shared" si="110"/>
        <v>3.4717509435767786</v>
      </c>
      <c r="BM199" s="281">
        <f>$AZ$29</f>
        <v>25.94</v>
      </c>
      <c r="BN199" s="281">
        <f>$AX$5+seat_w*($AY$29*n_SA+$AW$5&lt;pax_e)</f>
        <v>-1.31</v>
      </c>
      <c r="BO199" s="281">
        <f t="shared" si="111"/>
        <v>8.129520000000003</v>
      </c>
      <c r="HY199" s="281">
        <f>$HX$9+0.2*(bus_pitch*(n_rows_b&gt;0))*($HW$9*n_SA_b+$HU$6&lt;pax_b)</f>
        <v>6.5</v>
      </c>
      <c r="HZ199" s="281">
        <f>$HV$6</f>
        <v>-1.84</v>
      </c>
      <c r="IA199" s="281">
        <f t="shared" si="112"/>
        <v>-11.310479999999998</v>
      </c>
    </row>
    <row r="200" spans="56:235" x14ac:dyDescent="0.25">
      <c r="BD200" s="281">
        <f t="shared" si="106"/>
        <v>-16.010479999999998</v>
      </c>
      <c r="BE200" s="281">
        <f t="shared" si="107"/>
        <v>0.83137509480505201</v>
      </c>
      <c r="BF200" s="281">
        <f t="shared" si="108"/>
        <v>-1.5384439898250071</v>
      </c>
      <c r="BG200" s="281">
        <f t="shared" si="109"/>
        <v>-11.730341625724874</v>
      </c>
      <c r="BH200" s="281">
        <f t="shared" si="110"/>
        <v>3.2241566872323912</v>
      </c>
      <c r="BM200" s="281">
        <f>$AZ$29+1*(seat_pitch)*($AY$29*n_SA+$AW$5&lt;pax_e)</f>
        <v>26.75</v>
      </c>
      <c r="BN200" s="281">
        <f>$AX$5+seat_w*($AY$29*n_SA+$AW$5&lt;pax_e)</f>
        <v>-1.31</v>
      </c>
      <c r="BO200" s="281">
        <f t="shared" si="111"/>
        <v>8.9395200000000017</v>
      </c>
      <c r="HY200" s="281">
        <f>$HX$9+0.2*(bus_pitch*(n_rows_b&gt;0))*($HW$9*n_SA_b+$HU$6&lt;pax_b)</f>
        <v>6.5</v>
      </c>
      <c r="HZ200" s="281">
        <f>$HV$6+seat_w_b*($HW$9*n_SA_b+$HU$6&lt;pax_b)</f>
        <v>-1.84</v>
      </c>
      <c r="IA200" s="281">
        <f t="shared" si="112"/>
        <v>-11.310479999999998</v>
      </c>
    </row>
    <row r="201" spans="56:235" x14ac:dyDescent="0.25">
      <c r="BD201" s="281">
        <f t="shared" si="106"/>
        <v>-15.410479999999998</v>
      </c>
      <c r="BE201" s="281">
        <f t="shared" si="107"/>
        <v>0.9123564515479955</v>
      </c>
      <c r="BF201" s="281">
        <f t="shared" si="108"/>
        <v>-1.6301197445394238</v>
      </c>
      <c r="BG201" s="281">
        <f t="shared" si="109"/>
        <v>-11.218661147123518</v>
      </c>
      <c r="BH201" s="281">
        <f t="shared" si="110"/>
        <v>3.0042952258865467</v>
      </c>
      <c r="BM201" s="281">
        <f>$AZ$29+0.8*(seat_pitch)*($AY$29*n_SA+$AW$5&lt;pax_e)</f>
        <v>26.588000000000001</v>
      </c>
      <c r="BN201" s="281">
        <f>$AX$5+seat_w*($AY$29*n_SA+$AW$5&lt;pax_e)</f>
        <v>-1.31</v>
      </c>
      <c r="BO201" s="281">
        <f t="shared" si="111"/>
        <v>8.7775200000000027</v>
      </c>
      <c r="HY201" s="281">
        <f>$HX$9</f>
        <v>6.5</v>
      </c>
      <c r="HZ201" s="281">
        <f>$HV$6+seat_w_b*($HW$9*n_SA_b+$HU$6&lt;pax_b)</f>
        <v>-1.84</v>
      </c>
      <c r="IA201" s="281">
        <f t="shared" si="112"/>
        <v>-11.310479999999998</v>
      </c>
    </row>
    <row r="202" spans="56:235" x14ac:dyDescent="0.25">
      <c r="BD202" s="281">
        <f t="shared" si="106"/>
        <v>-14.610479999999999</v>
      </c>
      <c r="BE202" s="281">
        <f t="shared" si="107"/>
        <v>0.97535007323011969</v>
      </c>
      <c r="BF202" s="281">
        <f t="shared" si="108"/>
        <v>-1.7014323039008892</v>
      </c>
      <c r="BG202" s="281">
        <f t="shared" si="109"/>
        <v>-10.565334073121786</v>
      </c>
      <c r="BH202" s="281">
        <f t="shared" si="110"/>
        <v>2.742734902630807</v>
      </c>
      <c r="BM202" s="281">
        <f>$AZ$29+0.8*(seat_pitch)*($AY$29*n_SA+$AW$5&lt;pax_e)</f>
        <v>26.588000000000001</v>
      </c>
      <c r="BN202" s="281">
        <f>$AX$5</f>
        <v>-1.84</v>
      </c>
      <c r="BO202" s="281">
        <f t="shared" si="111"/>
        <v>8.7775200000000027</v>
      </c>
      <c r="HY202" s="281">
        <f>$HX$9+1*(bus_pitch*(n_rows_b&gt;0))*($HW$9*n_SA_b+$HU$6&lt;pax_b)</f>
        <v>6.5</v>
      </c>
      <c r="HZ202" s="281">
        <f>$HV$6+seat_w_b*($HW$9*n_SA_b+$HU$6&lt;pax_b)</f>
        <v>-1.84</v>
      </c>
      <c r="IA202" s="281">
        <f t="shared" si="112"/>
        <v>-11.310479999999998</v>
      </c>
    </row>
    <row r="203" spans="56:235" x14ac:dyDescent="0.25">
      <c r="BD203" s="281">
        <f t="shared" si="106"/>
        <v>-13.810479999999998</v>
      </c>
      <c r="BE203" s="281">
        <f t="shared" si="107"/>
        <v>0.99546249999999992</v>
      </c>
      <c r="BF203" s="281">
        <f t="shared" si="108"/>
        <v>-1.7242007777499997</v>
      </c>
      <c r="BG203" s="281">
        <f t="shared" si="109"/>
        <v>-9.9395704998981955</v>
      </c>
      <c r="BH203" s="281">
        <f t="shared" si="110"/>
        <v>2.5112879166163058</v>
      </c>
      <c r="BM203" s="281">
        <f>$AZ$29+0.2*(seat_pitch)*($AY$29*n_SA+$AW$5&lt;pax_e)</f>
        <v>26.102</v>
      </c>
      <c r="BN203" s="281">
        <f>$AX$5</f>
        <v>-1.84</v>
      </c>
      <c r="BO203" s="281">
        <f t="shared" si="111"/>
        <v>8.291520000000002</v>
      </c>
      <c r="HY203" s="281">
        <f>$HX$9+0.8*(bus_pitch*(n_rows_b&gt;0))*($HW$9*n_SA_b+$HU$6&lt;pax_b)</f>
        <v>6.5</v>
      </c>
      <c r="HZ203" s="281">
        <f>$HV$6+seat_w_b*($HW$9*n_SA_b+$HU$6&lt;pax_b)</f>
        <v>-1.84</v>
      </c>
      <c r="IA203" s="281">
        <f t="shared" si="112"/>
        <v>-11.310479999999998</v>
      </c>
    </row>
    <row r="204" spans="56:235" x14ac:dyDescent="0.25">
      <c r="BD204" s="281">
        <f t="shared" si="106"/>
        <v>-5.3938133333333411</v>
      </c>
      <c r="BE204" s="281">
        <f t="shared" si="107"/>
        <v>0.99546249999999992</v>
      </c>
      <c r="BF204" s="281">
        <f t="shared" si="108"/>
        <v>-1.7242007777499997</v>
      </c>
      <c r="BG204" s="281">
        <f t="shared" si="109"/>
        <v>-3.4920297703134713</v>
      </c>
      <c r="BH204" s="281">
        <f t="shared" si="110"/>
        <v>0.22486858247525676</v>
      </c>
      <c r="BM204" s="281">
        <f>$AZ$29+(seat_pitch)</f>
        <v>26.75</v>
      </c>
      <c r="BN204" s="281">
        <f>$AX$5</f>
        <v>-1.84</v>
      </c>
      <c r="BO204" s="281">
        <f t="shared" si="111"/>
        <v>8.9395200000000017</v>
      </c>
      <c r="HY204" s="281">
        <f>$HX$9+0.8*(bus_pitch*(n_rows_b&gt;0))*($HW$9*n_SA_b+$HU$6&lt;pax_b)</f>
        <v>6.5</v>
      </c>
      <c r="HZ204" s="281">
        <f>$HV$6</f>
        <v>-1.84</v>
      </c>
      <c r="IA204" s="281">
        <f t="shared" si="112"/>
        <v>-11.310479999999998</v>
      </c>
    </row>
    <row r="205" spans="56:235" x14ac:dyDescent="0.25">
      <c r="BD205" s="281">
        <f t="shared" si="106"/>
        <v>3.0228533333333161</v>
      </c>
      <c r="BE205" s="281">
        <f t="shared" si="107"/>
        <v>0.99546249999999992</v>
      </c>
      <c r="BF205" s="281">
        <f t="shared" si="108"/>
        <v>-1.7242007777499997</v>
      </c>
      <c r="BG205" s="281">
        <f t="shared" si="109"/>
        <v>2.955510959271253</v>
      </c>
      <c r="BH205" s="281">
        <f t="shared" si="110"/>
        <v>-2.0615507516657927</v>
      </c>
      <c r="BM205" s="281">
        <f>$AZ$30+0.2*(seat_pitch)*($AY$30*n_SA+$AW$5&lt;pax_e)</f>
        <v>26.102</v>
      </c>
      <c r="BN205" s="281">
        <f>$AX$5</f>
        <v>-1.84</v>
      </c>
      <c r="BO205" s="281">
        <f t="shared" si="111"/>
        <v>8.291520000000002</v>
      </c>
      <c r="HY205" s="281">
        <f>$HX$9+0.2*(bus_pitch*(n_rows_b&gt;0))*($HW$9*n_SA_b+$HU$6&lt;pax_b)</f>
        <v>6.5</v>
      </c>
      <c r="HZ205" s="281">
        <f>$HV$6</f>
        <v>-1.84</v>
      </c>
      <c r="IA205" s="281">
        <f t="shared" si="112"/>
        <v>-11.310479999999998</v>
      </c>
    </row>
    <row r="206" spans="56:235" x14ac:dyDescent="0.25">
      <c r="BD206" s="281">
        <f t="shared" si="106"/>
        <v>11.439519999999998</v>
      </c>
      <c r="BE206" s="281">
        <f t="shared" si="107"/>
        <v>0.99546249999999992</v>
      </c>
      <c r="BF206" s="281">
        <f t="shared" si="108"/>
        <v>-1.7242007777499997</v>
      </c>
      <c r="BG206" s="281">
        <f t="shared" si="109"/>
        <v>9.4030516888559958</v>
      </c>
      <c r="BH206" s="281">
        <f t="shared" si="110"/>
        <v>-4.3479700858068489</v>
      </c>
      <c r="BM206" s="281">
        <f>$AZ$30+0.2*(seat_pitch)*($AY$30*n_SA+$AW$5&lt;pax_e)</f>
        <v>26.102</v>
      </c>
      <c r="BN206" s="281">
        <f>$AX$5+seat_w*($AY$30*n_SA+$AW$5&lt;pax_e)</f>
        <v>-1.31</v>
      </c>
      <c r="BO206" s="281">
        <f t="shared" si="111"/>
        <v>8.291520000000002</v>
      </c>
      <c r="HY206" s="281">
        <f>$HX$9+(bus_pitch*(n_rows_b&gt;0))</f>
        <v>6.5</v>
      </c>
      <c r="HZ206" s="281">
        <f>$HV$6</f>
        <v>-1.84</v>
      </c>
      <c r="IA206" s="281">
        <f t="shared" si="112"/>
        <v>-11.310479999999998</v>
      </c>
    </row>
    <row r="207" spans="56:235" x14ac:dyDescent="0.25">
      <c r="BD207" s="281">
        <f t="shared" si="106"/>
        <v>12.395163999999998</v>
      </c>
      <c r="BE207" s="281">
        <f t="shared" si="107"/>
        <v>0.92108763108176062</v>
      </c>
      <c r="BF207" s="281">
        <f t="shared" si="108"/>
        <v>-1.4838167389141153</v>
      </c>
      <c r="BG207" s="281">
        <f t="shared" si="109"/>
        <v>10.087310220443285</v>
      </c>
      <c r="BH207" s="281">
        <f t="shared" si="110"/>
        <v>-4.4137909117918896</v>
      </c>
      <c r="BM207" s="281">
        <f>$AZ$30</f>
        <v>25.94</v>
      </c>
      <c r="BN207" s="281">
        <f>$AX$5+seat_w*($AY$30*n_SA+$AW$5&lt;pax_e)</f>
        <v>-1.31</v>
      </c>
      <c r="BO207" s="281">
        <f t="shared" si="111"/>
        <v>8.129520000000003</v>
      </c>
      <c r="HY207" s="281">
        <f>$HX$10+0.2*(bus_pitch*(n_rows_b&gt;0))*($HW$10*n_SA_b+$HU$6&lt;pax_b)</f>
        <v>6.5</v>
      </c>
      <c r="HZ207" s="281">
        <f>$HV$6</f>
        <v>-1.84</v>
      </c>
      <c r="IA207" s="281">
        <f t="shared" si="112"/>
        <v>-11.310479999999998</v>
      </c>
    </row>
    <row r="208" spans="56:235" x14ac:dyDescent="0.25">
      <c r="BD208" s="281">
        <f t="shared" si="106"/>
        <v>13.350807999999997</v>
      </c>
      <c r="BE208" s="281">
        <f t="shared" si="107"/>
        <v>0.81233009127609856</v>
      </c>
      <c r="BF208" s="281">
        <f t="shared" si="108"/>
        <v>-1.1323058448098273</v>
      </c>
      <c r="BG208" s="281">
        <f t="shared" si="109"/>
        <v>10.749467997196206</v>
      </c>
      <c r="BH208" s="281">
        <f t="shared" si="110"/>
        <v>-4.3900277996568988</v>
      </c>
      <c r="BM208" s="281">
        <f>$AZ$30+1*(seat_pitch)*($AY$30*n_SA+$AW$5&lt;pax_e)</f>
        <v>26.75</v>
      </c>
      <c r="BN208" s="281">
        <f>$AX$5+seat_w*($AY$30*n_SA+$AW$5&lt;pax_e)</f>
        <v>-1.31</v>
      </c>
      <c r="BO208" s="281">
        <f t="shared" si="111"/>
        <v>8.9395200000000017</v>
      </c>
      <c r="HY208" s="281">
        <f>$HX$10+0.2*(bus_pitch*(n_rows_b&gt;0))*($HW$10*n_SA_b+$HU$6&lt;pax_b)</f>
        <v>6.5</v>
      </c>
      <c r="HZ208" s="281">
        <f>$HV$6+seat_w_b*($HW$10*n_SA_b+$HU$6&lt;pax_b)</f>
        <v>-1.84</v>
      </c>
      <c r="IA208" s="281">
        <f t="shared" si="112"/>
        <v>-11.310479999999998</v>
      </c>
    </row>
    <row r="209" spans="56:235" x14ac:dyDescent="0.25">
      <c r="BD209" s="281">
        <f t="shared" si="106"/>
        <v>14.306452</v>
      </c>
      <c r="BE209" s="281">
        <f t="shared" si="107"/>
        <v>0.68523246313724451</v>
      </c>
      <c r="BF209" s="281">
        <f t="shared" si="108"/>
        <v>-0.72151868480736248</v>
      </c>
      <c r="BG209" s="281">
        <f t="shared" si="109"/>
        <v>11.399836992407998</v>
      </c>
      <c r="BH209" s="281">
        <f t="shared" si="110"/>
        <v>-4.318479646512845</v>
      </c>
      <c r="BM209" s="281">
        <f>$AZ$30+0.8*(seat_pitch)*($AY$30*n_SA+$AW$5&lt;pax_e)</f>
        <v>26.588000000000001</v>
      </c>
      <c r="BN209" s="281">
        <f>$AX$5+seat_w*($AY$30*n_SA+$AW$5&lt;pax_e)</f>
        <v>-1.31</v>
      </c>
      <c r="BO209" s="281">
        <f t="shared" si="111"/>
        <v>8.7775200000000027</v>
      </c>
      <c r="HY209" s="281">
        <f>$HX$10</f>
        <v>6.5</v>
      </c>
      <c r="HZ209" s="281">
        <f>$HV$6+seat_w_b*($HW$10*n_SA_b+$HU$6&lt;pax_b)</f>
        <v>-1.84</v>
      </c>
      <c r="IA209" s="281">
        <f t="shared" si="112"/>
        <v>-11.310479999999998</v>
      </c>
    </row>
    <row r="210" spans="56:235" x14ac:dyDescent="0.25">
      <c r="BD210" s="281">
        <f t="shared" si="106"/>
        <v>15.262096</v>
      </c>
      <c r="BE210" s="281">
        <f t="shared" si="107"/>
        <v>0.54453761619434182</v>
      </c>
      <c r="BF210" s="281">
        <f t="shared" si="108"/>
        <v>-0.26678449779708457</v>
      </c>
      <c r="BG210" s="281">
        <f t="shared" si="109"/>
        <v>12.04146586384635</v>
      </c>
      <c r="BH210" s="281">
        <f t="shared" si="110"/>
        <v>-4.2115039836231185</v>
      </c>
      <c r="BM210" s="281">
        <f>$AZ$30+0.8*(seat_pitch)*($AY$30*n_SA+$AW$5&lt;pax_e)</f>
        <v>26.588000000000001</v>
      </c>
      <c r="BN210" s="281">
        <f>$AX$5</f>
        <v>-1.84</v>
      </c>
      <c r="BO210" s="281">
        <f t="shared" si="111"/>
        <v>8.7775200000000027</v>
      </c>
      <c r="HY210" s="281">
        <f>$HX$10+1*(bus_pitch*(n_rows_b&gt;0))*($HW$10*n_SA_b+$HU$6&lt;pax_b)</f>
        <v>6.5</v>
      </c>
      <c r="HZ210" s="281">
        <f>$HV$6+seat_w_b*($HW$10*n_SA_b+$HU$6&lt;pax_b)</f>
        <v>-1.84</v>
      </c>
      <c r="IA210" s="281">
        <f t="shared" si="112"/>
        <v>-11.310479999999998</v>
      </c>
    </row>
    <row r="211" spans="56:235" x14ac:dyDescent="0.25">
      <c r="BD211" s="281">
        <f t="shared" si="106"/>
        <v>16.217739999999999</v>
      </c>
      <c r="BE211" s="281">
        <f t="shared" si="107"/>
        <v>0.39278189029748012</v>
      </c>
      <c r="BF211" s="281">
        <f t="shared" si="108"/>
        <v>0.22369911364512629</v>
      </c>
      <c r="BG211" s="281">
        <f t="shared" si="109"/>
        <v>12.675984939340852</v>
      </c>
      <c r="BH211" s="281">
        <f t="shared" si="110"/>
        <v>-4.0757092362879437</v>
      </c>
      <c r="BM211" s="281">
        <f>$AZ$30+0.2*(seat_pitch)*($AY$30*n_SA+$AW$5&lt;pax_e)</f>
        <v>26.102</v>
      </c>
      <c r="BN211" s="281">
        <f>$AX$5</f>
        <v>-1.84</v>
      </c>
      <c r="BO211" s="281">
        <f t="shared" si="111"/>
        <v>8.291520000000002</v>
      </c>
      <c r="HY211" s="281">
        <f>$HX$10+0.8*(bus_pitch*(n_rows_b&gt;0))*($HW$10*n_SA_b+$HU$6&lt;pax_b)</f>
        <v>6.5</v>
      </c>
      <c r="HZ211" s="281">
        <f>$HV$6+seat_w_b*($HW$10*n_SA_b+$HU$6&lt;pax_b)</f>
        <v>-1.84</v>
      </c>
      <c r="IA211" s="281">
        <f t="shared" si="112"/>
        <v>-11.310479999999998</v>
      </c>
    </row>
    <row r="212" spans="56:235" x14ac:dyDescent="0.25">
      <c r="BD212" s="281">
        <f t="shared" si="106"/>
        <v>17.173383999999999</v>
      </c>
      <c r="BE212" s="281">
        <f t="shared" si="107"/>
        <v>0.23158654652926203</v>
      </c>
      <c r="BF212" s="281">
        <f t="shared" si="108"/>
        <v>0.74469213642463328</v>
      </c>
      <c r="BG212" s="281">
        <f t="shared" si="109"/>
        <v>13.304436345427471</v>
      </c>
      <c r="BH212" s="281">
        <f t="shared" si="110"/>
        <v>-3.9153195950298065</v>
      </c>
      <c r="BM212" s="281">
        <f>$AZ$30+(seat_pitch)</f>
        <v>26.75</v>
      </c>
      <c r="BN212" s="281">
        <f>$AX$5</f>
        <v>-1.84</v>
      </c>
      <c r="BO212" s="281">
        <f t="shared" si="111"/>
        <v>8.9395200000000017</v>
      </c>
      <c r="HY212" s="281">
        <f>$HX$10+0.8*(bus_pitch*(n_rows_b&gt;0))*($HW$10*n_SA_b+$HU$6&lt;pax_b)</f>
        <v>6.5</v>
      </c>
      <c r="HZ212" s="281">
        <f>$HV$6</f>
        <v>-1.84</v>
      </c>
      <c r="IA212" s="281">
        <f t="shared" si="112"/>
        <v>-11.310479999999998</v>
      </c>
    </row>
    <row r="213" spans="56:235" x14ac:dyDescent="0.25">
      <c r="BD213" s="281">
        <f t="shared" si="106"/>
        <v>17.810479999999998</v>
      </c>
      <c r="BE213" s="281">
        <f t="shared" si="107"/>
        <v>0.11945549999999999</v>
      </c>
      <c r="BF213" s="281">
        <f t="shared" si="108"/>
        <v>1.10710640667</v>
      </c>
      <c r="BG213" s="281">
        <f t="shared" si="109"/>
        <v>13.720403748590604</v>
      </c>
      <c r="BH213" s="281">
        <f t="shared" si="110"/>
        <v>-3.7962320529694731</v>
      </c>
      <c r="BM213" s="281">
        <f>$AZ$31+0.2*(seat_pitch)*($AY$31*n_SA+$AW$5&lt;pax_e)</f>
        <v>26.102</v>
      </c>
      <c r="BN213" s="281">
        <f>$AX$5</f>
        <v>-1.84</v>
      </c>
      <c r="BO213" s="281">
        <f t="shared" si="111"/>
        <v>8.291520000000002</v>
      </c>
      <c r="HY213" s="281">
        <f>$HX$10+0.2*(bus_pitch*(n_rows_b&gt;0))*($HW$10*n_SA_b+$HU$6&lt;pax_b)</f>
        <v>6.5</v>
      </c>
      <c r="HZ213" s="281">
        <f>$HV$6</f>
        <v>-1.84</v>
      </c>
      <c r="IA213" s="281">
        <f t="shared" si="112"/>
        <v>-11.310479999999998</v>
      </c>
    </row>
    <row r="214" spans="56:235" x14ac:dyDescent="0.25">
      <c r="BD214" s="281">
        <f>T23-L_fus/2</f>
        <v>17.810479999999998</v>
      </c>
      <c r="BE214" s="281">
        <f>U23*0.86603</f>
        <v>0.20690409332999998</v>
      </c>
      <c r="BF214" s="281">
        <f>V23+U23*-0.5</f>
        <v>1.194555</v>
      </c>
      <c r="BG214" s="281">
        <f t="shared" si="109"/>
        <v>13.776614620867646</v>
      </c>
      <c r="BH214" s="281">
        <f t="shared" si="110"/>
        <v>-3.6886657220295183</v>
      </c>
      <c r="BM214" s="281">
        <f>$AZ$31+0.2*(seat_pitch)*($AY$31*n_SA+$AW$5&lt;pax_e)</f>
        <v>26.102</v>
      </c>
      <c r="BN214" s="281">
        <f>$AX$5+seat_w*($AY$31*n_SA+$AW$5&lt;pax_e)</f>
        <v>-1.31</v>
      </c>
      <c r="BO214" s="281">
        <f t="shared" si="111"/>
        <v>8.291520000000002</v>
      </c>
      <c r="HY214" s="281">
        <f>$HX$10+(bus_pitch*(n_rows_b&gt;0))</f>
        <v>6.5</v>
      </c>
      <c r="HZ214" s="281">
        <f>$HV$6</f>
        <v>-1.84</v>
      </c>
      <c r="IA214" s="281">
        <f t="shared" si="112"/>
        <v>-11.310479999999998</v>
      </c>
    </row>
    <row r="215" spans="56:235" x14ac:dyDescent="0.25">
      <c r="BD215" s="281">
        <f>T22-L_fus/2</f>
        <v>17.173383999999999</v>
      </c>
      <c r="BE215" s="281">
        <f>U22*0.86603</f>
        <v>0.40112179378147356</v>
      </c>
      <c r="BF215" s="281">
        <f>V22+U22*-0.5</f>
        <v>0.91422738367684475</v>
      </c>
      <c r="BG215" s="281">
        <f t="shared" si="109"/>
        <v>13.413411501766335</v>
      </c>
      <c r="BH215" s="281">
        <f t="shared" si="110"/>
        <v>-3.7067823982895303</v>
      </c>
      <c r="BM215" s="281">
        <f>$AZ$31</f>
        <v>25.94</v>
      </c>
      <c r="BN215" s="281">
        <f>$AX$5+seat_w*($AY$31*n_SA+$AW$5&lt;pax_e)</f>
        <v>-1.31</v>
      </c>
      <c r="BO215" s="281">
        <f t="shared" si="111"/>
        <v>8.129520000000003</v>
      </c>
      <c r="HY215" s="281">
        <f>$HX$11+0.2*(bus_pitch*(n_rows_b&gt;0))*($HW$11*n_SA_b+$HU$6&lt;pax_b)</f>
        <v>6.5</v>
      </c>
      <c r="HZ215" s="281">
        <f>$HV$6</f>
        <v>-1.84</v>
      </c>
      <c r="IA215" s="281">
        <f t="shared" si="112"/>
        <v>-11.310479999999998</v>
      </c>
    </row>
    <row r="216" spans="56:235" x14ac:dyDescent="0.25">
      <c r="BD216" s="281">
        <f>T21-L_fus/2</f>
        <v>16.217739999999999</v>
      </c>
      <c r="BE216" s="281">
        <f>U21*0.86603</f>
        <v>0.68032180090865335</v>
      </c>
      <c r="BF216" s="281">
        <f>V21+U21*-0.5</f>
        <v>0.51123902425629952</v>
      </c>
      <c r="BG216" s="281">
        <f t="shared" si="109"/>
        <v>12.860812031172088</v>
      </c>
      <c r="BH216" s="281">
        <f t="shared" si="110"/>
        <v>-3.7220201487284763</v>
      </c>
      <c r="BM216" s="281">
        <f>$AZ$31+1*(seat_pitch)*($AY$31*n_SA+$AW$5&lt;pax_e)</f>
        <v>26.75</v>
      </c>
      <c r="BN216" s="281">
        <f>$AX$5+seat_w*($AY$31*n_SA+$AW$5&lt;pax_e)</f>
        <v>-1.31</v>
      </c>
      <c r="BO216" s="281">
        <f t="shared" si="111"/>
        <v>8.9395200000000017</v>
      </c>
      <c r="HY216" s="281">
        <f>$HX$11+0.2*(bus_pitch*(n_rows_b&gt;0))*($HW$11*n_SA_b+$HU$6&lt;pax_b)</f>
        <v>6.5</v>
      </c>
      <c r="HZ216" s="281">
        <f>$HV$6+seat_w_b*($HW$11*n_SA_b+$HU$6&lt;pax_b)</f>
        <v>-1.84</v>
      </c>
      <c r="IA216" s="281">
        <f t="shared" si="112"/>
        <v>-11.310479999999998</v>
      </c>
    </row>
    <row r="217" spans="56:235" x14ac:dyDescent="0.25">
      <c r="BD217" s="281">
        <f>T20-L_fus/2</f>
        <v>15.262096</v>
      </c>
      <c r="BE217" s="281">
        <f>U20*0.86603</f>
        <v>0.94317182350557172</v>
      </c>
      <c r="BF217" s="281">
        <f>V20+U20*-0.5</f>
        <v>0.13184970951414532</v>
      </c>
      <c r="BG217" s="281">
        <f t="shared" si="109"/>
        <v>12.297702993103222</v>
      </c>
      <c r="BH217" s="281">
        <f t="shared" si="110"/>
        <v>-3.7211631166658394</v>
      </c>
      <c r="BM217" s="281">
        <f>$AZ$31+0.8*(seat_pitch)*($AY$31*n_SA+$AW$5&lt;pax_e)</f>
        <v>26.588000000000001</v>
      </c>
      <c r="BN217" s="281">
        <f>$AX$5+seat_w*($AY$31*n_SA+$AW$5&lt;pax_e)</f>
        <v>-1.31</v>
      </c>
      <c r="BO217" s="281">
        <f t="shared" si="111"/>
        <v>8.7775200000000027</v>
      </c>
      <c r="HY217" s="281">
        <f>$HX$11</f>
        <v>6.5</v>
      </c>
      <c r="HZ217" s="281">
        <f>$HV$6+seat_w_b*($HW$11*n_SA_b+$HU$6&lt;pax_b)</f>
        <v>-1.84</v>
      </c>
      <c r="IA217" s="281">
        <f t="shared" si="112"/>
        <v>-11.310479999999998</v>
      </c>
    </row>
    <row r="218" spans="56:235" x14ac:dyDescent="0.25">
      <c r="BD218" s="281">
        <f>T19-L_fus/2</f>
        <v>14.306452</v>
      </c>
      <c r="BE218" s="281">
        <f>U19*0.86603</f>
        <v>1.1868637401014956</v>
      </c>
      <c r="BF218" s="281">
        <f>V19+U19*-0.5</f>
        <v>-0.21988740784311139</v>
      </c>
      <c r="BG218" s="281">
        <f t="shared" si="109"/>
        <v>11.722279361871855</v>
      </c>
      <c r="BH218" s="281">
        <f t="shared" si="110"/>
        <v>-3.7014470117608087</v>
      </c>
      <c r="BM218" s="281">
        <f>$AZ$31+0.8*(seat_pitch)*($AY$31*n_SA+$AW$5&lt;pax_e)</f>
        <v>26.588000000000001</v>
      </c>
      <c r="BN218" s="281">
        <f>$AX$5</f>
        <v>-1.84</v>
      </c>
      <c r="BO218" s="281">
        <f t="shared" si="111"/>
        <v>8.7775200000000027</v>
      </c>
      <c r="HY218" s="281">
        <f>$HX$11+1*(bus_pitch*(n_rows_b&gt;0))*($HW$11*n_SA_b+$HU$6&lt;pax_b)</f>
        <v>6.5</v>
      </c>
      <c r="HZ218" s="281">
        <f>$HV$6+seat_w_b*($HW$11*n_SA_b+$HU$6&lt;pax_b)</f>
        <v>-1.84</v>
      </c>
      <c r="IA218" s="281">
        <f t="shared" si="112"/>
        <v>-11.310479999999998</v>
      </c>
    </row>
    <row r="219" spans="56:235" x14ac:dyDescent="0.25">
      <c r="BD219" s="281">
        <f>T18-L_fus/2</f>
        <v>13.350807999999997</v>
      </c>
      <c r="BE219" s="281">
        <f>U18*0.86603</f>
        <v>1.4070044578956793</v>
      </c>
      <c r="BF219" s="281">
        <f>V18+U18*-0.5</f>
        <v>-0.53763147819024648</v>
      </c>
      <c r="BG219" s="281">
        <f t="shared" si="109"/>
        <v>11.131717311857463</v>
      </c>
      <c r="BH219" s="281">
        <f t="shared" si="110"/>
        <v>-3.6585473116869913</v>
      </c>
      <c r="BM219" s="281">
        <f>$AZ$31+0.2*(seat_pitch)*($AY$31*n_SA+$AW$5&lt;pax_e)</f>
        <v>26.102</v>
      </c>
      <c r="BN219" s="281">
        <f>$AX$5</f>
        <v>-1.84</v>
      </c>
      <c r="BO219" s="281">
        <f t="shared" si="111"/>
        <v>8.291520000000002</v>
      </c>
      <c r="HY219" s="281">
        <f>$HX$11+0.8*(bus_pitch*(n_rows_b&gt;0))*($HW$11*n_SA_b+$HU$6&lt;pax_b)</f>
        <v>6.5</v>
      </c>
      <c r="HZ219" s="281">
        <f>$HV$6+seat_w_b*($HW$11*n_SA_b+$HU$6&lt;pax_b)</f>
        <v>-1.84</v>
      </c>
      <c r="IA219" s="281">
        <f t="shared" si="112"/>
        <v>-11.310479999999998</v>
      </c>
    </row>
    <row r="220" spans="56:235" x14ac:dyDescent="0.25">
      <c r="BD220" s="281">
        <f>T17-L_fus/2</f>
        <v>12.395163999999998</v>
      </c>
      <c r="BE220" s="281">
        <f>U17*0.86603</f>
        <v>1.5953790422914742</v>
      </c>
      <c r="BF220" s="281">
        <f>V17+U17*-0.5</f>
        <v>-0.80952532770440166</v>
      </c>
      <c r="BG220" s="281">
        <f t="shared" si="109"/>
        <v>10.52073638488694</v>
      </c>
      <c r="BH220" s="281">
        <f t="shared" si="110"/>
        <v>-3.5843773063100119</v>
      </c>
      <c r="BM220" s="281">
        <f>$AZ$31+(seat_pitch)</f>
        <v>26.75</v>
      </c>
      <c r="BN220" s="281">
        <f>$AX$5</f>
        <v>-1.84</v>
      </c>
      <c r="BO220" s="281">
        <f t="shared" si="111"/>
        <v>8.9395200000000017</v>
      </c>
      <c r="HY220" s="281">
        <f>$HX$11+0.8*(bus_pitch*(n_rows_b&gt;0))*($HW$11*n_SA_b+$HU$6&lt;pax_b)</f>
        <v>6.5</v>
      </c>
      <c r="HZ220" s="281">
        <f>$HV$6</f>
        <v>-1.84</v>
      </c>
      <c r="IA220" s="281">
        <f t="shared" si="112"/>
        <v>-11.310479999999998</v>
      </c>
    </row>
    <row r="221" spans="56:235" x14ac:dyDescent="0.25">
      <c r="BD221" s="281">
        <f>T16-L_fus/2</f>
        <v>11.439519999999998</v>
      </c>
      <c r="BE221" s="281">
        <f>U16*0.86603</f>
        <v>1.7242007777499997</v>
      </c>
      <c r="BF221" s="281">
        <f>V16+U16*-0.5</f>
        <v>-0.99546249999999992</v>
      </c>
      <c r="BG221" s="281">
        <f t="shared" si="109"/>
        <v>9.8714756244980038</v>
      </c>
      <c r="BH221" s="281">
        <f t="shared" si="110"/>
        <v>-3.4515839946405511</v>
      </c>
      <c r="BM221" s="281">
        <f>$AZ$32+0.2*(seat_pitch)*($AY$32*n_SA+$AW$5&lt;pax_e)</f>
        <v>26.102</v>
      </c>
      <c r="BN221" s="281">
        <f>$AX$5</f>
        <v>-1.84</v>
      </c>
      <c r="BO221" s="281">
        <f t="shared" si="111"/>
        <v>8.291520000000002</v>
      </c>
      <c r="HY221" s="281">
        <f>$HX$11+0.2*(bus_pitch*(n_rows_b&gt;0))*($HW$11*n_SA_b+$HU$6&lt;pax_b)</f>
        <v>6.5</v>
      </c>
      <c r="HZ221" s="281">
        <f>$HV$6</f>
        <v>-1.84</v>
      </c>
      <c r="IA221" s="281">
        <f t="shared" si="112"/>
        <v>-11.310479999999998</v>
      </c>
    </row>
    <row r="222" spans="56:235" x14ac:dyDescent="0.25">
      <c r="BD222" s="281">
        <f>T15-L_fus/2</f>
        <v>3.0228533333333161</v>
      </c>
      <c r="BE222" s="281">
        <f>U15*0.86603</f>
        <v>1.7242007777499997</v>
      </c>
      <c r="BF222" s="281">
        <f>V15+U15*-0.5</f>
        <v>-0.99546249999999992</v>
      </c>
      <c r="BG222" s="281">
        <f t="shared" si="109"/>
        <v>3.4239348949132609</v>
      </c>
      <c r="BH222" s="281">
        <f t="shared" si="110"/>
        <v>-1.1651646604994952</v>
      </c>
      <c r="BM222" s="281">
        <f>$AZ$32+0.2*(seat_pitch)*($AY$32*n_SA+$AW$5&lt;pax_e)</f>
        <v>26.102</v>
      </c>
      <c r="BN222" s="281">
        <f>$AX$5+seat_w*($AY$32*n_SA+$AW$5&lt;pax_e)</f>
        <v>-1.31</v>
      </c>
      <c r="BO222" s="281">
        <f t="shared" si="111"/>
        <v>8.291520000000002</v>
      </c>
      <c r="HY222" s="281">
        <f>$HX$11+(bus_pitch*(n_rows_b&gt;0))</f>
        <v>6.5</v>
      </c>
      <c r="HZ222" s="281">
        <f>$HV$6</f>
        <v>-1.84</v>
      </c>
      <c r="IA222" s="281">
        <f t="shared" si="112"/>
        <v>-11.310479999999998</v>
      </c>
    </row>
    <row r="223" spans="56:235" x14ac:dyDescent="0.25">
      <c r="BD223" s="281">
        <f>T14-L_fus/2</f>
        <v>-5.3938133333333411</v>
      </c>
      <c r="BE223" s="281">
        <f>U14*0.86603</f>
        <v>1.7242007777499997</v>
      </c>
      <c r="BF223" s="281">
        <f>V14+U14*-0.5</f>
        <v>-0.99546249999999992</v>
      </c>
      <c r="BG223" s="281">
        <f t="shared" si="109"/>
        <v>-3.0236058346714634</v>
      </c>
      <c r="BH223" s="281">
        <f t="shared" si="110"/>
        <v>1.1212546736415541</v>
      </c>
      <c r="BM223" s="281">
        <f>$AZ$32</f>
        <v>25.94</v>
      </c>
      <c r="BN223" s="281">
        <f>$AX$5+seat_w*($AY$32*n_SA+$AW$5&lt;pax_e)</f>
        <v>-1.31</v>
      </c>
      <c r="BO223" s="281">
        <f t="shared" si="111"/>
        <v>8.129520000000003</v>
      </c>
      <c r="HY223" s="281">
        <f>$HX$12+0.2*(bus_pitch*(n_rows_b&gt;0))*($HW$12*n_SA_b+$HU$6&lt;pax_b)</f>
        <v>6.5</v>
      </c>
      <c r="HZ223" s="281">
        <f>$HV$6</f>
        <v>-1.84</v>
      </c>
      <c r="IA223" s="281">
        <f t="shared" si="112"/>
        <v>-11.310479999999998</v>
      </c>
    </row>
    <row r="224" spans="56:235" x14ac:dyDescent="0.25">
      <c r="BD224" s="281">
        <f>T13-L_fus/2</f>
        <v>-13.810479999999998</v>
      </c>
      <c r="BE224" s="281">
        <f>U13*0.86603</f>
        <v>1.7242007777499997</v>
      </c>
      <c r="BF224" s="281">
        <f>V13+U13*-0.5</f>
        <v>-0.99546249999999992</v>
      </c>
      <c r="BG224" s="281">
        <f t="shared" si="109"/>
        <v>-9.4711465642561876</v>
      </c>
      <c r="BH224" s="281">
        <f t="shared" si="110"/>
        <v>3.4076740077826035</v>
      </c>
      <c r="BM224" s="281">
        <f>$AZ$32+1*(seat_pitch)*($AY$32*n_SA+$AW$5&lt;pax_e)</f>
        <v>26.75</v>
      </c>
      <c r="BN224" s="281">
        <f>$AX$5+seat_w*($AY$32*n_SA+$AW$5&lt;pax_e)</f>
        <v>-1.31</v>
      </c>
      <c r="BO224" s="281">
        <f t="shared" si="111"/>
        <v>8.9395200000000017</v>
      </c>
      <c r="HY224" s="281">
        <f>$HX$12+0.2*(bus_pitch*(n_rows_b&gt;0))*($HW$12*n_SA_b+$HU$6&lt;pax_b)</f>
        <v>6.5</v>
      </c>
      <c r="HZ224" s="281">
        <f>$HV$6+seat_w_b*($HW$12*n_SA_b+$HU$6&lt;pax_b)</f>
        <v>-1.84</v>
      </c>
      <c r="IA224" s="281">
        <f t="shared" si="112"/>
        <v>-11.310479999999998</v>
      </c>
    </row>
    <row r="225" spans="56:235" x14ac:dyDescent="0.25">
      <c r="BD225" s="281">
        <f>T12-L_fus/2</f>
        <v>-14.610479999999999</v>
      </c>
      <c r="BE225" s="281">
        <f>U12*0.86603</f>
        <v>1.6893648478389611</v>
      </c>
      <c r="BF225" s="281">
        <f>V12+U12*-0.5</f>
        <v>-0.98741752929204785</v>
      </c>
      <c r="BG225" s="281">
        <f t="shared" si="109"/>
        <v>-10.106374222870095</v>
      </c>
      <c r="BH225" s="281">
        <f t="shared" si="110"/>
        <v>3.6210103169849486</v>
      </c>
      <c r="BM225" s="281">
        <f>$AZ$32+0.8*(seat_pitch)*($AY$32*n_SA+$AW$5&lt;pax_e)</f>
        <v>26.588000000000001</v>
      </c>
      <c r="BN225" s="281">
        <f>$AX$5+seat_w*($AY$32*n_SA+$AW$5&lt;pax_e)</f>
        <v>-1.31</v>
      </c>
      <c r="BO225" s="281">
        <f t="shared" si="111"/>
        <v>8.7775200000000027</v>
      </c>
      <c r="HY225" s="281">
        <f>$HX$12</f>
        <v>6.5</v>
      </c>
      <c r="HZ225" s="281">
        <f>$HV$6+seat_w_b*($HW$12*n_SA_b+$HU$6&lt;pax_b)</f>
        <v>-1.84</v>
      </c>
      <c r="IA225" s="281">
        <f t="shared" si="112"/>
        <v>-11.310479999999998</v>
      </c>
    </row>
    <row r="226" spans="56:235" x14ac:dyDescent="0.25">
      <c r="BD226" s="281">
        <f>T11-L_fus/2</f>
        <v>-15.410479999999998</v>
      </c>
      <c r="BE226" s="281">
        <f>U11*0.86603</f>
        <v>1.5802561154682211</v>
      </c>
      <c r="BF226" s="281">
        <f>V11+U11*-0.5</f>
        <v>-0.96222008061919817</v>
      </c>
      <c r="BG226" s="281">
        <f t="shared" si="109"/>
        <v>-10.789343518641793</v>
      </c>
      <c r="BH226" s="281">
        <f t="shared" si="110"/>
        <v>3.8258466488215768</v>
      </c>
      <c r="BM226" s="281">
        <f>$AZ$32+0.8*(seat_pitch)*($AY$32*n_SA+$AW$5&lt;pax_e)</f>
        <v>26.588000000000001</v>
      </c>
      <c r="BN226" s="281">
        <f>$AX$5</f>
        <v>-1.84</v>
      </c>
      <c r="BO226" s="281">
        <f t="shared" si="111"/>
        <v>8.7775200000000027</v>
      </c>
      <c r="HY226" s="281">
        <f>$HX$12+1*(bus_pitch*(n_rows_b&gt;0))*($HW$12*n_SA_b+$HU$6&lt;pax_b)</f>
        <v>6.5</v>
      </c>
      <c r="HZ226" s="281">
        <f>$HV$6+seat_w_b*($HW$12*n_SA_b+$HU$6&lt;pax_b)</f>
        <v>-1.84</v>
      </c>
      <c r="IA226" s="281">
        <f t="shared" si="112"/>
        <v>-11.310479999999998</v>
      </c>
    </row>
    <row r="227" spans="56:235" x14ac:dyDescent="0.25">
      <c r="BD227" s="281">
        <f>T10-L_fus/2</f>
        <v>-16.010479999999998</v>
      </c>
      <c r="BE227" s="281">
        <f>U10*0.86603</f>
        <v>1.4399915467080384</v>
      </c>
      <c r="BF227" s="281">
        <f>V10+U10*-0.5</f>
        <v>-0.92982753792202077</v>
      </c>
      <c r="BG227" s="281">
        <f t="shared" si="109"/>
        <v>-11.339130511390252</v>
      </c>
      <c r="BH227" s="281">
        <f t="shared" si="110"/>
        <v>3.9727866672922234</v>
      </c>
      <c r="BM227" s="281">
        <f>$AZ$32+0.2*(seat_pitch)*($AY$32*n_SA+$AW$5&lt;pax_e)</f>
        <v>26.102</v>
      </c>
      <c r="BN227" s="281">
        <f>$AX$5</f>
        <v>-1.84</v>
      </c>
      <c r="BO227" s="281">
        <f t="shared" si="111"/>
        <v>8.291520000000002</v>
      </c>
      <c r="HY227" s="281">
        <f>$HX$12+0.8*(bus_pitch*(n_rows_b&gt;0))*($HW$12*n_SA_b+$HU$6&lt;pax_b)</f>
        <v>6.5</v>
      </c>
      <c r="HZ227" s="281">
        <f>$HV$6+seat_w_b*($HW$12*n_SA_b+$HU$6&lt;pax_b)</f>
        <v>-1.84</v>
      </c>
      <c r="IA227" s="281">
        <f t="shared" si="112"/>
        <v>-11.310479999999998</v>
      </c>
    </row>
    <row r="228" spans="56:235" x14ac:dyDescent="0.25">
      <c r="BD228" s="281">
        <f>T9-L_fus/2</f>
        <v>-16.610479999999999</v>
      </c>
      <c r="BE228" s="281">
        <f>U9*0.86603</f>
        <v>1.231325645073954</v>
      </c>
      <c r="BF228" s="281">
        <f>V9+U9*-0.5</f>
        <v>-0.88163846788193334</v>
      </c>
      <c r="BG228" s="281">
        <f t="shared" si="109"/>
        <v>-11.932885033396097</v>
      </c>
      <c r="BH228" s="281">
        <f t="shared" si="110"/>
        <v>4.1118986550173187</v>
      </c>
      <c r="BM228" s="281">
        <f>$AZ$32+(seat_pitch)</f>
        <v>26.75</v>
      </c>
      <c r="BN228" s="281">
        <f>$AX$5</f>
        <v>-1.84</v>
      </c>
      <c r="BO228" s="281">
        <f t="shared" si="111"/>
        <v>8.9395200000000017</v>
      </c>
      <c r="HY228" s="281">
        <f>$HX$12+0.8*(bus_pitch*(n_rows_b&gt;0))*($HW$12*n_SA_b+$HU$6&lt;pax_b)</f>
        <v>6.5</v>
      </c>
      <c r="HZ228" s="281">
        <f>$HV$6</f>
        <v>-1.84</v>
      </c>
      <c r="IA228" s="281">
        <f t="shared" si="112"/>
        <v>-11.310479999999998</v>
      </c>
    </row>
    <row r="229" spans="56:235" x14ac:dyDescent="0.25">
      <c r="BD229" s="281">
        <f>T8-L_fus/2</f>
        <v>-17.210479999999997</v>
      </c>
      <c r="BE229" s="281">
        <f>U8*0.86603</f>
        <v>0.90827911973866993</v>
      </c>
      <c r="BF229" s="281">
        <f>V8+U8*-0.5</f>
        <v>-0.8070344644789833</v>
      </c>
      <c r="BG229" s="281">
        <f t="shared" si="109"/>
        <v>-12.600162003105293</v>
      </c>
      <c r="BH229" s="281">
        <f t="shared" si="110"/>
        <v>4.2379206194722636</v>
      </c>
      <c r="BM229" s="281">
        <f>$AZ$33+0.2*(seat_pitch)*($AY$33*n_SA+$AW$5&lt;pax_e)</f>
        <v>26.102</v>
      </c>
      <c r="BN229" s="281">
        <f>$AX$5</f>
        <v>-1.84</v>
      </c>
      <c r="BO229" s="281">
        <f t="shared" si="111"/>
        <v>8.291520000000002</v>
      </c>
      <c r="HY229" s="281">
        <f>$HX$12+0.2*(bus_pitch*(n_rows_b&gt;0))*($HW$12*n_SA_b+$HU$6&lt;pax_b)</f>
        <v>6.5</v>
      </c>
      <c r="HZ229" s="281">
        <f>$HV$6</f>
        <v>-1.84</v>
      </c>
      <c r="IA229" s="281">
        <f t="shared" si="112"/>
        <v>-11.310479999999998</v>
      </c>
    </row>
    <row r="230" spans="56:235" x14ac:dyDescent="0.25">
      <c r="BD230" s="281">
        <f>T7-L_fus/2</f>
        <v>-17.530479999999997</v>
      </c>
      <c r="BE230" s="281">
        <f>U7*0.86603</f>
        <v>0.63374640851159847</v>
      </c>
      <c r="BF230" s="281">
        <f>V7+U7*-0.5</f>
        <v>-0.74363418706894635</v>
      </c>
      <c r="BG230" s="281">
        <f t="shared" si="109"/>
        <v>-13.02176245013378</v>
      </c>
      <c r="BH230" s="281">
        <f t="shared" si="110"/>
        <v>4.2934315750109118</v>
      </c>
      <c r="BM230" s="281">
        <f>$AZ$33+0.2*(seat_pitch)*($AY$33*n_SA+$AW$5&lt;pax_e)</f>
        <v>26.102</v>
      </c>
      <c r="BN230" s="281">
        <f>$AX$5+seat_w*($AY$33*n_SA+$AW$5&lt;pax_e)</f>
        <v>-1.31</v>
      </c>
      <c r="BO230" s="281">
        <f t="shared" si="111"/>
        <v>8.291520000000002</v>
      </c>
      <c r="HY230" s="281">
        <f>$HX$12+(bus_pitch*(n_rows_b&gt;0))</f>
        <v>6.5</v>
      </c>
      <c r="HZ230" s="281">
        <f>$HV$6</f>
        <v>-1.84</v>
      </c>
      <c r="IA230" s="281">
        <f t="shared" si="112"/>
        <v>-11.310479999999998</v>
      </c>
    </row>
    <row r="231" spans="56:235" x14ac:dyDescent="0.25">
      <c r="BD231" s="281">
        <f>T6-L_fus/2</f>
        <v>-17.73048</v>
      </c>
      <c r="BE231" s="281">
        <f>U6*0.86603</f>
        <v>0.34311162258214301</v>
      </c>
      <c r="BF231" s="281">
        <f>V6+U6*-0.5</f>
        <v>-0.67651531452885993</v>
      </c>
      <c r="BG231" s="281">
        <f t="shared" si="109"/>
        <v>-13.361787778096931</v>
      </c>
      <c r="BH231" s="281">
        <f t="shared" si="110"/>
        <v>4.3145013123540714</v>
      </c>
      <c r="BM231" s="281">
        <f>$AZ$33</f>
        <v>25.94</v>
      </c>
      <c r="BN231" s="281">
        <f>$AX$5+seat_w*($AY$33*n_SA+$AW$5&lt;pax_e)</f>
        <v>-1.31</v>
      </c>
      <c r="BO231" s="281">
        <f t="shared" si="111"/>
        <v>8.129520000000003</v>
      </c>
      <c r="HY231" s="281">
        <f>$HX$13+0.2*(bus_pitch*(n_rows_b&gt;0))*($HW$13*n_SA_b+$HU$6&lt;pax_b)</f>
        <v>6.5</v>
      </c>
      <c r="HZ231" s="281">
        <f>$HV$6</f>
        <v>-1.84</v>
      </c>
      <c r="IA231" s="281">
        <f t="shared" si="112"/>
        <v>-11.310479999999998</v>
      </c>
    </row>
    <row r="232" spans="56:235" x14ac:dyDescent="0.25">
      <c r="BD232" s="281">
        <f>T5-L_fus/2</f>
        <v>-17.810479999999998</v>
      </c>
      <c r="BE232" s="281">
        <f>U5*0.86603</f>
        <v>0</v>
      </c>
      <c r="BF232" s="281">
        <f>V5+U5*-0.5</f>
        <v>-0.59727749999999991</v>
      </c>
      <c r="BG232" s="281">
        <f t="shared" si="109"/>
        <v>-13.643619233281694</v>
      </c>
      <c r="BH232" s="281">
        <f t="shared" si="110"/>
        <v>4.2969670068469323</v>
      </c>
      <c r="BM232" s="281">
        <f>$AZ$33+1*(seat_pitch)*($AY$33*n_SA+$AW$5&lt;pax_e)</f>
        <v>26.75</v>
      </c>
      <c r="BN232" s="281">
        <f>$AX$5+seat_w*($AY$33*n_SA+$AW$5&lt;pax_e)</f>
        <v>-1.31</v>
      </c>
      <c r="BO232" s="281">
        <f t="shared" si="111"/>
        <v>8.9395200000000017</v>
      </c>
      <c r="HY232" s="281">
        <f>$HX$13+0.2*(bus_pitch*(n_rows_b&gt;0))*($HW$13*n_SA_b+$HU$6&lt;pax_b)</f>
        <v>6.5</v>
      </c>
      <c r="HZ232" s="281">
        <f>$HV$6+seat_w_b*($HW$13*n_SA_b+$HU$6&lt;pax_b)</f>
        <v>-1.84</v>
      </c>
      <c r="IA232" s="281">
        <f t="shared" si="112"/>
        <v>-11.310479999999998</v>
      </c>
    </row>
    <row r="233" spans="56:235" x14ac:dyDescent="0.25">
      <c r="BD233" s="281">
        <f>T8-L_fus/2</f>
        <v>-17.210479999999997</v>
      </c>
      <c r="BE233" s="281">
        <f>0+U8*1</f>
        <v>1.048784822394917</v>
      </c>
      <c r="BF233" s="281">
        <f>V8+U8*0</f>
        <v>-0.28264205328152486</v>
      </c>
      <c r="BG233" s="281">
        <f t="shared" si="109"/>
        <v>-12.509846678347557</v>
      </c>
      <c r="BH233" s="281">
        <f t="shared" si="110"/>
        <v>4.7586694755271761</v>
      </c>
      <c r="BM233" s="281">
        <f>$AZ$33+0.8*(seat_pitch)*($AY$33*n_SA+$AW$5&lt;pax_e)</f>
        <v>26.588000000000001</v>
      </c>
      <c r="BN233" s="281">
        <f>$AX$5+seat_w*($AY$33*n_SA+$AW$5&lt;pax_e)</f>
        <v>-1.31</v>
      </c>
      <c r="BO233" s="281">
        <f t="shared" si="111"/>
        <v>8.7775200000000027</v>
      </c>
      <c r="HY233" s="281">
        <f>$HX$13</f>
        <v>6.5</v>
      </c>
      <c r="HZ233" s="281">
        <f>$HV$6+seat_w_b*($HW$13*n_SA_b+$HU$6&lt;pax_b)</f>
        <v>-1.84</v>
      </c>
      <c r="IA233" s="281">
        <f t="shared" si="112"/>
        <v>-11.310479999999998</v>
      </c>
    </row>
    <row r="234" spans="56:235" x14ac:dyDescent="0.25">
      <c r="BD234" s="281">
        <f>T8-L_fus/2</f>
        <v>-17.210479999999997</v>
      </c>
      <c r="BE234" s="281">
        <f>0+U8*0.86603</f>
        <v>0.90827911973866993</v>
      </c>
      <c r="BF234" s="281">
        <f>V8+U8*0.5</f>
        <v>0.24175035791593363</v>
      </c>
      <c r="BG234" s="281">
        <f t="shared" si="109"/>
        <v>-12.600162003105293</v>
      </c>
      <c r="BH234" s="281">
        <f t="shared" si="110"/>
        <v>5.1884424709346266</v>
      </c>
      <c r="BM234" s="281">
        <f>$AZ$33+0.8*(seat_pitch)*($AY$33*n_SA+$AW$5&lt;pax_e)</f>
        <v>26.588000000000001</v>
      </c>
      <c r="BN234" s="281">
        <f>$AX$5</f>
        <v>-1.84</v>
      </c>
      <c r="BO234" s="281">
        <f t="shared" si="111"/>
        <v>8.7775200000000027</v>
      </c>
      <c r="HY234" s="281">
        <f>$HX$13+1*(bus_pitch*(n_rows_b&gt;0))*($HW$13*n_SA_b+$HU$6&lt;pax_b)</f>
        <v>6.5</v>
      </c>
      <c r="HZ234" s="281">
        <f>$HV$6+seat_w_b*($HW$13*n_SA_b+$HU$6&lt;pax_b)</f>
        <v>-1.84</v>
      </c>
      <c r="IA234" s="281">
        <f t="shared" si="112"/>
        <v>-11.310479999999998</v>
      </c>
    </row>
    <row r="235" spans="56:235" x14ac:dyDescent="0.25">
      <c r="BD235" s="281">
        <f>T8-L_fus/2</f>
        <v>-17.210479999999997</v>
      </c>
      <c r="BE235" s="281">
        <f>0+U8*0.5</f>
        <v>0.5243924111974585</v>
      </c>
      <c r="BF235" s="281">
        <f>V8+U8*0.86603</f>
        <v>0.62563706645714512</v>
      </c>
      <c r="BG235" s="281">
        <f t="shared" si="109"/>
        <v>-12.846919622878932</v>
      </c>
      <c r="BH235" s="281">
        <f t="shared" si="110"/>
        <v>5.4120808232461046</v>
      </c>
      <c r="BM235" s="281">
        <f>$AZ$33+0.2*(seat_pitch)*($AY$33*n_SA+$AW$5&lt;pax_e)</f>
        <v>26.102</v>
      </c>
      <c r="BN235" s="281">
        <f>$AX$5</f>
        <v>-1.84</v>
      </c>
      <c r="BO235" s="281">
        <f t="shared" si="111"/>
        <v>8.291520000000002</v>
      </c>
      <c r="HY235" s="281">
        <f>$HX$13+0.8*(bus_pitch*(n_rows_b&gt;0))*($HW$13*n_SA_b+$HU$6&lt;pax_b)</f>
        <v>6.5</v>
      </c>
      <c r="HZ235" s="281">
        <f>$HV$6+seat_w_b*($HW$13*n_SA_b+$HU$6&lt;pax_b)</f>
        <v>-1.84</v>
      </c>
      <c r="IA235" s="281">
        <f t="shared" si="112"/>
        <v>-11.310479999999998</v>
      </c>
    </row>
    <row r="236" spans="56:235" x14ac:dyDescent="0.25">
      <c r="BD236" s="281">
        <f>T8-L_fus/2</f>
        <v>-17.210479999999997</v>
      </c>
      <c r="BE236" s="281">
        <f>0+U8*0</f>
        <v>0</v>
      </c>
      <c r="BF236" s="281">
        <f>V8+U8*1</f>
        <v>0.76614276911339219</v>
      </c>
      <c r="BG236" s="281">
        <f t="shared" si="109"/>
        <v>-13.183992567410307</v>
      </c>
      <c r="BH236" s="281">
        <f t="shared" si="110"/>
        <v>5.3696531443834941</v>
      </c>
      <c r="BM236" s="281">
        <f>$AZ$33+(seat_pitch)</f>
        <v>26.75</v>
      </c>
      <c r="BN236" s="281">
        <f>$AX$5</f>
        <v>-1.84</v>
      </c>
      <c r="BO236" s="281">
        <f t="shared" si="111"/>
        <v>8.9395200000000017</v>
      </c>
      <c r="HY236" s="281">
        <f>$HX$13+0.8*(bus_pitch*(n_rows_b&gt;0))*($HW$13*n_SA_b+$HU$6&lt;pax_b)</f>
        <v>6.5</v>
      </c>
      <c r="HZ236" s="281">
        <f>$HV$6</f>
        <v>-1.84</v>
      </c>
      <c r="IA236" s="281">
        <f t="shared" si="112"/>
        <v>-11.310479999999998</v>
      </c>
    </row>
    <row r="237" spans="56:235" x14ac:dyDescent="0.25">
      <c r="BD237" s="281">
        <f>T8-L_fus/2</f>
        <v>-17.210479999999997</v>
      </c>
      <c r="BE237" s="281">
        <f>0+U8*-0.5</f>
        <v>-0.5243924111974585</v>
      </c>
      <c r="BF237" s="281">
        <f>V8+U8*0.86603</f>
        <v>0.62563706645714512</v>
      </c>
      <c r="BG237" s="281">
        <f t="shared" si="109"/>
        <v>-13.521065511941682</v>
      </c>
      <c r="BH237" s="281">
        <f t="shared" si="110"/>
        <v>5.0725426406400569</v>
      </c>
      <c r="BM237" s="281">
        <f>$AZ$34+0.2*(seat_pitch)*($AY$34*n_SA+$AW$5&lt;pax_e)</f>
        <v>26.102</v>
      </c>
      <c r="BN237" s="281">
        <f>$AX$5</f>
        <v>-1.84</v>
      </c>
      <c r="BO237" s="281">
        <f t="shared" si="111"/>
        <v>8.291520000000002</v>
      </c>
      <c r="HY237" s="281">
        <f>$HX$13+0.2*(bus_pitch*(n_rows_b&gt;0))*($HW$13*n_SA_b+$HU$6&lt;pax_b)</f>
        <v>6.5</v>
      </c>
      <c r="HZ237" s="281">
        <f>$HV$6</f>
        <v>-1.84</v>
      </c>
      <c r="IA237" s="281">
        <f t="shared" si="112"/>
        <v>-11.310479999999998</v>
      </c>
    </row>
    <row r="238" spans="56:235" x14ac:dyDescent="0.25">
      <c r="BD238" s="281">
        <f>T8-L_fus/2</f>
        <v>-17.210479999999997</v>
      </c>
      <c r="BE238" s="281">
        <f>0+U8*-0.86603</f>
        <v>-0.90827911973866993</v>
      </c>
      <c r="BF238" s="281">
        <f>V8+U8*0.5</f>
        <v>0.24175035791593363</v>
      </c>
      <c r="BG238" s="281">
        <f t="shared" si="109"/>
        <v>-13.767823131715321</v>
      </c>
      <c r="BH238" s="281">
        <f t="shared" si="110"/>
        <v>4.6003419663699967</v>
      </c>
      <c r="BM238" s="281">
        <f>$AZ$34+0.2*(seat_pitch)*($AY$34*n_SA+$AW$5&lt;pax_e)</f>
        <v>26.102</v>
      </c>
      <c r="BN238" s="281">
        <f>$AX$5+seat_w*($AY$34*n_SA+$AW$5&lt;pax_e)</f>
        <v>-1.31</v>
      </c>
      <c r="BO238" s="281">
        <f t="shared" si="111"/>
        <v>8.291520000000002</v>
      </c>
      <c r="HY238" s="281">
        <f>$HX$13+(bus_pitch*(n_rows_b&gt;0))</f>
        <v>6.5</v>
      </c>
      <c r="HZ238" s="281">
        <f>$HV$6</f>
        <v>-1.84</v>
      </c>
      <c r="IA238" s="281">
        <f t="shared" si="112"/>
        <v>-11.310479999999998</v>
      </c>
    </row>
    <row r="239" spans="56:235" x14ac:dyDescent="0.25">
      <c r="BD239" s="281">
        <f>T8-L_fus/2</f>
        <v>-17.210479999999997</v>
      </c>
      <c r="BE239" s="281">
        <f>0+U8*-1</f>
        <v>-1.048784822394917</v>
      </c>
      <c r="BF239" s="281">
        <f>V8+U8*0</f>
        <v>-0.28264205328152486</v>
      </c>
      <c r="BG239" s="281">
        <f t="shared" si="109"/>
        <v>-13.858138456473057</v>
      </c>
      <c r="BH239" s="281">
        <f t="shared" si="110"/>
        <v>4.0795931103150833</v>
      </c>
      <c r="BM239" s="281">
        <f>$AZ$34</f>
        <v>25.94</v>
      </c>
      <c r="BN239" s="281">
        <f>$AX$5+seat_w*($AY$34*n_SA+$AW$5&lt;pax_e)</f>
        <v>-1.31</v>
      </c>
      <c r="BO239" s="281">
        <f t="shared" si="111"/>
        <v>8.129520000000003</v>
      </c>
      <c r="HY239" s="281">
        <f>$HX$14+0.2*(bus_pitch*(n_rows_b&gt;0))*($HW$14*n_SA_b+$HU$6&lt;pax_b)</f>
        <v>6.5</v>
      </c>
      <c r="HZ239" s="281">
        <f>$HV$6</f>
        <v>-1.84</v>
      </c>
      <c r="IA239" s="281">
        <f t="shared" si="112"/>
        <v>-11.310479999999998</v>
      </c>
    </row>
    <row r="240" spans="56:235" x14ac:dyDescent="0.25">
      <c r="BD240" s="281">
        <f>T8-L_fus/2</f>
        <v>-17.210479999999997</v>
      </c>
      <c r="BE240" s="281">
        <f>0+U8*-0.86603</f>
        <v>-0.90827911973866993</v>
      </c>
      <c r="BF240" s="281">
        <f>V8+U8*-0.5</f>
        <v>-0.8070344644789833</v>
      </c>
      <c r="BG240" s="281">
        <f t="shared" si="109"/>
        <v>-13.767823131715321</v>
      </c>
      <c r="BH240" s="281">
        <f t="shared" si="110"/>
        <v>3.6498201149076337</v>
      </c>
      <c r="BM240" s="281">
        <f>$AZ$34+1*(seat_pitch)*($AY$34*n_SA+$AW$5&lt;pax_e)</f>
        <v>26.75</v>
      </c>
      <c r="BN240" s="281">
        <f>$AX$5+seat_w*($AY$34*n_SA+$AW$5&lt;pax_e)</f>
        <v>-1.31</v>
      </c>
      <c r="BO240" s="281">
        <f t="shared" si="111"/>
        <v>8.9395200000000017</v>
      </c>
      <c r="HY240" s="281">
        <f>$HX$14+0.2*(bus_pitch*(n_rows_b&gt;0))*($HW$14*n_SA_b+$HU$6&lt;pax_b)</f>
        <v>6.5</v>
      </c>
      <c r="HZ240" s="281">
        <f>$HV$6+seat_w_b*($HW$14*n_SA_b+$HU$6&lt;pax_b)</f>
        <v>-1.84</v>
      </c>
      <c r="IA240" s="281">
        <f t="shared" si="112"/>
        <v>-11.310479999999998</v>
      </c>
    </row>
    <row r="241" spans="56:235" x14ac:dyDescent="0.25">
      <c r="BD241" s="281">
        <f>T8-L_fus/2</f>
        <v>-17.210479999999997</v>
      </c>
      <c r="BE241" s="281">
        <f>0+U8*-0.5</f>
        <v>-0.5243924111974585</v>
      </c>
      <c r="BF241" s="281">
        <f>V8+U8*-0.86603</f>
        <v>-1.1909211730201947</v>
      </c>
      <c r="BG241" s="281">
        <f t="shared" si="109"/>
        <v>-13.521065511941682</v>
      </c>
      <c r="BH241" s="281">
        <f t="shared" si="110"/>
        <v>3.4261817625961557</v>
      </c>
      <c r="BM241" s="281">
        <f>$AZ$34+0.8*(seat_pitch)*($AY$34*n_SA+$AW$5&lt;pax_e)</f>
        <v>26.588000000000001</v>
      </c>
      <c r="BN241" s="281">
        <f>$AX$5+seat_w*($AY$34*n_SA+$AW$5&lt;pax_e)</f>
        <v>-1.31</v>
      </c>
      <c r="BO241" s="281">
        <f t="shared" si="111"/>
        <v>8.7775200000000027</v>
      </c>
      <c r="HY241" s="281">
        <f>$HX$14</f>
        <v>6.5</v>
      </c>
      <c r="HZ241" s="281">
        <f>$HV$6+seat_w_b*($HW$14*n_SA_b+$HU$6&lt;pax_b)</f>
        <v>-1.84</v>
      </c>
      <c r="IA241" s="281">
        <f t="shared" si="112"/>
        <v>-11.310479999999998</v>
      </c>
    </row>
    <row r="242" spans="56:235" x14ac:dyDescent="0.25">
      <c r="BD242" s="281">
        <f>T8-L_fus/2</f>
        <v>-17.210479999999997</v>
      </c>
      <c r="BE242" s="281">
        <f>0+U8*0</f>
        <v>0</v>
      </c>
      <c r="BF242" s="281">
        <f>V8+U8*-1</f>
        <v>-1.3314268756764418</v>
      </c>
      <c r="BG242" s="281">
        <f t="shared" si="109"/>
        <v>-13.183992567410307</v>
      </c>
      <c r="BH242" s="281">
        <f t="shared" si="110"/>
        <v>3.4686094414587672</v>
      </c>
      <c r="BM242" s="281">
        <f>$AZ$34+0.8*(seat_pitch)*($AY$34*n_SA+$AW$5&lt;pax_e)</f>
        <v>26.588000000000001</v>
      </c>
      <c r="BN242" s="281">
        <f>$AX$5</f>
        <v>-1.84</v>
      </c>
      <c r="BO242" s="281">
        <f t="shared" si="111"/>
        <v>8.7775200000000027</v>
      </c>
      <c r="HY242" s="281">
        <f>$HX$14+1*(bus_pitch*(n_rows_b&gt;0))*($HW$14*n_SA_b+$HU$6&lt;pax_b)</f>
        <v>6.5</v>
      </c>
      <c r="HZ242" s="281">
        <f>$HV$6+seat_w_b*($HW$14*n_SA_b+$HU$6&lt;pax_b)</f>
        <v>-1.84</v>
      </c>
      <c r="IA242" s="281">
        <f t="shared" si="112"/>
        <v>-11.310479999999998</v>
      </c>
    </row>
    <row r="243" spans="56:235" x14ac:dyDescent="0.25">
      <c r="BD243" s="281">
        <f>T8-L_fus/2</f>
        <v>-17.210479999999997</v>
      </c>
      <c r="BE243" s="281">
        <f>0+U8*0.5</f>
        <v>0.5243924111974585</v>
      </c>
      <c r="BF243" s="281">
        <f>V8+U8*-0.86603</f>
        <v>-1.1909211730201947</v>
      </c>
      <c r="BG243" s="281">
        <f t="shared" si="109"/>
        <v>-12.846919622878932</v>
      </c>
      <c r="BH243" s="281">
        <f t="shared" si="110"/>
        <v>3.7657199452022034</v>
      </c>
      <c r="BM243" s="281">
        <f>$AZ$34+0.2*(seat_pitch)*($AY$34*n_SA+$AW$5&lt;pax_e)</f>
        <v>26.102</v>
      </c>
      <c r="BN243" s="281">
        <f>$AX$5</f>
        <v>-1.84</v>
      </c>
      <c r="BO243" s="281">
        <f t="shared" si="111"/>
        <v>8.291520000000002</v>
      </c>
      <c r="HY243" s="281">
        <f>$HX$14+0.8*(bus_pitch*(n_rows_b&gt;0))*($HW$14*n_SA_b+$HU$6&lt;pax_b)</f>
        <v>6.5</v>
      </c>
      <c r="HZ243" s="281">
        <f>$HV$6+seat_w_b*($HW$14*n_SA_b+$HU$6&lt;pax_b)</f>
        <v>-1.84</v>
      </c>
      <c r="IA243" s="281">
        <f t="shared" si="112"/>
        <v>-11.310479999999998</v>
      </c>
    </row>
    <row r="244" spans="56:235" x14ac:dyDescent="0.25">
      <c r="BD244" s="281">
        <f>T8-L_fus/2</f>
        <v>-17.210479999999997</v>
      </c>
      <c r="BE244" s="281">
        <f>0+U8*0.86603</f>
        <v>0.90827911973866993</v>
      </c>
      <c r="BF244" s="281">
        <f>V8+U8*-0.5</f>
        <v>-0.8070344644789833</v>
      </c>
      <c r="BG244" s="281">
        <f t="shared" si="109"/>
        <v>-12.600162003105293</v>
      </c>
      <c r="BH244" s="281">
        <f t="shared" si="110"/>
        <v>4.2379206194722636</v>
      </c>
      <c r="BM244" s="281">
        <f>$AZ$34+(seat_pitch)</f>
        <v>26.75</v>
      </c>
      <c r="BN244" s="281">
        <f>$AX$5</f>
        <v>-1.84</v>
      </c>
      <c r="BO244" s="281">
        <f t="shared" si="111"/>
        <v>8.9395200000000017</v>
      </c>
      <c r="HY244" s="281">
        <f>$HX$14+0.8*(bus_pitch*(n_rows_b&gt;0))*($HW$14*n_SA_b+$HU$6&lt;pax_b)</f>
        <v>6.5</v>
      </c>
      <c r="HZ244" s="281">
        <f>$HV$6</f>
        <v>-1.84</v>
      </c>
      <c r="IA244" s="281">
        <f t="shared" si="112"/>
        <v>-11.310479999999998</v>
      </c>
    </row>
    <row r="245" spans="56:235" x14ac:dyDescent="0.25">
      <c r="BD245" s="281">
        <f>T8-L_fus/2</f>
        <v>-17.210479999999997</v>
      </c>
      <c r="BE245" s="281">
        <f>0+U8*1</f>
        <v>1.048784822394917</v>
      </c>
      <c r="BF245" s="281">
        <f>V8+U8*0</f>
        <v>-0.28264205328152486</v>
      </c>
      <c r="BG245" s="281">
        <f t="shared" si="109"/>
        <v>-12.509846678347557</v>
      </c>
      <c r="BH245" s="281">
        <f t="shared" si="110"/>
        <v>4.7586694755271761</v>
      </c>
      <c r="BM245" s="281">
        <f>$AZ$35+0.2*(seat_pitch)*($AY$35*n_SA+$AW$5&lt;pax_e)</f>
        <v>26.102</v>
      </c>
      <c r="BN245" s="281">
        <f>$AX$5</f>
        <v>-1.84</v>
      </c>
      <c r="BO245" s="281">
        <f t="shared" si="111"/>
        <v>8.291520000000002</v>
      </c>
      <c r="HY245" s="281">
        <f>$HX$14+0.2*(bus_pitch*(n_rows_b&gt;0))*($HW$14*n_SA_b+$HU$6&lt;pax_b)</f>
        <v>6.5</v>
      </c>
      <c r="HZ245" s="281">
        <f>$HV$6</f>
        <v>-1.84</v>
      </c>
      <c r="IA245" s="281">
        <f t="shared" si="112"/>
        <v>-11.310479999999998</v>
      </c>
    </row>
    <row r="246" spans="56:235" x14ac:dyDescent="0.25">
      <c r="BD246" s="281">
        <f>T10-L_fus/2</f>
        <v>-16.010479999999998</v>
      </c>
      <c r="BE246" s="281">
        <f>0+U10*1</f>
        <v>1.662750189610104</v>
      </c>
      <c r="BF246" s="281">
        <f>V10+U10*0</f>
        <v>-9.8452443116968741E-2</v>
      </c>
      <c r="BG246" s="281">
        <f t="shared" si="109"/>
        <v>-11.195944015782215</v>
      </c>
      <c r="BH246" s="281">
        <f t="shared" si="110"/>
        <v>4.7983852463861822</v>
      </c>
      <c r="BM246" s="281">
        <f>$AZ$35+0.2*(seat_pitch)*($AY$35*n_SA+$AW$5&lt;pax_e)</f>
        <v>26.102</v>
      </c>
      <c r="BN246" s="281">
        <f>$AX$5+seat_w*($AY$35*n_SA+$AW$5&lt;pax_e)</f>
        <v>-1.31</v>
      </c>
      <c r="BO246" s="281">
        <f t="shared" si="111"/>
        <v>8.291520000000002</v>
      </c>
      <c r="HY246" s="281">
        <f>$HX$14+(bus_pitch*(n_rows_b&gt;0))</f>
        <v>6.5</v>
      </c>
      <c r="HZ246" s="281">
        <f>$HV$6</f>
        <v>-1.84</v>
      </c>
      <c r="IA246" s="281">
        <f t="shared" si="112"/>
        <v>-11.310479999999998</v>
      </c>
    </row>
    <row r="247" spans="56:235" x14ac:dyDescent="0.25">
      <c r="BD247" s="281">
        <f>T10-L_fus/2</f>
        <v>-16.010479999999998</v>
      </c>
      <c r="BE247" s="281">
        <f>0+U10*0.86603</f>
        <v>1.4399915467080384</v>
      </c>
      <c r="BF247" s="281">
        <f>V10+U10*0.5</f>
        <v>0.73292265168808324</v>
      </c>
      <c r="BG247" s="281">
        <f t="shared" si="109"/>
        <v>-11.339130511390252</v>
      </c>
      <c r="BH247" s="281">
        <f t="shared" si="110"/>
        <v>5.4797501120325265</v>
      </c>
      <c r="BM247" s="281">
        <f>$AZ$35</f>
        <v>25.94</v>
      </c>
      <c r="BN247" s="281">
        <f>$AX$5+seat_w*($AY$35*n_SA+$AW$5&lt;pax_e)</f>
        <v>-1.31</v>
      </c>
      <c r="BO247" s="281">
        <f t="shared" si="111"/>
        <v>8.129520000000003</v>
      </c>
      <c r="HY247" s="281">
        <f>$HX$15+0.2*(bus_pitch*(n_rows_b&gt;0))*($HW$15*n_SA_b+$HU$6&lt;pax_b)</f>
        <v>6.5</v>
      </c>
      <c r="HZ247" s="281">
        <f>$HV$6</f>
        <v>-1.84</v>
      </c>
      <c r="IA247" s="281">
        <f t="shared" si="112"/>
        <v>-11.310479999999998</v>
      </c>
    </row>
    <row r="248" spans="56:235" x14ac:dyDescent="0.25">
      <c r="BD248" s="281">
        <f>T10-L_fus/2</f>
        <v>-16.010479999999998</v>
      </c>
      <c r="BE248" s="281">
        <f>0+U10*0.5</f>
        <v>0.83137509480505201</v>
      </c>
      <c r="BF248" s="281">
        <f>V10+U10*0.86603</f>
        <v>1.3415391035910698</v>
      </c>
      <c r="BG248" s="281">
        <f t="shared" si="109"/>
        <v>-11.730341625724874</v>
      </c>
      <c r="BH248" s="281">
        <f t="shared" si="110"/>
        <v>5.8343077913292811</v>
      </c>
      <c r="BM248" s="281">
        <f>$AZ$35+1*(seat_pitch)*($AY$35*n_SA+$AW$5&lt;pax_e)</f>
        <v>26.75</v>
      </c>
      <c r="BN248" s="281">
        <f>$AX$5+seat_w*($AY$35*n_SA+$AW$5&lt;pax_e)</f>
        <v>-1.31</v>
      </c>
      <c r="BO248" s="281">
        <f t="shared" si="111"/>
        <v>8.9395200000000017</v>
      </c>
      <c r="HY248" s="281">
        <f>$HX$15+0.2*(bus_pitch*(n_rows_b&gt;0))*($HW$15*n_SA_b+$HU$6&lt;pax_b)</f>
        <v>6.5</v>
      </c>
      <c r="HZ248" s="281">
        <f>$HV$6+seat_w_b*($HW$15*n_SA_b+$HU$6&lt;pax_b)</f>
        <v>-1.84</v>
      </c>
      <c r="IA248" s="281">
        <f t="shared" si="112"/>
        <v>-11.310479999999998</v>
      </c>
    </row>
    <row r="249" spans="56:235" x14ac:dyDescent="0.25">
      <c r="BD249" s="281">
        <f>T10-L_fus/2</f>
        <v>-16.010479999999998</v>
      </c>
      <c r="BE249" s="281">
        <f>0+U10*0</f>
        <v>0</v>
      </c>
      <c r="BF249" s="281">
        <f>V10+U10*1</f>
        <v>1.5642977464931354</v>
      </c>
      <c r="BG249" s="281">
        <f t="shared" si="109"/>
        <v>-12.264739235667534</v>
      </c>
      <c r="BH249" s="281">
        <f t="shared" si="110"/>
        <v>5.7670426769157945</v>
      </c>
      <c r="BM249" s="281">
        <f>$AZ$35+0.8*(seat_pitch)*($AY$35*n_SA+$AW$5&lt;pax_e)</f>
        <v>26.588000000000001</v>
      </c>
      <c r="BN249" s="281">
        <f>$AX$5+seat_w*($AY$35*n_SA+$AW$5&lt;pax_e)</f>
        <v>-1.31</v>
      </c>
      <c r="BO249" s="281">
        <f t="shared" si="111"/>
        <v>8.7775200000000027</v>
      </c>
      <c r="HY249" s="281">
        <f>$HX$15</f>
        <v>6.5</v>
      </c>
      <c r="HZ249" s="281">
        <f>$HV$6+seat_w_b*($HW$15*n_SA_b+$HU$6&lt;pax_b)</f>
        <v>-1.84</v>
      </c>
      <c r="IA249" s="281">
        <f t="shared" si="112"/>
        <v>-11.310479999999998</v>
      </c>
    </row>
    <row r="250" spans="56:235" x14ac:dyDescent="0.25">
      <c r="BD250" s="281">
        <f>T10-L_fus/2</f>
        <v>-16.010479999999998</v>
      </c>
      <c r="BE250" s="281">
        <f>0+U10*-0.5</f>
        <v>-0.83137509480505201</v>
      </c>
      <c r="BF250" s="281">
        <f>V10+U10*0.86603</f>
        <v>1.3415391035910698</v>
      </c>
      <c r="BG250" s="281">
        <f t="shared" si="109"/>
        <v>-12.799136845610194</v>
      </c>
      <c r="BH250" s="281">
        <f t="shared" si="110"/>
        <v>5.2960017771185912</v>
      </c>
      <c r="BM250" s="281">
        <f>$AZ$35+0.8*(seat_pitch)*($AY$35*n_SA+$AW$5&lt;pax_e)</f>
        <v>26.588000000000001</v>
      </c>
      <c r="BN250" s="281">
        <f>$AX$5</f>
        <v>-1.84</v>
      </c>
      <c r="BO250" s="281">
        <f t="shared" si="111"/>
        <v>8.7775200000000027</v>
      </c>
      <c r="HY250" s="281">
        <f>$HX$15+1*(bus_pitch*(n_rows_b&gt;0))*($HW$15*n_SA_b+$HU$6&lt;pax_b)</f>
        <v>6.5</v>
      </c>
      <c r="HZ250" s="281">
        <f>$HV$6+seat_w_b*($HW$15*n_SA_b+$HU$6&lt;pax_b)</f>
        <v>-1.84</v>
      </c>
      <c r="IA250" s="281">
        <f t="shared" si="112"/>
        <v>-11.310479999999998</v>
      </c>
    </row>
    <row r="251" spans="56:235" x14ac:dyDescent="0.25">
      <c r="BD251" s="281">
        <f>T10-L_fus/2</f>
        <v>-16.010479999999998</v>
      </c>
      <c r="BE251" s="281">
        <f>0+U10*-0.86603</f>
        <v>-1.4399915467080384</v>
      </c>
      <c r="BF251" s="281">
        <f>V10+U10*0.5</f>
        <v>0.73292265168808324</v>
      </c>
      <c r="BG251" s="281">
        <f t="shared" si="109"/>
        <v>-13.190347959944816</v>
      </c>
      <c r="BH251" s="281">
        <f t="shared" si="110"/>
        <v>4.5473717970587586</v>
      </c>
      <c r="BM251" s="281">
        <f>$AZ$35+0.2*(seat_pitch)*($AY$35*n_SA+$AW$5&lt;pax_e)</f>
        <v>26.102</v>
      </c>
      <c r="BN251" s="281">
        <f>$AX$5</f>
        <v>-1.84</v>
      </c>
      <c r="BO251" s="281">
        <f t="shared" si="111"/>
        <v>8.291520000000002</v>
      </c>
      <c r="HY251" s="281">
        <f>$HX$15+0.8*(bus_pitch*(n_rows_b&gt;0))*($HW$15*n_SA_b+$HU$6&lt;pax_b)</f>
        <v>6.5</v>
      </c>
      <c r="HZ251" s="281">
        <f>$HV$6+seat_w_b*($HW$15*n_SA_b+$HU$6&lt;pax_b)</f>
        <v>-1.84</v>
      </c>
      <c r="IA251" s="281">
        <f t="shared" si="112"/>
        <v>-11.310479999999998</v>
      </c>
    </row>
    <row r="252" spans="56:235" x14ac:dyDescent="0.25">
      <c r="BD252" s="281">
        <f>T10-L_fus/2</f>
        <v>-16.010479999999998</v>
      </c>
      <c r="BE252" s="281">
        <f>0+U10*-1</f>
        <v>-1.662750189610104</v>
      </c>
      <c r="BF252" s="281">
        <f>V10+U10*0</f>
        <v>-9.8452443116968741E-2</v>
      </c>
      <c r="BG252" s="281">
        <f t="shared" si="109"/>
        <v>-13.333534455552853</v>
      </c>
      <c r="BH252" s="281">
        <f t="shared" si="110"/>
        <v>3.7217732179648011</v>
      </c>
      <c r="BM252" s="281">
        <f>$AZ$35+(seat_pitch)</f>
        <v>26.75</v>
      </c>
      <c r="BN252" s="281">
        <f>$AX$5</f>
        <v>-1.84</v>
      </c>
      <c r="BO252" s="281">
        <f t="shared" si="111"/>
        <v>8.9395200000000017</v>
      </c>
      <c r="HY252" s="281">
        <f>$HX$15+0.8*(bus_pitch*(n_rows_b&gt;0))*($HW$15*n_SA_b+$HU$6&lt;pax_b)</f>
        <v>6.5</v>
      </c>
      <c r="HZ252" s="281">
        <f>$HV$6</f>
        <v>-1.84</v>
      </c>
      <c r="IA252" s="281">
        <f t="shared" si="112"/>
        <v>-11.310479999999998</v>
      </c>
    </row>
    <row r="253" spans="56:235" x14ac:dyDescent="0.25">
      <c r="BD253" s="281">
        <f>T10-L_fus/2</f>
        <v>-16.010479999999998</v>
      </c>
      <c r="BE253" s="281">
        <f>0+U10*-0.86603</f>
        <v>-1.4399915467080384</v>
      </c>
      <c r="BF253" s="281">
        <f>V10+U10*-0.5</f>
        <v>-0.92982753792202077</v>
      </c>
      <c r="BG253" s="281">
        <f t="shared" si="109"/>
        <v>-13.190347959944816</v>
      </c>
      <c r="BH253" s="281">
        <f t="shared" si="110"/>
        <v>3.0404083523184555</v>
      </c>
      <c r="BM253" s="281">
        <f>$AZ$36+0.2*(seat_pitch)*($AY$36*n_SA+$AW$5&lt;pax_e)</f>
        <v>26.102</v>
      </c>
      <c r="BN253" s="281">
        <f>$AX$5</f>
        <v>-1.84</v>
      </c>
      <c r="BO253" s="281">
        <f t="shared" si="111"/>
        <v>8.291520000000002</v>
      </c>
      <c r="HY253" s="281">
        <f>$HX$15+0.2*(bus_pitch*(n_rows_b&gt;0))*($HW$15*n_SA_b+$HU$6&lt;pax_b)</f>
        <v>6.5</v>
      </c>
      <c r="HZ253" s="281">
        <f>$HV$6</f>
        <v>-1.84</v>
      </c>
      <c r="IA253" s="281">
        <f t="shared" si="112"/>
        <v>-11.310479999999998</v>
      </c>
    </row>
    <row r="254" spans="56:235" x14ac:dyDescent="0.25">
      <c r="BD254" s="281">
        <f>T10-L_fus/2</f>
        <v>-16.010479999999998</v>
      </c>
      <c r="BE254" s="281">
        <f>0+U10*-0.5</f>
        <v>-0.83137509480505201</v>
      </c>
      <c r="BF254" s="281">
        <f>V10+U10*-0.86603</f>
        <v>-1.5384439898250071</v>
      </c>
      <c r="BG254" s="281">
        <f t="shared" si="109"/>
        <v>-12.799136845610194</v>
      </c>
      <c r="BH254" s="281">
        <f t="shared" si="110"/>
        <v>2.6858506730217013</v>
      </c>
      <c r="BM254" s="281">
        <f>$AZ$36+0.2*(seat_pitch)*($AY$36*n_SA+$AW$5&lt;pax_e)</f>
        <v>26.102</v>
      </c>
      <c r="BN254" s="281">
        <f>$AX$5+seat_w*($AY$36*n_SA+$AW$5&lt;pax_e)</f>
        <v>-1.31</v>
      </c>
      <c r="BO254" s="281">
        <f t="shared" si="111"/>
        <v>8.291520000000002</v>
      </c>
      <c r="HY254" s="281">
        <f>$HX$15+(bus_pitch*(n_rows_b&gt;0))</f>
        <v>6.5</v>
      </c>
      <c r="HZ254" s="281">
        <f>$HV$6</f>
        <v>-1.84</v>
      </c>
      <c r="IA254" s="281">
        <f t="shared" si="112"/>
        <v>-11.310479999999998</v>
      </c>
    </row>
    <row r="255" spans="56:235" x14ac:dyDescent="0.25">
      <c r="BD255" s="281">
        <f>T10-L_fus/2</f>
        <v>-16.010479999999998</v>
      </c>
      <c r="BE255" s="281">
        <f>0+U10*0</f>
        <v>0</v>
      </c>
      <c r="BF255" s="281">
        <f>V10+U10*-1</f>
        <v>-1.7612026327270727</v>
      </c>
      <c r="BG255" s="281">
        <f t="shared" si="109"/>
        <v>-12.264739235667534</v>
      </c>
      <c r="BH255" s="281">
        <f t="shared" si="110"/>
        <v>2.7531157874351875</v>
      </c>
      <c r="BM255" s="281">
        <f>$AZ$36</f>
        <v>25.94</v>
      </c>
      <c r="BN255" s="281">
        <f>$AX$5+seat_w*($AY$36*n_SA+$AW$5&lt;pax_e)</f>
        <v>-1.31</v>
      </c>
      <c r="BO255" s="281">
        <f t="shared" si="111"/>
        <v>8.129520000000003</v>
      </c>
      <c r="HY255" s="281">
        <f>$HX$16+0.2*(bus_pitch*(n_rows_b&gt;0))*($HW$16*n_SA_b+$HU$6&lt;pax_b)</f>
        <v>6.5</v>
      </c>
      <c r="HZ255" s="281">
        <f>$HV$6</f>
        <v>-1.84</v>
      </c>
      <c r="IA255" s="281">
        <f t="shared" si="112"/>
        <v>-11.310479999999998</v>
      </c>
    </row>
    <row r="256" spans="56:235" x14ac:dyDescent="0.25">
      <c r="BD256" s="281">
        <f>T10-L_fus/2</f>
        <v>-16.010479999999998</v>
      </c>
      <c r="BE256" s="281">
        <f>0+U10*0.5</f>
        <v>0.83137509480505201</v>
      </c>
      <c r="BF256" s="281">
        <f>V10+U10*-0.86603</f>
        <v>-1.5384439898250071</v>
      </c>
      <c r="BG256" s="281">
        <f t="shared" si="109"/>
        <v>-11.730341625724874</v>
      </c>
      <c r="BH256" s="281">
        <f t="shared" si="110"/>
        <v>3.2241566872323912</v>
      </c>
      <c r="BM256" s="281">
        <f>$AZ$36+1*(seat_pitch)*($AY$36*n_SA+$AW$5&lt;pax_e)</f>
        <v>26.75</v>
      </c>
      <c r="BN256" s="281">
        <f>$AX$5+seat_w*($AY$36*n_SA+$AW$5&lt;pax_e)</f>
        <v>-1.31</v>
      </c>
      <c r="BO256" s="281">
        <f t="shared" si="111"/>
        <v>8.9395200000000017</v>
      </c>
      <c r="HY256" s="281">
        <f>$HX$16+0.2*(bus_pitch*(n_rows_b&gt;0))*($HW$16*n_SA_b+$HU$6&lt;pax_b)</f>
        <v>6.5</v>
      </c>
      <c r="HZ256" s="281">
        <f>$HV$6+seat_w_b*($HW$16*n_SA_b+$HU$6&lt;pax_b)</f>
        <v>-1.84</v>
      </c>
      <c r="IA256" s="281">
        <f t="shared" si="112"/>
        <v>-11.310479999999998</v>
      </c>
    </row>
    <row r="257" spans="56:235" x14ac:dyDescent="0.25">
      <c r="BD257" s="281">
        <f>T10-L_fus/2</f>
        <v>-16.010479999999998</v>
      </c>
      <c r="BE257" s="281">
        <f>0+U10*0.86603</f>
        <v>1.4399915467080384</v>
      </c>
      <c r="BF257" s="281">
        <f>V10+U10*-0.5</f>
        <v>-0.92982753792202077</v>
      </c>
      <c r="BG257" s="281">
        <f t="shared" si="109"/>
        <v>-11.339130511390252</v>
      </c>
      <c r="BH257" s="281">
        <f t="shared" si="110"/>
        <v>3.9727866672922234</v>
      </c>
      <c r="BM257" s="281">
        <f>$AZ$36+0.8*(seat_pitch)*($AY$36*n_SA+$AW$5&lt;pax_e)</f>
        <v>26.588000000000001</v>
      </c>
      <c r="BN257" s="281">
        <f>$AX$5+seat_w*($AY$36*n_SA+$AW$5&lt;pax_e)</f>
        <v>-1.31</v>
      </c>
      <c r="BO257" s="281">
        <f t="shared" si="111"/>
        <v>8.7775200000000027</v>
      </c>
      <c r="HY257" s="281">
        <f>$HX$16</f>
        <v>6.5</v>
      </c>
      <c r="HZ257" s="281">
        <f>$HV$6+seat_w_b*($HW$16*n_SA_b+$HU$6&lt;pax_b)</f>
        <v>-1.84</v>
      </c>
      <c r="IA257" s="281">
        <f t="shared" si="112"/>
        <v>-11.310479999999998</v>
      </c>
    </row>
    <row r="258" spans="56:235" x14ac:dyDescent="0.25">
      <c r="BD258" s="281">
        <f>T10-L_fus/2</f>
        <v>-16.010479999999998</v>
      </c>
      <c r="BE258" s="281">
        <f>0+U10*1</f>
        <v>1.662750189610104</v>
      </c>
      <c r="BF258" s="281">
        <f>V10+U10*0</f>
        <v>-9.8452443116968741E-2</v>
      </c>
      <c r="BG258" s="281">
        <f t="shared" si="109"/>
        <v>-11.195944015782215</v>
      </c>
      <c r="BH258" s="281">
        <f t="shared" si="110"/>
        <v>4.7983852463861822</v>
      </c>
      <c r="BM258" s="281">
        <f>$AZ$36+0.8*(seat_pitch)*($AY$36*n_SA+$AW$5&lt;pax_e)</f>
        <v>26.588000000000001</v>
      </c>
      <c r="BN258" s="281">
        <f>$AX$5</f>
        <v>-1.84</v>
      </c>
      <c r="BO258" s="281">
        <f t="shared" si="111"/>
        <v>8.7775200000000027</v>
      </c>
      <c r="HY258" s="281">
        <f>$HX$16+1*(bus_pitch*(n_rows_b&gt;0))*($HW$16*n_SA_b+$HU$6&lt;pax_b)</f>
        <v>6.5</v>
      </c>
      <c r="HZ258" s="281">
        <f>$HV$6+seat_w_b*($HW$16*n_SA_b+$HU$6&lt;pax_b)</f>
        <v>-1.84</v>
      </c>
      <c r="IA258" s="281">
        <f t="shared" si="112"/>
        <v>-11.310479999999998</v>
      </c>
    </row>
    <row r="259" spans="56:235" x14ac:dyDescent="0.25">
      <c r="BD259" s="281">
        <f>T13-L_fus/2</f>
        <v>-13.810479999999998</v>
      </c>
      <c r="BE259" s="281">
        <f>0+U13*1</f>
        <v>1.9909249999999998</v>
      </c>
      <c r="BF259" s="281">
        <f>V13+U13*0</f>
        <v>0</v>
      </c>
      <c r="BG259" s="281">
        <f t="shared" si="109"/>
        <v>-9.299699538990609</v>
      </c>
      <c r="BH259" s="281">
        <f t="shared" si="110"/>
        <v>4.3962198887895809</v>
      </c>
      <c r="BM259" s="281">
        <f>$AZ$36+0.2*(seat_pitch)*($AY$36*n_SA+$AW$5&lt;pax_e)</f>
        <v>26.102</v>
      </c>
      <c r="BN259" s="281">
        <f>$AX$5</f>
        <v>-1.84</v>
      </c>
      <c r="BO259" s="281">
        <f t="shared" si="111"/>
        <v>8.291520000000002</v>
      </c>
      <c r="HY259" s="281">
        <f>$HX$16+0.8*(bus_pitch*(n_rows_b&gt;0))*($HW$16*n_SA_b+$HU$6&lt;pax_b)</f>
        <v>6.5</v>
      </c>
      <c r="HZ259" s="281">
        <f>$HV$6+seat_w_b*($HW$16*n_SA_b+$HU$6&lt;pax_b)</f>
        <v>-1.84</v>
      </c>
      <c r="IA259" s="281">
        <f t="shared" si="112"/>
        <v>-11.310479999999998</v>
      </c>
    </row>
    <row r="260" spans="56:235" x14ac:dyDescent="0.25">
      <c r="BD260" s="281">
        <f>T13-L_fus/2</f>
        <v>-13.810479999999998</v>
      </c>
      <c r="BE260" s="281">
        <f>0+U13*0.86603</f>
        <v>1.7242007777499997</v>
      </c>
      <c r="BF260" s="281">
        <f>V13+U13*0.5</f>
        <v>0.99546249999999992</v>
      </c>
      <c r="BG260" s="281">
        <f t="shared" si="109"/>
        <v>-9.4711465642561876</v>
      </c>
      <c r="BH260" s="281">
        <f t="shared" si="110"/>
        <v>5.212064838688546</v>
      </c>
      <c r="BM260" s="281">
        <f>$AZ$36+(seat_pitch)</f>
        <v>26.75</v>
      </c>
      <c r="BN260" s="281">
        <f>$AX$5</f>
        <v>-1.84</v>
      </c>
      <c r="BO260" s="281">
        <f t="shared" si="111"/>
        <v>8.9395200000000017</v>
      </c>
      <c r="HY260" s="281">
        <f>$HX$16+0.8*(bus_pitch*(n_rows_b&gt;0))*($HW$16*n_SA_b+$HU$6&lt;pax_b)</f>
        <v>6.5</v>
      </c>
      <c r="HZ260" s="281">
        <f>$HV$6</f>
        <v>-1.84</v>
      </c>
      <c r="IA260" s="281">
        <f t="shared" si="112"/>
        <v>-11.310479999999998</v>
      </c>
    </row>
    <row r="261" spans="56:235" x14ac:dyDescent="0.25">
      <c r="BD261" s="281">
        <f>T13-L_fus/2</f>
        <v>-13.810479999999998</v>
      </c>
      <c r="BE261" s="281">
        <f>0+U13*0.5</f>
        <v>0.99546249999999992</v>
      </c>
      <c r="BF261" s="281">
        <f>V13+U13*0.86603</f>
        <v>1.7242007777499997</v>
      </c>
      <c r="BG261" s="281">
        <f t="shared" ref="BG261:BG324" si="113">BD261*COS(RADIANS(view_az))+BE261*SIN(RADIANS(view_az))</f>
        <v>-9.9395704998981955</v>
      </c>
      <c r="BH261" s="281">
        <f t="shared" ref="BH261:BH324" si="114">BF261*COS(RADIANS(view_el))+(BE261*COS(RADIANS(view_az))-BD261*SIN(RADIANS(view_az)))*SIN(RADIANS(view_el))</f>
        <v>5.6366010991952518</v>
      </c>
      <c r="BM261" s="281">
        <f>$AZ$37+0.2*(seat_pitch)*($AY$37*n_SA+$AW$5&lt;pax_e)</f>
        <v>26.102</v>
      </c>
      <c r="BN261" s="281">
        <f>$AX$5</f>
        <v>-1.84</v>
      </c>
      <c r="BO261" s="281">
        <f t="shared" ref="BO261:BO324" si="115">BM261-L_fus/2</f>
        <v>8.291520000000002</v>
      </c>
      <c r="HY261" s="281">
        <f>$HX$16+0.2*(bus_pitch*(n_rows_b&gt;0))*($HW$16*n_SA_b+$HU$6&lt;pax_b)</f>
        <v>6.5</v>
      </c>
      <c r="HZ261" s="281">
        <f>$HV$6</f>
        <v>-1.84</v>
      </c>
      <c r="IA261" s="281">
        <f t="shared" ref="IA261:IA324" si="116">HY261-L_fus/2</f>
        <v>-11.310479999999998</v>
      </c>
    </row>
    <row r="262" spans="56:235" x14ac:dyDescent="0.25">
      <c r="BD262" s="281">
        <f>T13-L_fus/2</f>
        <v>-13.810479999999998</v>
      </c>
      <c r="BE262" s="281">
        <f>0+U13*0</f>
        <v>0</v>
      </c>
      <c r="BF262" s="281">
        <f>V13+U13*1</f>
        <v>1.9909249999999998</v>
      </c>
      <c r="BG262" s="281">
        <f t="shared" si="113"/>
        <v>-10.579441460805782</v>
      </c>
      <c r="BH262" s="281">
        <f t="shared" si="114"/>
        <v>5.5560599579279195</v>
      </c>
      <c r="BM262" s="281">
        <f>$AZ$37+0.2*(seat_pitch)*($AY$37*n_SA+$AW$5&lt;pax_e)</f>
        <v>26.102</v>
      </c>
      <c r="BN262" s="281">
        <f>$AX$5+seat_w*($AY$37*n_SA+$AW$5&lt;pax_e)</f>
        <v>-1.31</v>
      </c>
      <c r="BO262" s="281">
        <f t="shared" si="115"/>
        <v>8.291520000000002</v>
      </c>
      <c r="HY262" s="281">
        <f>$HX$16+(bus_pitch*(n_rows_b&gt;0))</f>
        <v>6.5</v>
      </c>
      <c r="HZ262" s="281">
        <f>$HV$6</f>
        <v>-1.84</v>
      </c>
      <c r="IA262" s="281">
        <f t="shared" si="116"/>
        <v>-11.310479999999998</v>
      </c>
    </row>
    <row r="263" spans="56:235" x14ac:dyDescent="0.25">
      <c r="BD263" s="281">
        <f>T13-L_fus/2</f>
        <v>-13.810479999999998</v>
      </c>
      <c r="BE263" s="281">
        <f>0+U13*-0.5</f>
        <v>-0.99546249999999992</v>
      </c>
      <c r="BF263" s="281">
        <f>V13+U13*0.86603</f>
        <v>1.7242007777499997</v>
      </c>
      <c r="BG263" s="281">
        <f t="shared" si="113"/>
        <v>-11.219312421713369</v>
      </c>
      <c r="BH263" s="281">
        <f t="shared" si="114"/>
        <v>4.9920503374276493</v>
      </c>
      <c r="BM263" s="281">
        <f>$AZ$37</f>
        <v>25.94</v>
      </c>
      <c r="BN263" s="281">
        <f>$AX$5+seat_w*($AY$37*n_SA+$AW$5&lt;pax_e)</f>
        <v>-1.31</v>
      </c>
      <c r="BO263" s="281">
        <f t="shared" si="115"/>
        <v>8.129520000000003</v>
      </c>
      <c r="HY263" s="281">
        <f>$HX$17+0.2*(bus_pitch*(n_rows_b&gt;0))*($HW$17*n_SA_b+$HU$6&lt;pax_b)</f>
        <v>6.5</v>
      </c>
      <c r="HZ263" s="281">
        <f>$HV$6</f>
        <v>-1.84</v>
      </c>
      <c r="IA263" s="281">
        <f t="shared" si="116"/>
        <v>-11.310479999999998</v>
      </c>
    </row>
    <row r="264" spans="56:235" x14ac:dyDescent="0.25">
      <c r="BD264" s="281">
        <f>T13-L_fus/2</f>
        <v>-13.810479999999998</v>
      </c>
      <c r="BE264" s="281">
        <f>0+U13*-0.86603</f>
        <v>-1.7242007777499997</v>
      </c>
      <c r="BF264" s="281">
        <f>V13+U13*0.5</f>
        <v>0.99546249999999992</v>
      </c>
      <c r="BG264" s="281">
        <f t="shared" si="113"/>
        <v>-11.687736357355377</v>
      </c>
      <c r="BH264" s="281">
        <f t="shared" si="114"/>
        <v>4.0956642462613519</v>
      </c>
      <c r="BM264" s="281">
        <f>$AZ$37+1*(seat_pitch)*($AY$37*n_SA+$AW$5&lt;pax_e)</f>
        <v>26.75</v>
      </c>
      <c r="BN264" s="281">
        <f>$AX$5+seat_w*($AY$37*n_SA+$AW$5&lt;pax_e)</f>
        <v>-1.31</v>
      </c>
      <c r="BO264" s="281">
        <f t="shared" si="115"/>
        <v>8.9395200000000017</v>
      </c>
      <c r="HY264" s="281">
        <f>$HX$17+0.2*(bus_pitch*(n_rows_b&gt;0))*($HW$17*n_SA_b+$HU$6&lt;pax_b)</f>
        <v>6.5</v>
      </c>
      <c r="HZ264" s="281">
        <f>$HV$6+seat_w_b*($HW$17*n_SA_b+$HU$6&lt;pax_b)</f>
        <v>-1.84</v>
      </c>
      <c r="IA264" s="281">
        <f t="shared" si="116"/>
        <v>-11.310479999999998</v>
      </c>
    </row>
    <row r="265" spans="56:235" x14ac:dyDescent="0.25">
      <c r="BD265" s="281">
        <f>T13-L_fus/2</f>
        <v>-13.810479999999998</v>
      </c>
      <c r="BE265" s="281">
        <f>0+U13*-1</f>
        <v>-1.9909249999999998</v>
      </c>
      <c r="BF265" s="281">
        <f>V13+U13*0</f>
        <v>0</v>
      </c>
      <c r="BG265" s="281">
        <f t="shared" si="113"/>
        <v>-11.859183382620955</v>
      </c>
      <c r="BH265" s="281">
        <f t="shared" si="114"/>
        <v>3.1071183652543741</v>
      </c>
      <c r="BM265" s="281">
        <f>$AZ$37+0.8*(seat_pitch)*($AY$37*n_SA+$AW$5&lt;pax_e)</f>
        <v>26.588000000000001</v>
      </c>
      <c r="BN265" s="281">
        <f>$AX$5+seat_w*($AY$37*n_SA+$AW$5&lt;pax_e)</f>
        <v>-1.31</v>
      </c>
      <c r="BO265" s="281">
        <f t="shared" si="115"/>
        <v>8.7775200000000027</v>
      </c>
      <c r="HY265" s="281">
        <f>$HX$17</f>
        <v>6.5</v>
      </c>
      <c r="HZ265" s="281">
        <f>$HV$6+seat_w_b*($HW$17*n_SA_b+$HU$6&lt;pax_b)</f>
        <v>-1.84</v>
      </c>
      <c r="IA265" s="281">
        <f t="shared" si="116"/>
        <v>-11.310479999999998</v>
      </c>
    </row>
    <row r="266" spans="56:235" x14ac:dyDescent="0.25">
      <c r="BD266" s="281">
        <f>T13-L_fus/2</f>
        <v>-13.810479999999998</v>
      </c>
      <c r="BE266" s="281">
        <f>0+U13*-0.86603</f>
        <v>-1.7242007777499997</v>
      </c>
      <c r="BF266" s="281">
        <f>V13+U13*-0.5</f>
        <v>-0.99546249999999992</v>
      </c>
      <c r="BG266" s="281">
        <f t="shared" si="113"/>
        <v>-11.687736357355377</v>
      </c>
      <c r="BH266" s="281">
        <f t="shared" si="114"/>
        <v>2.2912734153554095</v>
      </c>
      <c r="BM266" s="281">
        <f>$AZ$37+0.8*(seat_pitch)*($AY$37*n_SA+$AW$5&lt;pax_e)</f>
        <v>26.588000000000001</v>
      </c>
      <c r="BN266" s="281">
        <f>$AX$5</f>
        <v>-1.84</v>
      </c>
      <c r="BO266" s="281">
        <f t="shared" si="115"/>
        <v>8.7775200000000027</v>
      </c>
      <c r="HY266" s="281">
        <f>$HX$17+1*(bus_pitch*(n_rows_b&gt;0))*($HW$17*n_SA_b+$HU$6&lt;pax_b)</f>
        <v>6.5</v>
      </c>
      <c r="HZ266" s="281">
        <f>$HV$6+seat_w_b*($HW$17*n_SA_b+$HU$6&lt;pax_b)</f>
        <v>-1.84</v>
      </c>
      <c r="IA266" s="281">
        <f t="shared" si="116"/>
        <v>-11.310479999999998</v>
      </c>
    </row>
    <row r="267" spans="56:235" x14ac:dyDescent="0.25">
      <c r="BD267" s="281">
        <f>T13-L_fus/2</f>
        <v>-13.810479999999998</v>
      </c>
      <c r="BE267" s="281">
        <f>0+U13*-0.5</f>
        <v>-0.99546249999999992</v>
      </c>
      <c r="BF267" s="281">
        <f>V13+U13*-0.86603</f>
        <v>-1.7242007777499997</v>
      </c>
      <c r="BG267" s="281">
        <f t="shared" si="113"/>
        <v>-11.219312421713369</v>
      </c>
      <c r="BH267" s="281">
        <f t="shared" si="114"/>
        <v>1.8667371548487033</v>
      </c>
      <c r="BM267" s="281">
        <f>$AZ$37+0.2*(seat_pitch)*($AY$37*n_SA+$AW$5&lt;pax_e)</f>
        <v>26.102</v>
      </c>
      <c r="BN267" s="281">
        <f>$AX$5</f>
        <v>-1.84</v>
      </c>
      <c r="BO267" s="281">
        <f t="shared" si="115"/>
        <v>8.291520000000002</v>
      </c>
      <c r="HY267" s="281">
        <f>$HX$17+0.8*(bus_pitch*(n_rows_b&gt;0))*($HW$17*n_SA_b+$HU$6&lt;pax_b)</f>
        <v>6.5</v>
      </c>
      <c r="HZ267" s="281">
        <f>$HV$6+seat_w_b*($HW$17*n_SA_b+$HU$6&lt;pax_b)</f>
        <v>-1.84</v>
      </c>
      <c r="IA267" s="281">
        <f t="shared" si="116"/>
        <v>-11.310479999999998</v>
      </c>
    </row>
    <row r="268" spans="56:235" x14ac:dyDescent="0.25">
      <c r="BD268" s="281">
        <f>T13-L_fus/2</f>
        <v>-13.810479999999998</v>
      </c>
      <c r="BE268" s="281">
        <f>0+U13*0</f>
        <v>0</v>
      </c>
      <c r="BF268" s="281">
        <f>V13+U13*-1</f>
        <v>-1.9909249999999998</v>
      </c>
      <c r="BG268" s="281">
        <f t="shared" si="113"/>
        <v>-10.579441460805782</v>
      </c>
      <c r="BH268" s="281">
        <f t="shared" si="114"/>
        <v>1.9472782961160353</v>
      </c>
      <c r="BM268" s="281">
        <f>$AZ$37+(seat_pitch)</f>
        <v>26.75</v>
      </c>
      <c r="BN268" s="281">
        <f>$AX$5</f>
        <v>-1.84</v>
      </c>
      <c r="BO268" s="281">
        <f t="shared" si="115"/>
        <v>8.9395200000000017</v>
      </c>
      <c r="HY268" s="281">
        <f>$HX$17+0.8*(bus_pitch*(n_rows_b&gt;0))*($HW$17*n_SA_b+$HU$6&lt;pax_b)</f>
        <v>6.5</v>
      </c>
      <c r="HZ268" s="281">
        <f>$HV$6</f>
        <v>-1.84</v>
      </c>
      <c r="IA268" s="281">
        <f t="shared" si="116"/>
        <v>-11.310479999999998</v>
      </c>
    </row>
    <row r="269" spans="56:235" x14ac:dyDescent="0.25">
      <c r="BD269" s="281">
        <f>T13-L_fus/2</f>
        <v>-13.810479999999998</v>
      </c>
      <c r="BE269" s="281">
        <f>0+U13*0.5</f>
        <v>0.99546249999999992</v>
      </c>
      <c r="BF269" s="281">
        <f>V13+U13*-0.86603</f>
        <v>-1.7242007777499997</v>
      </c>
      <c r="BG269" s="281">
        <f t="shared" si="113"/>
        <v>-9.9395704998981955</v>
      </c>
      <c r="BH269" s="281">
        <f t="shared" si="114"/>
        <v>2.5112879166163058</v>
      </c>
      <c r="BM269" s="281">
        <f>$AZ$38+0.2*(seat_pitch)*($AY$38*n_SA+$AW$5&lt;pax_e)</f>
        <v>26.102</v>
      </c>
      <c r="BN269" s="281">
        <f>$AX$5</f>
        <v>-1.84</v>
      </c>
      <c r="BO269" s="281">
        <f t="shared" si="115"/>
        <v>8.291520000000002</v>
      </c>
      <c r="HY269" s="281">
        <f>$HX$17+0.2*(bus_pitch*(n_rows_b&gt;0))*($HW$17*n_SA_b+$HU$6&lt;pax_b)</f>
        <v>6.5</v>
      </c>
      <c r="HZ269" s="281">
        <f>$HV$6</f>
        <v>-1.84</v>
      </c>
      <c r="IA269" s="281">
        <f t="shared" si="116"/>
        <v>-11.310479999999998</v>
      </c>
    </row>
    <row r="270" spans="56:235" x14ac:dyDescent="0.25">
      <c r="BD270" s="281">
        <f>T13-L_fus/2</f>
        <v>-13.810479999999998</v>
      </c>
      <c r="BE270" s="281">
        <f>0+U13*0.86603</f>
        <v>1.7242007777499997</v>
      </c>
      <c r="BF270" s="281">
        <f>V13+U13*-0.5</f>
        <v>-0.99546249999999992</v>
      </c>
      <c r="BG270" s="281">
        <f t="shared" si="113"/>
        <v>-9.4711465642561876</v>
      </c>
      <c r="BH270" s="281">
        <f t="shared" si="114"/>
        <v>3.4076740077826035</v>
      </c>
      <c r="BM270" s="281">
        <f>$AZ$38+0.2*(seat_pitch)*($AY$38*n_SA+$AW$5&lt;pax_e)</f>
        <v>26.102</v>
      </c>
      <c r="BN270" s="281">
        <f>$AX$5+seat_w*($AY$38*n_SA+$AW$5&lt;pax_e)</f>
        <v>-1.31</v>
      </c>
      <c r="BO270" s="281">
        <f t="shared" si="115"/>
        <v>8.291520000000002</v>
      </c>
      <c r="HY270" s="281">
        <f>$HX$17+(bus_pitch*(n_rows_b&gt;0))</f>
        <v>6.5</v>
      </c>
      <c r="HZ270" s="281">
        <f>$HV$6</f>
        <v>-1.84</v>
      </c>
      <c r="IA270" s="281">
        <f t="shared" si="116"/>
        <v>-11.310479999999998</v>
      </c>
    </row>
    <row r="271" spans="56:235" x14ac:dyDescent="0.25">
      <c r="BD271" s="281">
        <f>T13-L_fus/2</f>
        <v>-13.810479999999998</v>
      </c>
      <c r="BE271" s="281">
        <f>0+U13*1</f>
        <v>1.9909249999999998</v>
      </c>
      <c r="BF271" s="281">
        <f>V13+U13*0</f>
        <v>0</v>
      </c>
      <c r="BG271" s="281">
        <f t="shared" si="113"/>
        <v>-9.299699538990609</v>
      </c>
      <c r="BH271" s="281">
        <f t="shared" si="114"/>
        <v>4.3962198887895809</v>
      </c>
      <c r="BM271" s="281">
        <f>$AZ$38</f>
        <v>25.94</v>
      </c>
      <c r="BN271" s="281">
        <f>$AX$5+seat_w*($AY$38*n_SA+$AW$5&lt;pax_e)</f>
        <v>-1.31</v>
      </c>
      <c r="BO271" s="281">
        <f t="shared" si="115"/>
        <v>8.129520000000003</v>
      </c>
      <c r="HY271" s="281">
        <f>$HX$18+0.2*(bus_pitch*(n_rows_b&gt;0))*($HW$18*n_SA_b+$HU$6&lt;pax_b)</f>
        <v>6.5</v>
      </c>
      <c r="HZ271" s="281">
        <f>$HV$6</f>
        <v>-1.84</v>
      </c>
      <c r="IA271" s="281">
        <f t="shared" si="116"/>
        <v>-11.310479999999998</v>
      </c>
    </row>
    <row r="272" spans="56:235" x14ac:dyDescent="0.25">
      <c r="BD272" s="281">
        <f>T14-L_fus/2</f>
        <v>-5.3938133333333411</v>
      </c>
      <c r="BE272" s="281">
        <f>0+U14*1</f>
        <v>1.9909249999999998</v>
      </c>
      <c r="BF272" s="281">
        <f>V14+U14*0</f>
        <v>0</v>
      </c>
      <c r="BG272" s="281">
        <f t="shared" si="113"/>
        <v>-2.8521588094058847</v>
      </c>
      <c r="BH272" s="281">
        <f t="shared" si="114"/>
        <v>2.109800554648531</v>
      </c>
      <c r="BM272" s="281">
        <f>$AZ$38+1*(seat_pitch)*($AY$38*n_SA+$AW$5&lt;pax_e)</f>
        <v>26.75</v>
      </c>
      <c r="BN272" s="281">
        <f>$AX$5+seat_w*($AY$38*n_SA+$AW$5&lt;pax_e)</f>
        <v>-1.31</v>
      </c>
      <c r="BO272" s="281">
        <f t="shared" si="115"/>
        <v>8.9395200000000017</v>
      </c>
      <c r="HY272" s="281">
        <f>$HX$18+0.2*(bus_pitch*(n_rows_b&gt;0))*($HW$18*n_SA_b+$HU$6&lt;pax_b)</f>
        <v>6.5</v>
      </c>
      <c r="HZ272" s="281">
        <f>$HV$6+seat_w_b*($HW$18*n_SA_b+$HU$6&lt;pax_b)</f>
        <v>-1.84</v>
      </c>
      <c r="IA272" s="281">
        <f t="shared" si="116"/>
        <v>-11.310479999999998</v>
      </c>
    </row>
    <row r="273" spans="56:235" x14ac:dyDescent="0.25">
      <c r="BD273" s="281">
        <f>T14-L_fus/2</f>
        <v>-5.3938133333333411</v>
      </c>
      <c r="BE273" s="281">
        <f>0+U14*0.86603</f>
        <v>1.7242007777499997</v>
      </c>
      <c r="BF273" s="281">
        <f>V14+U14*0.5</f>
        <v>0.99546249999999992</v>
      </c>
      <c r="BG273" s="281">
        <f t="shared" si="113"/>
        <v>-3.0236058346714634</v>
      </c>
      <c r="BH273" s="281">
        <f t="shared" si="114"/>
        <v>2.9256455045474961</v>
      </c>
      <c r="BM273" s="281">
        <f>$AZ$38+0.8*(seat_pitch)*($AY$38*n_SA+$AW$5&lt;pax_e)</f>
        <v>26.588000000000001</v>
      </c>
      <c r="BN273" s="281">
        <f>$AX$5+seat_w*($AY$38*n_SA+$AW$5&lt;pax_e)</f>
        <v>-1.31</v>
      </c>
      <c r="BO273" s="281">
        <f t="shared" si="115"/>
        <v>8.7775200000000027</v>
      </c>
      <c r="HY273" s="281">
        <f>$HX$18</f>
        <v>6.5</v>
      </c>
      <c r="HZ273" s="281">
        <f>$HV$6+seat_w_b*($HW$18*n_SA_b+$HU$6&lt;pax_b)</f>
        <v>-1.84</v>
      </c>
      <c r="IA273" s="281">
        <f t="shared" si="116"/>
        <v>-11.310479999999998</v>
      </c>
    </row>
    <row r="274" spans="56:235" x14ac:dyDescent="0.25">
      <c r="BD274" s="281">
        <f>T14-L_fus/2</f>
        <v>-5.3938133333333411</v>
      </c>
      <c r="BE274" s="281">
        <f>0+U14*0.5</f>
        <v>0.99546249999999992</v>
      </c>
      <c r="BF274" s="281">
        <f>V14+U14*0.86603</f>
        <v>1.7242007777499997</v>
      </c>
      <c r="BG274" s="281">
        <f t="shared" si="113"/>
        <v>-3.4920297703134713</v>
      </c>
      <c r="BH274" s="281">
        <f t="shared" si="114"/>
        <v>3.3501817650542027</v>
      </c>
      <c r="BM274" s="281">
        <f>$AZ$38+0.8*(seat_pitch)*($AY$38*n_SA+$AW$5&lt;pax_e)</f>
        <v>26.588000000000001</v>
      </c>
      <c r="BN274" s="281">
        <f>$AX$5</f>
        <v>-1.84</v>
      </c>
      <c r="BO274" s="281">
        <f t="shared" si="115"/>
        <v>8.7775200000000027</v>
      </c>
      <c r="HY274" s="281">
        <f>$HX$18+1*(bus_pitch*(n_rows_b&gt;0))*($HW$18*n_SA_b+$HU$6&lt;pax_b)</f>
        <v>6.5</v>
      </c>
      <c r="HZ274" s="281">
        <f>$HV$6+seat_w_b*($HW$18*n_SA_b+$HU$6&lt;pax_b)</f>
        <v>-1.84</v>
      </c>
      <c r="IA274" s="281">
        <f t="shared" si="116"/>
        <v>-11.310479999999998</v>
      </c>
    </row>
    <row r="275" spans="56:235" x14ac:dyDescent="0.25">
      <c r="BD275" s="281">
        <f>T14-L_fus/2</f>
        <v>-5.3938133333333411</v>
      </c>
      <c r="BE275" s="281">
        <f>0+U14*0</f>
        <v>0</v>
      </c>
      <c r="BF275" s="281">
        <f>V14+U14*1</f>
        <v>1.9909249999999998</v>
      </c>
      <c r="BG275" s="281">
        <f t="shared" si="113"/>
        <v>-4.1319007312210578</v>
      </c>
      <c r="BH275" s="281">
        <f t="shared" si="114"/>
        <v>3.2696406237868705</v>
      </c>
      <c r="BM275" s="281">
        <f>$AZ$38+0.2*(seat_pitch)*($AY$38*n_SA+$AW$5&lt;pax_e)</f>
        <v>26.102</v>
      </c>
      <c r="BN275" s="281">
        <f>$AX$5</f>
        <v>-1.84</v>
      </c>
      <c r="BO275" s="281">
        <f t="shared" si="115"/>
        <v>8.291520000000002</v>
      </c>
      <c r="HY275" s="281">
        <f>$HX$18+0.8*(bus_pitch*(n_rows_b&gt;0))*($HW$18*n_SA_b+$HU$6&lt;pax_b)</f>
        <v>6.5</v>
      </c>
      <c r="HZ275" s="281">
        <f>$HV$6+seat_w_b*($HW$18*n_SA_b+$HU$6&lt;pax_b)</f>
        <v>-1.84</v>
      </c>
      <c r="IA275" s="281">
        <f t="shared" si="116"/>
        <v>-11.310479999999998</v>
      </c>
    </row>
    <row r="276" spans="56:235" x14ac:dyDescent="0.25">
      <c r="BD276" s="281">
        <f>T14-L_fus/2</f>
        <v>-5.3938133333333411</v>
      </c>
      <c r="BE276" s="281">
        <f>0+U14*-0.5</f>
        <v>-0.99546249999999992</v>
      </c>
      <c r="BF276" s="281">
        <f>V14+U14*0.86603</f>
        <v>1.7242007777499997</v>
      </c>
      <c r="BG276" s="281">
        <f t="shared" si="113"/>
        <v>-4.7717716921286444</v>
      </c>
      <c r="BH276" s="281">
        <f t="shared" si="114"/>
        <v>2.7056310032865998</v>
      </c>
      <c r="BM276" s="281">
        <f>$AZ$38+(seat_pitch)</f>
        <v>26.75</v>
      </c>
      <c r="BN276" s="281">
        <f>$AX$5</f>
        <v>-1.84</v>
      </c>
      <c r="BO276" s="281">
        <f t="shared" si="115"/>
        <v>8.9395200000000017</v>
      </c>
      <c r="HY276" s="281">
        <f>$HX$18+0.8*(bus_pitch*(n_rows_b&gt;0))*($HW$18*n_SA_b+$HU$6&lt;pax_b)</f>
        <v>6.5</v>
      </c>
      <c r="HZ276" s="281">
        <f>$HV$6</f>
        <v>-1.84</v>
      </c>
      <c r="IA276" s="281">
        <f t="shared" si="116"/>
        <v>-11.310479999999998</v>
      </c>
    </row>
    <row r="277" spans="56:235" x14ac:dyDescent="0.25">
      <c r="BD277" s="281">
        <f>T14-L_fus/2</f>
        <v>-5.3938133333333411</v>
      </c>
      <c r="BE277" s="281">
        <f>0+U14*-0.86603</f>
        <v>-1.7242007777499997</v>
      </c>
      <c r="BF277" s="281">
        <f>V14+U14*0.5</f>
        <v>0.99546249999999992</v>
      </c>
      <c r="BG277" s="281">
        <f t="shared" si="113"/>
        <v>-5.2401956277706523</v>
      </c>
      <c r="BH277" s="281">
        <f t="shared" si="114"/>
        <v>1.8092449121203023</v>
      </c>
      <c r="BM277" s="281">
        <f>$AZ$39+0.2*(seat_pitch)*($AY$39*n_SA+$AW$5&lt;pax_e)</f>
        <v>26.102</v>
      </c>
      <c r="BN277" s="281">
        <f>$AX$5</f>
        <v>-1.84</v>
      </c>
      <c r="BO277" s="281">
        <f t="shared" si="115"/>
        <v>8.291520000000002</v>
      </c>
      <c r="HY277" s="281">
        <f>$HX$18+0.2*(bus_pitch*(n_rows_b&gt;0))*($HW$18*n_SA_b+$HU$6&lt;pax_b)</f>
        <v>6.5</v>
      </c>
      <c r="HZ277" s="281">
        <f>$HV$6</f>
        <v>-1.84</v>
      </c>
      <c r="IA277" s="281">
        <f t="shared" si="116"/>
        <v>-11.310479999999998</v>
      </c>
    </row>
    <row r="278" spans="56:235" x14ac:dyDescent="0.25">
      <c r="BD278" s="281">
        <f>T14-L_fus/2</f>
        <v>-5.3938133333333411</v>
      </c>
      <c r="BE278" s="281">
        <f>0+U14*-1</f>
        <v>-1.9909249999999998</v>
      </c>
      <c r="BF278" s="281">
        <f>V14+U14*0</f>
        <v>0</v>
      </c>
      <c r="BG278" s="281">
        <f t="shared" si="113"/>
        <v>-5.4116426530362309</v>
      </c>
      <c r="BH278" s="281">
        <f t="shared" si="114"/>
        <v>0.82069903111332509</v>
      </c>
      <c r="BM278" s="281">
        <f>$AZ$39+0.2*(seat_pitch)*($AY$39*n_SA+$AW$5&lt;pax_e)</f>
        <v>26.102</v>
      </c>
      <c r="BN278" s="281">
        <f>$AX$5+seat_w*($AY$39*n_SA+$AW$5&lt;pax_e)</f>
        <v>-1.31</v>
      </c>
      <c r="BO278" s="281">
        <f t="shared" si="115"/>
        <v>8.291520000000002</v>
      </c>
      <c r="HY278" s="281">
        <f>$HX$18+(bus_pitch*(n_rows_b&gt;0))</f>
        <v>6.5</v>
      </c>
      <c r="HZ278" s="281">
        <f>$HV$6</f>
        <v>-1.84</v>
      </c>
      <c r="IA278" s="281">
        <f t="shared" si="116"/>
        <v>-11.310479999999998</v>
      </c>
    </row>
    <row r="279" spans="56:235" x14ac:dyDescent="0.25">
      <c r="BD279" s="281">
        <f>T14-L_fus/2</f>
        <v>-5.3938133333333411</v>
      </c>
      <c r="BE279" s="281">
        <f>0+U14*-0.86603</f>
        <v>-1.7242007777499997</v>
      </c>
      <c r="BF279" s="281">
        <f>V14+U14*-0.5</f>
        <v>-0.99546249999999992</v>
      </c>
      <c r="BG279" s="281">
        <f t="shared" si="113"/>
        <v>-5.2401956277706523</v>
      </c>
      <c r="BH279" s="281">
        <f t="shared" si="114"/>
        <v>4.8540812143600398E-3</v>
      </c>
      <c r="BM279" s="281">
        <f>$AZ$39</f>
        <v>25.94</v>
      </c>
      <c r="BN279" s="281">
        <f>$AX$5+seat_w*($AY$39*n_SA+$AW$5&lt;pax_e)</f>
        <v>-1.31</v>
      </c>
      <c r="BO279" s="281">
        <f t="shared" si="115"/>
        <v>8.129520000000003</v>
      </c>
      <c r="HY279" s="281">
        <f>$HX$19+0.2*(bus_pitch*(n_rows_b&gt;0))*($HW$19*n_SA_b+$HU$6&lt;pax_b)</f>
        <v>6.5</v>
      </c>
      <c r="HZ279" s="281">
        <f>$HV$6</f>
        <v>-1.84</v>
      </c>
      <c r="IA279" s="281">
        <f t="shared" si="116"/>
        <v>-11.310479999999998</v>
      </c>
    </row>
    <row r="280" spans="56:235" x14ac:dyDescent="0.25">
      <c r="BD280" s="281">
        <f>T14-L_fus/2</f>
        <v>-5.3938133333333411</v>
      </c>
      <c r="BE280" s="281">
        <f>0+U14*-0.5</f>
        <v>-0.99546249999999992</v>
      </c>
      <c r="BF280" s="281">
        <f>V14+U14*-0.86603</f>
        <v>-1.7242007777499997</v>
      </c>
      <c r="BG280" s="281">
        <f t="shared" si="113"/>
        <v>-4.7717716921286444</v>
      </c>
      <c r="BH280" s="281">
        <f t="shared" si="114"/>
        <v>-0.41968217929234641</v>
      </c>
      <c r="BM280" s="281">
        <f>$AZ$39+1*(seat_pitch)*($AY$39*n_SA+$AW$5&lt;pax_e)</f>
        <v>26.75</v>
      </c>
      <c r="BN280" s="281">
        <f>$AX$5+seat_w*($AY$39*n_SA+$AW$5&lt;pax_e)</f>
        <v>-1.31</v>
      </c>
      <c r="BO280" s="281">
        <f t="shared" si="115"/>
        <v>8.9395200000000017</v>
      </c>
      <c r="HY280" s="281">
        <f>$HX$19+0.2*(bus_pitch*(n_rows_b&gt;0))*($HW$19*n_SA_b+$HU$6&lt;pax_b)</f>
        <v>6.5</v>
      </c>
      <c r="HZ280" s="281">
        <f>$HV$6+seat_w_b*($HW$19*n_SA_b+$HU$6&lt;pax_b)</f>
        <v>-1.84</v>
      </c>
      <c r="IA280" s="281">
        <f t="shared" si="116"/>
        <v>-11.310479999999998</v>
      </c>
    </row>
    <row r="281" spans="56:235" x14ac:dyDescent="0.25">
      <c r="BD281" s="281">
        <f>T14-L_fus/2</f>
        <v>-5.3938133333333411</v>
      </c>
      <c r="BE281" s="281">
        <f>0+U14*0</f>
        <v>0</v>
      </c>
      <c r="BF281" s="281">
        <f>V14+U14*-1</f>
        <v>-1.9909249999999998</v>
      </c>
      <c r="BG281" s="281">
        <f t="shared" si="113"/>
        <v>-4.1319007312210578</v>
      </c>
      <c r="BH281" s="281">
        <f t="shared" si="114"/>
        <v>-0.33914103802501394</v>
      </c>
      <c r="BM281" s="281">
        <f>$AZ$39+0.8*(seat_pitch)*($AY$39*n_SA+$AW$5&lt;pax_e)</f>
        <v>26.588000000000001</v>
      </c>
      <c r="BN281" s="281">
        <f>$AX$5+seat_w*($AY$39*n_SA+$AW$5&lt;pax_e)</f>
        <v>-1.31</v>
      </c>
      <c r="BO281" s="281">
        <f t="shared" si="115"/>
        <v>8.7775200000000027</v>
      </c>
      <c r="HY281" s="281">
        <f>$HX$19</f>
        <v>6.5</v>
      </c>
      <c r="HZ281" s="281">
        <f>$HV$6+seat_w_b*($HW$19*n_SA_b+$HU$6&lt;pax_b)</f>
        <v>-1.84</v>
      </c>
      <c r="IA281" s="281">
        <f t="shared" si="116"/>
        <v>-11.310479999999998</v>
      </c>
    </row>
    <row r="282" spans="56:235" x14ac:dyDescent="0.25">
      <c r="BD282" s="281">
        <f>T14-L_fus/2</f>
        <v>-5.3938133333333411</v>
      </c>
      <c r="BE282" s="281">
        <f>0+U14*0.5</f>
        <v>0.99546249999999992</v>
      </c>
      <c r="BF282" s="281">
        <f>V14+U14*-0.86603</f>
        <v>-1.7242007777499997</v>
      </c>
      <c r="BG282" s="281">
        <f t="shared" si="113"/>
        <v>-3.4920297703134713</v>
      </c>
      <c r="BH282" s="281">
        <f t="shared" si="114"/>
        <v>0.22486858247525676</v>
      </c>
      <c r="BM282" s="281">
        <f>$AZ$39+0.8*(seat_pitch)*($AY$39*n_SA+$AW$5&lt;pax_e)</f>
        <v>26.588000000000001</v>
      </c>
      <c r="BN282" s="281">
        <f>$AX$5</f>
        <v>-1.84</v>
      </c>
      <c r="BO282" s="281">
        <f t="shared" si="115"/>
        <v>8.7775200000000027</v>
      </c>
      <c r="HY282" s="281">
        <f>$HX$19+1*(bus_pitch*(n_rows_b&gt;0))*($HW$19*n_SA_b+$HU$6&lt;pax_b)</f>
        <v>6.5</v>
      </c>
      <c r="HZ282" s="281">
        <f>$HV$6+seat_w_b*($HW$19*n_SA_b+$HU$6&lt;pax_b)</f>
        <v>-1.84</v>
      </c>
      <c r="IA282" s="281">
        <f t="shared" si="116"/>
        <v>-11.310479999999998</v>
      </c>
    </row>
    <row r="283" spans="56:235" x14ac:dyDescent="0.25">
      <c r="BD283" s="281">
        <f>T14-L_fus/2</f>
        <v>-5.3938133333333411</v>
      </c>
      <c r="BE283" s="281">
        <f>0+U14*0.86603</f>
        <v>1.7242007777499997</v>
      </c>
      <c r="BF283" s="281">
        <f>V14+U14*-0.5</f>
        <v>-0.99546249999999992</v>
      </c>
      <c r="BG283" s="281">
        <f t="shared" si="113"/>
        <v>-3.0236058346714634</v>
      </c>
      <c r="BH283" s="281">
        <f t="shared" si="114"/>
        <v>1.1212546736415541</v>
      </c>
      <c r="BM283" s="281">
        <f>$AZ$39+0.2*(seat_pitch)*($AY$39*n_SA+$AW$5&lt;pax_e)</f>
        <v>26.102</v>
      </c>
      <c r="BN283" s="281">
        <f>$AX$5</f>
        <v>-1.84</v>
      </c>
      <c r="BO283" s="281">
        <f t="shared" si="115"/>
        <v>8.291520000000002</v>
      </c>
      <c r="HY283" s="281">
        <f>$HX$19+0.8*(bus_pitch*(n_rows_b&gt;0))*($HW$19*n_SA_b+$HU$6&lt;pax_b)</f>
        <v>6.5</v>
      </c>
      <c r="HZ283" s="281">
        <f>$HV$6+seat_w_b*($HW$19*n_SA_b+$HU$6&lt;pax_b)</f>
        <v>-1.84</v>
      </c>
      <c r="IA283" s="281">
        <f t="shared" si="116"/>
        <v>-11.310479999999998</v>
      </c>
    </row>
    <row r="284" spans="56:235" x14ac:dyDescent="0.25">
      <c r="BD284" s="281">
        <f>T14-L_fus/2</f>
        <v>-5.3938133333333411</v>
      </c>
      <c r="BE284" s="281">
        <f>0+U14*1</f>
        <v>1.9909249999999998</v>
      </c>
      <c r="BF284" s="281">
        <f>V14+U14*0</f>
        <v>0</v>
      </c>
      <c r="BG284" s="281">
        <f t="shared" si="113"/>
        <v>-2.8521588094058847</v>
      </c>
      <c r="BH284" s="281">
        <f t="shared" si="114"/>
        <v>2.109800554648531</v>
      </c>
      <c r="BM284" s="281">
        <f>$AZ$39+(seat_pitch)</f>
        <v>26.75</v>
      </c>
      <c r="BN284" s="281">
        <f>$AX$5</f>
        <v>-1.84</v>
      </c>
      <c r="BO284" s="281">
        <f t="shared" si="115"/>
        <v>8.9395200000000017</v>
      </c>
      <c r="HY284" s="281">
        <f>$HX$19+0.8*(bus_pitch*(n_rows_b&gt;0))*($HW$19*n_SA_b+$HU$6&lt;pax_b)</f>
        <v>6.5</v>
      </c>
      <c r="HZ284" s="281">
        <f>$HV$6</f>
        <v>-1.84</v>
      </c>
      <c r="IA284" s="281">
        <f t="shared" si="116"/>
        <v>-11.310479999999998</v>
      </c>
    </row>
    <row r="285" spans="56:235" x14ac:dyDescent="0.25">
      <c r="BD285" s="281">
        <f>T15-L_fus/2</f>
        <v>3.0228533333333161</v>
      </c>
      <c r="BE285" s="281">
        <f>0+U15*1</f>
        <v>1.9909249999999998</v>
      </c>
      <c r="BF285" s="281">
        <f>V15+U15*0</f>
        <v>0</v>
      </c>
      <c r="BG285" s="281">
        <f t="shared" si="113"/>
        <v>3.5953819201788395</v>
      </c>
      <c r="BH285" s="281">
        <f t="shared" si="114"/>
        <v>-0.17661877949251817</v>
      </c>
      <c r="BM285" s="281">
        <f>$AZ$40+0.2*(seat_pitch)*($AY$40*n_SA+$AW$5&lt;pax_e)</f>
        <v>26.102</v>
      </c>
      <c r="BN285" s="281">
        <f>$AX$5</f>
        <v>-1.84</v>
      </c>
      <c r="BO285" s="281">
        <f t="shared" si="115"/>
        <v>8.291520000000002</v>
      </c>
      <c r="HY285" s="281">
        <f>$HX$19+0.2*(bus_pitch*(n_rows_b&gt;0))*($HW$19*n_SA_b+$HU$6&lt;pax_b)</f>
        <v>6.5</v>
      </c>
      <c r="HZ285" s="281">
        <f>$HV$6</f>
        <v>-1.84</v>
      </c>
      <c r="IA285" s="281">
        <f t="shared" si="116"/>
        <v>-11.310479999999998</v>
      </c>
    </row>
    <row r="286" spans="56:235" x14ac:dyDescent="0.25">
      <c r="BD286" s="281">
        <f>T15-L_fus/2</f>
        <v>3.0228533333333161</v>
      </c>
      <c r="BE286" s="281">
        <f>0+U15*0.86603</f>
        <v>1.7242007777499997</v>
      </c>
      <c r="BF286" s="281">
        <f>V15+U15*0.5</f>
        <v>0.99546249999999992</v>
      </c>
      <c r="BG286" s="281">
        <f t="shared" si="113"/>
        <v>3.4239348949132609</v>
      </c>
      <c r="BH286" s="281">
        <f t="shared" si="114"/>
        <v>0.63922617040644703</v>
      </c>
      <c r="BM286" s="281">
        <f>$AZ$40+0.2*(seat_pitch)*($AY$40*n_SA+$AW$5&lt;pax_e)</f>
        <v>26.102</v>
      </c>
      <c r="BN286" s="281">
        <f>$AX$5+seat_w*($AY$40*n_SA+$AW$5&lt;pax_e)</f>
        <v>-1.31</v>
      </c>
      <c r="BO286" s="281">
        <f t="shared" si="115"/>
        <v>8.291520000000002</v>
      </c>
      <c r="HY286" s="281">
        <f>$HX$19+(bus_pitch*(n_rows_b&gt;0))</f>
        <v>6.5</v>
      </c>
      <c r="HZ286" s="281">
        <f>$HV$6</f>
        <v>-1.84</v>
      </c>
      <c r="IA286" s="281">
        <f t="shared" si="116"/>
        <v>-11.310479999999998</v>
      </c>
    </row>
    <row r="287" spans="56:235" x14ac:dyDescent="0.25">
      <c r="BD287" s="281">
        <f>T15-L_fus/2</f>
        <v>3.0228533333333161</v>
      </c>
      <c r="BE287" s="281">
        <f>0+U15*0.5</f>
        <v>0.99546249999999992</v>
      </c>
      <c r="BF287" s="281">
        <f>V15+U15*0.86603</f>
        <v>1.7242007777499997</v>
      </c>
      <c r="BG287" s="281">
        <f t="shared" si="113"/>
        <v>2.955510959271253</v>
      </c>
      <c r="BH287" s="281">
        <f t="shared" si="114"/>
        <v>1.0637624309131533</v>
      </c>
      <c r="BM287" s="281">
        <f>$AZ$40</f>
        <v>25.94</v>
      </c>
      <c r="BN287" s="281">
        <f>$AX$5+seat_w*($AY$40*n_SA+$AW$5&lt;pax_e)</f>
        <v>-1.31</v>
      </c>
      <c r="BO287" s="281">
        <f t="shared" si="115"/>
        <v>8.129520000000003</v>
      </c>
      <c r="HY287" s="281">
        <f>$HX$20+0.2*(bus_pitch*(n_rows_b&gt;0))*($HW$20*n_SA_b+$HU$6&lt;pax_b)</f>
        <v>6.5</v>
      </c>
      <c r="HZ287" s="281">
        <f>$HV$6</f>
        <v>-1.84</v>
      </c>
      <c r="IA287" s="281">
        <f t="shared" si="116"/>
        <v>-11.310479999999998</v>
      </c>
    </row>
    <row r="288" spans="56:235" x14ac:dyDescent="0.25">
      <c r="BD288" s="281">
        <f>T15-L_fus/2</f>
        <v>3.0228533333333161</v>
      </c>
      <c r="BE288" s="281">
        <f>0+U15*0</f>
        <v>0</v>
      </c>
      <c r="BF288" s="281">
        <f>V15+U15*1</f>
        <v>1.9909249999999998</v>
      </c>
      <c r="BG288" s="281">
        <f t="shared" si="113"/>
        <v>2.3156399983636664</v>
      </c>
      <c r="BH288" s="281">
        <f t="shared" si="114"/>
        <v>0.98322128964582101</v>
      </c>
      <c r="BM288" s="281">
        <f>$AZ$40+1*(seat_pitch)*($AY$40*n_SA+$AW$5&lt;pax_e)</f>
        <v>26.75</v>
      </c>
      <c r="BN288" s="281">
        <f>$AX$5+seat_w*($AY$40*n_SA+$AW$5&lt;pax_e)</f>
        <v>-1.31</v>
      </c>
      <c r="BO288" s="281">
        <f t="shared" si="115"/>
        <v>8.9395200000000017</v>
      </c>
      <c r="HY288" s="281">
        <f>$HX$20+0.2*(bus_pitch*(n_rows_b&gt;0))*($HW$20*n_SA_b+$HU$6&lt;pax_b)</f>
        <v>6.5</v>
      </c>
      <c r="HZ288" s="281">
        <f>$HV$6+seat_w_b*($HW$20*n_SA_b+$HU$6&lt;pax_b)</f>
        <v>-1.84</v>
      </c>
      <c r="IA288" s="281">
        <f t="shared" si="116"/>
        <v>-11.310479999999998</v>
      </c>
    </row>
    <row r="289" spans="56:235" x14ac:dyDescent="0.25">
      <c r="BD289" s="281">
        <f>T15-L_fus/2</f>
        <v>3.0228533333333161</v>
      </c>
      <c r="BE289" s="281">
        <f>0+U15*-0.5</f>
        <v>-0.99546249999999992</v>
      </c>
      <c r="BF289" s="281">
        <f>V15+U15*0.86603</f>
        <v>1.7242007777499997</v>
      </c>
      <c r="BG289" s="281">
        <f t="shared" si="113"/>
        <v>1.6757690374560799</v>
      </c>
      <c r="BH289" s="281">
        <f t="shared" si="114"/>
        <v>0.4192116691455503</v>
      </c>
      <c r="BM289" s="281">
        <f>$AZ$40+0.8*(seat_pitch)*($AY$40*n_SA+$AW$5&lt;pax_e)</f>
        <v>26.588000000000001</v>
      </c>
      <c r="BN289" s="281">
        <f>$AX$5+seat_w*($AY$40*n_SA+$AW$5&lt;pax_e)</f>
        <v>-1.31</v>
      </c>
      <c r="BO289" s="281">
        <f t="shared" si="115"/>
        <v>8.7775200000000027</v>
      </c>
      <c r="HY289" s="281">
        <f>$HX$20</f>
        <v>6.5</v>
      </c>
      <c r="HZ289" s="281">
        <f>$HV$6+seat_w_b*($HW$20*n_SA_b+$HU$6&lt;pax_b)</f>
        <v>-1.84</v>
      </c>
      <c r="IA289" s="281">
        <f t="shared" si="116"/>
        <v>-11.310479999999998</v>
      </c>
    </row>
    <row r="290" spans="56:235" x14ac:dyDescent="0.25">
      <c r="BD290" s="281">
        <f>T15-L_fus/2</f>
        <v>3.0228533333333161</v>
      </c>
      <c r="BE290" s="281">
        <f>0+U15*-0.86603</f>
        <v>-1.7242007777499997</v>
      </c>
      <c r="BF290" s="281">
        <f>V15+U15*0.5</f>
        <v>0.99546249999999992</v>
      </c>
      <c r="BG290" s="281">
        <f t="shared" si="113"/>
        <v>1.2073451018140722</v>
      </c>
      <c r="BH290" s="281">
        <f t="shared" si="114"/>
        <v>-0.47717442202074711</v>
      </c>
      <c r="BM290" s="281">
        <f>$AZ$40+0.8*(seat_pitch)*($AY$40*n_SA+$AW$5&lt;pax_e)</f>
        <v>26.588000000000001</v>
      </c>
      <c r="BN290" s="281">
        <f>$AX$5</f>
        <v>-1.84</v>
      </c>
      <c r="BO290" s="281">
        <f t="shared" si="115"/>
        <v>8.7775200000000027</v>
      </c>
      <c r="HY290" s="281">
        <f>$HX$20+1*(bus_pitch*(n_rows_b&gt;0))*($HW$20*n_SA_b+$HU$6&lt;pax_b)</f>
        <v>6.5</v>
      </c>
      <c r="HZ290" s="281">
        <f>$HV$6+seat_w_b*($HW$20*n_SA_b+$HU$6&lt;pax_b)</f>
        <v>-1.84</v>
      </c>
      <c r="IA290" s="281">
        <f t="shared" si="116"/>
        <v>-11.310479999999998</v>
      </c>
    </row>
    <row r="291" spans="56:235" x14ac:dyDescent="0.25">
      <c r="BD291" s="281">
        <f>T15-L_fus/2</f>
        <v>3.0228533333333161</v>
      </c>
      <c r="BE291" s="281">
        <f>0+U15*-1</f>
        <v>-1.9909249999999998</v>
      </c>
      <c r="BF291" s="281">
        <f>V15+U15*0</f>
        <v>0</v>
      </c>
      <c r="BG291" s="281">
        <f t="shared" si="113"/>
        <v>1.0358980765484933</v>
      </c>
      <c r="BH291" s="281">
        <f t="shared" si="114"/>
        <v>-1.4657203030277242</v>
      </c>
      <c r="BM291" s="281">
        <f>$AZ$40+0.2*(seat_pitch)*($AY$40*n_SA+$AW$5&lt;pax_e)</f>
        <v>26.102</v>
      </c>
      <c r="BN291" s="281">
        <f>$AX$5</f>
        <v>-1.84</v>
      </c>
      <c r="BO291" s="281">
        <f t="shared" si="115"/>
        <v>8.291520000000002</v>
      </c>
      <c r="HY291" s="281">
        <f>$HX$20+0.8*(bus_pitch*(n_rows_b&gt;0))*($HW$20*n_SA_b+$HU$6&lt;pax_b)</f>
        <v>6.5</v>
      </c>
      <c r="HZ291" s="281">
        <f>$HV$6+seat_w_b*($HW$20*n_SA_b+$HU$6&lt;pax_b)</f>
        <v>-1.84</v>
      </c>
      <c r="IA291" s="281">
        <f t="shared" si="116"/>
        <v>-11.310479999999998</v>
      </c>
    </row>
    <row r="292" spans="56:235" x14ac:dyDescent="0.25">
      <c r="BD292" s="281">
        <f>T15-L_fus/2</f>
        <v>3.0228533333333161</v>
      </c>
      <c r="BE292" s="281">
        <f>0+U15*-0.86603</f>
        <v>-1.7242007777499997</v>
      </c>
      <c r="BF292" s="281">
        <f>V15+U15*-0.5</f>
        <v>-0.99546249999999992</v>
      </c>
      <c r="BG292" s="281">
        <f t="shared" si="113"/>
        <v>1.2073451018140722</v>
      </c>
      <c r="BH292" s="281">
        <f t="shared" si="114"/>
        <v>-2.2815652529266894</v>
      </c>
      <c r="BM292" s="281">
        <f>$AZ$40+(seat_pitch)</f>
        <v>26.75</v>
      </c>
      <c r="BN292" s="281">
        <f>$AX$5</f>
        <v>-1.84</v>
      </c>
      <c r="BO292" s="281">
        <f t="shared" si="115"/>
        <v>8.9395200000000017</v>
      </c>
      <c r="HY292" s="281">
        <f>$HX$20+0.8*(bus_pitch*(n_rows_b&gt;0))*($HW$20*n_SA_b+$HU$6&lt;pax_b)</f>
        <v>6.5</v>
      </c>
      <c r="HZ292" s="281">
        <f>$HV$6</f>
        <v>-1.84</v>
      </c>
      <c r="IA292" s="281">
        <f t="shared" si="116"/>
        <v>-11.310479999999998</v>
      </c>
    </row>
    <row r="293" spans="56:235" x14ac:dyDescent="0.25">
      <c r="BD293" s="281">
        <f>T15-L_fus/2</f>
        <v>3.0228533333333161</v>
      </c>
      <c r="BE293" s="281">
        <f>0+U15*-0.5</f>
        <v>-0.99546249999999992</v>
      </c>
      <c r="BF293" s="281">
        <f>V15+U15*-0.86603</f>
        <v>-1.7242007777499997</v>
      </c>
      <c r="BG293" s="281">
        <f t="shared" si="113"/>
        <v>1.6757690374560799</v>
      </c>
      <c r="BH293" s="281">
        <f t="shared" si="114"/>
        <v>-2.7061015134333957</v>
      </c>
      <c r="BM293" s="281">
        <f>$AZ$41+0.2*(seat_pitch)*($AY$41*n_SA+$AW$5&lt;pax_e)</f>
        <v>26.102</v>
      </c>
      <c r="BN293" s="281">
        <f>$AX$5</f>
        <v>-1.84</v>
      </c>
      <c r="BO293" s="281">
        <f t="shared" si="115"/>
        <v>8.291520000000002</v>
      </c>
      <c r="HY293" s="281">
        <f>$HX$20+0.2*(bus_pitch*(n_rows_b&gt;0))*($HW$20*n_SA_b+$HU$6&lt;pax_b)</f>
        <v>6.5</v>
      </c>
      <c r="HZ293" s="281">
        <f>$HV$6</f>
        <v>-1.84</v>
      </c>
      <c r="IA293" s="281">
        <f t="shared" si="116"/>
        <v>-11.310479999999998</v>
      </c>
    </row>
    <row r="294" spans="56:235" x14ac:dyDescent="0.25">
      <c r="BD294" s="281">
        <f>T15-L_fus/2</f>
        <v>3.0228533333333161</v>
      </c>
      <c r="BE294" s="281">
        <f>0+U15*0</f>
        <v>0</v>
      </c>
      <c r="BF294" s="281">
        <f>V15+U15*-1</f>
        <v>-1.9909249999999998</v>
      </c>
      <c r="BG294" s="281">
        <f t="shared" si="113"/>
        <v>2.3156399983636664</v>
      </c>
      <c r="BH294" s="281">
        <f t="shared" si="114"/>
        <v>-2.6255603721660634</v>
      </c>
      <c r="BM294" s="281">
        <f>$AZ$41+0.2*(seat_pitch)*($AY$41*n_SA+$AW$5&lt;pax_e)</f>
        <v>26.102</v>
      </c>
      <c r="BN294" s="281">
        <f>$AX$5+seat_w*($AY$41*n_SA+$AW$5&lt;pax_e)</f>
        <v>-1.31</v>
      </c>
      <c r="BO294" s="281">
        <f t="shared" si="115"/>
        <v>8.291520000000002</v>
      </c>
      <c r="HY294" s="281">
        <f>$HX$20+(bus_pitch*(n_rows_b&gt;0))</f>
        <v>6.5</v>
      </c>
      <c r="HZ294" s="281">
        <f>$HV$6</f>
        <v>-1.84</v>
      </c>
      <c r="IA294" s="281">
        <f t="shared" si="116"/>
        <v>-11.310479999999998</v>
      </c>
    </row>
    <row r="295" spans="56:235" x14ac:dyDescent="0.25">
      <c r="BD295" s="281">
        <f>T15-L_fus/2</f>
        <v>3.0228533333333161</v>
      </c>
      <c r="BE295" s="281">
        <f>0+U15*0.5</f>
        <v>0.99546249999999992</v>
      </c>
      <c r="BF295" s="281">
        <f>V15+U15*-0.86603</f>
        <v>-1.7242007777499997</v>
      </c>
      <c r="BG295" s="281">
        <f t="shared" si="113"/>
        <v>2.955510959271253</v>
      </c>
      <c r="BH295" s="281">
        <f t="shared" si="114"/>
        <v>-2.0615507516657927</v>
      </c>
      <c r="BM295" s="281">
        <f>$AZ$41</f>
        <v>25.94</v>
      </c>
      <c r="BN295" s="281">
        <f>$AX$5+seat_w*($AY$41*n_SA+$AW$5&lt;pax_e)</f>
        <v>-1.31</v>
      </c>
      <c r="BO295" s="281">
        <f t="shared" si="115"/>
        <v>8.129520000000003</v>
      </c>
      <c r="HY295" s="281">
        <f>$HX$21+0.2*(bus_pitch*(n_rows_b&gt;0))*($HW$21*n_SA_b+$HU$6&lt;pax_b)</f>
        <v>6.5</v>
      </c>
      <c r="HZ295" s="281">
        <f>$HV$6</f>
        <v>-1.84</v>
      </c>
      <c r="IA295" s="281">
        <f t="shared" si="116"/>
        <v>-11.310479999999998</v>
      </c>
    </row>
    <row r="296" spans="56:235" x14ac:dyDescent="0.25">
      <c r="BD296" s="281">
        <f>T15-L_fus/2</f>
        <v>3.0228533333333161</v>
      </c>
      <c r="BE296" s="281">
        <f>0+U15*0.86603</f>
        <v>1.7242007777499997</v>
      </c>
      <c r="BF296" s="281">
        <f>V15+U15*-0.5</f>
        <v>-0.99546249999999992</v>
      </c>
      <c r="BG296" s="281">
        <f t="shared" si="113"/>
        <v>3.4239348949132609</v>
      </c>
      <c r="BH296" s="281">
        <f t="shared" si="114"/>
        <v>-1.1651646604994952</v>
      </c>
      <c r="BM296" s="281">
        <f>$AZ$41+1*(seat_pitch)*($AY$41*n_SA+$AW$5&lt;pax_e)</f>
        <v>26.75</v>
      </c>
      <c r="BN296" s="281">
        <f>$AX$5+seat_w*($AY$41*n_SA+$AW$5&lt;pax_e)</f>
        <v>-1.31</v>
      </c>
      <c r="BO296" s="281">
        <f t="shared" si="115"/>
        <v>8.9395200000000017</v>
      </c>
      <c r="HY296" s="281">
        <f>$HX$21+0.2*(bus_pitch*(n_rows_b&gt;0))*($HW$21*n_SA_b+$HU$6&lt;pax_b)</f>
        <v>6.5</v>
      </c>
      <c r="HZ296" s="281">
        <f>$HV$6+seat_w_b*($HW$21*n_SA_b+$HU$6&lt;pax_b)</f>
        <v>-1.84</v>
      </c>
      <c r="IA296" s="281">
        <f t="shared" si="116"/>
        <v>-11.310479999999998</v>
      </c>
    </row>
    <row r="297" spans="56:235" x14ac:dyDescent="0.25">
      <c r="BD297" s="281">
        <f>T15-L_fus/2</f>
        <v>3.0228533333333161</v>
      </c>
      <c r="BE297" s="281">
        <f>0+U15*1</f>
        <v>1.9909249999999998</v>
      </c>
      <c r="BF297" s="281">
        <f>V15+U15*0</f>
        <v>0</v>
      </c>
      <c r="BG297" s="281">
        <f t="shared" si="113"/>
        <v>3.5953819201788395</v>
      </c>
      <c r="BH297" s="281">
        <f t="shared" si="114"/>
        <v>-0.17661877949251817</v>
      </c>
      <c r="BM297" s="281">
        <f>$AZ$41+0.8*(seat_pitch)*($AY$41*n_SA+$AW$5&lt;pax_e)</f>
        <v>26.588000000000001</v>
      </c>
      <c r="BN297" s="281">
        <f>$AX$5+seat_w*($AY$41*n_SA+$AW$5&lt;pax_e)</f>
        <v>-1.31</v>
      </c>
      <c r="BO297" s="281">
        <f t="shared" si="115"/>
        <v>8.7775200000000027</v>
      </c>
      <c r="HY297" s="281">
        <f>$HX$21</f>
        <v>6.5</v>
      </c>
      <c r="HZ297" s="281">
        <f>$HV$6+seat_w_b*($HW$21*n_SA_b+$HU$6&lt;pax_b)</f>
        <v>-1.84</v>
      </c>
      <c r="IA297" s="281">
        <f t="shared" si="116"/>
        <v>-11.310479999999998</v>
      </c>
    </row>
    <row r="298" spans="56:235" x14ac:dyDescent="0.25">
      <c r="BD298" s="281">
        <f>T16-L_fus/2</f>
        <v>11.439519999999998</v>
      </c>
      <c r="BE298" s="281">
        <f>0+U16*1</f>
        <v>1.9909249999999998</v>
      </c>
      <c r="BF298" s="281">
        <f>V16+U16*0</f>
        <v>0</v>
      </c>
      <c r="BG298" s="281">
        <f t="shared" si="113"/>
        <v>10.042922649763582</v>
      </c>
      <c r="BH298" s="281">
        <f t="shared" si="114"/>
        <v>-2.4630381136335746</v>
      </c>
      <c r="BM298" s="281">
        <f>$AZ$41+0.8*(seat_pitch)*($AY$41*n_SA+$AW$5&lt;pax_e)</f>
        <v>26.588000000000001</v>
      </c>
      <c r="BN298" s="281">
        <f>$AX$5</f>
        <v>-1.84</v>
      </c>
      <c r="BO298" s="281">
        <f t="shared" si="115"/>
        <v>8.7775200000000027</v>
      </c>
      <c r="HY298" s="281">
        <f>$HX$21+1*(bus_pitch*(n_rows_b&gt;0))*($HW$21*n_SA_b+$HU$6&lt;pax_b)</f>
        <v>6.5</v>
      </c>
      <c r="HZ298" s="281">
        <f>$HV$6+seat_w_b*($HW$21*n_SA_b+$HU$6&lt;pax_b)</f>
        <v>-1.84</v>
      </c>
      <c r="IA298" s="281">
        <f t="shared" si="116"/>
        <v>-11.310479999999998</v>
      </c>
    </row>
    <row r="299" spans="56:235" x14ac:dyDescent="0.25">
      <c r="BD299" s="281">
        <f>T16-L_fus/2</f>
        <v>11.439519999999998</v>
      </c>
      <c r="BE299" s="281">
        <f>0+U16*0.86603</f>
        <v>1.7242007777499997</v>
      </c>
      <c r="BF299" s="281">
        <f>V16+U16*0.5</f>
        <v>0.99546249999999992</v>
      </c>
      <c r="BG299" s="281">
        <f t="shared" si="113"/>
        <v>9.8714756244980038</v>
      </c>
      <c r="BH299" s="281">
        <f t="shared" si="114"/>
        <v>-1.6471931637346091</v>
      </c>
      <c r="BM299" s="281">
        <f>$AZ$41+0.2*(seat_pitch)*($AY$41*n_SA+$AW$5&lt;pax_e)</f>
        <v>26.102</v>
      </c>
      <c r="BN299" s="281">
        <f>$AX$5</f>
        <v>-1.84</v>
      </c>
      <c r="BO299" s="281">
        <f t="shared" si="115"/>
        <v>8.291520000000002</v>
      </c>
      <c r="HY299" s="281">
        <f>$HX$21+0.8*(bus_pitch*(n_rows_b&gt;0))*($HW$21*n_SA_b+$HU$6&lt;pax_b)</f>
        <v>6.5</v>
      </c>
      <c r="HZ299" s="281">
        <f>$HV$6+seat_w_b*($HW$21*n_SA_b+$HU$6&lt;pax_b)</f>
        <v>-1.84</v>
      </c>
      <c r="IA299" s="281">
        <f t="shared" si="116"/>
        <v>-11.310479999999998</v>
      </c>
    </row>
    <row r="300" spans="56:235" x14ac:dyDescent="0.25">
      <c r="BD300" s="281">
        <f>T16-L_fus/2</f>
        <v>11.439519999999998</v>
      </c>
      <c r="BE300" s="281">
        <f>0+U16*0.5</f>
        <v>0.99546249999999992</v>
      </c>
      <c r="BF300" s="281">
        <f>V16+U16*0.86603</f>
        <v>1.7242007777499997</v>
      </c>
      <c r="BG300" s="281">
        <f t="shared" si="113"/>
        <v>9.4030516888559958</v>
      </c>
      <c r="BH300" s="281">
        <f t="shared" si="114"/>
        <v>-1.2226569032279029</v>
      </c>
      <c r="BM300" s="281">
        <f>$AZ$41+(seat_pitch)</f>
        <v>26.75</v>
      </c>
      <c r="BN300" s="281">
        <f>$AX$5</f>
        <v>-1.84</v>
      </c>
      <c r="BO300" s="281">
        <f t="shared" si="115"/>
        <v>8.9395200000000017</v>
      </c>
      <c r="HY300" s="281">
        <f>$HX$21+0.8*(bus_pitch*(n_rows_b&gt;0))*($HW$21*n_SA_b+$HU$6&lt;pax_b)</f>
        <v>6.5</v>
      </c>
      <c r="HZ300" s="281">
        <f>$HV$6</f>
        <v>-1.84</v>
      </c>
      <c r="IA300" s="281">
        <f t="shared" si="116"/>
        <v>-11.310479999999998</v>
      </c>
    </row>
    <row r="301" spans="56:235" x14ac:dyDescent="0.25">
      <c r="BD301" s="281">
        <f>T16-L_fus/2</f>
        <v>11.439519999999998</v>
      </c>
      <c r="BE301" s="281">
        <f>0+U16*0</f>
        <v>0</v>
      </c>
      <c r="BF301" s="281">
        <f>V16+U16*1</f>
        <v>1.9909249999999998</v>
      </c>
      <c r="BG301" s="281">
        <f t="shared" si="113"/>
        <v>8.7631807279484093</v>
      </c>
      <c r="BH301" s="281">
        <f t="shared" si="114"/>
        <v>-1.3031980444952349</v>
      </c>
      <c r="BM301" s="281">
        <f>$AZ$42+0.2*(seat_pitch)*($AY$42*n_SA+$AW$5&lt;pax_e)</f>
        <v>26.102</v>
      </c>
      <c r="BN301" s="281">
        <f>$AX$5</f>
        <v>-1.84</v>
      </c>
      <c r="BO301" s="281">
        <f t="shared" si="115"/>
        <v>8.291520000000002</v>
      </c>
      <c r="HY301" s="281">
        <f>$HX$21+0.2*(bus_pitch*(n_rows_b&gt;0))*($HW$21*n_SA_b+$HU$6&lt;pax_b)</f>
        <v>6.5</v>
      </c>
      <c r="HZ301" s="281">
        <f>$HV$6</f>
        <v>-1.84</v>
      </c>
      <c r="IA301" s="281">
        <f t="shared" si="116"/>
        <v>-11.310479999999998</v>
      </c>
    </row>
    <row r="302" spans="56:235" x14ac:dyDescent="0.25">
      <c r="BD302" s="281">
        <f>T16-L_fus/2</f>
        <v>11.439519999999998</v>
      </c>
      <c r="BE302" s="281">
        <f>0+U16*-0.5</f>
        <v>-0.99546249999999992</v>
      </c>
      <c r="BF302" s="281">
        <f>V16+U16*0.86603</f>
        <v>1.7242007777499997</v>
      </c>
      <c r="BG302" s="281">
        <f t="shared" si="113"/>
        <v>8.1233097670408227</v>
      </c>
      <c r="BH302" s="281">
        <f t="shared" si="114"/>
        <v>-1.8672076649955058</v>
      </c>
      <c r="BM302" s="281">
        <f>$AZ$42+0.2*(seat_pitch)*($AY$42*n_SA+$AW$5&lt;pax_e)</f>
        <v>26.102</v>
      </c>
      <c r="BN302" s="281">
        <f>$AX$5+seat_w*($AY$42*n_SA+$AW$5&lt;pax_e)</f>
        <v>-1.31</v>
      </c>
      <c r="BO302" s="281">
        <f t="shared" si="115"/>
        <v>8.291520000000002</v>
      </c>
      <c r="HY302" s="281">
        <f>$HX$21+(bus_pitch*(n_rows_b&gt;0))</f>
        <v>6.5</v>
      </c>
      <c r="HZ302" s="281">
        <f>$HV$6</f>
        <v>-1.84</v>
      </c>
      <c r="IA302" s="281">
        <f t="shared" si="116"/>
        <v>-11.310479999999998</v>
      </c>
    </row>
    <row r="303" spans="56:235" x14ac:dyDescent="0.25">
      <c r="BD303" s="281">
        <f>T16-L_fus/2</f>
        <v>11.439519999999998</v>
      </c>
      <c r="BE303" s="281">
        <f>0+U16*-0.86603</f>
        <v>-1.7242007777499997</v>
      </c>
      <c r="BF303" s="281">
        <f>V16+U16*0.5</f>
        <v>0.99546249999999992</v>
      </c>
      <c r="BG303" s="281">
        <f t="shared" si="113"/>
        <v>7.6548858313988148</v>
      </c>
      <c r="BH303" s="281">
        <f t="shared" si="114"/>
        <v>-2.7635937561618031</v>
      </c>
      <c r="BM303" s="281">
        <f>$AZ$42</f>
        <v>25.94</v>
      </c>
      <c r="BN303" s="281">
        <f>$AX$5+seat_w*($AY$42*n_SA+$AW$5&lt;pax_e)</f>
        <v>-1.31</v>
      </c>
      <c r="BO303" s="281">
        <f t="shared" si="115"/>
        <v>8.129520000000003</v>
      </c>
      <c r="HY303" s="281">
        <f>$HX$22+0.2*(bus_pitch*(n_rows_b&gt;0))*($HW$22*n_SA_b+$HU$6&lt;pax_b)</f>
        <v>6.5</v>
      </c>
      <c r="HZ303" s="281">
        <f>$HV$6</f>
        <v>-1.84</v>
      </c>
      <c r="IA303" s="281">
        <f t="shared" si="116"/>
        <v>-11.310479999999998</v>
      </c>
    </row>
    <row r="304" spans="56:235" x14ac:dyDescent="0.25">
      <c r="BD304" s="281">
        <f>T16-L_fus/2</f>
        <v>11.439519999999998</v>
      </c>
      <c r="BE304" s="281">
        <f>0+U16*-1</f>
        <v>-1.9909249999999998</v>
      </c>
      <c r="BF304" s="281">
        <f>V16+U16*0</f>
        <v>0</v>
      </c>
      <c r="BG304" s="281">
        <f t="shared" si="113"/>
        <v>7.4834388061332362</v>
      </c>
      <c r="BH304" s="281">
        <f t="shared" si="114"/>
        <v>-3.7521396371687801</v>
      </c>
      <c r="BM304" s="281">
        <f>$AZ$42+1*(seat_pitch)*($AY$42*n_SA+$AW$5&lt;pax_e)</f>
        <v>26.75</v>
      </c>
      <c r="BN304" s="281">
        <f>$AX$5+seat_w*($AY$42*n_SA+$AW$5&lt;pax_e)</f>
        <v>-1.31</v>
      </c>
      <c r="BO304" s="281">
        <f t="shared" si="115"/>
        <v>8.9395200000000017</v>
      </c>
      <c r="HY304" s="281">
        <f>$HX$22+0.2*(bus_pitch*(n_rows_b&gt;0))*($HW$22*n_SA_b+$HU$6&lt;pax_b)</f>
        <v>6.5</v>
      </c>
      <c r="HZ304" s="281">
        <f>$HV$6+seat_w_b*($HW$22*n_SA_b+$HU$6&lt;pax_b)</f>
        <v>-1.84</v>
      </c>
      <c r="IA304" s="281">
        <f t="shared" si="116"/>
        <v>-11.310479999999998</v>
      </c>
    </row>
    <row r="305" spans="56:235" x14ac:dyDescent="0.25">
      <c r="BD305" s="281">
        <f>T16-L_fus/2</f>
        <v>11.439519999999998</v>
      </c>
      <c r="BE305" s="281">
        <f>0+U16*-0.86603</f>
        <v>-1.7242007777499997</v>
      </c>
      <c r="BF305" s="281">
        <f>V16+U16*-0.5</f>
        <v>-0.99546249999999992</v>
      </c>
      <c r="BG305" s="281">
        <f t="shared" si="113"/>
        <v>7.6548858313988148</v>
      </c>
      <c r="BH305" s="281">
        <f t="shared" si="114"/>
        <v>-4.5679845870677456</v>
      </c>
      <c r="BM305" s="281">
        <f>$AZ$42+0.8*(seat_pitch)*($AY$42*n_SA+$AW$5&lt;pax_e)</f>
        <v>26.588000000000001</v>
      </c>
      <c r="BN305" s="281">
        <f>$AX$5+seat_w*($AY$42*n_SA+$AW$5&lt;pax_e)</f>
        <v>-1.31</v>
      </c>
      <c r="BO305" s="281">
        <f t="shared" si="115"/>
        <v>8.7775200000000027</v>
      </c>
      <c r="HY305" s="281">
        <f>$HX$22</f>
        <v>6.5</v>
      </c>
      <c r="HZ305" s="281">
        <f>$HV$6+seat_w_b*($HW$22*n_SA_b+$HU$6&lt;pax_b)</f>
        <v>-1.84</v>
      </c>
      <c r="IA305" s="281">
        <f t="shared" si="116"/>
        <v>-11.310479999999998</v>
      </c>
    </row>
    <row r="306" spans="56:235" x14ac:dyDescent="0.25">
      <c r="BD306" s="281">
        <f>T16-L_fus/2</f>
        <v>11.439519999999998</v>
      </c>
      <c r="BE306" s="281">
        <f>0+U16*-0.5</f>
        <v>-0.99546249999999992</v>
      </c>
      <c r="BF306" s="281">
        <f>V16+U16*-0.86603</f>
        <v>-1.7242007777499997</v>
      </c>
      <c r="BG306" s="281">
        <f t="shared" si="113"/>
        <v>8.1233097670408227</v>
      </c>
      <c r="BH306" s="281">
        <f t="shared" si="114"/>
        <v>-4.9925208475744522</v>
      </c>
      <c r="BM306" s="281">
        <f>$AZ$42+0.8*(seat_pitch)*($AY$42*n_SA+$AW$5&lt;pax_e)</f>
        <v>26.588000000000001</v>
      </c>
      <c r="BN306" s="281">
        <f>$AX$5</f>
        <v>-1.84</v>
      </c>
      <c r="BO306" s="281">
        <f t="shared" si="115"/>
        <v>8.7775200000000027</v>
      </c>
      <c r="HY306" s="281">
        <f>$HX$22+1*(bus_pitch*(n_rows_b&gt;0))*($HW$22*n_SA_b+$HU$6&lt;pax_b)</f>
        <v>6.5</v>
      </c>
      <c r="HZ306" s="281">
        <f>$HV$6+seat_w_b*($HW$22*n_SA_b+$HU$6&lt;pax_b)</f>
        <v>-1.84</v>
      </c>
      <c r="IA306" s="281">
        <f t="shared" si="116"/>
        <v>-11.310479999999998</v>
      </c>
    </row>
    <row r="307" spans="56:235" x14ac:dyDescent="0.25">
      <c r="BD307" s="281">
        <f>T16-L_fus/2</f>
        <v>11.439519999999998</v>
      </c>
      <c r="BE307" s="281">
        <f>0+U16*0</f>
        <v>0</v>
      </c>
      <c r="BF307" s="281">
        <f>V16+U16*-1</f>
        <v>-1.9909249999999998</v>
      </c>
      <c r="BG307" s="281">
        <f t="shared" si="113"/>
        <v>8.7631807279484093</v>
      </c>
      <c r="BH307" s="281">
        <f t="shared" si="114"/>
        <v>-4.9119797063071191</v>
      </c>
      <c r="BM307" s="281">
        <f>$AZ$42+0.2*(seat_pitch)*($AY$42*n_SA+$AW$5&lt;pax_e)</f>
        <v>26.102</v>
      </c>
      <c r="BN307" s="281">
        <f>$AX$5</f>
        <v>-1.84</v>
      </c>
      <c r="BO307" s="281">
        <f t="shared" si="115"/>
        <v>8.291520000000002</v>
      </c>
      <c r="HY307" s="281">
        <f>$HX$22+0.8*(bus_pitch*(n_rows_b&gt;0))*($HW$22*n_SA_b+$HU$6&lt;pax_b)</f>
        <v>6.5</v>
      </c>
      <c r="HZ307" s="281">
        <f>$HV$6+seat_w_b*($HW$22*n_SA_b+$HU$6&lt;pax_b)</f>
        <v>-1.84</v>
      </c>
      <c r="IA307" s="281">
        <f t="shared" si="116"/>
        <v>-11.310479999999998</v>
      </c>
    </row>
    <row r="308" spans="56:235" x14ac:dyDescent="0.25">
      <c r="BD308" s="281">
        <f>T16-L_fus/2</f>
        <v>11.439519999999998</v>
      </c>
      <c r="BE308" s="281">
        <f>0+U16*0.5</f>
        <v>0.99546249999999992</v>
      </c>
      <c r="BF308" s="281">
        <f>V16+U16*-0.86603</f>
        <v>-1.7242007777499997</v>
      </c>
      <c r="BG308" s="281">
        <f t="shared" si="113"/>
        <v>9.4030516888559958</v>
      </c>
      <c r="BH308" s="281">
        <f t="shared" si="114"/>
        <v>-4.3479700858068489</v>
      </c>
      <c r="BM308" s="281">
        <f>$AZ$42+(seat_pitch)</f>
        <v>26.75</v>
      </c>
      <c r="BN308" s="281">
        <f>$AX$5</f>
        <v>-1.84</v>
      </c>
      <c r="BO308" s="281">
        <f t="shared" si="115"/>
        <v>8.9395200000000017</v>
      </c>
      <c r="HY308" s="281">
        <f>$HX$22+0.8*(bus_pitch*(n_rows_b&gt;0))*($HW$22*n_SA_b+$HU$6&lt;pax_b)</f>
        <v>6.5</v>
      </c>
      <c r="HZ308" s="281">
        <f>$HV$6</f>
        <v>-1.84</v>
      </c>
      <c r="IA308" s="281">
        <f t="shared" si="116"/>
        <v>-11.310479999999998</v>
      </c>
    </row>
    <row r="309" spans="56:235" x14ac:dyDescent="0.25">
      <c r="BD309" s="281">
        <f>T16-L_fus/2</f>
        <v>11.439519999999998</v>
      </c>
      <c r="BE309" s="281">
        <f>0+U16*0.86603</f>
        <v>1.7242007777499997</v>
      </c>
      <c r="BF309" s="281">
        <f>V16+U16*-0.5</f>
        <v>-0.99546249999999992</v>
      </c>
      <c r="BG309" s="281">
        <f t="shared" si="113"/>
        <v>9.8714756244980038</v>
      </c>
      <c r="BH309" s="281">
        <f t="shared" si="114"/>
        <v>-3.4515839946405511</v>
      </c>
      <c r="BM309" s="281">
        <f>$AZ$43+0.2*(seat_pitch)*($AY$43*n_SA+$AW$5&lt;pax_e)</f>
        <v>26.102</v>
      </c>
      <c r="BN309" s="281">
        <f>$AX$5</f>
        <v>-1.84</v>
      </c>
      <c r="BO309" s="281">
        <f t="shared" si="115"/>
        <v>8.291520000000002</v>
      </c>
      <c r="HY309" s="281">
        <f>$HX$22+0.2*(bus_pitch*(n_rows_b&gt;0))*($HW$22*n_SA_b+$HU$6&lt;pax_b)</f>
        <v>6.5</v>
      </c>
      <c r="HZ309" s="281">
        <f>$HV$6</f>
        <v>-1.84</v>
      </c>
      <c r="IA309" s="281">
        <f t="shared" si="116"/>
        <v>-11.310479999999998</v>
      </c>
    </row>
    <row r="310" spans="56:235" x14ac:dyDescent="0.25">
      <c r="BD310" s="281">
        <f>T16-L_fus/2</f>
        <v>11.439519999999998</v>
      </c>
      <c r="BE310" s="281">
        <f>0+U16*1</f>
        <v>1.9909249999999998</v>
      </c>
      <c r="BF310" s="281">
        <f>V16+U16*0</f>
        <v>0</v>
      </c>
      <c r="BG310" s="281">
        <f t="shared" si="113"/>
        <v>10.042922649763582</v>
      </c>
      <c r="BH310" s="281">
        <f t="shared" si="114"/>
        <v>-2.4630381136335746</v>
      </c>
      <c r="BM310" s="281">
        <f>$AZ$43+0.2*(seat_pitch)*($AY$43*n_SA+$AW$5&lt;pax_e)</f>
        <v>26.102</v>
      </c>
      <c r="BN310" s="281">
        <f>$AX$5+seat_w*($AY$43*n_SA+$AW$5&lt;pax_e)</f>
        <v>-1.31</v>
      </c>
      <c r="BO310" s="281">
        <f t="shared" si="115"/>
        <v>8.291520000000002</v>
      </c>
      <c r="HY310" s="281">
        <f>$HX$22+(bus_pitch*(n_rows_b&gt;0))</f>
        <v>6.5</v>
      </c>
      <c r="HZ310" s="281">
        <f>$HV$6</f>
        <v>-1.84</v>
      </c>
      <c r="IA310" s="281">
        <f t="shared" si="116"/>
        <v>-11.310479999999998</v>
      </c>
    </row>
    <row r="311" spans="56:235" x14ac:dyDescent="0.25">
      <c r="BD311" s="281">
        <f>T18-L_fus/2</f>
        <v>13.350807999999997</v>
      </c>
      <c r="BE311" s="281">
        <f>0+U18*1</f>
        <v>1.6246601825521971</v>
      </c>
      <c r="BF311" s="281">
        <f>V18+U18*0</f>
        <v>0.27469861308585203</v>
      </c>
      <c r="BG311" s="281">
        <f t="shared" si="113"/>
        <v>11.271623714844019</v>
      </c>
      <c r="BH311" s="281">
        <f t="shared" si="114"/>
        <v>-2.8518614086529657</v>
      </c>
      <c r="BM311" s="281">
        <f>$AZ$43</f>
        <v>25.94</v>
      </c>
      <c r="BN311" s="281">
        <f>$AX$5+seat_w*($AY$43*n_SA+$AW$5&lt;pax_e)</f>
        <v>-1.31</v>
      </c>
      <c r="BO311" s="281">
        <f t="shared" si="115"/>
        <v>8.129520000000003</v>
      </c>
      <c r="HY311" s="281">
        <f>$HX$23+0.2*(bus_pitch*(n_rows_b&gt;0))*($HW$23*n_SA_b+$HU$6&lt;pax_b)</f>
        <v>6.5</v>
      </c>
      <c r="HZ311" s="281">
        <f>$HV$6</f>
        <v>-1.84</v>
      </c>
      <c r="IA311" s="281">
        <f t="shared" si="116"/>
        <v>-11.310479999999998</v>
      </c>
    </row>
    <row r="312" spans="56:235" x14ac:dyDescent="0.25">
      <c r="BD312" s="281">
        <f>T18-L_fus/2</f>
        <v>13.350807999999997</v>
      </c>
      <c r="BE312" s="281">
        <f>0+U18*0.86603</f>
        <v>1.4070044578956793</v>
      </c>
      <c r="BF312" s="281">
        <f>V18+U18*0.5</f>
        <v>1.0870287043619506</v>
      </c>
      <c r="BG312" s="281">
        <f t="shared" si="113"/>
        <v>11.131717311857463</v>
      </c>
      <c r="BH312" s="281">
        <f t="shared" si="114"/>
        <v>-2.1861051369515496</v>
      </c>
      <c r="BM312" s="281">
        <f>$AZ$43+1*(seat_pitch)*($AY$43*n_SA+$AW$5&lt;pax_e)</f>
        <v>26.75</v>
      </c>
      <c r="BN312" s="281">
        <f>$AX$5+seat_w*($AY$43*n_SA+$AW$5&lt;pax_e)</f>
        <v>-1.31</v>
      </c>
      <c r="BO312" s="281">
        <f t="shared" si="115"/>
        <v>8.9395200000000017</v>
      </c>
      <c r="HY312" s="281">
        <f>$HX$23+0.2*(bus_pitch*(n_rows_b&gt;0))*($HW$23*n_SA_b+$HU$6&lt;pax_b)</f>
        <v>6.5</v>
      </c>
      <c r="HZ312" s="281">
        <f>$HV$6+seat_w_b*($HW$23*n_SA_b+$HU$6&lt;pax_b)</f>
        <v>-1.84</v>
      </c>
      <c r="IA312" s="281">
        <f t="shared" si="116"/>
        <v>-11.310479999999998</v>
      </c>
    </row>
    <row r="313" spans="56:235" x14ac:dyDescent="0.25">
      <c r="BD313" s="281">
        <f>T18-L_fus/2</f>
        <v>13.350807999999997</v>
      </c>
      <c r="BE313" s="281">
        <f>0+U18*0.5</f>
        <v>0.81233009127609856</v>
      </c>
      <c r="BF313" s="281">
        <f>V18+U18*0.86603</f>
        <v>1.6817030709815313</v>
      </c>
      <c r="BG313" s="281">
        <f t="shared" si="113"/>
        <v>10.749467997196206</v>
      </c>
      <c r="BH313" s="281">
        <f t="shared" si="114"/>
        <v>-1.8396696064846296</v>
      </c>
      <c r="BM313" s="281">
        <f>$AZ$43+0.8*(seat_pitch)*($AY$43*n_SA+$AW$5&lt;pax_e)</f>
        <v>26.588000000000001</v>
      </c>
      <c r="BN313" s="281">
        <f>$AX$5+seat_w*($AY$43*n_SA+$AW$5&lt;pax_e)</f>
        <v>-1.31</v>
      </c>
      <c r="BO313" s="281">
        <f t="shared" si="115"/>
        <v>8.7775200000000027</v>
      </c>
      <c r="HY313" s="281">
        <f>$HX$23</f>
        <v>6.5</v>
      </c>
      <c r="HZ313" s="281">
        <f>$HV$6+seat_w_b*($HW$23*n_SA_b+$HU$6&lt;pax_b)</f>
        <v>-1.84</v>
      </c>
      <c r="IA313" s="281">
        <f t="shared" si="116"/>
        <v>-11.310479999999998</v>
      </c>
    </row>
    <row r="314" spans="56:235" x14ac:dyDescent="0.25">
      <c r="BD314" s="281">
        <f>T18-L_fus/2</f>
        <v>13.350807999999997</v>
      </c>
      <c r="BE314" s="281">
        <f>0+U18*0</f>
        <v>0</v>
      </c>
      <c r="BF314" s="281">
        <f>V18+U18*1</f>
        <v>1.8993587956380491</v>
      </c>
      <c r="BG314" s="281">
        <f t="shared" si="113"/>
        <v>10.227312279548395</v>
      </c>
      <c r="BH314" s="281">
        <f t="shared" si="114"/>
        <v>-1.9053938227531215</v>
      </c>
      <c r="BM314" s="281">
        <f>$AZ$43+0.8*(seat_pitch)*($AY$43*n_SA+$AW$5&lt;pax_e)</f>
        <v>26.588000000000001</v>
      </c>
      <c r="BN314" s="281">
        <f>$AX$5</f>
        <v>-1.84</v>
      </c>
      <c r="BO314" s="281">
        <f t="shared" si="115"/>
        <v>8.7775200000000027</v>
      </c>
      <c r="HY314" s="281">
        <f>$HX$23+1*(bus_pitch*(n_rows_b&gt;0))*($HW$23*n_SA_b+$HU$6&lt;pax_b)</f>
        <v>6.5</v>
      </c>
      <c r="HZ314" s="281">
        <f>$HV$6+seat_w_b*($HW$23*n_SA_b+$HU$6&lt;pax_b)</f>
        <v>-1.84</v>
      </c>
      <c r="IA314" s="281">
        <f t="shared" si="116"/>
        <v>-11.310479999999998</v>
      </c>
    </row>
    <row r="315" spans="56:235" x14ac:dyDescent="0.25">
      <c r="BD315" s="281">
        <f>T18-L_fus/2</f>
        <v>13.350807999999997</v>
      </c>
      <c r="BE315" s="281">
        <f>0+U18*-0.5</f>
        <v>-0.81233009127609856</v>
      </c>
      <c r="BF315" s="281">
        <f>V18+U18*0.86603</f>
        <v>1.6817030709815313</v>
      </c>
      <c r="BG315" s="281">
        <f t="shared" si="113"/>
        <v>9.7051565619005835</v>
      </c>
      <c r="BH315" s="281">
        <f t="shared" si="114"/>
        <v>-2.3656441953202272</v>
      </c>
      <c r="BM315" s="281">
        <f>$AZ$43+0.2*(seat_pitch)*($AY$43*n_SA+$AW$5&lt;pax_e)</f>
        <v>26.102</v>
      </c>
      <c r="BN315" s="281">
        <f>$AX$5</f>
        <v>-1.84</v>
      </c>
      <c r="BO315" s="281">
        <f t="shared" si="115"/>
        <v>8.291520000000002</v>
      </c>
      <c r="HY315" s="281">
        <f>$HX$23+0.8*(bus_pitch*(n_rows_b&gt;0))*($HW$23*n_SA_b+$HU$6&lt;pax_b)</f>
        <v>6.5</v>
      </c>
      <c r="HZ315" s="281">
        <f>$HV$6+seat_w_b*($HW$23*n_SA_b+$HU$6&lt;pax_b)</f>
        <v>-1.84</v>
      </c>
      <c r="IA315" s="281">
        <f t="shared" si="116"/>
        <v>-11.310479999999998</v>
      </c>
    </row>
    <row r="316" spans="56:235" x14ac:dyDescent="0.25">
      <c r="BD316" s="281">
        <f>T18-L_fus/2</f>
        <v>13.350807999999997</v>
      </c>
      <c r="BE316" s="281">
        <f>0+U18*-0.86603</f>
        <v>-1.4070044578956793</v>
      </c>
      <c r="BF316" s="281">
        <f>V18+U18*0.5</f>
        <v>1.0870287043619506</v>
      </c>
      <c r="BG316" s="281">
        <f t="shared" si="113"/>
        <v>9.3229072472393266</v>
      </c>
      <c r="BH316" s="281">
        <f t="shared" si="114"/>
        <v>-3.0971246832901347</v>
      </c>
      <c r="BM316" s="281">
        <f>$AZ$43+(seat_pitch)</f>
        <v>26.75</v>
      </c>
      <c r="BN316" s="281">
        <f>$AX$5</f>
        <v>-1.84</v>
      </c>
      <c r="BO316" s="281">
        <f t="shared" si="115"/>
        <v>8.9395200000000017</v>
      </c>
      <c r="HY316" s="281">
        <f>$HX$23+0.8*(bus_pitch*(n_rows_b&gt;0))*($HW$23*n_SA_b+$HU$6&lt;pax_b)</f>
        <v>6.5</v>
      </c>
      <c r="HZ316" s="281">
        <f>$HV$6</f>
        <v>-1.84</v>
      </c>
      <c r="IA316" s="281">
        <f t="shared" si="116"/>
        <v>-11.310479999999998</v>
      </c>
    </row>
    <row r="317" spans="56:235" x14ac:dyDescent="0.25">
      <c r="BD317" s="281">
        <f>T18-L_fus/2</f>
        <v>13.350807999999997</v>
      </c>
      <c r="BE317" s="281">
        <f>0+U18*-1</f>
        <v>-1.6246601825521971</v>
      </c>
      <c r="BF317" s="281">
        <f>V18+U18*0</f>
        <v>0.27469861308585203</v>
      </c>
      <c r="BG317" s="281">
        <f t="shared" si="113"/>
        <v>9.1830008442527706</v>
      </c>
      <c r="BH317" s="281">
        <f t="shared" si="114"/>
        <v>-3.9038105863241603</v>
      </c>
      <c r="BM317" s="281">
        <f>$AZ$44+0.2*(seat_pitch)*($AY$44*n_SA+$AW$5&lt;pax_e)</f>
        <v>26.102</v>
      </c>
      <c r="BN317" s="281">
        <f>$AX$5</f>
        <v>-1.84</v>
      </c>
      <c r="BO317" s="281">
        <f t="shared" si="115"/>
        <v>8.291520000000002</v>
      </c>
      <c r="HY317" s="281">
        <f>$HX$23+0.2*(bus_pitch*(n_rows_b&gt;0))*($HW$23*n_SA_b+$HU$6&lt;pax_b)</f>
        <v>6.5</v>
      </c>
      <c r="HZ317" s="281">
        <f>$HV$6</f>
        <v>-1.84</v>
      </c>
      <c r="IA317" s="281">
        <f t="shared" si="116"/>
        <v>-11.310479999999998</v>
      </c>
    </row>
    <row r="318" spans="56:235" x14ac:dyDescent="0.25">
      <c r="BD318" s="281">
        <f>T18-L_fus/2</f>
        <v>13.350807999999997</v>
      </c>
      <c r="BE318" s="281">
        <f>0+U18*-0.86603</f>
        <v>-1.4070044578956793</v>
      </c>
      <c r="BF318" s="281">
        <f>V18+U18*-0.5</f>
        <v>-0.53763147819024648</v>
      </c>
      <c r="BG318" s="281">
        <f t="shared" si="113"/>
        <v>9.3229072472393266</v>
      </c>
      <c r="BH318" s="281">
        <f t="shared" si="114"/>
        <v>-4.5695668580255759</v>
      </c>
      <c r="BM318" s="281">
        <f>$AZ$44+0.2*(seat_pitch)*($AY$44*n_SA+$AW$5&lt;pax_e)</f>
        <v>26.102</v>
      </c>
      <c r="BN318" s="281">
        <f>$AX$5+seat_w*($AY$44*n_SA+$AW$5&lt;pax_e)</f>
        <v>-1.31</v>
      </c>
      <c r="BO318" s="281">
        <f t="shared" si="115"/>
        <v>8.291520000000002</v>
      </c>
      <c r="HY318" s="281">
        <f>$HX$23+(bus_pitch*(n_rows_b&gt;0))</f>
        <v>6.5</v>
      </c>
      <c r="HZ318" s="281">
        <f>$HV$6</f>
        <v>-1.84</v>
      </c>
      <c r="IA318" s="281">
        <f t="shared" si="116"/>
        <v>-11.310479999999998</v>
      </c>
    </row>
    <row r="319" spans="56:235" x14ac:dyDescent="0.25">
      <c r="BD319" s="281">
        <f>T18-L_fus/2</f>
        <v>13.350807999999997</v>
      </c>
      <c r="BE319" s="281">
        <f>0+U18*-0.5</f>
        <v>-0.81233009127609856</v>
      </c>
      <c r="BF319" s="281">
        <f>V18+U18*-0.86603</f>
        <v>-1.1323058448098273</v>
      </c>
      <c r="BG319" s="281">
        <f t="shared" si="113"/>
        <v>9.7051565619005835</v>
      </c>
      <c r="BH319" s="281">
        <f t="shared" si="114"/>
        <v>-4.9160023884924957</v>
      </c>
      <c r="BM319" s="281">
        <f>$AZ$44</f>
        <v>25.94</v>
      </c>
      <c r="BN319" s="281">
        <f>$AX$5+seat_w*($AY$44*n_SA+$AW$5&lt;pax_e)</f>
        <v>-1.31</v>
      </c>
      <c r="BO319" s="281">
        <f t="shared" si="115"/>
        <v>8.129520000000003</v>
      </c>
      <c r="HY319" s="281">
        <f>$HX$24+0.2*(bus_pitch*(n_rows_b&gt;0))*($HW$24*n_SA_b+$HU$6&lt;pax_b)</f>
        <v>6.5</v>
      </c>
      <c r="HZ319" s="281">
        <f>$HV$6</f>
        <v>-1.84</v>
      </c>
      <c r="IA319" s="281">
        <f t="shared" si="116"/>
        <v>-11.310479999999998</v>
      </c>
    </row>
    <row r="320" spans="56:235" x14ac:dyDescent="0.25">
      <c r="BD320" s="281">
        <f>T18-L_fus/2</f>
        <v>13.350807999999997</v>
      </c>
      <c r="BE320" s="281">
        <f>0+U18*0</f>
        <v>0</v>
      </c>
      <c r="BF320" s="281">
        <f>V18+U18*-1</f>
        <v>-1.3499615694663452</v>
      </c>
      <c r="BG320" s="281">
        <f t="shared" si="113"/>
        <v>10.227312279548395</v>
      </c>
      <c r="BH320" s="281">
        <f t="shared" si="114"/>
        <v>-4.8502781722240043</v>
      </c>
      <c r="BM320" s="281">
        <f>$AZ$44+1*(seat_pitch)*($AY$44*n_SA+$AW$5&lt;pax_e)</f>
        <v>26.75</v>
      </c>
      <c r="BN320" s="281">
        <f>$AX$5+seat_w*($AY$44*n_SA+$AW$5&lt;pax_e)</f>
        <v>-1.31</v>
      </c>
      <c r="BO320" s="281">
        <f t="shared" si="115"/>
        <v>8.9395200000000017</v>
      </c>
      <c r="HY320" s="281">
        <f>$HX$24+0.2*(bus_pitch*(n_rows_b&gt;0))*($HW$24*n_SA_b+$HU$6&lt;pax_b)</f>
        <v>6.5</v>
      </c>
      <c r="HZ320" s="281">
        <f>$HV$6+seat_w_b*($HW$24*n_SA_b+$HU$6&lt;pax_b)</f>
        <v>-1.84</v>
      </c>
      <c r="IA320" s="281">
        <f t="shared" si="116"/>
        <v>-11.310479999999998</v>
      </c>
    </row>
    <row r="321" spans="56:235" x14ac:dyDescent="0.25">
      <c r="BD321" s="281">
        <f>T18-L_fus/2</f>
        <v>13.350807999999997</v>
      </c>
      <c r="BE321" s="281">
        <f>0+U18*0.5</f>
        <v>0.81233009127609856</v>
      </c>
      <c r="BF321" s="281">
        <f>V18+U18*-0.86603</f>
        <v>-1.1323058448098273</v>
      </c>
      <c r="BG321" s="281">
        <f t="shared" si="113"/>
        <v>10.749467997196206</v>
      </c>
      <c r="BH321" s="281">
        <f t="shared" si="114"/>
        <v>-4.3900277996568988</v>
      </c>
      <c r="BM321" s="281">
        <f>$AZ$44+0.8*(seat_pitch)*($AY$44*n_SA+$AW$5&lt;pax_e)</f>
        <v>26.588000000000001</v>
      </c>
      <c r="BN321" s="281">
        <f>$AX$5+seat_w*($AY$44*n_SA+$AW$5&lt;pax_e)</f>
        <v>-1.31</v>
      </c>
      <c r="BO321" s="281">
        <f t="shared" si="115"/>
        <v>8.7775200000000027</v>
      </c>
      <c r="HY321" s="281">
        <f>$HX$24</f>
        <v>6.5</v>
      </c>
      <c r="HZ321" s="281">
        <f>$HV$6+seat_w_b*($HW$24*n_SA_b+$HU$6&lt;pax_b)</f>
        <v>-1.84</v>
      </c>
      <c r="IA321" s="281">
        <f t="shared" si="116"/>
        <v>-11.310479999999998</v>
      </c>
    </row>
    <row r="322" spans="56:235" x14ac:dyDescent="0.25">
      <c r="BD322" s="281">
        <f>T18-L_fus/2</f>
        <v>13.350807999999997</v>
      </c>
      <c r="BE322" s="281">
        <f>0+U18*0.86603</f>
        <v>1.4070044578956793</v>
      </c>
      <c r="BF322" s="281">
        <f>V18+U18*-0.5</f>
        <v>-0.53763147819024648</v>
      </c>
      <c r="BG322" s="281">
        <f t="shared" si="113"/>
        <v>11.131717311857463</v>
      </c>
      <c r="BH322" s="281">
        <f t="shared" si="114"/>
        <v>-3.6585473116869913</v>
      </c>
      <c r="BM322" s="281">
        <f>$AZ$44+0.8*(seat_pitch)*($AY$44*n_SA+$AW$5&lt;pax_e)</f>
        <v>26.588000000000001</v>
      </c>
      <c r="BN322" s="281">
        <f>$AX$5</f>
        <v>-1.84</v>
      </c>
      <c r="BO322" s="281">
        <f t="shared" si="115"/>
        <v>8.7775200000000027</v>
      </c>
      <c r="HY322" s="281">
        <f>$HX$24+1*(bus_pitch*(n_rows_b&gt;0))*($HW$24*n_SA_b+$HU$6&lt;pax_b)</f>
        <v>6.5</v>
      </c>
      <c r="HZ322" s="281">
        <f>$HV$6+seat_w_b*($HW$24*n_SA_b+$HU$6&lt;pax_b)</f>
        <v>-1.84</v>
      </c>
      <c r="IA322" s="281">
        <f t="shared" si="116"/>
        <v>-11.310479999999998</v>
      </c>
    </row>
    <row r="323" spans="56:235" x14ac:dyDescent="0.25">
      <c r="BD323" s="281">
        <f>T18-L_fus/2</f>
        <v>13.350807999999997</v>
      </c>
      <c r="BE323" s="281">
        <f>0+U18*1</f>
        <v>1.6246601825521971</v>
      </c>
      <c r="BF323" s="281">
        <f>V18+U18*0</f>
        <v>0.27469861308585203</v>
      </c>
      <c r="BG323" s="281">
        <f t="shared" si="113"/>
        <v>11.271623714844019</v>
      </c>
      <c r="BH323" s="281">
        <f t="shared" si="114"/>
        <v>-2.8518614086529657</v>
      </c>
      <c r="BM323" s="281">
        <f>$AZ$44+0.2*(seat_pitch)*($AY$44*n_SA+$AW$5&lt;pax_e)</f>
        <v>26.102</v>
      </c>
      <c r="BN323" s="281">
        <f>$AX$5</f>
        <v>-1.84</v>
      </c>
      <c r="BO323" s="281">
        <f t="shared" si="115"/>
        <v>8.291520000000002</v>
      </c>
      <c r="HY323" s="281">
        <f>$HX$24+0.8*(bus_pitch*(n_rows_b&gt;0))*($HW$24*n_SA_b+$HU$6&lt;pax_b)</f>
        <v>6.5</v>
      </c>
      <c r="HZ323" s="281">
        <f>$HV$6+seat_w_b*($HW$24*n_SA_b+$HU$6&lt;pax_b)</f>
        <v>-1.84</v>
      </c>
      <c r="IA323" s="281">
        <f t="shared" si="116"/>
        <v>-11.310479999999998</v>
      </c>
    </row>
    <row r="324" spans="56:235" x14ac:dyDescent="0.25">
      <c r="BD324" s="281">
        <f>T20-L_fus/2</f>
        <v>15.262096</v>
      </c>
      <c r="BE324" s="281">
        <f>0+U20*1</f>
        <v>1.0890752323886836</v>
      </c>
      <c r="BF324" s="281">
        <f>V20+U20*0</f>
        <v>0.67638732570848714</v>
      </c>
      <c r="BG324" s="281">
        <f t="shared" si="113"/>
        <v>12.391487896544316</v>
      </c>
      <c r="BH324" s="281">
        <f t="shared" si="114"/>
        <v>-3.1804090274437193</v>
      </c>
      <c r="BM324" s="281">
        <f>$AZ$44+(seat_pitch)</f>
        <v>26.75</v>
      </c>
      <c r="BN324" s="281">
        <f>$AX$5</f>
        <v>-1.84</v>
      </c>
      <c r="BO324" s="281">
        <f t="shared" si="115"/>
        <v>8.9395200000000017</v>
      </c>
      <c r="HY324" s="281">
        <f>$HX$24+0.8*(bus_pitch*(n_rows_b&gt;0))*($HW$24*n_SA_b+$HU$6&lt;pax_b)</f>
        <v>6.5</v>
      </c>
      <c r="HZ324" s="281">
        <f>$HV$6</f>
        <v>-1.84</v>
      </c>
      <c r="IA324" s="281">
        <f t="shared" si="116"/>
        <v>-11.310479999999998</v>
      </c>
    </row>
    <row r="325" spans="56:235" x14ac:dyDescent="0.25">
      <c r="BD325" s="281">
        <f>T20-L_fus/2</f>
        <v>15.262096</v>
      </c>
      <c r="BE325" s="281">
        <f>0+U20*0.86603</f>
        <v>0.94317182350557172</v>
      </c>
      <c r="BF325" s="281">
        <f>V20+U20*0.5</f>
        <v>1.220924941902829</v>
      </c>
      <c r="BG325" s="281">
        <f t="shared" ref="BG325:BG388" si="117">BD325*COS(RADIANS(view_az))+BE325*SIN(RADIANS(view_az))</f>
        <v>12.297702993103222</v>
      </c>
      <c r="BH325" s="281">
        <f t="shared" ref="BH325:BH388" si="118">BF325*COS(RADIANS(view_el))+(BE325*COS(RADIANS(view_az))-BD325*SIN(RADIANS(view_az)))*SIN(RADIANS(view_el))</f>
        <v>-2.7341257528832261</v>
      </c>
      <c r="BM325" s="281">
        <f>$AZ$45+0.2*(seat_pitch)*($AY$45*n_SA+$AW$5&lt;pax_e)</f>
        <v>26.102</v>
      </c>
      <c r="BN325" s="281">
        <f>$AX$5</f>
        <v>-1.84</v>
      </c>
      <c r="BO325" s="281">
        <f t="shared" ref="BO325:BO388" si="119">BM325-L_fus/2</f>
        <v>8.291520000000002</v>
      </c>
      <c r="HY325" s="281">
        <f>$HX$24+0.2*(bus_pitch*(n_rows_b&gt;0))*($HW$24*n_SA_b+$HU$6&lt;pax_b)</f>
        <v>6.5</v>
      </c>
      <c r="HZ325" s="281">
        <f>$HV$6</f>
        <v>-1.84</v>
      </c>
      <c r="IA325" s="281">
        <f t="shared" ref="IA325:IA388" si="120">HY325-L_fus/2</f>
        <v>-11.310479999999998</v>
      </c>
    </row>
    <row r="326" spans="56:235" x14ac:dyDescent="0.25">
      <c r="BD326" s="281">
        <f>T20-L_fus/2</f>
        <v>15.262096</v>
      </c>
      <c r="BE326" s="281">
        <f>0+U20*0.5</f>
        <v>0.54453761619434182</v>
      </c>
      <c r="BF326" s="281">
        <f>V20+U20*0.86603</f>
        <v>1.6195591492140589</v>
      </c>
      <c r="BG326" s="281">
        <f t="shared" si="117"/>
        <v>12.04146586384635</v>
      </c>
      <c r="BH326" s="281">
        <f t="shared" si="118"/>
        <v>-2.5018960473098053</v>
      </c>
      <c r="BM326" s="281">
        <f>$AZ$45+0.2*(seat_pitch)*($AY$45*n_SA+$AW$5&lt;pax_e)</f>
        <v>26.102</v>
      </c>
      <c r="BN326" s="281">
        <f>$AX$5+seat_w*($AY$45*n_SA+$AW$5&lt;pax_e)</f>
        <v>-1.31</v>
      </c>
      <c r="BO326" s="281">
        <f t="shared" si="119"/>
        <v>8.291520000000002</v>
      </c>
      <c r="HY326" s="281">
        <f>$HX$24+(bus_pitch*(n_rows_b&gt;0))</f>
        <v>6.5</v>
      </c>
      <c r="HZ326" s="281">
        <f>$HV$6</f>
        <v>-1.84</v>
      </c>
      <c r="IA326" s="281">
        <f t="shared" si="120"/>
        <v>-11.310479999999998</v>
      </c>
    </row>
    <row r="327" spans="56:235" x14ac:dyDescent="0.25">
      <c r="BD327" s="281">
        <f>T20-L_fus/2</f>
        <v>15.262096</v>
      </c>
      <c r="BE327" s="281">
        <f>0+U20*0</f>
        <v>0</v>
      </c>
      <c r="BF327" s="281">
        <f>V20+U20*1</f>
        <v>1.7654625580971708</v>
      </c>
      <c r="BG327" s="281">
        <f t="shared" si="117"/>
        <v>11.691443831148382</v>
      </c>
      <c r="BH327" s="281">
        <f t="shared" si="118"/>
        <v>-2.5459536397065907</v>
      </c>
      <c r="BM327" s="281">
        <f>$AZ$45</f>
        <v>25.94</v>
      </c>
      <c r="BN327" s="281">
        <f>$AX$5+seat_w*($AY$45*n_SA+$AW$5&lt;pax_e)</f>
        <v>-1.31</v>
      </c>
      <c r="BO327" s="281">
        <f t="shared" si="119"/>
        <v>8.129520000000003</v>
      </c>
      <c r="HY327" s="281">
        <f>x_eco0</f>
        <v>6.5</v>
      </c>
      <c r="HZ327" s="281">
        <f>$HV$7</f>
        <v>-1.84</v>
      </c>
      <c r="IA327" s="281">
        <f t="shared" si="120"/>
        <v>-11.310479999999998</v>
      </c>
    </row>
    <row r="328" spans="56:235" x14ac:dyDescent="0.25">
      <c r="BD328" s="281">
        <f>T20-L_fus/2</f>
        <v>15.262096</v>
      </c>
      <c r="BE328" s="281">
        <f>0+U20*-0.5</f>
        <v>-0.54453761619434182</v>
      </c>
      <c r="BF328" s="281">
        <f>V20+U20*0.86603</f>
        <v>1.6195591492140589</v>
      </c>
      <c r="BG328" s="281">
        <f t="shared" si="117"/>
        <v>11.341421798450414</v>
      </c>
      <c r="BH328" s="281">
        <f t="shared" si="118"/>
        <v>-2.8544780233552887</v>
      </c>
      <c r="BM328" s="281">
        <f>$AZ$45+1*(seat_pitch)*($AY$45*n_SA+$AW$5&lt;pax_e)</f>
        <v>26.75</v>
      </c>
      <c r="BN328" s="281">
        <f>$AX$5+seat_w*($AY$45*n_SA+$AW$5&lt;pax_e)</f>
        <v>-1.31</v>
      </c>
      <c r="BO328" s="281">
        <f t="shared" si="119"/>
        <v>8.9395200000000017</v>
      </c>
      <c r="HY328" s="281">
        <f>x_seat0</f>
        <v>6.5</v>
      </c>
      <c r="HZ328" s="281">
        <f>$HV$7</f>
        <v>-1.84</v>
      </c>
      <c r="IA328" s="281">
        <f t="shared" si="120"/>
        <v>-11.310479999999998</v>
      </c>
    </row>
    <row r="329" spans="56:235" x14ac:dyDescent="0.25">
      <c r="BD329" s="281">
        <f>T20-L_fus/2</f>
        <v>15.262096</v>
      </c>
      <c r="BE329" s="281">
        <f>0+U20*-0.86603</f>
        <v>-0.94317182350557172</v>
      </c>
      <c r="BF329" s="281">
        <f>V20+U20*0.5</f>
        <v>1.220924941902829</v>
      </c>
      <c r="BG329" s="281">
        <f t="shared" si="117"/>
        <v>11.085184669193541</v>
      </c>
      <c r="BH329" s="281">
        <f t="shared" si="118"/>
        <v>-3.3448188903125682</v>
      </c>
      <c r="BM329" s="281">
        <f>$AZ$45+0.8*(seat_pitch)*($AY$45*n_SA+$AW$5&lt;pax_e)</f>
        <v>26.588000000000001</v>
      </c>
      <c r="BN329" s="281">
        <f>$AX$5+seat_w*($AY$45*n_SA+$AW$5&lt;pax_e)</f>
        <v>-1.31</v>
      </c>
      <c r="BO329" s="281">
        <f t="shared" si="119"/>
        <v>8.7775200000000027</v>
      </c>
      <c r="HY329" s="281">
        <f>$HX$5+0.2*(bus_pitch*(n_rows_b&gt;0))*($HW$5*n_SA_b+$HU$7&lt;pax_b)</f>
        <v>6.5</v>
      </c>
      <c r="HZ329" s="281">
        <f>$HV$7</f>
        <v>-1.84</v>
      </c>
      <c r="IA329" s="281">
        <f t="shared" si="120"/>
        <v>-11.310479999999998</v>
      </c>
    </row>
    <row r="330" spans="56:235" x14ac:dyDescent="0.25">
      <c r="BD330" s="281">
        <f>T20-L_fus/2</f>
        <v>15.262096</v>
      </c>
      <c r="BE330" s="281">
        <f>0+U20*-1</f>
        <v>-1.0890752323886836</v>
      </c>
      <c r="BF330" s="281">
        <f>V20+U20*0</f>
        <v>0.67638732570848714</v>
      </c>
      <c r="BG330" s="281">
        <f t="shared" si="117"/>
        <v>10.991399765752448</v>
      </c>
      <c r="BH330" s="281">
        <f t="shared" si="118"/>
        <v>-3.8855729795346878</v>
      </c>
      <c r="BM330" s="281">
        <f>$AZ$45+0.8*(seat_pitch)*($AY$45*n_SA+$AW$5&lt;pax_e)</f>
        <v>26.588000000000001</v>
      </c>
      <c r="BN330" s="281">
        <f>$AX$5</f>
        <v>-1.84</v>
      </c>
      <c r="BO330" s="281">
        <f t="shared" si="119"/>
        <v>8.7775200000000027</v>
      </c>
      <c r="HY330" s="281">
        <f>$HX$5+0.2*(bus_pitch*(n_rows_b&gt;0))*($HW$5*n_SA_b+$HU$7&lt;pax_b)</f>
        <v>6.5</v>
      </c>
      <c r="HZ330" s="281">
        <f>$HV$7+seat_w_b*($HW$5*n_SA_b+$HU$7&lt;pax_b)</f>
        <v>-1.84</v>
      </c>
      <c r="IA330" s="281">
        <f t="shared" si="120"/>
        <v>-11.310479999999998</v>
      </c>
    </row>
    <row r="331" spans="56:235" x14ac:dyDescent="0.25">
      <c r="BD331" s="281">
        <f>T20-L_fus/2</f>
        <v>15.262096</v>
      </c>
      <c r="BE331" s="281">
        <f>0+U20*-0.86603</f>
        <v>-0.94317182350557172</v>
      </c>
      <c r="BF331" s="281">
        <f>V20+U20*-0.5</f>
        <v>0.13184970951414532</v>
      </c>
      <c r="BG331" s="281">
        <f t="shared" si="117"/>
        <v>11.085184669193541</v>
      </c>
      <c r="BH331" s="281">
        <f t="shared" si="118"/>
        <v>-4.3318562540951815</v>
      </c>
      <c r="BM331" s="281">
        <f>$AZ$45+0.2*(seat_pitch)*($AY$45*n_SA+$AW$5&lt;pax_e)</f>
        <v>26.102</v>
      </c>
      <c r="BN331" s="281">
        <f>$AX$5</f>
        <v>-1.84</v>
      </c>
      <c r="BO331" s="281">
        <f t="shared" si="119"/>
        <v>8.291520000000002</v>
      </c>
      <c r="HY331" s="281">
        <f>$HX$5</f>
        <v>6.5</v>
      </c>
      <c r="HZ331" s="281">
        <f>$HV$7+seat_w_b*($HW$5*n_SA_b+$HU$7&lt;pax_b)</f>
        <v>-1.84</v>
      </c>
      <c r="IA331" s="281">
        <f t="shared" si="120"/>
        <v>-11.310479999999998</v>
      </c>
    </row>
    <row r="332" spans="56:235" x14ac:dyDescent="0.25">
      <c r="BD332" s="281">
        <f>T20-L_fus/2</f>
        <v>15.262096</v>
      </c>
      <c r="BE332" s="281">
        <f>0+U20*-0.5</f>
        <v>-0.54453761619434182</v>
      </c>
      <c r="BF332" s="281">
        <f>V20+U20*-0.86603</f>
        <v>-0.26678449779708457</v>
      </c>
      <c r="BG332" s="281">
        <f t="shared" si="117"/>
        <v>11.341421798450414</v>
      </c>
      <c r="BH332" s="281">
        <f t="shared" si="118"/>
        <v>-4.5640859596686019</v>
      </c>
      <c r="BM332" s="281">
        <f>$AZ$45+(seat_pitch)</f>
        <v>26.75</v>
      </c>
      <c r="BN332" s="281">
        <f>$AX$5</f>
        <v>-1.84</v>
      </c>
      <c r="BO332" s="281">
        <f t="shared" si="119"/>
        <v>8.9395200000000017</v>
      </c>
      <c r="HY332" s="281">
        <f>$HX$5+1*(bus_pitch*(n_rows_b&gt;0))*($HW$5*n_SA_b+$HU$7&lt;pax_b)</f>
        <v>6.5</v>
      </c>
      <c r="HZ332" s="281">
        <f>$HV$7+seat_w_b*($HW$5*n_SA_b+$HU$7&lt;pax_b)</f>
        <v>-1.84</v>
      </c>
      <c r="IA332" s="281">
        <f t="shared" si="120"/>
        <v>-11.310479999999998</v>
      </c>
    </row>
    <row r="333" spans="56:235" x14ac:dyDescent="0.25">
      <c r="BD333" s="281">
        <f>T20-L_fus/2</f>
        <v>15.262096</v>
      </c>
      <c r="BE333" s="281">
        <f>0+U20*0</f>
        <v>0</v>
      </c>
      <c r="BF333" s="281">
        <f>V20+U20*-1</f>
        <v>-0.4126879066801965</v>
      </c>
      <c r="BG333" s="281">
        <f t="shared" si="117"/>
        <v>11.691443831148382</v>
      </c>
      <c r="BH333" s="281">
        <f t="shared" si="118"/>
        <v>-4.5200283672718164</v>
      </c>
      <c r="BM333" s="281">
        <f>$AZ$46+0.2*(seat_pitch)*($AY$46*n_SA+$AW$5&lt;pax_e)</f>
        <v>26.102</v>
      </c>
      <c r="BN333" s="281">
        <f>$AX$5</f>
        <v>-1.84</v>
      </c>
      <c r="BO333" s="281">
        <f t="shared" si="119"/>
        <v>8.291520000000002</v>
      </c>
      <c r="HY333" s="281">
        <f>$HX$5+0.8*(bus_pitch*(n_rows_b&gt;0))*($HW$5*n_SA_b+$HU$7&lt;pax_b)</f>
        <v>6.5</v>
      </c>
      <c r="HZ333" s="281">
        <f>$HV$7+seat_w_b*($HW$5*n_SA_b+$HU$7&lt;pax_b)</f>
        <v>-1.84</v>
      </c>
      <c r="IA333" s="281">
        <f t="shared" si="120"/>
        <v>-11.310479999999998</v>
      </c>
    </row>
    <row r="334" spans="56:235" x14ac:dyDescent="0.25">
      <c r="BD334" s="281">
        <f>T20-L_fus/2</f>
        <v>15.262096</v>
      </c>
      <c r="BE334" s="281">
        <f>0+U20*0.5</f>
        <v>0.54453761619434182</v>
      </c>
      <c r="BF334" s="281">
        <f>V20+U20*-0.86603</f>
        <v>-0.26678449779708457</v>
      </c>
      <c r="BG334" s="281">
        <f t="shared" si="117"/>
        <v>12.04146586384635</v>
      </c>
      <c r="BH334" s="281">
        <f t="shared" si="118"/>
        <v>-4.2115039836231185</v>
      </c>
      <c r="BM334" s="281">
        <f>$AZ$46+0.2*(seat_pitch)*($AY$46*n_SA+$AW$5&lt;pax_e)</f>
        <v>26.102</v>
      </c>
      <c r="BN334" s="281">
        <f>$AX$5+seat_w*($AY$46*n_SA+$AW$5&lt;pax_e)</f>
        <v>-1.31</v>
      </c>
      <c r="BO334" s="281">
        <f t="shared" si="119"/>
        <v>8.291520000000002</v>
      </c>
      <c r="HY334" s="281">
        <f>$HX$5+0.8*(bus_pitch*(n_rows_b&gt;0))*($HW$5*n_SA_b+$HU$7&lt;pax_b)</f>
        <v>6.5</v>
      </c>
      <c r="HZ334" s="281">
        <f>$HV$7</f>
        <v>-1.84</v>
      </c>
      <c r="IA334" s="281">
        <f t="shared" si="120"/>
        <v>-11.310479999999998</v>
      </c>
    </row>
    <row r="335" spans="56:235" x14ac:dyDescent="0.25">
      <c r="BD335" s="281">
        <f>T20-L_fus/2</f>
        <v>15.262096</v>
      </c>
      <c r="BE335" s="281">
        <f>0+U20*0.86603</f>
        <v>0.94317182350557172</v>
      </c>
      <c r="BF335" s="281">
        <f>V20+U20*-0.5</f>
        <v>0.13184970951414532</v>
      </c>
      <c r="BG335" s="281">
        <f t="shared" si="117"/>
        <v>12.297702993103222</v>
      </c>
      <c r="BH335" s="281">
        <f t="shared" si="118"/>
        <v>-3.7211631166658394</v>
      </c>
      <c r="BM335" s="281">
        <f>$AZ$46</f>
        <v>25.94</v>
      </c>
      <c r="BN335" s="281">
        <f>$AX$5+seat_w*($AY$46*n_SA+$AW$5&lt;pax_e)</f>
        <v>-1.31</v>
      </c>
      <c r="BO335" s="281">
        <f t="shared" si="119"/>
        <v>8.129520000000003</v>
      </c>
      <c r="HY335" s="281">
        <f>$HX$5+0.2*(bus_pitch*(n_rows_b&gt;0))*($HW$5*n_SA_b+$HU$7&lt;pax_b)</f>
        <v>6.5</v>
      </c>
      <c r="HZ335" s="281">
        <f>$HV$7</f>
        <v>-1.84</v>
      </c>
      <c r="IA335" s="281">
        <f t="shared" si="120"/>
        <v>-11.310479999999998</v>
      </c>
    </row>
    <row r="336" spans="56:235" x14ac:dyDescent="0.25">
      <c r="BD336" s="281">
        <f>T20-L_fus/2</f>
        <v>15.262096</v>
      </c>
      <c r="BE336" s="281">
        <f>0+U20*1</f>
        <v>1.0890752323886836</v>
      </c>
      <c r="BF336" s="281">
        <f>V20+U20*0</f>
        <v>0.67638732570848714</v>
      </c>
      <c r="BG336" s="281">
        <f t="shared" si="117"/>
        <v>12.391487896544316</v>
      </c>
      <c r="BH336" s="281">
        <f t="shared" si="118"/>
        <v>-3.1804090274437193</v>
      </c>
      <c r="BM336" s="281">
        <f>$AZ$46+1*(seat_pitch)*($AY$46*n_SA+$AW$5&lt;pax_e)</f>
        <v>26.75</v>
      </c>
      <c r="BN336" s="281">
        <f>$AX$5+seat_w*($AY$46*n_SA+$AW$5&lt;pax_e)</f>
        <v>-1.31</v>
      </c>
      <c r="BO336" s="281">
        <f t="shared" si="119"/>
        <v>8.9395200000000017</v>
      </c>
      <c r="HY336" s="281">
        <f>$HX$5+(bus_pitch*(n_rows_b&gt;0))</f>
        <v>6.5</v>
      </c>
      <c r="HZ336" s="281">
        <f>$HV$7</f>
        <v>-1.84</v>
      </c>
      <c r="IA336" s="281">
        <f t="shared" si="120"/>
        <v>-11.310479999999998</v>
      </c>
    </row>
    <row r="337" spans="56:235" x14ac:dyDescent="0.25">
      <c r="BD337" s="281">
        <f t="shared" ref="BD337:BF343" si="121">AC5</f>
        <v>-7.304846666540648</v>
      </c>
      <c r="BE337" s="281">
        <f t="shared" si="121"/>
        <v>0</v>
      </c>
      <c r="BF337" s="281">
        <f t="shared" si="121"/>
        <v>-1.1945549999999998</v>
      </c>
      <c r="BG337" s="281">
        <f t="shared" si="117"/>
        <v>-5.5958371967396534</v>
      </c>
      <c r="BH337" s="281">
        <f t="shared" si="118"/>
        <v>0.90175472735516959</v>
      </c>
      <c r="BM337" s="281">
        <f>$AZ$46+0.8*(seat_pitch)*($AY$46*n_SA+$AW$5&lt;pax_e)</f>
        <v>26.588000000000001</v>
      </c>
      <c r="BN337" s="281">
        <f>$AX$5+seat_w*($AY$46*n_SA+$AW$5&lt;pax_e)</f>
        <v>-1.31</v>
      </c>
      <c r="BO337" s="281">
        <f t="shared" si="119"/>
        <v>8.7775200000000027</v>
      </c>
      <c r="HY337" s="281">
        <f>$HX$6+0.2*(bus_pitch*(n_rows_b&gt;0))*($HW$6*n_SA_b+$HU$7&lt;pax_b)</f>
        <v>6.5</v>
      </c>
      <c r="HZ337" s="281">
        <f>$HV$7</f>
        <v>-1.84</v>
      </c>
      <c r="IA337" s="281">
        <f t="shared" si="120"/>
        <v>-11.310479999999998</v>
      </c>
    </row>
    <row r="338" spans="56:235" x14ac:dyDescent="0.25">
      <c r="BD338" s="281">
        <f t="shared" si="121"/>
        <v>2.5154720114824372</v>
      </c>
      <c r="BE338" s="281">
        <f t="shared" si="121"/>
        <v>17.703220340896646</v>
      </c>
      <c r="BF338" s="281">
        <f t="shared" si="121"/>
        <v>0.35427608773000063</v>
      </c>
      <c r="BG338" s="281">
        <f t="shared" si="117"/>
        <v>13.306374042896515</v>
      </c>
      <c r="BH338" s="281">
        <f t="shared" si="118"/>
        <v>5.3690636243014529</v>
      </c>
      <c r="BM338" s="281">
        <f>$AZ$46+0.8*(seat_pitch)*($AY$46*n_SA+$AW$5&lt;pax_e)</f>
        <v>26.588000000000001</v>
      </c>
      <c r="BN338" s="281">
        <f>$AX$5</f>
        <v>-1.84</v>
      </c>
      <c r="BO338" s="281">
        <f t="shared" si="119"/>
        <v>8.7775200000000027</v>
      </c>
      <c r="HY338" s="281">
        <f>$HX$6+0.2*(bus_pitch*(n_rows_b&gt;0))*($HW$6*n_SA_b+$HU$7&lt;pax_b)</f>
        <v>6.5</v>
      </c>
      <c r="HZ338" s="281">
        <f>$HV$7+seat_w_b*($HW$6*n_SA_b+$HU$7&lt;pax_b)</f>
        <v>-1.84</v>
      </c>
      <c r="IA338" s="281">
        <f t="shared" si="120"/>
        <v>-11.310479999999998</v>
      </c>
    </row>
    <row r="339" spans="56:235" x14ac:dyDescent="0.25">
      <c r="BD339" s="281">
        <f t="shared" si="121"/>
        <v>4.0062695138737334</v>
      </c>
      <c r="BE339" s="281">
        <f t="shared" si="121"/>
        <v>17.703220340896646</v>
      </c>
      <c r="BF339" s="281">
        <f t="shared" si="121"/>
        <v>0.35427608773000063</v>
      </c>
      <c r="BG339" s="281">
        <f t="shared" si="117"/>
        <v>14.44839118541902</v>
      </c>
      <c r="BH339" s="281">
        <f t="shared" si="118"/>
        <v>4.9640828441719496</v>
      </c>
      <c r="BM339" s="281">
        <f>$AZ$46+0.2*(seat_pitch)*($AY$46*n_SA+$AW$5&lt;pax_e)</f>
        <v>26.102</v>
      </c>
      <c r="BN339" s="281">
        <f>$AX$5</f>
        <v>-1.84</v>
      </c>
      <c r="BO339" s="281">
        <f t="shared" si="119"/>
        <v>8.291520000000002</v>
      </c>
      <c r="HY339" s="281">
        <f>$HX$6</f>
        <v>6.5</v>
      </c>
      <c r="HZ339" s="281">
        <f>$HV$7+seat_w_b*($HW$6*n_SA_b+$HU$7&lt;pax_b)</f>
        <v>-1.84</v>
      </c>
      <c r="IA339" s="281">
        <f t="shared" si="120"/>
        <v>-11.310479999999998</v>
      </c>
    </row>
    <row r="340" spans="56:235" x14ac:dyDescent="0.25">
      <c r="BD340" s="281">
        <f t="shared" si="121"/>
        <v>-1.3416566569754629</v>
      </c>
      <c r="BE340" s="281">
        <f t="shared" si="121"/>
        <v>0</v>
      </c>
      <c r="BF340" s="281">
        <f t="shared" si="121"/>
        <v>-1.1945549999999998</v>
      </c>
      <c r="BG340" s="281">
        <f t="shared" si="117"/>
        <v>-1.0277686266496382</v>
      </c>
      <c r="BH340" s="281">
        <f t="shared" si="118"/>
        <v>-0.71816839316284264</v>
      </c>
      <c r="BM340" s="281">
        <f>$AZ$46+(seat_pitch)</f>
        <v>26.75</v>
      </c>
      <c r="BN340" s="281">
        <f>$AX$5</f>
        <v>-1.84</v>
      </c>
      <c r="BO340" s="281">
        <f t="shared" si="119"/>
        <v>8.9395200000000017</v>
      </c>
      <c r="HY340" s="281">
        <f>$HX$6+1*(bus_pitch*(n_rows_b&gt;0))*($HW$6*n_SA_b+$HU$7&lt;pax_b)</f>
        <v>6.5</v>
      </c>
      <c r="HZ340" s="281">
        <f>$HV$7+seat_w_b*($HW$6*n_SA_b+$HU$7&lt;pax_b)</f>
        <v>-1.84</v>
      </c>
      <c r="IA340" s="281">
        <f t="shared" si="120"/>
        <v>-11.310479999999998</v>
      </c>
    </row>
    <row r="341" spans="56:235" x14ac:dyDescent="0.25">
      <c r="BD341" s="281">
        <f t="shared" si="121"/>
        <v>4.0062695138737334</v>
      </c>
      <c r="BE341" s="281">
        <f t="shared" si="121"/>
        <v>-17.703220340896646</v>
      </c>
      <c r="BF341" s="281">
        <f t="shared" si="121"/>
        <v>0.35427608773000063</v>
      </c>
      <c r="BG341" s="281">
        <f t="shared" si="117"/>
        <v>-8.3104301879391329</v>
      </c>
      <c r="BH341" s="281">
        <f t="shared" si="118"/>
        <v>-6.498553022537906</v>
      </c>
      <c r="BM341" s="281">
        <f>$AZ$47+0.2*(seat_pitch)*($AY$47*n_SA+$AW$5&lt;pax_e)</f>
        <v>26.102</v>
      </c>
      <c r="BN341" s="281">
        <f>$AX$5</f>
        <v>-1.84</v>
      </c>
      <c r="BO341" s="281">
        <f t="shared" si="119"/>
        <v>8.291520000000002</v>
      </c>
      <c r="HY341" s="281">
        <f>$HX$6+0.8*(bus_pitch*(n_rows_b&gt;0))*($HW$6*n_SA_b+$HU$7&lt;pax_b)</f>
        <v>6.5</v>
      </c>
      <c r="HZ341" s="281">
        <f>$HV$7+seat_w_b*($HW$6*n_SA_b+$HU$7&lt;pax_b)</f>
        <v>-1.84</v>
      </c>
      <c r="IA341" s="281">
        <f t="shared" si="120"/>
        <v>-11.310479999999998</v>
      </c>
    </row>
    <row r="342" spans="56:235" x14ac:dyDescent="0.25">
      <c r="BD342" s="281">
        <f t="shared" si="121"/>
        <v>2.5154720114824372</v>
      </c>
      <c r="BE342" s="281">
        <f t="shared" si="121"/>
        <v>-17.703220340896646</v>
      </c>
      <c r="BF342" s="281">
        <f t="shared" si="121"/>
        <v>0.35427608773000063</v>
      </c>
      <c r="BG342" s="281">
        <f t="shared" si="117"/>
        <v>-9.4524473304616379</v>
      </c>
      <c r="BH342" s="281">
        <f t="shared" si="118"/>
        <v>-6.0935722424084027</v>
      </c>
      <c r="BM342" s="281">
        <f>$AZ$47+0.2*(seat_pitch)*($AY$47*n_SA+$AW$5&lt;pax_e)</f>
        <v>26.102</v>
      </c>
      <c r="BN342" s="281">
        <f>$AX$5+seat_w*($AY$47*n_SA+$AW$5&lt;pax_e)</f>
        <v>-1.31</v>
      </c>
      <c r="BO342" s="281">
        <f t="shared" si="119"/>
        <v>8.291520000000002</v>
      </c>
      <c r="HY342" s="281">
        <f>$HX$6+0.8*(bus_pitch*(n_rows_b&gt;0))*($HW$6*n_SA_b+$HU$7&lt;pax_b)</f>
        <v>6.5</v>
      </c>
      <c r="HZ342" s="281">
        <f>$HV$7</f>
        <v>-1.84</v>
      </c>
      <c r="IA342" s="281">
        <f t="shared" si="120"/>
        <v>-11.310479999999998</v>
      </c>
    </row>
    <row r="343" spans="56:235" x14ac:dyDescent="0.25">
      <c r="BD343" s="281">
        <f t="shared" si="121"/>
        <v>-7.304846666540648</v>
      </c>
      <c r="BE343" s="281">
        <f t="shared" si="121"/>
        <v>0</v>
      </c>
      <c r="BF343" s="281">
        <f t="shared" si="121"/>
        <v>-1.1945549999999998</v>
      </c>
      <c r="BG343" s="281">
        <f t="shared" si="117"/>
        <v>-5.5958371967396534</v>
      </c>
      <c r="BH343" s="281">
        <f t="shared" si="118"/>
        <v>0.90175472735516959</v>
      </c>
      <c r="BM343" s="281">
        <f>$AZ$47</f>
        <v>25.94</v>
      </c>
      <c r="BN343" s="281">
        <f>$AX$5+seat_w*($AY$47*n_SA+$AW$5&lt;pax_e)</f>
        <v>-1.31</v>
      </c>
      <c r="BO343" s="281">
        <f t="shared" si="119"/>
        <v>8.129520000000003</v>
      </c>
      <c r="HY343" s="281">
        <f>$HX$6+0.2*(bus_pitch*(n_rows_b&gt;0))*($HW$6*n_SA_b+$HU$7&lt;pax_b)</f>
        <v>6.5</v>
      </c>
      <c r="HZ343" s="281">
        <f>$HV$7</f>
        <v>-1.84</v>
      </c>
      <c r="IA343" s="281">
        <f t="shared" si="120"/>
        <v>-11.310479999999998</v>
      </c>
    </row>
    <row r="344" spans="56:235" x14ac:dyDescent="0.25">
      <c r="BD344" s="281">
        <f t="shared" ref="BD344:BF350" si="122">AC13</f>
        <v>11.164541131575625</v>
      </c>
      <c r="BE344" s="281">
        <f t="shared" si="122"/>
        <v>0</v>
      </c>
      <c r="BF344" s="281">
        <f t="shared" si="122"/>
        <v>1.1945549999999998</v>
      </c>
      <c r="BG344" s="281">
        <f t="shared" si="117"/>
        <v>8.5525346938167743</v>
      </c>
      <c r="BH344" s="281">
        <f t="shared" si="118"/>
        <v>-1.9502553272046557</v>
      </c>
      <c r="BM344" s="281">
        <f>$AZ$47+1*(seat_pitch)*($AY$47*n_SA+$AW$5&lt;pax_e)</f>
        <v>26.75</v>
      </c>
      <c r="BN344" s="281">
        <f>$AX$5+seat_w*($AY$47*n_SA+$AW$5&lt;pax_e)</f>
        <v>-1.31</v>
      </c>
      <c r="BO344" s="281">
        <f t="shared" si="119"/>
        <v>8.9395200000000017</v>
      </c>
      <c r="HY344" s="281">
        <f>$HX$6+(bus_pitch*(n_rows_b&gt;0))</f>
        <v>6.5</v>
      </c>
      <c r="HZ344" s="281">
        <f>$HV$7</f>
        <v>-1.84</v>
      </c>
      <c r="IA344" s="281">
        <f t="shared" si="120"/>
        <v>-11.310479999999998</v>
      </c>
    </row>
    <row r="345" spans="56:235" x14ac:dyDescent="0.25">
      <c r="BD345" s="281">
        <f t="shared" si="122"/>
        <v>15.36123581003578</v>
      </c>
      <c r="BE345" s="281">
        <f t="shared" si="122"/>
        <v>6.2176462037157743</v>
      </c>
      <c r="BF345" s="281">
        <f t="shared" si="122"/>
        <v>1.1945549999999998</v>
      </c>
      <c r="BG345" s="281">
        <f t="shared" si="117"/>
        <v>15.76401527288121</v>
      </c>
      <c r="BH345" s="281">
        <f t="shared" si="118"/>
        <v>-1.0773753505405788</v>
      </c>
      <c r="BM345" s="281">
        <f>$AZ$47+0.8*(seat_pitch)*($AY$47*n_SA+$AW$5&lt;pax_e)</f>
        <v>26.588000000000001</v>
      </c>
      <c r="BN345" s="281">
        <f>$AX$5+seat_w*($AY$47*n_SA+$AW$5&lt;pax_e)</f>
        <v>-1.31</v>
      </c>
      <c r="BO345" s="281">
        <f t="shared" si="119"/>
        <v>8.7775200000000027</v>
      </c>
      <c r="HY345" s="281">
        <f>$HX$7+0.2*(bus_pitch*(n_rows_b&gt;0))*($HW$7*n_SA_b+$HU$7&lt;pax_b)</f>
        <v>6.5</v>
      </c>
      <c r="HZ345" s="281">
        <f>$HV$7</f>
        <v>-1.84</v>
      </c>
      <c r="IA345" s="281">
        <f t="shared" si="120"/>
        <v>-11.310479999999998</v>
      </c>
    </row>
    <row r="346" spans="56:235" x14ac:dyDescent="0.25">
      <c r="BD346" s="281">
        <f t="shared" si="122"/>
        <v>16.940320560185818</v>
      </c>
      <c r="BE346" s="281">
        <f t="shared" si="122"/>
        <v>6.2176462037157743</v>
      </c>
      <c r="BF346" s="281">
        <f t="shared" si="122"/>
        <v>1.1945549999999998</v>
      </c>
      <c r="BG346" s="281">
        <f t="shared" si="117"/>
        <v>16.973664370947567</v>
      </c>
      <c r="BH346" s="281">
        <f t="shared" si="118"/>
        <v>-1.5063396954503219</v>
      </c>
      <c r="BM346" s="281">
        <f>$AZ$47+0.8*(seat_pitch)*($AY$47*n_SA+$AW$5&lt;pax_e)</f>
        <v>26.588000000000001</v>
      </c>
      <c r="BN346" s="281">
        <f>$AX$5</f>
        <v>-1.84</v>
      </c>
      <c r="BO346" s="281">
        <f t="shared" si="119"/>
        <v>8.7775200000000027</v>
      </c>
      <c r="HY346" s="281">
        <f>$HX$7+0.2*(bus_pitch*(n_rows_b&gt;0))*($HW$7*n_SA_b+$HU$7&lt;pax_b)</f>
        <v>6.5</v>
      </c>
      <c r="HZ346" s="281">
        <f>$HV$7+seat_w_b*($HW$7*n_SA_b+$HU$7&lt;pax_b)</f>
        <v>-1.84</v>
      </c>
      <c r="IA346" s="281">
        <f t="shared" si="120"/>
        <v>-11.310479999999998</v>
      </c>
    </row>
    <row r="347" spans="56:235" x14ac:dyDescent="0.25">
      <c r="BD347" s="281">
        <f t="shared" si="122"/>
        <v>15.112253006950716</v>
      </c>
      <c r="BE347" s="281">
        <f t="shared" si="122"/>
        <v>0</v>
      </c>
      <c r="BF347" s="281">
        <f t="shared" si="122"/>
        <v>1.1945549999999998</v>
      </c>
      <c r="BG347" s="281">
        <f t="shared" si="117"/>
        <v>11.576657438982663</v>
      </c>
      <c r="BH347" s="281">
        <f t="shared" si="118"/>
        <v>-3.022666189479013</v>
      </c>
      <c r="BM347" s="281">
        <f>$AZ$47+0.2*(seat_pitch)*($AY$47*n_SA+$AW$5&lt;pax_e)</f>
        <v>26.102</v>
      </c>
      <c r="BN347" s="281">
        <f>$AX$5</f>
        <v>-1.84</v>
      </c>
      <c r="BO347" s="281">
        <f t="shared" si="119"/>
        <v>8.291520000000002</v>
      </c>
      <c r="HY347" s="281">
        <f>$HX$7</f>
        <v>6.5</v>
      </c>
      <c r="HZ347" s="281">
        <f>$HV$7+seat_w_b*($HW$7*n_SA_b+$HU$7&lt;pax_b)</f>
        <v>-1.84</v>
      </c>
      <c r="IA347" s="281">
        <f t="shared" si="120"/>
        <v>-11.310479999999998</v>
      </c>
    </row>
    <row r="348" spans="56:235" x14ac:dyDescent="0.25">
      <c r="BD348" s="281">
        <f t="shared" si="122"/>
        <v>16.940320560185818</v>
      </c>
      <c r="BE348" s="281">
        <f t="shared" si="122"/>
        <v>-6.2176462037157743</v>
      </c>
      <c r="BF348" s="281">
        <f t="shared" si="122"/>
        <v>1.1945549999999998</v>
      </c>
      <c r="BG348" s="281">
        <f t="shared" si="117"/>
        <v>8.9804124886214698</v>
      </c>
      <c r="BH348" s="281">
        <f t="shared" si="118"/>
        <v>-5.5321956136857624</v>
      </c>
      <c r="BM348" s="281">
        <f>$AZ$47+(seat_pitch)</f>
        <v>26.75</v>
      </c>
      <c r="BN348" s="281">
        <f>$AX$5</f>
        <v>-1.84</v>
      </c>
      <c r="BO348" s="281">
        <f t="shared" si="119"/>
        <v>8.9395200000000017</v>
      </c>
      <c r="HY348" s="281">
        <f>$HX$7+1*(bus_pitch*(n_rows_b&gt;0))*($HW$7*n_SA_b+$HU$7&lt;pax_b)</f>
        <v>6.5</v>
      </c>
      <c r="HZ348" s="281">
        <f>$HV$7+seat_w_b*($HW$7*n_SA_b+$HU$7&lt;pax_b)</f>
        <v>-1.84</v>
      </c>
      <c r="IA348" s="281">
        <f t="shared" si="120"/>
        <v>-11.310479999999998</v>
      </c>
    </row>
    <row r="349" spans="56:235" x14ac:dyDescent="0.25">
      <c r="BD349" s="281">
        <f t="shared" si="122"/>
        <v>15.36123581003578</v>
      </c>
      <c r="BE349" s="281">
        <f t="shared" si="122"/>
        <v>-6.2176462037157743</v>
      </c>
      <c r="BF349" s="281">
        <f t="shared" si="122"/>
        <v>1.1945549999999998</v>
      </c>
      <c r="BG349" s="281">
        <f t="shared" si="117"/>
        <v>7.7707633905551141</v>
      </c>
      <c r="BH349" s="281">
        <f t="shared" si="118"/>
        <v>-5.1032312687760193</v>
      </c>
      <c r="BM349" s="281">
        <f>$AZ$48+0.2*(seat_pitch)*($AY$48*n_SA+$AW$5&lt;pax_e)</f>
        <v>26.102</v>
      </c>
      <c r="BN349" s="281">
        <f>$AX$5</f>
        <v>-1.84</v>
      </c>
      <c r="BO349" s="281">
        <f t="shared" si="119"/>
        <v>8.291520000000002</v>
      </c>
      <c r="HY349" s="281">
        <f>$HX$7+0.8*(bus_pitch*(n_rows_b&gt;0))*($HW$7*n_SA_b+$HU$7&lt;pax_b)</f>
        <v>6.5</v>
      </c>
      <c r="HZ349" s="281">
        <f>$HV$7+seat_w_b*($HW$7*n_SA_b+$HU$7&lt;pax_b)</f>
        <v>-1.84</v>
      </c>
      <c r="IA349" s="281">
        <f t="shared" si="120"/>
        <v>-11.310479999999998</v>
      </c>
    </row>
    <row r="350" spans="56:235" x14ac:dyDescent="0.25">
      <c r="BD350" s="281">
        <f t="shared" si="122"/>
        <v>11.164541131575625</v>
      </c>
      <c r="BE350" s="281">
        <f t="shared" si="122"/>
        <v>0</v>
      </c>
      <c r="BF350" s="281">
        <f t="shared" si="122"/>
        <v>1.1945549999999998</v>
      </c>
      <c r="BG350" s="281">
        <f t="shared" si="117"/>
        <v>8.5525346938167743</v>
      </c>
      <c r="BH350" s="281">
        <f t="shared" si="118"/>
        <v>-1.9502553272046557</v>
      </c>
      <c r="BM350" s="281">
        <f>$AZ$48+0.2*(seat_pitch)*($AY$48*n_SA+$AW$5&lt;pax_e)</f>
        <v>26.102</v>
      </c>
      <c r="BN350" s="281">
        <f>$AX$5+seat_w*($AY$48*n_SA+$AW$5&lt;pax_e)</f>
        <v>-1.31</v>
      </c>
      <c r="BO350" s="281">
        <f t="shared" si="119"/>
        <v>8.291520000000002</v>
      </c>
      <c r="HY350" s="281">
        <f>$HX$7+0.8*(bus_pitch*(n_rows_b&gt;0))*($HW$7*n_SA_b+$HU$7&lt;pax_b)</f>
        <v>6.5</v>
      </c>
      <c r="HZ350" s="281">
        <f>$HV$7</f>
        <v>-1.84</v>
      </c>
      <c r="IA350" s="281">
        <f t="shared" si="120"/>
        <v>-11.310479999999998</v>
      </c>
    </row>
    <row r="351" spans="56:235" x14ac:dyDescent="0.25">
      <c r="BD351" s="281">
        <f t="shared" ref="BD351:BF355" si="123">AC21</f>
        <v>10.524635261689589</v>
      </c>
      <c r="BE351" s="281">
        <f t="shared" si="123"/>
        <v>0</v>
      </c>
      <c r="BF351" s="281">
        <f t="shared" si="123"/>
        <v>1.59274</v>
      </c>
      <c r="BG351" s="281">
        <f t="shared" si="117"/>
        <v>8.0623383580713615</v>
      </c>
      <c r="BH351" s="281">
        <f t="shared" si="118"/>
        <v>-1.4155443111694737</v>
      </c>
      <c r="BM351" s="281">
        <f>$AZ$48</f>
        <v>25.94</v>
      </c>
      <c r="BN351" s="281">
        <f>$AX$5+seat_w*($AY$48*n_SA+$AW$5&lt;pax_e)</f>
        <v>-1.31</v>
      </c>
      <c r="BO351" s="281">
        <f t="shared" si="119"/>
        <v>8.129520000000003</v>
      </c>
      <c r="HY351" s="281">
        <f>$HX$7+0.2*(bus_pitch*(n_rows_b&gt;0))*($HW$7*n_SA_b+$HU$7&lt;pax_b)</f>
        <v>6.5</v>
      </c>
      <c r="HZ351" s="281">
        <f>$HV$7</f>
        <v>-1.84</v>
      </c>
      <c r="IA351" s="281">
        <f t="shared" si="120"/>
        <v>-11.310479999999998</v>
      </c>
    </row>
    <row r="352" spans="56:235" x14ac:dyDescent="0.25">
      <c r="BD352" s="281">
        <f t="shared" si="123"/>
        <v>15.560176773717274</v>
      </c>
      <c r="BE352" s="281">
        <f t="shared" si="123"/>
        <v>0</v>
      </c>
      <c r="BF352" s="281">
        <f t="shared" si="123"/>
        <v>8.2707682466377648</v>
      </c>
      <c r="BG352" s="281">
        <f t="shared" si="117"/>
        <v>11.919786951455105</v>
      </c>
      <c r="BH352" s="281">
        <f t="shared" si="118"/>
        <v>3.2688807932680524</v>
      </c>
      <c r="BM352" s="281">
        <f>$AZ$48+1*(seat_pitch)*($AY$48*n_SA+$AW$5&lt;pax_e)</f>
        <v>26.75</v>
      </c>
      <c r="BN352" s="281">
        <f>$AX$5+seat_w*($AY$48*n_SA+$AW$5&lt;pax_e)</f>
        <v>-1.31</v>
      </c>
      <c r="BO352" s="281">
        <f t="shared" si="119"/>
        <v>8.9395200000000017</v>
      </c>
      <c r="HY352" s="281">
        <f>$HX$7+(bus_pitch*(n_rows_b&gt;0))</f>
        <v>6.5</v>
      </c>
      <c r="HZ352" s="281">
        <f>$HV$7</f>
        <v>-1.84</v>
      </c>
      <c r="IA352" s="281">
        <f t="shared" si="120"/>
        <v>-11.310479999999998</v>
      </c>
    </row>
    <row r="353" spans="56:235" x14ac:dyDescent="0.25">
      <c r="BD353" s="281">
        <f t="shared" si="123"/>
        <v>17.597048134347531</v>
      </c>
      <c r="BE353" s="281">
        <f t="shared" si="123"/>
        <v>0</v>
      </c>
      <c r="BF353" s="281">
        <f t="shared" si="123"/>
        <v>8.2707682466377648</v>
      </c>
      <c r="BG353" s="281">
        <f t="shared" si="117"/>
        <v>13.480120938614105</v>
      </c>
      <c r="BH353" s="281">
        <f t="shared" si="118"/>
        <v>2.715556984146879</v>
      </c>
      <c r="BM353" s="281">
        <f>$AZ$48+0.8*(seat_pitch)*($AY$48*n_SA+$AW$5&lt;pax_e)</f>
        <v>26.588000000000001</v>
      </c>
      <c r="BN353" s="281">
        <f>$AX$5+seat_w*($AY$48*n_SA+$AW$5&lt;pax_e)</f>
        <v>-1.31</v>
      </c>
      <c r="BO353" s="281">
        <f t="shared" si="119"/>
        <v>8.7775200000000027</v>
      </c>
      <c r="HY353" s="281">
        <f>$HX$8+0.2*(bus_pitch*(n_rows_b&gt;0))*($HW$8*n_SA_b+$HU$7&lt;pax_b)</f>
        <v>6.5</v>
      </c>
      <c r="HZ353" s="281">
        <f>$HV$7</f>
        <v>-1.84</v>
      </c>
      <c r="IA353" s="281">
        <f t="shared" si="120"/>
        <v>-11.310479999999998</v>
      </c>
    </row>
    <row r="354" spans="56:235" x14ac:dyDescent="0.25">
      <c r="BD354" s="281">
        <f t="shared" si="123"/>
        <v>16.344267720633177</v>
      </c>
      <c r="BE354" s="281">
        <f t="shared" si="123"/>
        <v>0</v>
      </c>
      <c r="BF354" s="281">
        <f t="shared" si="123"/>
        <v>1.59274</v>
      </c>
      <c r="BG354" s="281">
        <f t="shared" si="117"/>
        <v>12.520435464239929</v>
      </c>
      <c r="BH354" s="281">
        <f t="shared" si="118"/>
        <v>-2.9964694800871117</v>
      </c>
      <c r="BM354" s="281">
        <f>$AZ$48+0.8*(seat_pitch)*($AY$48*n_SA+$AW$5&lt;pax_e)</f>
        <v>26.588000000000001</v>
      </c>
      <c r="BN354" s="281">
        <f>$AX$5</f>
        <v>-1.84</v>
      </c>
      <c r="BO354" s="281">
        <f t="shared" si="119"/>
        <v>8.7775200000000027</v>
      </c>
      <c r="HY354" s="281">
        <f>$HX$8+0.2*(bus_pitch*(n_rows_b&gt;0))*($HW$8*n_SA_b+$HU$7&lt;pax_b)</f>
        <v>6.5</v>
      </c>
      <c r="HZ354" s="281">
        <f>$HV$7+seat_w_b*($HW$8*n_SA_b+$HU$7&lt;pax_b)</f>
        <v>-1.84</v>
      </c>
      <c r="IA354" s="281">
        <f t="shared" si="120"/>
        <v>-11.310479999999998</v>
      </c>
    </row>
    <row r="355" spans="56:235" x14ac:dyDescent="0.25">
      <c r="BD355" s="281">
        <f t="shared" si="123"/>
        <v>10.524635261689589</v>
      </c>
      <c r="BE355" s="281">
        <f t="shared" si="123"/>
        <v>0</v>
      </c>
      <c r="BF355" s="281">
        <f t="shared" si="123"/>
        <v>1.59274</v>
      </c>
      <c r="BG355" s="281">
        <f t="shared" si="117"/>
        <v>8.0623383580713615</v>
      </c>
      <c r="BH355" s="281">
        <f t="shared" si="118"/>
        <v>-1.4155443111694737</v>
      </c>
      <c r="BM355" s="281">
        <f>$AZ$48+0.2*(seat_pitch)*($AY$48*n_SA+$AW$5&lt;pax_e)</f>
        <v>26.102</v>
      </c>
      <c r="BN355" s="281">
        <f>$AX$5</f>
        <v>-1.84</v>
      </c>
      <c r="BO355" s="281">
        <f t="shared" si="119"/>
        <v>8.291520000000002</v>
      </c>
      <c r="HY355" s="281">
        <f>$HX$8</f>
        <v>6.5</v>
      </c>
      <c r="HZ355" s="281">
        <f>$HV$7+seat_w_b*($HW$8*n_SA_b+$HU$7&lt;pax_b)</f>
        <v>-1.84</v>
      </c>
      <c r="IA355" s="281">
        <f t="shared" si="120"/>
        <v>-11.310479999999998</v>
      </c>
    </row>
    <row r="356" spans="56:235" x14ac:dyDescent="0.25">
      <c r="BD356" s="281">
        <f>AI5+0*L_nac-L_fus/2</f>
        <v>-7.4249768198019375</v>
      </c>
      <c r="BE356" s="281">
        <f>AH5+D_nac/2*1</f>
        <v>7.1353902511482161</v>
      </c>
      <c r="BF356" s="281">
        <f>AJ5+D_nac/2*0</f>
        <v>-2.007506832463827</v>
      </c>
      <c r="BG356" s="281">
        <f t="shared" si="117"/>
        <v>-1.1013217893802993</v>
      </c>
      <c r="BH356" s="281">
        <f t="shared" si="118"/>
        <v>2.5076463900686008</v>
      </c>
      <c r="BM356" s="281">
        <f>$AZ$48+(seat_pitch)</f>
        <v>26.75</v>
      </c>
      <c r="BN356" s="281">
        <f>$AX$5</f>
        <v>-1.84</v>
      </c>
      <c r="BO356" s="281">
        <f t="shared" si="119"/>
        <v>8.9395200000000017</v>
      </c>
      <c r="HY356" s="281">
        <f>$HX$8+1*(bus_pitch*(n_rows_b&gt;0))*($HW$8*n_SA_b+$HU$7&lt;pax_b)</f>
        <v>6.5</v>
      </c>
      <c r="HZ356" s="281">
        <f>$HV$7+seat_w_b*($HW$8*n_SA_b+$HU$7&lt;pax_b)</f>
        <v>-1.84</v>
      </c>
      <c r="IA356" s="281">
        <f t="shared" si="120"/>
        <v>-11.310479999999998</v>
      </c>
    </row>
    <row r="357" spans="56:235" x14ac:dyDescent="0.25">
      <c r="BD357" s="281">
        <f>AI5+0*L_nac-L_fus/2</f>
        <v>-7.4249768198019375</v>
      </c>
      <c r="BE357" s="281">
        <f>AH5+D_nac/2*0.86603</f>
        <v>6.9858401650856639</v>
      </c>
      <c r="BF357" s="281">
        <f>AJ5+D_nac/2*0.5</f>
        <v>-1.4493591648421491</v>
      </c>
      <c r="BG357" s="281">
        <f t="shared" si="117"/>
        <v>-1.1974507317288632</v>
      </c>
      <c r="BH357" s="281">
        <f t="shared" si="118"/>
        <v>2.9650839690100783</v>
      </c>
      <c r="BM357" s="281">
        <f>$AZ$49+0.2*(seat_pitch)*($AY$49*n_SA+$AW$5&lt;pax_e)</f>
        <v>26.102</v>
      </c>
      <c r="BN357" s="281">
        <f>$AX$5</f>
        <v>-1.84</v>
      </c>
      <c r="BO357" s="281">
        <f t="shared" si="119"/>
        <v>8.291520000000002</v>
      </c>
      <c r="HY357" s="281">
        <f>$HX$8+0.8*(bus_pitch*(n_rows_b&gt;0))*($HW$8*n_SA_b+$HU$7&lt;pax_b)</f>
        <v>6.5</v>
      </c>
      <c r="HZ357" s="281">
        <f>$HV$7+seat_w_b*($HW$8*n_SA_b+$HU$7&lt;pax_b)</f>
        <v>-1.84</v>
      </c>
      <c r="IA357" s="281">
        <f t="shared" si="120"/>
        <v>-11.310479999999998</v>
      </c>
    </row>
    <row r="358" spans="56:235" x14ac:dyDescent="0.25">
      <c r="BD358" s="281">
        <f>AI5+0*L_nac-L_fus/2</f>
        <v>-7.4249768198019375</v>
      </c>
      <c r="BE358" s="281">
        <f>AH5+D_nac/2*0.5</f>
        <v>6.5772425835265382</v>
      </c>
      <c r="BF358" s="281">
        <f>AJ5+D_nac/2*0.86603</f>
        <v>-1.0407615832830235</v>
      </c>
      <c r="BG358" s="281">
        <f t="shared" si="117"/>
        <v>-1.4600921945029546</v>
      </c>
      <c r="BH358" s="281">
        <f t="shared" si="118"/>
        <v>3.2031179719209351</v>
      </c>
      <c r="BM358" s="281">
        <f>$AZ$49+0.2*(seat_pitch)*($AY$49*n_SA+$AW$5&lt;pax_e)</f>
        <v>26.102</v>
      </c>
      <c r="BN358" s="281">
        <f>$AX$5+seat_w*($AY$49*n_SA+$AW$5&lt;pax_e)</f>
        <v>-1.31</v>
      </c>
      <c r="BO358" s="281">
        <f t="shared" si="119"/>
        <v>8.291520000000002</v>
      </c>
      <c r="HY358" s="281">
        <f>$HX$8+0.8*(bus_pitch*(n_rows_b&gt;0))*($HW$8*n_SA_b+$HU$7&lt;pax_b)</f>
        <v>6.5</v>
      </c>
      <c r="HZ358" s="281">
        <f>$HV$7</f>
        <v>-1.84</v>
      </c>
      <c r="IA358" s="281">
        <f t="shared" si="120"/>
        <v>-11.310479999999998</v>
      </c>
    </row>
    <row r="359" spans="56:235" x14ac:dyDescent="0.25">
      <c r="BD359" s="281">
        <f>AI5+0*L_nac-L_fus/2</f>
        <v>-7.4249768198019375</v>
      </c>
      <c r="BE359" s="281">
        <f>AH5+D_nac/2*0</f>
        <v>6.0190949159048603</v>
      </c>
      <c r="BF359" s="281">
        <f>AJ5+D_nac/2*1</f>
        <v>-0.89121149722047099</v>
      </c>
      <c r="BG359" s="281">
        <f t="shared" si="117"/>
        <v>-1.8188625996256098</v>
      </c>
      <c r="BH359" s="281">
        <f t="shared" si="118"/>
        <v>3.1579592139105124</v>
      </c>
      <c r="BM359" s="281">
        <f>$AZ$49</f>
        <v>25.94</v>
      </c>
      <c r="BN359" s="281">
        <f>$AX$5+seat_w*($AY$49*n_SA+$AW$5&lt;pax_e)</f>
        <v>-1.31</v>
      </c>
      <c r="BO359" s="281">
        <f t="shared" si="119"/>
        <v>8.129520000000003</v>
      </c>
      <c r="HY359" s="281">
        <f>$HX$8+0.2*(bus_pitch*(n_rows_b&gt;0))*($HW$8*n_SA_b+$HU$7&lt;pax_b)</f>
        <v>6.5</v>
      </c>
      <c r="HZ359" s="281">
        <f>$HV$7</f>
        <v>-1.84</v>
      </c>
      <c r="IA359" s="281">
        <f t="shared" si="120"/>
        <v>-11.310479999999998</v>
      </c>
    </row>
    <row r="360" spans="56:235" x14ac:dyDescent="0.25">
      <c r="BD360" s="281">
        <f>AI5+0*L_nac-L_fus/2</f>
        <v>-7.4249768198019375</v>
      </c>
      <c r="BE360" s="281">
        <f>AH5+D_nac/2*-0.5</f>
        <v>5.4609472482831825</v>
      </c>
      <c r="BF360" s="281">
        <f>AJ5+D_nac/2*0.86603</f>
        <v>-1.0407615832830235</v>
      </c>
      <c r="BG360" s="281">
        <f t="shared" si="117"/>
        <v>-2.177633004748265</v>
      </c>
      <c r="BH360" s="281">
        <f t="shared" si="118"/>
        <v>2.8417236407991058</v>
      </c>
      <c r="BM360" s="281">
        <f>$AZ$49+1*(seat_pitch)*($AY$49*n_SA+$AW$5&lt;pax_e)</f>
        <v>26.75</v>
      </c>
      <c r="BN360" s="281">
        <f>$AX$5+seat_w*($AY$49*n_SA+$AW$5&lt;pax_e)</f>
        <v>-1.31</v>
      </c>
      <c r="BO360" s="281">
        <f t="shared" si="119"/>
        <v>8.9395200000000017</v>
      </c>
      <c r="HY360" s="281">
        <f>$HX$8+(bus_pitch*(n_rows_b&gt;0))</f>
        <v>6.5</v>
      </c>
      <c r="HZ360" s="281">
        <f>$HV$7</f>
        <v>-1.84</v>
      </c>
      <c r="IA360" s="281">
        <f t="shared" si="120"/>
        <v>-11.310479999999998</v>
      </c>
    </row>
    <row r="361" spans="56:235" x14ac:dyDescent="0.25">
      <c r="BD361" s="281">
        <f>AI5+0*L_nac-L_fus/2</f>
        <v>-7.4249768198019375</v>
      </c>
      <c r="BE361" s="281">
        <f>AH5+D_nac/2*-0.86603</f>
        <v>5.0523496667240568</v>
      </c>
      <c r="BF361" s="281">
        <f>AJ5+D_nac/2*0.5</f>
        <v>-1.4493591648421491</v>
      </c>
      <c r="BG361" s="281">
        <f t="shared" si="117"/>
        <v>-2.440274467522356</v>
      </c>
      <c r="BH361" s="281">
        <f t="shared" si="118"/>
        <v>2.3391273038472047</v>
      </c>
      <c r="BM361" s="281">
        <f>$AZ$49+0.8*(seat_pitch)*($AY$49*n_SA+$AW$5&lt;pax_e)</f>
        <v>26.588000000000001</v>
      </c>
      <c r="BN361" s="281">
        <f>$AX$5+seat_w*($AY$49*n_SA+$AW$5&lt;pax_e)</f>
        <v>-1.31</v>
      </c>
      <c r="BO361" s="281">
        <f t="shared" si="119"/>
        <v>8.7775200000000027</v>
      </c>
      <c r="HY361" s="281">
        <f>$HX$9+0.2*(bus_pitch*(n_rows_b&gt;0))*($HW$9*n_SA_b+$HU$7&lt;pax_b)</f>
        <v>6.5</v>
      </c>
      <c r="HZ361" s="281">
        <f>$HV$7</f>
        <v>-1.84</v>
      </c>
      <c r="IA361" s="281">
        <f t="shared" si="120"/>
        <v>-11.310479999999998</v>
      </c>
    </row>
    <row r="362" spans="56:235" x14ac:dyDescent="0.25">
      <c r="BD362" s="281">
        <f>AI5+0*L_nac-L_fus/2</f>
        <v>-7.4249768198019375</v>
      </c>
      <c r="BE362" s="281">
        <f>AH5+D_nac/2*-1</f>
        <v>4.9027995806615046</v>
      </c>
      <c r="BF362" s="281">
        <f>AJ5+D_nac/2*0</f>
        <v>-2.007506832463827</v>
      </c>
      <c r="BG362" s="281">
        <f t="shared" si="117"/>
        <v>-2.5364034098709203</v>
      </c>
      <c r="BH362" s="281">
        <f t="shared" si="118"/>
        <v>1.7848577278249429</v>
      </c>
      <c r="BM362" s="281">
        <f>$AZ$49+0.8*(seat_pitch)*($AY$49*n_SA+$AW$5&lt;pax_e)</f>
        <v>26.588000000000001</v>
      </c>
      <c r="BN362" s="281">
        <f>$AX$5</f>
        <v>-1.84</v>
      </c>
      <c r="BO362" s="281">
        <f t="shared" si="119"/>
        <v>8.7775200000000027</v>
      </c>
      <c r="HY362" s="281">
        <f>$HX$9+0.2*(bus_pitch*(n_rows_b&gt;0))*($HW$9*n_SA_b+$HU$7&lt;pax_b)</f>
        <v>6.5</v>
      </c>
      <c r="HZ362" s="281">
        <f>$HV$7+seat_w_b*($HW$9*n_SA_b+$HU$7&lt;pax_b)</f>
        <v>-1.84</v>
      </c>
      <c r="IA362" s="281">
        <f t="shared" si="120"/>
        <v>-11.310479999999998</v>
      </c>
    </row>
    <row r="363" spans="56:235" x14ac:dyDescent="0.25">
      <c r="BD363" s="281">
        <f>AI5+0*L_nac-L_fus/2</f>
        <v>-7.4249768198019375</v>
      </c>
      <c r="BE363" s="281">
        <f>AH5+D_nac/2*-0.86603</f>
        <v>5.0523496667240568</v>
      </c>
      <c r="BF363" s="281">
        <f>AJ5+D_nac/2*-0.5</f>
        <v>-2.5656545000855049</v>
      </c>
      <c r="BG363" s="281">
        <f t="shared" si="117"/>
        <v>-2.440274467522356</v>
      </c>
      <c r="BH363" s="281">
        <f t="shared" si="118"/>
        <v>1.3274201488834638</v>
      </c>
      <c r="BM363" s="281">
        <f>$AZ$49+0.2*(seat_pitch)*($AY$49*n_SA+$AW$5&lt;pax_e)</f>
        <v>26.102</v>
      </c>
      <c r="BN363" s="281">
        <f>$AX$5</f>
        <v>-1.84</v>
      </c>
      <c r="BO363" s="281">
        <f t="shared" si="119"/>
        <v>8.291520000000002</v>
      </c>
      <c r="HY363" s="281">
        <f>$HX$9</f>
        <v>6.5</v>
      </c>
      <c r="HZ363" s="281">
        <f>$HV$7+seat_w_b*($HW$9*n_SA_b+$HU$7&lt;pax_b)</f>
        <v>-1.84</v>
      </c>
      <c r="IA363" s="281">
        <f t="shared" si="120"/>
        <v>-11.310479999999998</v>
      </c>
    </row>
    <row r="364" spans="56:235" x14ac:dyDescent="0.25">
      <c r="BD364" s="281">
        <f>AI5+0*L_nac-L_fus/2</f>
        <v>-7.4249768198019375</v>
      </c>
      <c r="BE364" s="281">
        <f>AH5+D_nac/2*-0.5</f>
        <v>5.4609472482831825</v>
      </c>
      <c r="BF364" s="281">
        <f>AJ5+D_nac/2*-0.86603</f>
        <v>-2.9742520816446305</v>
      </c>
      <c r="BG364" s="281">
        <f t="shared" si="117"/>
        <v>-2.177633004748265</v>
      </c>
      <c r="BH364" s="281">
        <f t="shared" si="118"/>
        <v>1.0893861459726084</v>
      </c>
      <c r="BM364" s="281">
        <f>$AZ$49+(seat_pitch)</f>
        <v>26.75</v>
      </c>
      <c r="BN364" s="281">
        <f>$AX$5</f>
        <v>-1.84</v>
      </c>
      <c r="BO364" s="281">
        <f t="shared" si="119"/>
        <v>8.9395200000000017</v>
      </c>
      <c r="HY364" s="281">
        <f>$HX$9+1*(bus_pitch*(n_rows_b&gt;0))*($HW$9*n_SA_b+$HU$7&lt;pax_b)</f>
        <v>6.5</v>
      </c>
      <c r="HZ364" s="281">
        <f>$HV$7+seat_w_b*($HW$9*n_SA_b+$HU$7&lt;pax_b)</f>
        <v>-1.84</v>
      </c>
      <c r="IA364" s="281">
        <f t="shared" si="120"/>
        <v>-11.310479999999998</v>
      </c>
    </row>
    <row r="365" spans="56:235" x14ac:dyDescent="0.25">
      <c r="BD365" s="281">
        <f>AI5+0*L_nac-L_fus/2</f>
        <v>-7.4249768198019375</v>
      </c>
      <c r="BE365" s="281">
        <f>AH5+D_nac/2*0</f>
        <v>6.0190949159048603</v>
      </c>
      <c r="BF365" s="281">
        <f>AJ5+D_nac/2*-1</f>
        <v>-3.1238021677071828</v>
      </c>
      <c r="BG365" s="281">
        <f t="shared" si="117"/>
        <v>-1.8188625996256098</v>
      </c>
      <c r="BH365" s="281">
        <f t="shared" si="118"/>
        <v>1.1345449039830302</v>
      </c>
      <c r="BM365" s="281">
        <f>$AZ$50+0.2*(seat_pitch)*($AY$50*n_SA+$AW$5&lt;pax_e)</f>
        <v>26.102</v>
      </c>
      <c r="BN365" s="281">
        <f>$AX$5</f>
        <v>-1.84</v>
      </c>
      <c r="BO365" s="281">
        <f t="shared" si="119"/>
        <v>8.291520000000002</v>
      </c>
      <c r="HY365" s="281">
        <f>$HX$9+0.8*(bus_pitch*(n_rows_b&gt;0))*($HW$9*n_SA_b+$HU$7&lt;pax_b)</f>
        <v>6.5</v>
      </c>
      <c r="HZ365" s="281">
        <f>$HV$7+seat_w_b*($HW$9*n_SA_b+$HU$7&lt;pax_b)</f>
        <v>-1.84</v>
      </c>
      <c r="IA365" s="281">
        <f t="shared" si="120"/>
        <v>-11.310479999999998</v>
      </c>
    </row>
    <row r="366" spans="56:235" x14ac:dyDescent="0.25">
      <c r="BD366" s="281">
        <f>AI5+0*L_nac-L_fus/2</f>
        <v>-7.4249768198019375</v>
      </c>
      <c r="BE366" s="281">
        <f>AH5+D_nac/2*0.5</f>
        <v>6.5772425835265382</v>
      </c>
      <c r="BF366" s="281">
        <f>AJ5+D_nac/2*-0.86603</f>
        <v>-2.9742520816446305</v>
      </c>
      <c r="BG366" s="281">
        <f t="shared" si="117"/>
        <v>-1.4600921945029546</v>
      </c>
      <c r="BH366" s="281">
        <f t="shared" si="118"/>
        <v>1.4507804770944377</v>
      </c>
      <c r="BM366" s="281">
        <f>$AZ$50+0.2*(seat_pitch)*($AY$50*n_SA+$AW$5&lt;pax_e)</f>
        <v>26.102</v>
      </c>
      <c r="BN366" s="281">
        <f>$AX$5+seat_w*($AY$50*n_SA+$AW$5&lt;pax_e)</f>
        <v>-1.31</v>
      </c>
      <c r="BO366" s="281">
        <f t="shared" si="119"/>
        <v>8.291520000000002</v>
      </c>
      <c r="HY366" s="281">
        <f>$HX$9+0.8*(bus_pitch*(n_rows_b&gt;0))*($HW$9*n_SA_b+$HU$7&lt;pax_b)</f>
        <v>6.5</v>
      </c>
      <c r="HZ366" s="281">
        <f>$HV$7</f>
        <v>-1.84</v>
      </c>
      <c r="IA366" s="281">
        <f t="shared" si="120"/>
        <v>-11.310479999999998</v>
      </c>
    </row>
    <row r="367" spans="56:235" x14ac:dyDescent="0.25">
      <c r="BD367" s="281">
        <f>AI5+0*L_nac-L_fus/2</f>
        <v>-7.4249768198019375</v>
      </c>
      <c r="BE367" s="281">
        <f>AH5+D_nac/2*0.86603</f>
        <v>6.9858401650856639</v>
      </c>
      <c r="BF367" s="281">
        <f>AJ5+D_nac/2*-0.5</f>
        <v>-2.5656545000855049</v>
      </c>
      <c r="BG367" s="281">
        <f t="shared" si="117"/>
        <v>-1.1974507317288632</v>
      </c>
      <c r="BH367" s="281">
        <f t="shared" si="118"/>
        <v>1.9533768140463375</v>
      </c>
      <c r="BM367" s="281">
        <f>$AZ$50</f>
        <v>25.94</v>
      </c>
      <c r="BN367" s="281">
        <f>$AX$5+seat_w*($AY$50*n_SA+$AW$5&lt;pax_e)</f>
        <v>-1.31</v>
      </c>
      <c r="BO367" s="281">
        <f t="shared" si="119"/>
        <v>8.129520000000003</v>
      </c>
      <c r="HY367" s="281">
        <f>$HX$9+0.2*(bus_pitch*(n_rows_b&gt;0))*($HW$9*n_SA_b+$HU$7&lt;pax_b)</f>
        <v>6.5</v>
      </c>
      <c r="HZ367" s="281">
        <f>$HV$7</f>
        <v>-1.84</v>
      </c>
      <c r="IA367" s="281">
        <f t="shared" si="120"/>
        <v>-11.310479999999998</v>
      </c>
    </row>
    <row r="368" spans="56:235" x14ac:dyDescent="0.25">
      <c r="BD368" s="281">
        <f>AI5+0*L_nac-L_fus/2</f>
        <v>-7.4249768198019375</v>
      </c>
      <c r="BE368" s="281">
        <f>AH5+D_nac/2*1</f>
        <v>7.1353902511482161</v>
      </c>
      <c r="BF368" s="281">
        <f>AJ5+D_nac/2*0</f>
        <v>-2.007506832463827</v>
      </c>
      <c r="BG368" s="281">
        <f t="shared" si="117"/>
        <v>-1.1013217893802993</v>
      </c>
      <c r="BH368" s="281">
        <f t="shared" si="118"/>
        <v>2.5076463900686008</v>
      </c>
      <c r="BM368" s="281">
        <f>$AZ$50+1*(seat_pitch)*($AY$50*n_SA+$AW$5&lt;pax_e)</f>
        <v>26.75</v>
      </c>
      <c r="BN368" s="281">
        <f>$AX$5+seat_w*($AY$50*n_SA+$AW$5&lt;pax_e)</f>
        <v>-1.31</v>
      </c>
      <c r="BO368" s="281">
        <f t="shared" si="119"/>
        <v>8.9395200000000017</v>
      </c>
      <c r="HY368" s="281">
        <f>$HX$9+(bus_pitch*(n_rows_b&gt;0))</f>
        <v>6.5</v>
      </c>
      <c r="HZ368" s="281">
        <f>$HV$7</f>
        <v>-1.84</v>
      </c>
      <c r="IA368" s="281">
        <f t="shared" si="120"/>
        <v>-11.310479999999998</v>
      </c>
    </row>
    <row r="369" spans="56:235" x14ac:dyDescent="0.25">
      <c r="BD369" s="281">
        <f>AI5+1*L_nac-L_fus/2</f>
        <v>-3.1011786900655132</v>
      </c>
      <c r="BE369" s="281">
        <f>AH5+D_nac/2*1</f>
        <v>7.1353902511482161</v>
      </c>
      <c r="BF369" s="281">
        <f>AJ5+D_nac/2*0</f>
        <v>-2.007506832463827</v>
      </c>
      <c r="BG369" s="281">
        <f t="shared" si="117"/>
        <v>2.2108997410725189</v>
      </c>
      <c r="BH369" s="281">
        <f t="shared" si="118"/>
        <v>1.3330702743356559</v>
      </c>
      <c r="BM369" s="281">
        <f>$AZ$50+0.8*(seat_pitch)*($AY$50*n_SA+$AW$5&lt;pax_e)</f>
        <v>26.588000000000001</v>
      </c>
      <c r="BN369" s="281">
        <f>$AX$5+seat_w*($AY$50*n_SA+$AW$5&lt;pax_e)</f>
        <v>-1.31</v>
      </c>
      <c r="BO369" s="281">
        <f t="shared" si="119"/>
        <v>8.7775200000000027</v>
      </c>
      <c r="HY369" s="281">
        <f>$HX$10+0.2*(bus_pitch*(n_rows_b&gt;0))*($HW$10*n_SA_b+$HU$7&lt;pax_b)</f>
        <v>6.5</v>
      </c>
      <c r="HZ369" s="281">
        <f>$HV$7</f>
        <v>-1.84</v>
      </c>
      <c r="IA369" s="281">
        <f t="shared" si="120"/>
        <v>-11.310479999999998</v>
      </c>
    </row>
    <row r="370" spans="56:235" x14ac:dyDescent="0.25">
      <c r="BD370" s="281">
        <f>AI5+1*L_nac-L_fus/2</f>
        <v>-3.1011786900655132</v>
      </c>
      <c r="BE370" s="281">
        <f>AH5+D_nac/2*0.86603</f>
        <v>6.9858401650856639</v>
      </c>
      <c r="BF370" s="281">
        <f>AJ5+D_nac/2*0.5</f>
        <v>-1.4493591648421491</v>
      </c>
      <c r="BG370" s="281">
        <f t="shared" si="117"/>
        <v>2.114770798723955</v>
      </c>
      <c r="BH370" s="281">
        <f t="shared" si="118"/>
        <v>1.7905078532771352</v>
      </c>
      <c r="BM370" s="281">
        <f>$AZ$50+0.8*(seat_pitch)*($AY$50*n_SA+$AW$5&lt;pax_e)</f>
        <v>26.588000000000001</v>
      </c>
      <c r="BN370" s="281">
        <f>$AX$5</f>
        <v>-1.84</v>
      </c>
      <c r="BO370" s="281">
        <f t="shared" si="119"/>
        <v>8.7775200000000027</v>
      </c>
      <c r="HY370" s="281">
        <f>$HX$10+0.2*(bus_pitch*(n_rows_b&gt;0))*($HW$10*n_SA_b+$HU$7&lt;pax_b)</f>
        <v>6.5</v>
      </c>
      <c r="HZ370" s="281">
        <f>$HV$7+seat_w_b*($HW$10*n_SA_b+$HU$7&lt;pax_b)</f>
        <v>-1.84</v>
      </c>
      <c r="IA370" s="281">
        <f t="shared" si="120"/>
        <v>-11.310479999999998</v>
      </c>
    </row>
    <row r="371" spans="56:235" x14ac:dyDescent="0.25">
      <c r="BD371" s="281">
        <f>AI5+1*L_nac-L_fus/2</f>
        <v>-3.1011786900655132</v>
      </c>
      <c r="BE371" s="281">
        <f>AH5+D_nac/2*0.5</f>
        <v>6.5772425835265382</v>
      </c>
      <c r="BF371" s="281">
        <f>AJ5+D_nac/2*0.86603</f>
        <v>-1.0407615832830235</v>
      </c>
      <c r="BG371" s="281">
        <f t="shared" si="117"/>
        <v>1.8521293359498636</v>
      </c>
      <c r="BH371" s="281">
        <f t="shared" si="118"/>
        <v>2.0285418561879904</v>
      </c>
      <c r="BM371" s="281">
        <f>$AZ$50+0.2*(seat_pitch)*($AY$50*n_SA+$AW$5&lt;pax_e)</f>
        <v>26.102</v>
      </c>
      <c r="BN371" s="281">
        <f>$AX$5</f>
        <v>-1.84</v>
      </c>
      <c r="BO371" s="281">
        <f t="shared" si="119"/>
        <v>8.291520000000002</v>
      </c>
      <c r="HY371" s="281">
        <f>$HX$10</f>
        <v>6.5</v>
      </c>
      <c r="HZ371" s="281">
        <f>$HV$7+seat_w_b*($HW$10*n_SA_b+$HU$7&lt;pax_b)</f>
        <v>-1.84</v>
      </c>
      <c r="IA371" s="281">
        <f t="shared" si="120"/>
        <v>-11.310479999999998</v>
      </c>
    </row>
    <row r="372" spans="56:235" x14ac:dyDescent="0.25">
      <c r="BD372" s="281">
        <f>AI5+1*L_nac-L_fus/2</f>
        <v>-3.1011786900655132</v>
      </c>
      <c r="BE372" s="281">
        <f>AH5+D_nac/2*0</f>
        <v>6.0190949159048603</v>
      </c>
      <c r="BF372" s="281">
        <f>AJ5+D_nac/2*1</f>
        <v>-0.89121149722047099</v>
      </c>
      <c r="BG372" s="281">
        <f t="shared" si="117"/>
        <v>1.4933589308272084</v>
      </c>
      <c r="BH372" s="281">
        <f t="shared" si="118"/>
        <v>1.9833830981775682</v>
      </c>
      <c r="BM372" s="281">
        <f>$AZ$50+(seat_pitch)</f>
        <v>26.75</v>
      </c>
      <c r="BN372" s="281">
        <f>$AX$5</f>
        <v>-1.84</v>
      </c>
      <c r="BO372" s="281">
        <f t="shared" si="119"/>
        <v>8.9395200000000017</v>
      </c>
      <c r="HY372" s="281">
        <f>$HX$10+1*(bus_pitch*(n_rows_b&gt;0))*($HW$10*n_SA_b+$HU$7&lt;pax_b)</f>
        <v>6.5</v>
      </c>
      <c r="HZ372" s="281">
        <f>$HV$7+seat_w_b*($HW$10*n_SA_b+$HU$7&lt;pax_b)</f>
        <v>-1.84</v>
      </c>
      <c r="IA372" s="281">
        <f t="shared" si="120"/>
        <v>-11.310479999999998</v>
      </c>
    </row>
    <row r="373" spans="56:235" x14ac:dyDescent="0.25">
      <c r="BD373" s="281">
        <f>AI5+1*L_nac-L_fus/2</f>
        <v>-3.1011786900655132</v>
      </c>
      <c r="BE373" s="281">
        <f>AH5+D_nac/2*-0.5</f>
        <v>5.4609472482831825</v>
      </c>
      <c r="BF373" s="281">
        <f>AJ5+D_nac/2*0.86603</f>
        <v>-1.0407615832830235</v>
      </c>
      <c r="BG373" s="281">
        <f t="shared" si="117"/>
        <v>1.1345885257045532</v>
      </c>
      <c r="BH373" s="281">
        <f t="shared" si="118"/>
        <v>1.6671475250661616</v>
      </c>
      <c r="BM373" s="281">
        <f>$AZ$51+0.2*(seat_pitch)*($AY$51*n_SA+$AW$5&lt;pax_e)</f>
        <v>26.102</v>
      </c>
      <c r="BN373" s="281">
        <f>$AX$5</f>
        <v>-1.84</v>
      </c>
      <c r="BO373" s="281">
        <f t="shared" si="119"/>
        <v>8.291520000000002</v>
      </c>
      <c r="HY373" s="281">
        <f>$HX$10+0.8*(bus_pitch*(n_rows_b&gt;0))*($HW$10*n_SA_b+$HU$7&lt;pax_b)</f>
        <v>6.5</v>
      </c>
      <c r="HZ373" s="281">
        <f>$HV$7+seat_w_b*($HW$10*n_SA_b+$HU$7&lt;pax_b)</f>
        <v>-1.84</v>
      </c>
      <c r="IA373" s="281">
        <f t="shared" si="120"/>
        <v>-11.310479999999998</v>
      </c>
    </row>
    <row r="374" spans="56:235" x14ac:dyDescent="0.25">
      <c r="BD374" s="281">
        <f>AI5+1*L_nac-L_fus/2</f>
        <v>-3.1011786900655132</v>
      </c>
      <c r="BE374" s="281">
        <f>AH5+D_nac/2*-0.86603</f>
        <v>5.0523496667240568</v>
      </c>
      <c r="BF374" s="281">
        <f>AJ5+D_nac/2*0.5</f>
        <v>-1.4493591648421491</v>
      </c>
      <c r="BG374" s="281">
        <f t="shared" si="117"/>
        <v>0.8719470629304622</v>
      </c>
      <c r="BH374" s="281">
        <f t="shared" si="118"/>
        <v>1.1645511881142603</v>
      </c>
      <c r="BM374" s="281">
        <f>$AZ$51+0.2*(seat_pitch)*($AY$51*n_SA+$AW$5&lt;pax_e)</f>
        <v>26.102</v>
      </c>
      <c r="BN374" s="281">
        <f>$AX$5+seat_w*($AY$51*n_SA+$AW$5&lt;pax_e)</f>
        <v>-1.31</v>
      </c>
      <c r="BO374" s="281">
        <f t="shared" si="119"/>
        <v>8.291520000000002</v>
      </c>
      <c r="HY374" s="281">
        <f>$HX$10+0.8*(bus_pitch*(n_rows_b&gt;0))*($HW$10*n_SA_b+$HU$7&lt;pax_b)</f>
        <v>6.5</v>
      </c>
      <c r="HZ374" s="281">
        <f>$HV$7</f>
        <v>-1.84</v>
      </c>
      <c r="IA374" s="281">
        <f t="shared" si="120"/>
        <v>-11.310479999999998</v>
      </c>
    </row>
    <row r="375" spans="56:235" x14ac:dyDescent="0.25">
      <c r="BD375" s="281">
        <f>AI5+1*L_nac-L_fus/2</f>
        <v>-3.1011786900655132</v>
      </c>
      <c r="BE375" s="281">
        <f>AH5+D_nac/2*-1</f>
        <v>4.9027995806615046</v>
      </c>
      <c r="BF375" s="281">
        <f>AJ5+D_nac/2*0</f>
        <v>-2.007506832463827</v>
      </c>
      <c r="BG375" s="281">
        <f t="shared" si="117"/>
        <v>0.77581812058189792</v>
      </c>
      <c r="BH375" s="281">
        <f t="shared" si="118"/>
        <v>0.61028161209199827</v>
      </c>
      <c r="BM375" s="281">
        <f>$AZ$51</f>
        <v>25.94</v>
      </c>
      <c r="BN375" s="281">
        <f>$AX$5+seat_w*($AY$51*n_SA+$AW$5&lt;pax_e)</f>
        <v>-1.31</v>
      </c>
      <c r="BO375" s="281">
        <f t="shared" si="119"/>
        <v>8.129520000000003</v>
      </c>
      <c r="HY375" s="281">
        <f>$HX$10+0.2*(bus_pitch*(n_rows_b&gt;0))*($HW$10*n_SA_b+$HU$7&lt;pax_b)</f>
        <v>6.5</v>
      </c>
      <c r="HZ375" s="281">
        <f>$HV$7</f>
        <v>-1.84</v>
      </c>
      <c r="IA375" s="281">
        <f t="shared" si="120"/>
        <v>-11.310479999999998</v>
      </c>
    </row>
    <row r="376" spans="56:235" x14ac:dyDescent="0.25">
      <c r="BD376" s="281">
        <f>AI5+1*L_nac-L_fus/2</f>
        <v>-3.1011786900655132</v>
      </c>
      <c r="BE376" s="281">
        <f>AH5+D_nac/2*-0.86603</f>
        <v>5.0523496667240568</v>
      </c>
      <c r="BF376" s="281">
        <f>AJ5+D_nac/2*-0.5</f>
        <v>-2.5656545000855049</v>
      </c>
      <c r="BG376" s="281">
        <f t="shared" si="117"/>
        <v>0.8719470629304622</v>
      </c>
      <c r="BH376" s="281">
        <f t="shared" si="118"/>
        <v>0.1528440331505192</v>
      </c>
      <c r="BM376" s="281">
        <f>$AZ$51+1*(seat_pitch)*($AY$51*n_SA+$AW$5&lt;pax_e)</f>
        <v>26.75</v>
      </c>
      <c r="BN376" s="281">
        <f>$AX$5+seat_w*($AY$51*n_SA+$AW$5&lt;pax_e)</f>
        <v>-1.31</v>
      </c>
      <c r="BO376" s="281">
        <f t="shared" si="119"/>
        <v>8.9395200000000017</v>
      </c>
      <c r="HY376" s="281">
        <f>$HX$10+(bus_pitch*(n_rows_b&gt;0))</f>
        <v>6.5</v>
      </c>
      <c r="HZ376" s="281">
        <f>$HV$7</f>
        <v>-1.84</v>
      </c>
      <c r="IA376" s="281">
        <f t="shared" si="120"/>
        <v>-11.310479999999998</v>
      </c>
    </row>
    <row r="377" spans="56:235" x14ac:dyDescent="0.25">
      <c r="BD377" s="281">
        <f>AI5+1*L_nac-L_fus/2</f>
        <v>-3.1011786900655132</v>
      </c>
      <c r="BE377" s="281">
        <f>AH5+D_nac/2*-0.5</f>
        <v>5.4609472482831825</v>
      </c>
      <c r="BF377" s="281">
        <f>AJ5+D_nac/2*-0.86603</f>
        <v>-2.9742520816446305</v>
      </c>
      <c r="BG377" s="281">
        <f t="shared" si="117"/>
        <v>1.1345885257045532</v>
      </c>
      <c r="BH377" s="281">
        <f t="shared" si="118"/>
        <v>-8.5189969760335771E-2</v>
      </c>
      <c r="BM377" s="281">
        <f>$AZ$51+0.8*(seat_pitch)*($AY$51*n_SA+$AW$5&lt;pax_e)</f>
        <v>26.588000000000001</v>
      </c>
      <c r="BN377" s="281">
        <f>$AX$5+seat_w*($AY$51*n_SA+$AW$5&lt;pax_e)</f>
        <v>-1.31</v>
      </c>
      <c r="BO377" s="281">
        <f t="shared" si="119"/>
        <v>8.7775200000000027</v>
      </c>
      <c r="HY377" s="281">
        <f>$HX$11+0.2*(bus_pitch*(n_rows_b&gt;0))*($HW$11*n_SA_b+$HU$7&lt;pax_b)</f>
        <v>6.5</v>
      </c>
      <c r="HZ377" s="281">
        <f>$HV$7</f>
        <v>-1.84</v>
      </c>
      <c r="IA377" s="281">
        <f t="shared" si="120"/>
        <v>-11.310479999999998</v>
      </c>
    </row>
    <row r="378" spans="56:235" x14ac:dyDescent="0.25">
      <c r="BD378" s="281">
        <f>AI5+1*L_nac-L_fus/2</f>
        <v>-3.1011786900655132</v>
      </c>
      <c r="BE378" s="281">
        <f>AH5+D_nac/2*0</f>
        <v>6.0190949159048603</v>
      </c>
      <c r="BF378" s="281">
        <f>AJ5+D_nac/2*-1</f>
        <v>-3.1238021677071828</v>
      </c>
      <c r="BG378" s="281">
        <f t="shared" si="117"/>
        <v>1.4933589308272084</v>
      </c>
      <c r="BH378" s="281">
        <f t="shared" si="118"/>
        <v>-4.0031211749913975E-2</v>
      </c>
      <c r="BM378" s="281">
        <f>$AZ$51+0.8*(seat_pitch)*($AY$51*n_SA+$AW$5&lt;pax_e)</f>
        <v>26.588000000000001</v>
      </c>
      <c r="BN378" s="281">
        <f>$AX$5</f>
        <v>-1.84</v>
      </c>
      <c r="BO378" s="281">
        <f t="shared" si="119"/>
        <v>8.7775200000000027</v>
      </c>
      <c r="HY378" s="281">
        <f>$HX$11+0.2*(bus_pitch*(n_rows_b&gt;0))*($HW$11*n_SA_b+$HU$7&lt;pax_b)</f>
        <v>6.5</v>
      </c>
      <c r="HZ378" s="281">
        <f>$HV$7+seat_w_b*($HW$11*n_SA_b+$HU$7&lt;pax_b)</f>
        <v>-1.84</v>
      </c>
      <c r="IA378" s="281">
        <f t="shared" si="120"/>
        <v>-11.310479999999998</v>
      </c>
    </row>
    <row r="379" spans="56:235" x14ac:dyDescent="0.25">
      <c r="BD379" s="281">
        <f>AI5+1*L_nac-L_fus/2</f>
        <v>-3.1011786900655132</v>
      </c>
      <c r="BE379" s="281">
        <f>AH5+D_nac/2*0.5</f>
        <v>6.5772425835265382</v>
      </c>
      <c r="BF379" s="281">
        <f>AJ5+D_nac/2*-0.86603</f>
        <v>-2.9742520816446305</v>
      </c>
      <c r="BG379" s="281">
        <f t="shared" si="117"/>
        <v>1.8521293359498636</v>
      </c>
      <c r="BH379" s="281">
        <f t="shared" si="118"/>
        <v>0.27620436136149307</v>
      </c>
      <c r="BM379" s="281">
        <f>$AZ$51+0.2*(seat_pitch)*($AY$51*n_SA+$AW$5&lt;pax_e)</f>
        <v>26.102</v>
      </c>
      <c r="BN379" s="281">
        <f>$AX$5</f>
        <v>-1.84</v>
      </c>
      <c r="BO379" s="281">
        <f t="shared" si="119"/>
        <v>8.291520000000002</v>
      </c>
      <c r="HY379" s="281">
        <f>$HX$11</f>
        <v>6.5</v>
      </c>
      <c r="HZ379" s="281">
        <f>$HV$7+seat_w_b*($HW$11*n_SA_b+$HU$7&lt;pax_b)</f>
        <v>-1.84</v>
      </c>
      <c r="IA379" s="281">
        <f t="shared" si="120"/>
        <v>-11.310479999999998</v>
      </c>
    </row>
    <row r="380" spans="56:235" x14ac:dyDescent="0.25">
      <c r="BD380" s="281">
        <f>AI5+1*L_nac-L_fus/2</f>
        <v>-3.1011786900655132</v>
      </c>
      <c r="BE380" s="281">
        <f>AH5+D_nac/2*0.86603</f>
        <v>6.9858401650856639</v>
      </c>
      <c r="BF380" s="281">
        <f>AJ5+D_nac/2*-0.5</f>
        <v>-2.5656545000855049</v>
      </c>
      <c r="BG380" s="281">
        <f t="shared" si="117"/>
        <v>2.114770798723955</v>
      </c>
      <c r="BH380" s="281">
        <f t="shared" si="118"/>
        <v>0.77880069831339416</v>
      </c>
      <c r="BM380" s="281">
        <f>$AZ$51+(seat_pitch)</f>
        <v>26.75</v>
      </c>
      <c r="BN380" s="281">
        <f>$AX$5</f>
        <v>-1.84</v>
      </c>
      <c r="BO380" s="281">
        <f t="shared" si="119"/>
        <v>8.9395200000000017</v>
      </c>
      <c r="HY380" s="281">
        <f>$HX$11+1*(bus_pitch*(n_rows_b&gt;0))*($HW$11*n_SA_b+$HU$7&lt;pax_b)</f>
        <v>6.5</v>
      </c>
      <c r="HZ380" s="281">
        <f>$HV$7+seat_w_b*($HW$11*n_SA_b+$HU$7&lt;pax_b)</f>
        <v>-1.84</v>
      </c>
      <c r="IA380" s="281">
        <f t="shared" si="120"/>
        <v>-11.310479999999998</v>
      </c>
    </row>
    <row r="381" spans="56:235" x14ac:dyDescent="0.25">
      <c r="BD381" s="281">
        <f>AI5+1*L_nac-L_fus/2</f>
        <v>-3.1011786900655132</v>
      </c>
      <c r="BE381" s="281">
        <f>AH5+D_nac/2*1</f>
        <v>7.1353902511482161</v>
      </c>
      <c r="BF381" s="281">
        <f>AJ5+D_nac/2*0</f>
        <v>-2.007506832463827</v>
      </c>
      <c r="BG381" s="281">
        <f t="shared" si="117"/>
        <v>2.2108997410725189</v>
      </c>
      <c r="BH381" s="281">
        <f t="shared" si="118"/>
        <v>1.3330702743356559</v>
      </c>
      <c r="BM381" s="281">
        <f>$AZ$52+0.2*(seat_pitch)*($AY$52*n_SA+$AW$5&lt;pax_e)</f>
        <v>26.102</v>
      </c>
      <c r="BN381" s="281">
        <f>$AX$5</f>
        <v>-1.84</v>
      </c>
      <c r="BO381" s="281">
        <f t="shared" si="119"/>
        <v>8.291520000000002</v>
      </c>
      <c r="HY381" s="281">
        <f>$HX$11+0.8*(bus_pitch*(n_rows_b&gt;0))*($HW$11*n_SA_b+$HU$7&lt;pax_b)</f>
        <v>6.5</v>
      </c>
      <c r="HZ381" s="281">
        <f>$HV$7+seat_w_b*($HW$11*n_SA_b+$HU$7&lt;pax_b)</f>
        <v>-1.84</v>
      </c>
      <c r="IA381" s="281">
        <f t="shared" si="120"/>
        <v>-11.310479999999998</v>
      </c>
    </row>
    <row r="382" spans="56:235" x14ac:dyDescent="0.25">
      <c r="BD382" s="281">
        <f>AI6+0*L_nac-L_fus/2</f>
        <v>-7.4249768198019375</v>
      </c>
      <c r="BE382" s="281">
        <f>AH6+D_nac/2*1</f>
        <v>-4.9027995806615046</v>
      </c>
      <c r="BF382" s="281">
        <f>AJ6+D_nac/2*0</f>
        <v>-2.007506832463827</v>
      </c>
      <c r="BG382" s="281">
        <f t="shared" si="117"/>
        <v>-8.8393210563220705</v>
      </c>
      <c r="BH382" s="281">
        <f t="shared" si="118"/>
        <v>-1.389649804612751</v>
      </c>
      <c r="BM382" s="281">
        <f>$AZ$52+0.2*(seat_pitch)*($AY$52*n_SA+$AW$5&lt;pax_e)</f>
        <v>26.102</v>
      </c>
      <c r="BN382" s="281">
        <f>$AX$5+seat_w*($AY$52*n_SA+$AW$5&lt;pax_e)</f>
        <v>-1.31</v>
      </c>
      <c r="BO382" s="281">
        <f t="shared" si="119"/>
        <v>8.291520000000002</v>
      </c>
      <c r="HY382" s="281">
        <f>$HX$11+0.8*(bus_pitch*(n_rows_b&gt;0))*($HW$11*n_SA_b+$HU$7&lt;pax_b)</f>
        <v>6.5</v>
      </c>
      <c r="HZ382" s="281">
        <f>$HV$7</f>
        <v>-1.84</v>
      </c>
      <c r="IA382" s="281">
        <f t="shared" si="120"/>
        <v>-11.310479999999998</v>
      </c>
    </row>
    <row r="383" spans="56:235" x14ac:dyDescent="0.25">
      <c r="BD383" s="281">
        <f>AI6+0*L_nac-L_fus/2</f>
        <v>-7.4249768198019375</v>
      </c>
      <c r="BE383" s="281">
        <f>AH6+D_nac/2*0.86603</f>
        <v>-5.0523496667240568</v>
      </c>
      <c r="BF383" s="281">
        <f>AJ6+D_nac/2*0.5</f>
        <v>-1.4493591648421491</v>
      </c>
      <c r="BG383" s="281">
        <f t="shared" si="117"/>
        <v>-8.9354499986706362</v>
      </c>
      <c r="BH383" s="281">
        <f t="shared" si="118"/>
        <v>-0.93221222567127193</v>
      </c>
      <c r="BM383" s="281">
        <f>$AZ$52</f>
        <v>25.94</v>
      </c>
      <c r="BN383" s="281">
        <f>$AX$5+seat_w*($AY$52*n_SA+$AW$5&lt;pax_e)</f>
        <v>-1.31</v>
      </c>
      <c r="BO383" s="281">
        <f t="shared" si="119"/>
        <v>8.129520000000003</v>
      </c>
      <c r="HY383" s="281">
        <f>$HX$11+0.2*(bus_pitch*(n_rows_b&gt;0))*($HW$11*n_SA_b+$HU$7&lt;pax_b)</f>
        <v>6.5</v>
      </c>
      <c r="HZ383" s="281">
        <f>$HV$7</f>
        <v>-1.84</v>
      </c>
      <c r="IA383" s="281">
        <f t="shared" si="120"/>
        <v>-11.310479999999998</v>
      </c>
    </row>
    <row r="384" spans="56:235" x14ac:dyDescent="0.25">
      <c r="BD384" s="281">
        <f>AI6+0*L_nac-L_fus/2</f>
        <v>-7.4249768198019375</v>
      </c>
      <c r="BE384" s="281">
        <f>AH6+D_nac/2*0.5</f>
        <v>-5.4609472482831825</v>
      </c>
      <c r="BF384" s="281">
        <f>AJ6+D_nac/2*0.86603</f>
        <v>-1.0407615832830235</v>
      </c>
      <c r="BG384" s="281">
        <f t="shared" si="117"/>
        <v>-9.1980914614447258</v>
      </c>
      <c r="BH384" s="281">
        <f t="shared" si="118"/>
        <v>-0.69417822276041674</v>
      </c>
      <c r="BM384" s="281">
        <f>$AZ$52+1*(seat_pitch)*($AY$52*n_SA+$AW$5&lt;pax_e)</f>
        <v>26.75</v>
      </c>
      <c r="BN384" s="281">
        <f>$AX$5+seat_w*($AY$52*n_SA+$AW$5&lt;pax_e)</f>
        <v>-1.31</v>
      </c>
      <c r="BO384" s="281">
        <f t="shared" si="119"/>
        <v>8.9395200000000017</v>
      </c>
      <c r="HY384" s="281">
        <f>$HX$11+(bus_pitch*(n_rows_b&gt;0))</f>
        <v>6.5</v>
      </c>
      <c r="HZ384" s="281">
        <f>$HV$7</f>
        <v>-1.84</v>
      </c>
      <c r="IA384" s="281">
        <f t="shared" si="120"/>
        <v>-11.310479999999998</v>
      </c>
    </row>
    <row r="385" spans="56:235" x14ac:dyDescent="0.25">
      <c r="BD385" s="281">
        <f>AI6+0*L_nac-L_fus/2</f>
        <v>-7.4249768198019375</v>
      </c>
      <c r="BE385" s="281">
        <f>AH6+D_nac/2*0</f>
        <v>-6.0190949159048603</v>
      </c>
      <c r="BF385" s="281">
        <f>AJ6+D_nac/2*1</f>
        <v>-0.89121149722047099</v>
      </c>
      <c r="BG385" s="281">
        <f t="shared" si="117"/>
        <v>-9.556861866567381</v>
      </c>
      <c r="BH385" s="281">
        <f t="shared" si="118"/>
        <v>-0.73933698077083843</v>
      </c>
      <c r="BM385" s="281">
        <f>$AZ$52+0.8*(seat_pitch)*($AY$52*n_SA+$AW$5&lt;pax_e)</f>
        <v>26.588000000000001</v>
      </c>
      <c r="BN385" s="281">
        <f>$AX$5+seat_w*($AY$52*n_SA+$AW$5&lt;pax_e)</f>
        <v>-1.31</v>
      </c>
      <c r="BO385" s="281">
        <f t="shared" si="119"/>
        <v>8.7775200000000027</v>
      </c>
      <c r="HY385" s="281">
        <f>$HX$12+0.2*(bus_pitch*(n_rows_b&gt;0))*($HW$12*n_SA_b+$HU$7&lt;pax_b)</f>
        <v>6.5</v>
      </c>
      <c r="HZ385" s="281">
        <f>$HV$7</f>
        <v>-1.84</v>
      </c>
      <c r="IA385" s="281">
        <f t="shared" si="120"/>
        <v>-11.310479999999998</v>
      </c>
    </row>
    <row r="386" spans="56:235" x14ac:dyDescent="0.25">
      <c r="BD386" s="281">
        <f>AI6+0*L_nac-L_fus/2</f>
        <v>-7.4249768198019375</v>
      </c>
      <c r="BE386" s="281">
        <f>AH6+D_nac/2*-0.5</f>
        <v>-6.5772425835265382</v>
      </c>
      <c r="BF386" s="281">
        <f>AJ6+D_nac/2*0.86603</f>
        <v>-1.0407615832830235</v>
      </c>
      <c r="BG386" s="281">
        <f t="shared" si="117"/>
        <v>-9.9156322716900362</v>
      </c>
      <c r="BH386" s="281">
        <f t="shared" si="118"/>
        <v>-1.0555725538822456</v>
      </c>
      <c r="BM386" s="281">
        <f>$AZ$52+0.8*(seat_pitch)*($AY$52*n_SA+$AW$5&lt;pax_e)</f>
        <v>26.588000000000001</v>
      </c>
      <c r="BN386" s="281">
        <f>$AX$5</f>
        <v>-1.84</v>
      </c>
      <c r="BO386" s="281">
        <f t="shared" si="119"/>
        <v>8.7775200000000027</v>
      </c>
      <c r="HY386" s="281">
        <f>$HX$12+0.2*(bus_pitch*(n_rows_b&gt;0))*($HW$12*n_SA_b+$HU$7&lt;pax_b)</f>
        <v>6.5</v>
      </c>
      <c r="HZ386" s="281">
        <f>$HV$7+seat_w_b*($HW$12*n_SA_b+$HU$7&lt;pax_b)</f>
        <v>-1.84</v>
      </c>
      <c r="IA386" s="281">
        <f t="shared" si="120"/>
        <v>-11.310479999999998</v>
      </c>
    </row>
    <row r="387" spans="56:235" x14ac:dyDescent="0.25">
      <c r="BD387" s="281">
        <f>AI6+0*L_nac-L_fus/2</f>
        <v>-7.4249768198019375</v>
      </c>
      <c r="BE387" s="281">
        <f>AH6+D_nac/2*-0.86603</f>
        <v>-6.9858401650856639</v>
      </c>
      <c r="BF387" s="281">
        <f>AJ6+D_nac/2*0.5</f>
        <v>-1.4493591648421491</v>
      </c>
      <c r="BG387" s="281">
        <f t="shared" si="117"/>
        <v>-10.178273734464128</v>
      </c>
      <c r="BH387" s="281">
        <f t="shared" si="118"/>
        <v>-1.5581688908341467</v>
      </c>
      <c r="BM387" s="281">
        <f>$AZ$52+0.2*(seat_pitch)*($AY$52*n_SA+$AW$5&lt;pax_e)</f>
        <v>26.102</v>
      </c>
      <c r="BN387" s="281">
        <f>$AX$5</f>
        <v>-1.84</v>
      </c>
      <c r="BO387" s="281">
        <f t="shared" si="119"/>
        <v>8.291520000000002</v>
      </c>
      <c r="HY387" s="281">
        <f>$HX$12</f>
        <v>6.5</v>
      </c>
      <c r="HZ387" s="281">
        <f>$HV$7+seat_w_b*($HW$12*n_SA_b+$HU$7&lt;pax_b)</f>
        <v>-1.84</v>
      </c>
      <c r="IA387" s="281">
        <f t="shared" si="120"/>
        <v>-11.310479999999998</v>
      </c>
    </row>
    <row r="388" spans="56:235" x14ac:dyDescent="0.25">
      <c r="BD388" s="281">
        <f>AI6+0*L_nac-L_fus/2</f>
        <v>-7.4249768198019375</v>
      </c>
      <c r="BE388" s="281">
        <f>AH6+D_nac/2*-1</f>
        <v>-7.1353902511482161</v>
      </c>
      <c r="BF388" s="281">
        <f>AJ6+D_nac/2*0</f>
        <v>-2.007506832463827</v>
      </c>
      <c r="BG388" s="281">
        <f t="shared" si="117"/>
        <v>-10.274402676812691</v>
      </c>
      <c r="BH388" s="281">
        <f t="shared" si="118"/>
        <v>-2.1124384668564082</v>
      </c>
      <c r="BM388" s="281">
        <f>$AZ$52+(seat_pitch)</f>
        <v>26.75</v>
      </c>
      <c r="BN388" s="281">
        <f>$AX$5</f>
        <v>-1.84</v>
      </c>
      <c r="BO388" s="281">
        <f t="shared" si="119"/>
        <v>8.9395200000000017</v>
      </c>
      <c r="HY388" s="281">
        <f>$HX$12+1*(bus_pitch*(n_rows_b&gt;0))*($HW$12*n_SA_b+$HU$7&lt;pax_b)</f>
        <v>6.5</v>
      </c>
      <c r="HZ388" s="281">
        <f>$HV$7+seat_w_b*($HW$12*n_SA_b+$HU$7&lt;pax_b)</f>
        <v>-1.84</v>
      </c>
      <c r="IA388" s="281">
        <f t="shared" si="120"/>
        <v>-11.310479999999998</v>
      </c>
    </row>
    <row r="389" spans="56:235" x14ac:dyDescent="0.25">
      <c r="BD389" s="281">
        <f>AI6+0*L_nac-L_fus/2</f>
        <v>-7.4249768198019375</v>
      </c>
      <c r="BE389" s="281">
        <f>AH6+D_nac/2*-0.86603</f>
        <v>-6.9858401650856639</v>
      </c>
      <c r="BF389" s="281">
        <f>AJ6+D_nac/2*-0.5</f>
        <v>-2.5656545000855049</v>
      </c>
      <c r="BG389" s="281">
        <f t="shared" ref="BG389:BG452" si="124">BD389*COS(RADIANS(view_az))+BE389*SIN(RADIANS(view_az))</f>
        <v>-10.178273734464128</v>
      </c>
      <c r="BH389" s="281">
        <f t="shared" ref="BH389:BH452" si="125">BF389*COS(RADIANS(view_el))+(BE389*COS(RADIANS(view_az))-BD389*SIN(RADIANS(view_az)))*SIN(RADIANS(view_el))</f>
        <v>-2.5698760457978875</v>
      </c>
      <c r="BM389" s="281">
        <f>$AZ$53+0.2*(seat_pitch)*($AY$53*n_SA+$AW$5&lt;pax_e)</f>
        <v>26.102</v>
      </c>
      <c r="BN389" s="281">
        <f>$AX$5</f>
        <v>-1.84</v>
      </c>
      <c r="BO389" s="281">
        <f t="shared" ref="BO389:BO452" si="126">BM389-L_fus/2</f>
        <v>8.291520000000002</v>
      </c>
      <c r="HY389" s="281">
        <f>$HX$12+0.8*(bus_pitch*(n_rows_b&gt;0))*($HW$12*n_SA_b+$HU$7&lt;pax_b)</f>
        <v>6.5</v>
      </c>
      <c r="HZ389" s="281">
        <f>$HV$7+seat_w_b*($HW$12*n_SA_b+$HU$7&lt;pax_b)</f>
        <v>-1.84</v>
      </c>
      <c r="IA389" s="281">
        <f t="shared" ref="IA389:IA452" si="127">HY389-L_fus/2</f>
        <v>-11.310479999999998</v>
      </c>
    </row>
    <row r="390" spans="56:235" x14ac:dyDescent="0.25">
      <c r="BD390" s="281">
        <f>AI6+0*L_nac-L_fus/2</f>
        <v>-7.4249768198019375</v>
      </c>
      <c r="BE390" s="281">
        <f>AH6+D_nac/2*-0.5</f>
        <v>-6.5772425835265382</v>
      </c>
      <c r="BF390" s="281">
        <f>AJ6+D_nac/2*-0.86603</f>
        <v>-2.9742520816446305</v>
      </c>
      <c r="BG390" s="281">
        <f t="shared" si="124"/>
        <v>-9.9156322716900362</v>
      </c>
      <c r="BH390" s="281">
        <f t="shared" si="125"/>
        <v>-2.8079100487087429</v>
      </c>
      <c r="BM390" s="281">
        <f>$AZ$53+0.2*(seat_pitch)*($AY$53*n_SA+$AW$5&lt;pax_e)</f>
        <v>26.102</v>
      </c>
      <c r="BN390" s="281">
        <f>$AX$5+seat_w*($AY$53*n_SA+$AW$5&lt;pax_e)</f>
        <v>-1.31</v>
      </c>
      <c r="BO390" s="281">
        <f t="shared" si="126"/>
        <v>8.291520000000002</v>
      </c>
      <c r="HY390" s="281">
        <f>$HX$12+0.8*(bus_pitch*(n_rows_b&gt;0))*($HW$12*n_SA_b+$HU$7&lt;pax_b)</f>
        <v>6.5</v>
      </c>
      <c r="HZ390" s="281">
        <f>$HV$7</f>
        <v>-1.84</v>
      </c>
      <c r="IA390" s="281">
        <f t="shared" si="127"/>
        <v>-11.310479999999998</v>
      </c>
    </row>
    <row r="391" spans="56:235" x14ac:dyDescent="0.25">
      <c r="BD391" s="281">
        <f>AI6+0*L_nac-L_fus/2</f>
        <v>-7.4249768198019375</v>
      </c>
      <c r="BE391" s="281">
        <f>AH6+D_nac/2*0</f>
        <v>-6.0190949159048603</v>
      </c>
      <c r="BF391" s="281">
        <f>AJ6+D_nac/2*-1</f>
        <v>-3.1238021677071828</v>
      </c>
      <c r="BG391" s="281">
        <f t="shared" si="124"/>
        <v>-9.556861866567381</v>
      </c>
      <c r="BH391" s="281">
        <f t="shared" si="125"/>
        <v>-2.7627512906983207</v>
      </c>
      <c r="BM391" s="281">
        <f>$AZ$53</f>
        <v>25.94</v>
      </c>
      <c r="BN391" s="281">
        <f>$AX$5+seat_w*($AY$53*n_SA+$AW$5&lt;pax_e)</f>
        <v>-1.31</v>
      </c>
      <c r="BO391" s="281">
        <f t="shared" si="126"/>
        <v>8.129520000000003</v>
      </c>
      <c r="HY391" s="281">
        <f>$HX$12+0.2*(bus_pitch*(n_rows_b&gt;0))*($HW$12*n_SA_b+$HU$7&lt;pax_b)</f>
        <v>6.5</v>
      </c>
      <c r="HZ391" s="281">
        <f>$HV$7</f>
        <v>-1.84</v>
      </c>
      <c r="IA391" s="281">
        <f t="shared" si="127"/>
        <v>-11.310479999999998</v>
      </c>
    </row>
    <row r="392" spans="56:235" x14ac:dyDescent="0.25">
      <c r="BD392" s="281">
        <f>AI6+0*L_nac-L_fus/2</f>
        <v>-7.4249768198019375</v>
      </c>
      <c r="BE392" s="281">
        <f>AH6+D_nac/2*0.5</f>
        <v>-5.4609472482831825</v>
      </c>
      <c r="BF392" s="281">
        <f>AJ6+D_nac/2*-0.86603</f>
        <v>-2.9742520816446305</v>
      </c>
      <c r="BG392" s="281">
        <f t="shared" si="124"/>
        <v>-9.1980914614447258</v>
      </c>
      <c r="BH392" s="281">
        <f t="shared" si="125"/>
        <v>-2.4465157175869141</v>
      </c>
      <c r="BM392" s="281">
        <f>$AZ$53+1*(seat_pitch)*($AY$53*n_SA+$AW$5&lt;pax_e)</f>
        <v>26.75</v>
      </c>
      <c r="BN392" s="281">
        <f>$AX$5+seat_w*($AY$53*n_SA+$AW$5&lt;pax_e)</f>
        <v>-1.31</v>
      </c>
      <c r="BO392" s="281">
        <f t="shared" si="126"/>
        <v>8.9395200000000017</v>
      </c>
      <c r="HY392" s="281">
        <f>$HX$12+(bus_pitch*(n_rows_b&gt;0))</f>
        <v>6.5</v>
      </c>
      <c r="HZ392" s="281">
        <f>$HV$7</f>
        <v>-1.84</v>
      </c>
      <c r="IA392" s="281">
        <f t="shared" si="127"/>
        <v>-11.310479999999998</v>
      </c>
    </row>
    <row r="393" spans="56:235" x14ac:dyDescent="0.25">
      <c r="BD393" s="281">
        <f>AI6+0*L_nac-L_fus/2</f>
        <v>-7.4249768198019375</v>
      </c>
      <c r="BE393" s="281">
        <f>AH6+D_nac/2*0.86603</f>
        <v>-5.0523496667240568</v>
      </c>
      <c r="BF393" s="281">
        <f>AJ6+D_nac/2*-0.5</f>
        <v>-2.5656545000855049</v>
      </c>
      <c r="BG393" s="281">
        <f t="shared" si="124"/>
        <v>-8.9354499986706362</v>
      </c>
      <c r="BH393" s="281">
        <f t="shared" si="125"/>
        <v>-1.943919380635013</v>
      </c>
      <c r="BM393" s="281">
        <f>$AZ$53+0.8*(seat_pitch)*($AY$53*n_SA+$AW$5&lt;pax_e)</f>
        <v>26.588000000000001</v>
      </c>
      <c r="BN393" s="281">
        <f>$AX$5+seat_w*($AY$53*n_SA+$AW$5&lt;pax_e)</f>
        <v>-1.31</v>
      </c>
      <c r="BO393" s="281">
        <f t="shared" si="126"/>
        <v>8.7775200000000027</v>
      </c>
      <c r="HY393" s="281">
        <f>$HX$13+0.2*(bus_pitch*(n_rows_b&gt;0))*($HW$13*n_SA_b+$HU$7&lt;pax_b)</f>
        <v>6.5</v>
      </c>
      <c r="HZ393" s="281">
        <f>$HV$7</f>
        <v>-1.84</v>
      </c>
      <c r="IA393" s="281">
        <f t="shared" si="127"/>
        <v>-11.310479999999998</v>
      </c>
    </row>
    <row r="394" spans="56:235" x14ac:dyDescent="0.25">
      <c r="BD394" s="281">
        <f>AI6+0*L_nac-L_fus/2</f>
        <v>-7.4249768198019375</v>
      </c>
      <c r="BE394" s="281">
        <f>AH6+D_nac/2*1</f>
        <v>-4.9027995806615046</v>
      </c>
      <c r="BF394" s="281">
        <f>AJ6+D_nac/2*0</f>
        <v>-2.007506832463827</v>
      </c>
      <c r="BG394" s="281">
        <f t="shared" si="124"/>
        <v>-8.8393210563220705</v>
      </c>
      <c r="BH394" s="281">
        <f t="shared" si="125"/>
        <v>-1.389649804612751</v>
      </c>
      <c r="BM394" s="281">
        <f>$AZ$53+0.8*(seat_pitch)*($AY$53*n_SA+$AW$5&lt;pax_e)</f>
        <v>26.588000000000001</v>
      </c>
      <c r="BN394" s="281">
        <f>$AX$5</f>
        <v>-1.84</v>
      </c>
      <c r="BO394" s="281">
        <f t="shared" si="126"/>
        <v>8.7775200000000027</v>
      </c>
      <c r="HY394" s="281">
        <f>$HX$13+0.2*(bus_pitch*(n_rows_b&gt;0))*($HW$13*n_SA_b+$HU$7&lt;pax_b)</f>
        <v>6.5</v>
      </c>
      <c r="HZ394" s="281">
        <f>$HV$7+seat_w_b*($HW$13*n_SA_b+$HU$7&lt;pax_b)</f>
        <v>-1.84</v>
      </c>
      <c r="IA394" s="281">
        <f t="shared" si="127"/>
        <v>-11.310479999999998</v>
      </c>
    </row>
    <row r="395" spans="56:235" x14ac:dyDescent="0.25">
      <c r="BD395" s="281">
        <f>AI6+1*L_nac-L_fus/2</f>
        <v>-3.1011786900655132</v>
      </c>
      <c r="BE395" s="281">
        <f>AH6+D_nac/2*1</f>
        <v>-4.9027995806615046</v>
      </c>
      <c r="BF395" s="281">
        <f>AJ6+D_nac/2*0</f>
        <v>-2.007506832463827</v>
      </c>
      <c r="BG395" s="281">
        <f t="shared" si="124"/>
        <v>-5.5270995258692537</v>
      </c>
      <c r="BH395" s="281">
        <f t="shared" si="125"/>
        <v>-2.5642259203456952</v>
      </c>
      <c r="BM395" s="281">
        <f>$AZ$53+0.2*(seat_pitch)*($AY$53*n_SA+$AW$5&lt;pax_e)</f>
        <v>26.102</v>
      </c>
      <c r="BN395" s="281">
        <f>$AX$5</f>
        <v>-1.84</v>
      </c>
      <c r="BO395" s="281">
        <f t="shared" si="126"/>
        <v>8.291520000000002</v>
      </c>
      <c r="HY395" s="281">
        <f>$HX$13</f>
        <v>6.5</v>
      </c>
      <c r="HZ395" s="281">
        <f>$HV$7+seat_w_b*($HW$13*n_SA_b+$HU$7&lt;pax_b)</f>
        <v>-1.84</v>
      </c>
      <c r="IA395" s="281">
        <f t="shared" si="127"/>
        <v>-11.310479999999998</v>
      </c>
    </row>
    <row r="396" spans="56:235" x14ac:dyDescent="0.25">
      <c r="BD396" s="281">
        <f>AI6+1*L_nac-L_fus/2</f>
        <v>-3.1011786900655132</v>
      </c>
      <c r="BE396" s="281">
        <f>AH6+D_nac/2*0.86603</f>
        <v>-5.0523496667240568</v>
      </c>
      <c r="BF396" s="281">
        <f>AJ6+D_nac/2*0.5</f>
        <v>-1.4493591648421491</v>
      </c>
      <c r="BG396" s="281">
        <f t="shared" si="124"/>
        <v>-5.6232284682178175</v>
      </c>
      <c r="BH396" s="281">
        <f t="shared" si="125"/>
        <v>-2.1067883414042163</v>
      </c>
      <c r="BM396" s="281">
        <f>$AZ$53+(seat_pitch)</f>
        <v>26.75</v>
      </c>
      <c r="BN396" s="281">
        <f>$AX$5</f>
        <v>-1.84</v>
      </c>
      <c r="BO396" s="281">
        <f t="shared" si="126"/>
        <v>8.9395200000000017</v>
      </c>
      <c r="HY396" s="281">
        <f>$HX$13+1*(bus_pitch*(n_rows_b&gt;0))*($HW$13*n_SA_b+$HU$7&lt;pax_b)</f>
        <v>6.5</v>
      </c>
      <c r="HZ396" s="281">
        <f>$HV$7+seat_w_b*($HW$13*n_SA_b+$HU$7&lt;pax_b)</f>
        <v>-1.84</v>
      </c>
      <c r="IA396" s="281">
        <f t="shared" si="127"/>
        <v>-11.310479999999998</v>
      </c>
    </row>
    <row r="397" spans="56:235" x14ac:dyDescent="0.25">
      <c r="BD397" s="281">
        <f>AI6+1*L_nac-L_fus/2</f>
        <v>-3.1011786900655132</v>
      </c>
      <c r="BE397" s="281">
        <f>AH6+D_nac/2*0.5</f>
        <v>-5.4609472482831825</v>
      </c>
      <c r="BF397" s="281">
        <f>AJ6+D_nac/2*0.86603</f>
        <v>-1.0407615832830235</v>
      </c>
      <c r="BG397" s="281">
        <f t="shared" si="124"/>
        <v>-5.8858699309919089</v>
      </c>
      <c r="BH397" s="281">
        <f t="shared" si="125"/>
        <v>-1.8687543384933609</v>
      </c>
      <c r="BM397" s="281">
        <f>$AZ$54+0.2*(seat_pitch)*($AY$54*n_SA+$AW$5&lt;pax_e)</f>
        <v>26.102</v>
      </c>
      <c r="BN397" s="281">
        <f>$AX$5</f>
        <v>-1.84</v>
      </c>
      <c r="BO397" s="281">
        <f t="shared" si="126"/>
        <v>8.291520000000002</v>
      </c>
      <c r="HY397" s="281">
        <f>$HX$13+0.8*(bus_pitch*(n_rows_b&gt;0))*($HW$13*n_SA_b+$HU$7&lt;pax_b)</f>
        <v>6.5</v>
      </c>
      <c r="HZ397" s="281">
        <f>$HV$7+seat_w_b*($HW$13*n_SA_b+$HU$7&lt;pax_b)</f>
        <v>-1.84</v>
      </c>
      <c r="IA397" s="281">
        <f t="shared" si="127"/>
        <v>-11.310479999999998</v>
      </c>
    </row>
    <row r="398" spans="56:235" x14ac:dyDescent="0.25">
      <c r="BD398" s="281">
        <f>AI6+1*L_nac-L_fus/2</f>
        <v>-3.1011786900655132</v>
      </c>
      <c r="BE398" s="281">
        <f>AH6+D_nac/2*0</f>
        <v>-6.0190949159048603</v>
      </c>
      <c r="BF398" s="281">
        <f>AJ6+D_nac/2*1</f>
        <v>-0.89121149722047099</v>
      </c>
      <c r="BG398" s="281">
        <f t="shared" si="124"/>
        <v>-6.2446403361145641</v>
      </c>
      <c r="BH398" s="281">
        <f t="shared" si="125"/>
        <v>-1.9139130965037827</v>
      </c>
      <c r="BM398" s="281">
        <f>$AZ$54+0.2*(seat_pitch)*($AY$54*n_SA+$AW$5&lt;pax_e)</f>
        <v>26.102</v>
      </c>
      <c r="BN398" s="281">
        <f>$AX$5+seat_w*($AY$54*n_SA+$AW$5&lt;pax_e)</f>
        <v>-1.31</v>
      </c>
      <c r="BO398" s="281">
        <f t="shared" si="126"/>
        <v>8.291520000000002</v>
      </c>
      <c r="HY398" s="281">
        <f>$HX$13+0.8*(bus_pitch*(n_rows_b&gt;0))*($HW$13*n_SA_b+$HU$7&lt;pax_b)</f>
        <v>6.5</v>
      </c>
      <c r="HZ398" s="281">
        <f>$HV$7</f>
        <v>-1.84</v>
      </c>
      <c r="IA398" s="281">
        <f t="shared" si="127"/>
        <v>-11.310479999999998</v>
      </c>
    </row>
    <row r="399" spans="56:235" x14ac:dyDescent="0.25">
      <c r="BD399" s="281">
        <f>AI6+1*L_nac-L_fus/2</f>
        <v>-3.1011786900655132</v>
      </c>
      <c r="BE399" s="281">
        <f>AH6+D_nac/2*-0.5</f>
        <v>-6.5772425835265382</v>
      </c>
      <c r="BF399" s="281">
        <f>AJ6+D_nac/2*0.86603</f>
        <v>-1.0407615832830235</v>
      </c>
      <c r="BG399" s="281">
        <f t="shared" si="124"/>
        <v>-6.6034107412372194</v>
      </c>
      <c r="BH399" s="281">
        <f t="shared" si="125"/>
        <v>-2.2301486696151898</v>
      </c>
      <c r="BM399" s="281">
        <f>$AZ$54</f>
        <v>25.94</v>
      </c>
      <c r="BN399" s="281">
        <f>$AX$5+seat_w*($AY$54*n_SA+$AW$5&lt;pax_e)</f>
        <v>-1.31</v>
      </c>
      <c r="BO399" s="281">
        <f t="shared" si="126"/>
        <v>8.129520000000003</v>
      </c>
      <c r="HY399" s="281">
        <f>$HX$13+0.2*(bus_pitch*(n_rows_b&gt;0))*($HW$13*n_SA_b+$HU$7&lt;pax_b)</f>
        <v>6.5</v>
      </c>
      <c r="HZ399" s="281">
        <f>$HV$7</f>
        <v>-1.84</v>
      </c>
      <c r="IA399" s="281">
        <f t="shared" si="127"/>
        <v>-11.310479999999998</v>
      </c>
    </row>
    <row r="400" spans="56:235" x14ac:dyDescent="0.25">
      <c r="BD400" s="281">
        <f>AI6+1*L_nac-L_fus/2</f>
        <v>-3.1011786900655132</v>
      </c>
      <c r="BE400" s="281">
        <f>AH6+D_nac/2*-0.86603</f>
        <v>-6.9858401650856639</v>
      </c>
      <c r="BF400" s="281">
        <f>AJ6+D_nac/2*0.5</f>
        <v>-1.4493591648421491</v>
      </c>
      <c r="BG400" s="281">
        <f t="shared" si="124"/>
        <v>-6.8660522040113108</v>
      </c>
      <c r="BH400" s="281">
        <f t="shared" si="125"/>
        <v>-2.7327450065670909</v>
      </c>
      <c r="BM400" s="281">
        <f>$AZ$54+1*(seat_pitch)*($AY$54*n_SA+$AW$5&lt;pax_e)</f>
        <v>26.75</v>
      </c>
      <c r="BN400" s="281">
        <f>$AX$5+seat_w*($AY$54*n_SA+$AW$5&lt;pax_e)</f>
        <v>-1.31</v>
      </c>
      <c r="BO400" s="281">
        <f t="shared" si="126"/>
        <v>8.9395200000000017</v>
      </c>
      <c r="HY400" s="281">
        <f>$HX$13+(bus_pitch*(n_rows_b&gt;0))</f>
        <v>6.5</v>
      </c>
      <c r="HZ400" s="281">
        <f>$HV$7</f>
        <v>-1.84</v>
      </c>
      <c r="IA400" s="281">
        <f t="shared" si="127"/>
        <v>-11.310479999999998</v>
      </c>
    </row>
    <row r="401" spans="56:235" x14ac:dyDescent="0.25">
      <c r="BD401" s="281">
        <f>AI6+1*L_nac-L_fus/2</f>
        <v>-3.1011786900655132</v>
      </c>
      <c r="BE401" s="281">
        <f>AH6+D_nac/2*-1</f>
        <v>-7.1353902511482161</v>
      </c>
      <c r="BF401" s="281">
        <f>AJ6+D_nac/2*0</f>
        <v>-2.007506832463827</v>
      </c>
      <c r="BG401" s="281">
        <f t="shared" si="124"/>
        <v>-6.9621811463598746</v>
      </c>
      <c r="BH401" s="281">
        <f t="shared" si="125"/>
        <v>-3.2870145825893529</v>
      </c>
      <c r="BM401" s="281">
        <f>$AZ$54+0.8*(seat_pitch)*($AY$54*n_SA+$AW$5&lt;pax_e)</f>
        <v>26.588000000000001</v>
      </c>
      <c r="BN401" s="281">
        <f>$AX$5+seat_w*($AY$54*n_SA+$AW$5&lt;pax_e)</f>
        <v>-1.31</v>
      </c>
      <c r="BO401" s="281">
        <f t="shared" si="126"/>
        <v>8.7775200000000027</v>
      </c>
      <c r="HY401" s="281">
        <f>$HX$14+0.2*(bus_pitch*(n_rows_b&gt;0))*($HW$14*n_SA_b+$HU$7&lt;pax_b)</f>
        <v>6.5</v>
      </c>
      <c r="HZ401" s="281">
        <f>$HV$7</f>
        <v>-1.84</v>
      </c>
      <c r="IA401" s="281">
        <f t="shared" si="127"/>
        <v>-11.310479999999998</v>
      </c>
    </row>
    <row r="402" spans="56:235" x14ac:dyDescent="0.25">
      <c r="BD402" s="281">
        <f>AI6+1*L_nac-L_fus/2</f>
        <v>-3.1011786900655132</v>
      </c>
      <c r="BE402" s="281">
        <f>AH6+D_nac/2*-0.86603</f>
        <v>-6.9858401650856639</v>
      </c>
      <c r="BF402" s="281">
        <f>AJ6+D_nac/2*-0.5</f>
        <v>-2.5656545000855049</v>
      </c>
      <c r="BG402" s="281">
        <f t="shared" si="124"/>
        <v>-6.8660522040113108</v>
      </c>
      <c r="BH402" s="281">
        <f t="shared" si="125"/>
        <v>-3.7444521615308322</v>
      </c>
      <c r="BM402" s="281">
        <f>$AZ$54+0.8*(seat_pitch)*($AY$54*n_SA+$AW$5&lt;pax_e)</f>
        <v>26.588000000000001</v>
      </c>
      <c r="BN402" s="281">
        <f>$AX$5</f>
        <v>-1.84</v>
      </c>
      <c r="BO402" s="281">
        <f t="shared" si="126"/>
        <v>8.7775200000000027</v>
      </c>
      <c r="HY402" s="281">
        <f>$HX$14+0.2*(bus_pitch*(n_rows_b&gt;0))*($HW$14*n_SA_b+$HU$7&lt;pax_b)</f>
        <v>6.5</v>
      </c>
      <c r="HZ402" s="281">
        <f>$HV$7+seat_w_b*($HW$14*n_SA_b+$HU$7&lt;pax_b)</f>
        <v>-1.84</v>
      </c>
      <c r="IA402" s="281">
        <f t="shared" si="127"/>
        <v>-11.310479999999998</v>
      </c>
    </row>
    <row r="403" spans="56:235" x14ac:dyDescent="0.25">
      <c r="BD403" s="281">
        <f>AI6+1*L_nac-L_fus/2</f>
        <v>-3.1011786900655132</v>
      </c>
      <c r="BE403" s="281">
        <f>AH6+D_nac/2*-0.5</f>
        <v>-6.5772425835265382</v>
      </c>
      <c r="BF403" s="281">
        <f>AJ6+D_nac/2*-0.86603</f>
        <v>-2.9742520816446305</v>
      </c>
      <c r="BG403" s="281">
        <f t="shared" si="124"/>
        <v>-6.6034107412372194</v>
      </c>
      <c r="BH403" s="281">
        <f t="shared" si="125"/>
        <v>-3.9824861644416871</v>
      </c>
      <c r="BM403" s="281">
        <f>$AZ$54+0.2*(seat_pitch)*($AY$54*n_SA+$AW$5&lt;pax_e)</f>
        <v>26.102</v>
      </c>
      <c r="BN403" s="281">
        <f>$AX$5</f>
        <v>-1.84</v>
      </c>
      <c r="BO403" s="281">
        <f t="shared" si="126"/>
        <v>8.291520000000002</v>
      </c>
      <c r="HY403" s="281">
        <f>$HX$14</f>
        <v>6.5</v>
      </c>
      <c r="HZ403" s="281">
        <f>$HV$7+seat_w_b*($HW$14*n_SA_b+$HU$7&lt;pax_b)</f>
        <v>-1.84</v>
      </c>
      <c r="IA403" s="281">
        <f t="shared" si="127"/>
        <v>-11.310479999999998</v>
      </c>
    </row>
    <row r="404" spans="56:235" x14ac:dyDescent="0.25">
      <c r="BD404" s="281">
        <f>AI6+1*L_nac-L_fus/2</f>
        <v>-3.1011786900655132</v>
      </c>
      <c r="BE404" s="281">
        <f>AH6+D_nac/2*0</f>
        <v>-6.0190949159048603</v>
      </c>
      <c r="BF404" s="281">
        <f>AJ6+D_nac/2*-1</f>
        <v>-3.1238021677071828</v>
      </c>
      <c r="BG404" s="281">
        <f t="shared" si="124"/>
        <v>-6.2446403361145641</v>
      </c>
      <c r="BH404" s="281">
        <f t="shared" si="125"/>
        <v>-3.9373274064312649</v>
      </c>
      <c r="BM404" s="281">
        <f>$AZ$54+(seat_pitch)</f>
        <v>26.75</v>
      </c>
      <c r="BN404" s="281">
        <f>$AX$5</f>
        <v>-1.84</v>
      </c>
      <c r="BO404" s="281">
        <f t="shared" si="126"/>
        <v>8.9395200000000017</v>
      </c>
      <c r="HY404" s="281">
        <f>$HX$14+1*(bus_pitch*(n_rows_b&gt;0))*($HW$14*n_SA_b+$HU$7&lt;pax_b)</f>
        <v>6.5</v>
      </c>
      <c r="HZ404" s="281">
        <f>$HV$7+seat_w_b*($HW$14*n_SA_b+$HU$7&lt;pax_b)</f>
        <v>-1.84</v>
      </c>
      <c r="IA404" s="281">
        <f t="shared" si="127"/>
        <v>-11.310479999999998</v>
      </c>
    </row>
    <row r="405" spans="56:235" x14ac:dyDescent="0.25">
      <c r="BD405" s="281">
        <f>AI6+1*L_nac-L_fus/2</f>
        <v>-3.1011786900655132</v>
      </c>
      <c r="BE405" s="281">
        <f>AH6+D_nac/2*0.5</f>
        <v>-5.4609472482831825</v>
      </c>
      <c r="BF405" s="281">
        <f>AJ6+D_nac/2*-0.86603</f>
        <v>-2.9742520816446305</v>
      </c>
      <c r="BG405" s="281">
        <f t="shared" si="124"/>
        <v>-5.8858699309919089</v>
      </c>
      <c r="BH405" s="281">
        <f t="shared" si="125"/>
        <v>-3.6210918333198583</v>
      </c>
      <c r="BM405" s="281">
        <f>$AZ$55+0.2*(seat_pitch)*($AY$55*n_SA+$AW$5&lt;pax_e)</f>
        <v>26.102</v>
      </c>
      <c r="BN405" s="281">
        <f>$AX$5</f>
        <v>-1.84</v>
      </c>
      <c r="BO405" s="281">
        <f t="shared" si="126"/>
        <v>8.291520000000002</v>
      </c>
      <c r="HY405" s="281">
        <f>$HX$14+0.8*(bus_pitch*(n_rows_b&gt;0))*($HW$14*n_SA_b+$HU$7&lt;pax_b)</f>
        <v>6.5</v>
      </c>
      <c r="HZ405" s="281">
        <f>$HV$7+seat_w_b*($HW$14*n_SA_b+$HU$7&lt;pax_b)</f>
        <v>-1.84</v>
      </c>
      <c r="IA405" s="281">
        <f t="shared" si="127"/>
        <v>-11.310479999999998</v>
      </c>
    </row>
    <row r="406" spans="56:235" x14ac:dyDescent="0.25">
      <c r="BD406" s="281">
        <f>AI6+1*L_nac-L_fus/2</f>
        <v>-3.1011786900655132</v>
      </c>
      <c r="BE406" s="281">
        <f>AH6+D_nac/2*0.86603</f>
        <v>-5.0523496667240568</v>
      </c>
      <c r="BF406" s="281">
        <f>AJ6+D_nac/2*-0.5</f>
        <v>-2.5656545000855049</v>
      </c>
      <c r="BG406" s="281">
        <f t="shared" si="124"/>
        <v>-5.6232284682178175</v>
      </c>
      <c r="BH406" s="281">
        <f t="shared" si="125"/>
        <v>-3.1184954963679576</v>
      </c>
      <c r="BM406" s="281">
        <f>$AZ$55+0.2*(seat_pitch)*($AY$55*n_SA+$AW$5&lt;pax_e)</f>
        <v>26.102</v>
      </c>
      <c r="BN406" s="281">
        <f>$AX$5+seat_w*($AY$55*n_SA+$AW$5&lt;pax_e)</f>
        <v>-1.31</v>
      </c>
      <c r="BO406" s="281">
        <f t="shared" si="126"/>
        <v>8.291520000000002</v>
      </c>
      <c r="HY406" s="281">
        <f>$HX$14+0.8*(bus_pitch*(n_rows_b&gt;0))*($HW$14*n_SA_b+$HU$7&lt;pax_b)</f>
        <v>6.5</v>
      </c>
      <c r="HZ406" s="281">
        <f>$HV$7</f>
        <v>-1.84</v>
      </c>
      <c r="IA406" s="281">
        <f t="shared" si="127"/>
        <v>-11.310479999999998</v>
      </c>
    </row>
    <row r="407" spans="56:235" x14ac:dyDescent="0.25">
      <c r="BD407" s="281">
        <f>AI6+1*L_nac-L_fus/2</f>
        <v>-3.1011786900655132</v>
      </c>
      <c r="BE407" s="281">
        <f>AH6+D_nac/2*1</f>
        <v>-4.9027995806615046</v>
      </c>
      <c r="BF407" s="281">
        <f>AJ6+D_nac/2*0</f>
        <v>-2.007506832463827</v>
      </c>
      <c r="BG407" s="281">
        <f t="shared" si="124"/>
        <v>-5.5270995258692537</v>
      </c>
      <c r="BH407" s="281">
        <f t="shared" si="125"/>
        <v>-2.5642259203456952</v>
      </c>
      <c r="BM407" s="281">
        <f>$AZ$55</f>
        <v>25.94</v>
      </c>
      <c r="BN407" s="281">
        <f>$AX$5+seat_w*($AY$55*n_SA+$AW$5&lt;pax_e)</f>
        <v>-1.31</v>
      </c>
      <c r="BO407" s="281">
        <f t="shared" si="126"/>
        <v>8.129520000000003</v>
      </c>
      <c r="HY407" s="281">
        <f>$HX$14+0.2*(bus_pitch*(n_rows_b&gt;0))*($HW$14*n_SA_b+$HU$7&lt;pax_b)</f>
        <v>6.5</v>
      </c>
      <c r="HZ407" s="281">
        <f>$HV$7</f>
        <v>-1.84</v>
      </c>
      <c r="IA407" s="281">
        <f t="shared" si="127"/>
        <v>-11.310479999999998</v>
      </c>
    </row>
    <row r="408" spans="56:235" x14ac:dyDescent="0.25">
      <c r="BD408" s="281">
        <f>AI7+0*L_nac-L_fus/2</f>
        <v>-7.4249768198019375</v>
      </c>
      <c r="BE408" s="281">
        <f>AH7+D_nac/2*1</f>
        <v>7.1353902511482161</v>
      </c>
      <c r="BF408" s="281">
        <f>AJ7+D_nac/2*0</f>
        <v>-2.007506832463827</v>
      </c>
      <c r="BG408" s="281">
        <f t="shared" si="124"/>
        <v>-1.1013217893802993</v>
      </c>
      <c r="BH408" s="281">
        <f t="shared" si="125"/>
        <v>2.5076463900686008</v>
      </c>
      <c r="BM408" s="281">
        <f>$AZ$55+1*(seat_pitch)*($AY$55*n_SA+$AW$5&lt;pax_e)</f>
        <v>26.75</v>
      </c>
      <c r="BN408" s="281">
        <f>$AX$5+seat_w*($AY$55*n_SA+$AW$5&lt;pax_e)</f>
        <v>-1.31</v>
      </c>
      <c r="BO408" s="281">
        <f t="shared" si="126"/>
        <v>8.9395200000000017</v>
      </c>
      <c r="HY408" s="281">
        <f>$HX$14+(bus_pitch*(n_rows_b&gt;0))</f>
        <v>6.5</v>
      </c>
      <c r="HZ408" s="281">
        <f>$HV$7</f>
        <v>-1.84</v>
      </c>
      <c r="IA408" s="281">
        <f t="shared" si="127"/>
        <v>-11.310479999999998</v>
      </c>
    </row>
    <row r="409" spans="56:235" x14ac:dyDescent="0.25">
      <c r="BD409" s="281">
        <f>AI7+0*L_nac-L_fus/2</f>
        <v>-7.4249768198019375</v>
      </c>
      <c r="BE409" s="281">
        <f>AH7+D_nac/2*0.86603</f>
        <v>6.9858401650856639</v>
      </c>
      <c r="BF409" s="281">
        <f>AJ7+D_nac/2*0.5</f>
        <v>-1.4493591648421491</v>
      </c>
      <c r="BG409" s="281">
        <f t="shared" si="124"/>
        <v>-1.1974507317288632</v>
      </c>
      <c r="BH409" s="281">
        <f t="shared" si="125"/>
        <v>2.9650839690100783</v>
      </c>
      <c r="BM409" s="281">
        <f>$AZ$55+0.8*(seat_pitch)*($AY$55*n_SA+$AW$5&lt;pax_e)</f>
        <v>26.588000000000001</v>
      </c>
      <c r="BN409" s="281">
        <f>$AX$5+seat_w*($AY$55*n_SA+$AW$5&lt;pax_e)</f>
        <v>-1.31</v>
      </c>
      <c r="BO409" s="281">
        <f t="shared" si="126"/>
        <v>8.7775200000000027</v>
      </c>
      <c r="HY409" s="281">
        <f>$HX$15+0.2*(bus_pitch*(n_rows_b&gt;0))*($HW$15*n_SA_b+$HU$7&lt;pax_b)</f>
        <v>6.5</v>
      </c>
      <c r="HZ409" s="281">
        <f>$HV$7</f>
        <v>-1.84</v>
      </c>
      <c r="IA409" s="281">
        <f t="shared" si="127"/>
        <v>-11.310479999999998</v>
      </c>
    </row>
    <row r="410" spans="56:235" x14ac:dyDescent="0.25">
      <c r="BD410" s="281">
        <f>AI7+0*L_nac-L_fus/2</f>
        <v>-7.4249768198019375</v>
      </c>
      <c r="BE410" s="281">
        <f>AH7+D_nac/2*0.5</f>
        <v>6.5772425835265382</v>
      </c>
      <c r="BF410" s="281">
        <f>AJ7+D_nac/2*0.86603</f>
        <v>-1.0407615832830235</v>
      </c>
      <c r="BG410" s="281">
        <f t="shared" si="124"/>
        <v>-1.4600921945029546</v>
      </c>
      <c r="BH410" s="281">
        <f t="shared" si="125"/>
        <v>3.2031179719209351</v>
      </c>
      <c r="BM410" s="281">
        <f>$AZ$55+0.8*(seat_pitch)*($AY$55*n_SA+$AW$5&lt;pax_e)</f>
        <v>26.588000000000001</v>
      </c>
      <c r="BN410" s="281">
        <f>$AX$5</f>
        <v>-1.84</v>
      </c>
      <c r="BO410" s="281">
        <f t="shared" si="126"/>
        <v>8.7775200000000027</v>
      </c>
      <c r="HY410" s="281">
        <f>$HX$15+0.2*(bus_pitch*(n_rows_b&gt;0))*($HW$15*n_SA_b+$HU$7&lt;pax_b)</f>
        <v>6.5</v>
      </c>
      <c r="HZ410" s="281">
        <f>$HV$7+seat_w_b*($HW$15*n_SA_b+$HU$7&lt;pax_b)</f>
        <v>-1.84</v>
      </c>
      <c r="IA410" s="281">
        <f t="shared" si="127"/>
        <v>-11.310479999999998</v>
      </c>
    </row>
    <row r="411" spans="56:235" x14ac:dyDescent="0.25">
      <c r="BD411" s="281">
        <f>AI7+0*L_nac-L_fus/2</f>
        <v>-7.4249768198019375</v>
      </c>
      <c r="BE411" s="281">
        <f>AH7+D_nac/2*0</f>
        <v>6.0190949159048603</v>
      </c>
      <c r="BF411" s="281">
        <f>AJ7+D_nac/2*1</f>
        <v>-0.89121149722047099</v>
      </c>
      <c r="BG411" s="281">
        <f t="shared" si="124"/>
        <v>-1.8188625996256098</v>
      </c>
      <c r="BH411" s="281">
        <f t="shared" si="125"/>
        <v>3.1579592139105124</v>
      </c>
      <c r="BM411" s="281">
        <f>$AZ$55+0.2*(seat_pitch)*($AY$55*n_SA+$AW$5&lt;pax_e)</f>
        <v>26.102</v>
      </c>
      <c r="BN411" s="281">
        <f>$AX$5</f>
        <v>-1.84</v>
      </c>
      <c r="BO411" s="281">
        <f t="shared" si="126"/>
        <v>8.291520000000002</v>
      </c>
      <c r="HY411" s="281">
        <f>$HX$15</f>
        <v>6.5</v>
      </c>
      <c r="HZ411" s="281">
        <f>$HV$7+seat_w_b*($HW$15*n_SA_b+$HU$7&lt;pax_b)</f>
        <v>-1.84</v>
      </c>
      <c r="IA411" s="281">
        <f t="shared" si="127"/>
        <v>-11.310479999999998</v>
      </c>
    </row>
    <row r="412" spans="56:235" x14ac:dyDescent="0.25">
      <c r="BD412" s="281">
        <f>AI7+0*L_nac-L_fus/2</f>
        <v>-7.4249768198019375</v>
      </c>
      <c r="BE412" s="281">
        <f>AH7+D_nac/2*-0.5</f>
        <v>5.4609472482831825</v>
      </c>
      <c r="BF412" s="281">
        <f>AJ7+D_nac/2*0.86603</f>
        <v>-1.0407615832830235</v>
      </c>
      <c r="BG412" s="281">
        <f t="shared" si="124"/>
        <v>-2.177633004748265</v>
      </c>
      <c r="BH412" s="281">
        <f t="shared" si="125"/>
        <v>2.8417236407991058</v>
      </c>
      <c r="BM412" s="281">
        <f>$AZ$55+(seat_pitch)</f>
        <v>26.75</v>
      </c>
      <c r="BN412" s="281">
        <f>$AX$5</f>
        <v>-1.84</v>
      </c>
      <c r="BO412" s="281">
        <f t="shared" si="126"/>
        <v>8.9395200000000017</v>
      </c>
      <c r="HY412" s="281">
        <f>$HX$15+1*(bus_pitch*(n_rows_b&gt;0))*($HW$15*n_SA_b+$HU$7&lt;pax_b)</f>
        <v>6.5</v>
      </c>
      <c r="HZ412" s="281">
        <f>$HV$7+seat_w_b*($HW$15*n_SA_b+$HU$7&lt;pax_b)</f>
        <v>-1.84</v>
      </c>
      <c r="IA412" s="281">
        <f t="shared" si="127"/>
        <v>-11.310479999999998</v>
      </c>
    </row>
    <row r="413" spans="56:235" x14ac:dyDescent="0.25">
      <c r="BD413" s="281">
        <f>AI7+0*L_nac-L_fus/2</f>
        <v>-7.4249768198019375</v>
      </c>
      <c r="BE413" s="281">
        <f>AH7+D_nac/2*-0.86603</f>
        <v>5.0523496667240568</v>
      </c>
      <c r="BF413" s="281">
        <f>AJ7+D_nac/2*0.5</f>
        <v>-1.4493591648421491</v>
      </c>
      <c r="BG413" s="281">
        <f t="shared" si="124"/>
        <v>-2.440274467522356</v>
      </c>
      <c r="BH413" s="281">
        <f t="shared" si="125"/>
        <v>2.3391273038472047</v>
      </c>
      <c r="BM413" s="281">
        <f>$AZ$56+0.2*(seat_pitch)*($AY$56*n_SA+$AW$5&lt;pax_e)</f>
        <v>26.102</v>
      </c>
      <c r="BN413" s="281">
        <f>$AX$5</f>
        <v>-1.84</v>
      </c>
      <c r="BO413" s="281">
        <f t="shared" si="126"/>
        <v>8.291520000000002</v>
      </c>
      <c r="HY413" s="281">
        <f>$HX$15+0.8*(bus_pitch*(n_rows_b&gt;0))*($HW$15*n_SA_b+$HU$7&lt;pax_b)</f>
        <v>6.5</v>
      </c>
      <c r="HZ413" s="281">
        <f>$HV$7+seat_w_b*($HW$15*n_SA_b+$HU$7&lt;pax_b)</f>
        <v>-1.84</v>
      </c>
      <c r="IA413" s="281">
        <f t="shared" si="127"/>
        <v>-11.310479999999998</v>
      </c>
    </row>
    <row r="414" spans="56:235" x14ac:dyDescent="0.25">
      <c r="BD414" s="281">
        <f>AI7+0*L_nac-L_fus/2</f>
        <v>-7.4249768198019375</v>
      </c>
      <c r="BE414" s="281">
        <f>AH7+D_nac/2*-1</f>
        <v>4.9027995806615046</v>
      </c>
      <c r="BF414" s="281">
        <f>AJ7+D_nac/2*0</f>
        <v>-2.007506832463827</v>
      </c>
      <c r="BG414" s="281">
        <f t="shared" si="124"/>
        <v>-2.5364034098709203</v>
      </c>
      <c r="BH414" s="281">
        <f t="shared" si="125"/>
        <v>1.7848577278249429</v>
      </c>
      <c r="BM414" s="281">
        <f>$AZ$56+0.2*(seat_pitch)*($AY$56*n_SA+$AW$5&lt;pax_e)</f>
        <v>26.102</v>
      </c>
      <c r="BN414" s="281">
        <f>$AX$5+seat_w*($AY$56*n_SA+$AW$5&lt;pax_e)</f>
        <v>-1.31</v>
      </c>
      <c r="BO414" s="281">
        <f t="shared" si="126"/>
        <v>8.291520000000002</v>
      </c>
      <c r="HY414" s="281">
        <f>$HX$15+0.8*(bus_pitch*(n_rows_b&gt;0))*($HW$15*n_SA_b+$HU$7&lt;pax_b)</f>
        <v>6.5</v>
      </c>
      <c r="HZ414" s="281">
        <f>$HV$7</f>
        <v>-1.84</v>
      </c>
      <c r="IA414" s="281">
        <f t="shared" si="127"/>
        <v>-11.310479999999998</v>
      </c>
    </row>
    <row r="415" spans="56:235" x14ac:dyDescent="0.25">
      <c r="BD415" s="281">
        <f>AI7+0*L_nac-L_fus/2</f>
        <v>-7.4249768198019375</v>
      </c>
      <c r="BE415" s="281">
        <f>AH7+D_nac/2*-0.86603</f>
        <v>5.0523496667240568</v>
      </c>
      <c r="BF415" s="281">
        <f>AJ7+D_nac/2*-0.5</f>
        <v>-2.5656545000855049</v>
      </c>
      <c r="BG415" s="281">
        <f t="shared" si="124"/>
        <v>-2.440274467522356</v>
      </c>
      <c r="BH415" s="281">
        <f t="shared" si="125"/>
        <v>1.3274201488834638</v>
      </c>
      <c r="BM415" s="281">
        <f>$AZ$56</f>
        <v>25.94</v>
      </c>
      <c r="BN415" s="281">
        <f>$AX$5+seat_w*($AY$56*n_SA+$AW$5&lt;pax_e)</f>
        <v>-1.31</v>
      </c>
      <c r="BO415" s="281">
        <f t="shared" si="126"/>
        <v>8.129520000000003</v>
      </c>
      <c r="HY415" s="281">
        <f>$HX$15+0.2*(bus_pitch*(n_rows_b&gt;0))*($HW$15*n_SA_b+$HU$7&lt;pax_b)</f>
        <v>6.5</v>
      </c>
      <c r="HZ415" s="281">
        <f>$HV$7</f>
        <v>-1.84</v>
      </c>
      <c r="IA415" s="281">
        <f t="shared" si="127"/>
        <v>-11.310479999999998</v>
      </c>
    </row>
    <row r="416" spans="56:235" x14ac:dyDescent="0.25">
      <c r="BD416" s="281">
        <f>AI7+0*L_nac-L_fus/2</f>
        <v>-7.4249768198019375</v>
      </c>
      <c r="BE416" s="281">
        <f>AH7+D_nac/2*-0.5</f>
        <v>5.4609472482831825</v>
      </c>
      <c r="BF416" s="281">
        <f>AJ7+D_nac/2*-0.86603</f>
        <v>-2.9742520816446305</v>
      </c>
      <c r="BG416" s="281">
        <f t="shared" si="124"/>
        <v>-2.177633004748265</v>
      </c>
      <c r="BH416" s="281">
        <f t="shared" si="125"/>
        <v>1.0893861459726084</v>
      </c>
      <c r="BM416" s="281">
        <f>$AZ$56+1*(seat_pitch)*($AY$56*n_SA+$AW$5&lt;pax_e)</f>
        <v>26.75</v>
      </c>
      <c r="BN416" s="281">
        <f>$AX$5+seat_w*($AY$56*n_SA+$AW$5&lt;pax_e)</f>
        <v>-1.31</v>
      </c>
      <c r="BO416" s="281">
        <f t="shared" si="126"/>
        <v>8.9395200000000017</v>
      </c>
      <c r="HY416" s="281">
        <f>$HX$15+(bus_pitch*(n_rows_b&gt;0))</f>
        <v>6.5</v>
      </c>
      <c r="HZ416" s="281">
        <f>$HV$7</f>
        <v>-1.84</v>
      </c>
      <c r="IA416" s="281">
        <f t="shared" si="127"/>
        <v>-11.310479999999998</v>
      </c>
    </row>
    <row r="417" spans="56:235" x14ac:dyDescent="0.25">
      <c r="BD417" s="281">
        <f>AI7+0*L_nac-L_fus/2</f>
        <v>-7.4249768198019375</v>
      </c>
      <c r="BE417" s="281">
        <f>AH7+D_nac/2*0</f>
        <v>6.0190949159048603</v>
      </c>
      <c r="BF417" s="281">
        <f>AJ7+D_nac/2*-1</f>
        <v>-3.1238021677071828</v>
      </c>
      <c r="BG417" s="281">
        <f t="shared" si="124"/>
        <v>-1.8188625996256098</v>
      </c>
      <c r="BH417" s="281">
        <f t="shared" si="125"/>
        <v>1.1345449039830302</v>
      </c>
      <c r="BM417" s="281">
        <f>$AZ$56+0.8*(seat_pitch)*($AY$56*n_SA+$AW$5&lt;pax_e)</f>
        <v>26.588000000000001</v>
      </c>
      <c r="BN417" s="281">
        <f>$AX$5+seat_w*($AY$56*n_SA+$AW$5&lt;pax_e)</f>
        <v>-1.31</v>
      </c>
      <c r="BO417" s="281">
        <f t="shared" si="126"/>
        <v>8.7775200000000027</v>
      </c>
      <c r="HY417" s="281">
        <f>$HX$16+0.2*(bus_pitch*(n_rows_b&gt;0))*($HW$16*n_SA_b+$HU$7&lt;pax_b)</f>
        <v>6.5</v>
      </c>
      <c r="HZ417" s="281">
        <f>$HV$7</f>
        <v>-1.84</v>
      </c>
      <c r="IA417" s="281">
        <f t="shared" si="127"/>
        <v>-11.310479999999998</v>
      </c>
    </row>
    <row r="418" spans="56:235" x14ac:dyDescent="0.25">
      <c r="BD418" s="281">
        <f>AI7+0*L_nac-L_fus/2</f>
        <v>-7.4249768198019375</v>
      </c>
      <c r="BE418" s="281">
        <f>AH7+D_nac/2*0.5</f>
        <v>6.5772425835265382</v>
      </c>
      <c r="BF418" s="281">
        <f>AJ7+D_nac/2*-0.86603</f>
        <v>-2.9742520816446305</v>
      </c>
      <c r="BG418" s="281">
        <f t="shared" si="124"/>
        <v>-1.4600921945029546</v>
      </c>
      <c r="BH418" s="281">
        <f t="shared" si="125"/>
        <v>1.4507804770944377</v>
      </c>
      <c r="BM418" s="281">
        <f>$AZ$56+0.8*(seat_pitch)*($AY$56*n_SA+$AW$5&lt;pax_e)</f>
        <v>26.588000000000001</v>
      </c>
      <c r="BN418" s="281">
        <f>$AX$5</f>
        <v>-1.84</v>
      </c>
      <c r="BO418" s="281">
        <f t="shared" si="126"/>
        <v>8.7775200000000027</v>
      </c>
      <c r="HY418" s="281">
        <f>$HX$16+0.2*(bus_pitch*(n_rows_b&gt;0))*($HW$16*n_SA_b+$HU$7&lt;pax_b)</f>
        <v>6.5</v>
      </c>
      <c r="HZ418" s="281">
        <f>$HV$7+seat_w_b*($HW$16*n_SA_b+$HU$7&lt;pax_b)</f>
        <v>-1.84</v>
      </c>
      <c r="IA418" s="281">
        <f t="shared" si="127"/>
        <v>-11.310479999999998</v>
      </c>
    </row>
    <row r="419" spans="56:235" x14ac:dyDescent="0.25">
      <c r="BD419" s="281">
        <f>AI7+0*L_nac-L_fus/2</f>
        <v>-7.4249768198019375</v>
      </c>
      <c r="BE419" s="281">
        <f>AH7+D_nac/2*0.86603</f>
        <v>6.9858401650856639</v>
      </c>
      <c r="BF419" s="281">
        <f>AJ7+D_nac/2*-0.5</f>
        <v>-2.5656545000855049</v>
      </c>
      <c r="BG419" s="281">
        <f t="shared" si="124"/>
        <v>-1.1974507317288632</v>
      </c>
      <c r="BH419" s="281">
        <f t="shared" si="125"/>
        <v>1.9533768140463375</v>
      </c>
      <c r="BM419" s="281">
        <f>$AZ$56+0.2*(seat_pitch)*($AY$56*n_SA+$AW$5&lt;pax_e)</f>
        <v>26.102</v>
      </c>
      <c r="BN419" s="281">
        <f>$AX$5</f>
        <v>-1.84</v>
      </c>
      <c r="BO419" s="281">
        <f t="shared" si="126"/>
        <v>8.291520000000002</v>
      </c>
      <c r="HY419" s="281">
        <f>$HX$16</f>
        <v>6.5</v>
      </c>
      <c r="HZ419" s="281">
        <f>$HV$7+seat_w_b*($HW$16*n_SA_b+$HU$7&lt;pax_b)</f>
        <v>-1.84</v>
      </c>
      <c r="IA419" s="281">
        <f t="shared" si="127"/>
        <v>-11.310479999999998</v>
      </c>
    </row>
    <row r="420" spans="56:235" x14ac:dyDescent="0.25">
      <c r="BD420" s="281">
        <f>AI7+0*L_nac-L_fus/2</f>
        <v>-7.4249768198019375</v>
      </c>
      <c r="BE420" s="281">
        <f>AH7+D_nac/2*1</f>
        <v>7.1353902511482161</v>
      </c>
      <c r="BF420" s="281">
        <f>AJ7+D_nac/2*0</f>
        <v>-2.007506832463827</v>
      </c>
      <c r="BG420" s="281">
        <f t="shared" si="124"/>
        <v>-1.1013217893802993</v>
      </c>
      <c r="BH420" s="281">
        <f t="shared" si="125"/>
        <v>2.5076463900686008</v>
      </c>
      <c r="BM420" s="281">
        <f>$AZ$56+(seat_pitch)</f>
        <v>26.75</v>
      </c>
      <c r="BN420" s="281">
        <f>$AX$5</f>
        <v>-1.84</v>
      </c>
      <c r="BO420" s="281">
        <f t="shared" si="126"/>
        <v>8.9395200000000017</v>
      </c>
      <c r="HY420" s="281">
        <f>$HX$16+1*(bus_pitch*(n_rows_b&gt;0))*($HW$16*n_SA_b+$HU$7&lt;pax_b)</f>
        <v>6.5</v>
      </c>
      <c r="HZ420" s="281">
        <f>$HV$7+seat_w_b*($HW$16*n_SA_b+$HU$7&lt;pax_b)</f>
        <v>-1.84</v>
      </c>
      <c r="IA420" s="281">
        <f t="shared" si="127"/>
        <v>-11.310479999999998</v>
      </c>
    </row>
    <row r="421" spans="56:235" x14ac:dyDescent="0.25">
      <c r="BD421" s="281">
        <f>AI7+1*L_nac-L_fus/2</f>
        <v>-3.1011786900655132</v>
      </c>
      <c r="BE421" s="281">
        <f>AH7+D_nac/2*1</f>
        <v>7.1353902511482161</v>
      </c>
      <c r="BF421" s="281">
        <f>AJ7+D_nac/2*0</f>
        <v>-2.007506832463827</v>
      </c>
      <c r="BG421" s="281">
        <f t="shared" si="124"/>
        <v>2.2108997410725189</v>
      </c>
      <c r="BH421" s="281">
        <f t="shared" si="125"/>
        <v>1.3330702743356559</v>
      </c>
      <c r="BM421" s="281">
        <f>$AZ$57+0.2*(seat_pitch)*($AY$57*n_SA+$AW$5&lt;pax_e)</f>
        <v>26.102</v>
      </c>
      <c r="BN421" s="281">
        <f>$AX$5</f>
        <v>-1.84</v>
      </c>
      <c r="BO421" s="281">
        <f t="shared" si="126"/>
        <v>8.291520000000002</v>
      </c>
      <c r="HY421" s="281">
        <f>$HX$16+0.8*(bus_pitch*(n_rows_b&gt;0))*($HW$16*n_SA_b+$HU$7&lt;pax_b)</f>
        <v>6.5</v>
      </c>
      <c r="HZ421" s="281">
        <f>$HV$7+seat_w_b*($HW$16*n_SA_b+$HU$7&lt;pax_b)</f>
        <v>-1.84</v>
      </c>
      <c r="IA421" s="281">
        <f t="shared" si="127"/>
        <v>-11.310479999999998</v>
      </c>
    </row>
    <row r="422" spans="56:235" x14ac:dyDescent="0.25">
      <c r="BD422" s="281">
        <f>AI7+1*L_nac-L_fus/2</f>
        <v>-3.1011786900655132</v>
      </c>
      <c r="BE422" s="281">
        <f>AH7+D_nac/2*0.86603</f>
        <v>6.9858401650856639</v>
      </c>
      <c r="BF422" s="281">
        <f>AJ7+D_nac/2*0.5</f>
        <v>-1.4493591648421491</v>
      </c>
      <c r="BG422" s="281">
        <f t="shared" si="124"/>
        <v>2.114770798723955</v>
      </c>
      <c r="BH422" s="281">
        <f t="shared" si="125"/>
        <v>1.7905078532771352</v>
      </c>
      <c r="BM422" s="281">
        <f>$AZ$57+0.2*(seat_pitch)*($AY$57*n_SA+$AW$5&lt;pax_e)</f>
        <v>26.102</v>
      </c>
      <c r="BN422" s="281">
        <f>$AX$5+seat_w*($AY$57*n_SA+$AW$5&lt;pax_e)</f>
        <v>-1.31</v>
      </c>
      <c r="BO422" s="281">
        <f t="shared" si="126"/>
        <v>8.291520000000002</v>
      </c>
      <c r="HY422" s="281">
        <f>$HX$16+0.8*(bus_pitch*(n_rows_b&gt;0))*($HW$16*n_SA_b+$HU$7&lt;pax_b)</f>
        <v>6.5</v>
      </c>
      <c r="HZ422" s="281">
        <f>$HV$7</f>
        <v>-1.84</v>
      </c>
      <c r="IA422" s="281">
        <f t="shared" si="127"/>
        <v>-11.310479999999998</v>
      </c>
    </row>
    <row r="423" spans="56:235" x14ac:dyDescent="0.25">
      <c r="BD423" s="281">
        <f>AI7+1*L_nac-L_fus/2</f>
        <v>-3.1011786900655132</v>
      </c>
      <c r="BE423" s="281">
        <f>AH7+D_nac/2*0.5</f>
        <v>6.5772425835265382</v>
      </c>
      <c r="BF423" s="281">
        <f>AJ7+D_nac/2*0.86603</f>
        <v>-1.0407615832830235</v>
      </c>
      <c r="BG423" s="281">
        <f t="shared" si="124"/>
        <v>1.8521293359498636</v>
      </c>
      <c r="BH423" s="281">
        <f t="shared" si="125"/>
        <v>2.0285418561879904</v>
      </c>
      <c r="BM423" s="281">
        <f>$AZ$57</f>
        <v>25.94</v>
      </c>
      <c r="BN423" s="281">
        <f>$AX$5+seat_w*($AY$57*n_SA+$AW$5&lt;pax_e)</f>
        <v>-1.31</v>
      </c>
      <c r="BO423" s="281">
        <f t="shared" si="126"/>
        <v>8.129520000000003</v>
      </c>
      <c r="HY423" s="281">
        <f>$HX$16+0.2*(bus_pitch*(n_rows_b&gt;0))*($HW$16*n_SA_b+$HU$7&lt;pax_b)</f>
        <v>6.5</v>
      </c>
      <c r="HZ423" s="281">
        <f>$HV$7</f>
        <v>-1.84</v>
      </c>
      <c r="IA423" s="281">
        <f t="shared" si="127"/>
        <v>-11.310479999999998</v>
      </c>
    </row>
    <row r="424" spans="56:235" x14ac:dyDescent="0.25">
      <c r="BD424" s="281">
        <f>AI7+1*L_nac-L_fus/2</f>
        <v>-3.1011786900655132</v>
      </c>
      <c r="BE424" s="281">
        <f>AH7+D_nac/2*0</f>
        <v>6.0190949159048603</v>
      </c>
      <c r="BF424" s="281">
        <f>AJ7+D_nac/2*1</f>
        <v>-0.89121149722047099</v>
      </c>
      <c r="BG424" s="281">
        <f t="shared" si="124"/>
        <v>1.4933589308272084</v>
      </c>
      <c r="BH424" s="281">
        <f t="shared" si="125"/>
        <v>1.9833830981775682</v>
      </c>
      <c r="BM424" s="281">
        <f>$AZ$57+1*(seat_pitch)*($AY$57*n_SA+$AW$5&lt;pax_e)</f>
        <v>26.75</v>
      </c>
      <c r="BN424" s="281">
        <f>$AX$5+seat_w*($AY$57*n_SA+$AW$5&lt;pax_e)</f>
        <v>-1.31</v>
      </c>
      <c r="BO424" s="281">
        <f t="shared" si="126"/>
        <v>8.9395200000000017</v>
      </c>
      <c r="HY424" s="281">
        <f>$HX$16+(bus_pitch*(n_rows_b&gt;0))</f>
        <v>6.5</v>
      </c>
      <c r="HZ424" s="281">
        <f>$HV$7</f>
        <v>-1.84</v>
      </c>
      <c r="IA424" s="281">
        <f t="shared" si="127"/>
        <v>-11.310479999999998</v>
      </c>
    </row>
    <row r="425" spans="56:235" x14ac:dyDescent="0.25">
      <c r="BD425" s="281">
        <f>AI7+1*L_nac-L_fus/2</f>
        <v>-3.1011786900655132</v>
      </c>
      <c r="BE425" s="281">
        <f>AH7+D_nac/2*-0.5</f>
        <v>5.4609472482831825</v>
      </c>
      <c r="BF425" s="281">
        <f>AJ7+D_nac/2*0.86603</f>
        <v>-1.0407615832830235</v>
      </c>
      <c r="BG425" s="281">
        <f t="shared" si="124"/>
        <v>1.1345885257045532</v>
      </c>
      <c r="BH425" s="281">
        <f t="shared" si="125"/>
        <v>1.6671475250661616</v>
      </c>
      <c r="BM425" s="281">
        <f>$AZ$57+0.8*(seat_pitch)*($AY$57*n_SA+$AW$5&lt;pax_e)</f>
        <v>26.588000000000001</v>
      </c>
      <c r="BN425" s="281">
        <f>$AX$5+seat_w*($AY$57*n_SA+$AW$5&lt;pax_e)</f>
        <v>-1.31</v>
      </c>
      <c r="BO425" s="281">
        <f t="shared" si="126"/>
        <v>8.7775200000000027</v>
      </c>
      <c r="HY425" s="281">
        <f>$HX$17+0.2*(bus_pitch*(n_rows_b&gt;0))*($HW$17*n_SA_b+$HU$7&lt;pax_b)</f>
        <v>6.5</v>
      </c>
      <c r="HZ425" s="281">
        <f>$HV$7</f>
        <v>-1.84</v>
      </c>
      <c r="IA425" s="281">
        <f t="shared" si="127"/>
        <v>-11.310479999999998</v>
      </c>
    </row>
    <row r="426" spans="56:235" x14ac:dyDescent="0.25">
      <c r="BD426" s="281">
        <f>AI7+1*L_nac-L_fus/2</f>
        <v>-3.1011786900655132</v>
      </c>
      <c r="BE426" s="281">
        <f>AH7+D_nac/2*-0.86603</f>
        <v>5.0523496667240568</v>
      </c>
      <c r="BF426" s="281">
        <f>AJ7+D_nac/2*0.5</f>
        <v>-1.4493591648421491</v>
      </c>
      <c r="BG426" s="281">
        <f t="shared" si="124"/>
        <v>0.8719470629304622</v>
      </c>
      <c r="BH426" s="281">
        <f t="shared" si="125"/>
        <v>1.1645511881142603</v>
      </c>
      <c r="BM426" s="281">
        <f>$AZ$57+0.8*(seat_pitch)*($AY$57*n_SA+$AW$5&lt;pax_e)</f>
        <v>26.588000000000001</v>
      </c>
      <c r="BN426" s="281">
        <f>$AX$5</f>
        <v>-1.84</v>
      </c>
      <c r="BO426" s="281">
        <f t="shared" si="126"/>
        <v>8.7775200000000027</v>
      </c>
      <c r="HY426" s="281">
        <f>$HX$17+0.2*(bus_pitch*(n_rows_b&gt;0))*($HW$17*n_SA_b+$HU$7&lt;pax_b)</f>
        <v>6.5</v>
      </c>
      <c r="HZ426" s="281">
        <f>$HV$7+seat_w_b*($HW$17*n_SA_b+$HU$7&lt;pax_b)</f>
        <v>-1.84</v>
      </c>
      <c r="IA426" s="281">
        <f t="shared" si="127"/>
        <v>-11.310479999999998</v>
      </c>
    </row>
    <row r="427" spans="56:235" x14ac:dyDescent="0.25">
      <c r="BD427" s="281">
        <f>AI7+1*L_nac-L_fus/2</f>
        <v>-3.1011786900655132</v>
      </c>
      <c r="BE427" s="281">
        <f>AH7+D_nac/2*-1</f>
        <v>4.9027995806615046</v>
      </c>
      <c r="BF427" s="281">
        <f>AJ7+D_nac/2*0</f>
        <v>-2.007506832463827</v>
      </c>
      <c r="BG427" s="281">
        <f t="shared" si="124"/>
        <v>0.77581812058189792</v>
      </c>
      <c r="BH427" s="281">
        <f t="shared" si="125"/>
        <v>0.61028161209199827</v>
      </c>
      <c r="BM427" s="281">
        <f>$AZ$57+0.2*(seat_pitch)*($AY$57*n_SA+$AW$5&lt;pax_e)</f>
        <v>26.102</v>
      </c>
      <c r="BN427" s="281">
        <f>$AX$5</f>
        <v>-1.84</v>
      </c>
      <c r="BO427" s="281">
        <f t="shared" si="126"/>
        <v>8.291520000000002</v>
      </c>
      <c r="HY427" s="281">
        <f>$HX$17</f>
        <v>6.5</v>
      </c>
      <c r="HZ427" s="281">
        <f>$HV$7+seat_w_b*($HW$17*n_SA_b+$HU$7&lt;pax_b)</f>
        <v>-1.84</v>
      </c>
      <c r="IA427" s="281">
        <f t="shared" si="127"/>
        <v>-11.310479999999998</v>
      </c>
    </row>
    <row r="428" spans="56:235" x14ac:dyDescent="0.25">
      <c r="BD428" s="281">
        <f>AI7+1*L_nac-L_fus/2</f>
        <v>-3.1011786900655132</v>
      </c>
      <c r="BE428" s="281">
        <f>AH7+D_nac/2*-0.86603</f>
        <v>5.0523496667240568</v>
      </c>
      <c r="BF428" s="281">
        <f>AJ7+D_nac/2*-0.5</f>
        <v>-2.5656545000855049</v>
      </c>
      <c r="BG428" s="281">
        <f t="shared" si="124"/>
        <v>0.8719470629304622</v>
      </c>
      <c r="BH428" s="281">
        <f t="shared" si="125"/>
        <v>0.1528440331505192</v>
      </c>
      <c r="BM428" s="281">
        <f>$AZ$57+(seat_pitch)</f>
        <v>26.75</v>
      </c>
      <c r="BN428" s="281">
        <f>$AX$5</f>
        <v>-1.84</v>
      </c>
      <c r="BO428" s="281">
        <f t="shared" si="126"/>
        <v>8.9395200000000017</v>
      </c>
      <c r="HY428" s="281">
        <f>$HX$17+1*(bus_pitch*(n_rows_b&gt;0))*($HW$17*n_SA_b+$HU$7&lt;pax_b)</f>
        <v>6.5</v>
      </c>
      <c r="HZ428" s="281">
        <f>$HV$7+seat_w_b*($HW$17*n_SA_b+$HU$7&lt;pax_b)</f>
        <v>-1.84</v>
      </c>
      <c r="IA428" s="281">
        <f t="shared" si="127"/>
        <v>-11.310479999999998</v>
      </c>
    </row>
    <row r="429" spans="56:235" x14ac:dyDescent="0.25">
      <c r="BD429" s="281">
        <f>AI7+1*L_nac-L_fus/2</f>
        <v>-3.1011786900655132</v>
      </c>
      <c r="BE429" s="281">
        <f>AH7+D_nac/2*-0.5</f>
        <v>5.4609472482831825</v>
      </c>
      <c r="BF429" s="281">
        <f>AJ7+D_nac/2*-0.86603</f>
        <v>-2.9742520816446305</v>
      </c>
      <c r="BG429" s="281">
        <f t="shared" si="124"/>
        <v>1.1345885257045532</v>
      </c>
      <c r="BH429" s="281">
        <f t="shared" si="125"/>
        <v>-8.5189969760335771E-2</v>
      </c>
      <c r="BM429" s="281">
        <f>$AZ$58+0.2*(seat_pitch)*($AY$58*n_SA+$AW$5&lt;pax_e)</f>
        <v>26.102</v>
      </c>
      <c r="BN429" s="281">
        <f>$AX$5</f>
        <v>-1.84</v>
      </c>
      <c r="BO429" s="281">
        <f t="shared" si="126"/>
        <v>8.291520000000002</v>
      </c>
      <c r="HY429" s="281">
        <f>$HX$17+0.8*(bus_pitch*(n_rows_b&gt;0))*($HW$17*n_SA_b+$HU$7&lt;pax_b)</f>
        <v>6.5</v>
      </c>
      <c r="HZ429" s="281">
        <f>$HV$7+seat_w_b*($HW$17*n_SA_b+$HU$7&lt;pax_b)</f>
        <v>-1.84</v>
      </c>
      <c r="IA429" s="281">
        <f t="shared" si="127"/>
        <v>-11.310479999999998</v>
      </c>
    </row>
    <row r="430" spans="56:235" x14ac:dyDescent="0.25">
      <c r="BD430" s="281">
        <f>AI7+1*L_nac-L_fus/2</f>
        <v>-3.1011786900655132</v>
      </c>
      <c r="BE430" s="281">
        <f>AH7+D_nac/2*0</f>
        <v>6.0190949159048603</v>
      </c>
      <c r="BF430" s="281">
        <f>AJ7+D_nac/2*-1</f>
        <v>-3.1238021677071828</v>
      </c>
      <c r="BG430" s="281">
        <f t="shared" si="124"/>
        <v>1.4933589308272084</v>
      </c>
      <c r="BH430" s="281">
        <f t="shared" si="125"/>
        <v>-4.0031211749913975E-2</v>
      </c>
      <c r="BM430" s="281">
        <f>$AZ$58+0.2*(seat_pitch)*($AY$58*n_SA+$AW$5&lt;pax_e)</f>
        <v>26.102</v>
      </c>
      <c r="BN430" s="281">
        <f>$AX$5+seat_w*($AY$58*n_SA+$AW$5&lt;pax_e)</f>
        <v>-1.31</v>
      </c>
      <c r="BO430" s="281">
        <f t="shared" si="126"/>
        <v>8.291520000000002</v>
      </c>
      <c r="HY430" s="281">
        <f>$HX$17+0.8*(bus_pitch*(n_rows_b&gt;0))*($HW$17*n_SA_b+$HU$7&lt;pax_b)</f>
        <v>6.5</v>
      </c>
      <c r="HZ430" s="281">
        <f>$HV$7</f>
        <v>-1.84</v>
      </c>
      <c r="IA430" s="281">
        <f t="shared" si="127"/>
        <v>-11.310479999999998</v>
      </c>
    </row>
    <row r="431" spans="56:235" x14ac:dyDescent="0.25">
      <c r="BD431" s="281">
        <f>AI7+1*L_nac-L_fus/2</f>
        <v>-3.1011786900655132</v>
      </c>
      <c r="BE431" s="281">
        <f>AH7+D_nac/2*0.5</f>
        <v>6.5772425835265382</v>
      </c>
      <c r="BF431" s="281">
        <f>AJ7+D_nac/2*-0.86603</f>
        <v>-2.9742520816446305</v>
      </c>
      <c r="BG431" s="281">
        <f t="shared" si="124"/>
        <v>1.8521293359498636</v>
      </c>
      <c r="BH431" s="281">
        <f t="shared" si="125"/>
        <v>0.27620436136149307</v>
      </c>
      <c r="BM431" s="281">
        <f>$AZ$58</f>
        <v>25.94</v>
      </c>
      <c r="BN431" s="281">
        <f>$AX$5+seat_w*($AY$58*n_SA+$AW$5&lt;pax_e)</f>
        <v>-1.31</v>
      </c>
      <c r="BO431" s="281">
        <f t="shared" si="126"/>
        <v>8.129520000000003</v>
      </c>
      <c r="HY431" s="281">
        <f>$HX$17+0.2*(bus_pitch*(n_rows_b&gt;0))*($HW$17*n_SA_b+$HU$7&lt;pax_b)</f>
        <v>6.5</v>
      </c>
      <c r="HZ431" s="281">
        <f>$HV$7</f>
        <v>-1.84</v>
      </c>
      <c r="IA431" s="281">
        <f t="shared" si="127"/>
        <v>-11.310479999999998</v>
      </c>
    </row>
    <row r="432" spans="56:235" x14ac:dyDescent="0.25">
      <c r="BD432" s="281">
        <f>AI7+1*L_nac-L_fus/2</f>
        <v>-3.1011786900655132</v>
      </c>
      <c r="BE432" s="281">
        <f>AH7+D_nac/2*0.86603</f>
        <v>6.9858401650856639</v>
      </c>
      <c r="BF432" s="281">
        <f>AJ7+D_nac/2*-0.5</f>
        <v>-2.5656545000855049</v>
      </c>
      <c r="BG432" s="281">
        <f t="shared" si="124"/>
        <v>2.114770798723955</v>
      </c>
      <c r="BH432" s="281">
        <f t="shared" si="125"/>
        <v>0.77880069831339416</v>
      </c>
      <c r="BM432" s="281">
        <f>$AZ$58+1*(seat_pitch)*($AY$58*n_SA+$AW$5&lt;pax_e)</f>
        <v>26.75</v>
      </c>
      <c r="BN432" s="281">
        <f>$AX$5+seat_w*($AY$58*n_SA+$AW$5&lt;pax_e)</f>
        <v>-1.31</v>
      </c>
      <c r="BO432" s="281">
        <f t="shared" si="126"/>
        <v>8.9395200000000017</v>
      </c>
      <c r="HY432" s="281">
        <f>$HX$17+(bus_pitch*(n_rows_b&gt;0))</f>
        <v>6.5</v>
      </c>
      <c r="HZ432" s="281">
        <f>$HV$7</f>
        <v>-1.84</v>
      </c>
      <c r="IA432" s="281">
        <f t="shared" si="127"/>
        <v>-11.310479999999998</v>
      </c>
    </row>
    <row r="433" spans="56:235" x14ac:dyDescent="0.25">
      <c r="BD433" s="281">
        <f>AI7+1*L_nac-L_fus/2</f>
        <v>-3.1011786900655132</v>
      </c>
      <c r="BE433" s="281">
        <f>AH7+D_nac/2*1</f>
        <v>7.1353902511482161</v>
      </c>
      <c r="BF433" s="281">
        <f>AJ7+D_nac/2*0</f>
        <v>-2.007506832463827</v>
      </c>
      <c r="BG433" s="281">
        <f t="shared" si="124"/>
        <v>2.2108997410725189</v>
      </c>
      <c r="BH433" s="281">
        <f t="shared" si="125"/>
        <v>1.3330702743356559</v>
      </c>
      <c r="BM433" s="281">
        <f>$AZ$58+0.8*(seat_pitch)*($AY$58*n_SA+$AW$5&lt;pax_e)</f>
        <v>26.588000000000001</v>
      </c>
      <c r="BN433" s="281">
        <f>$AX$5+seat_w*($AY$58*n_SA+$AW$5&lt;pax_e)</f>
        <v>-1.31</v>
      </c>
      <c r="BO433" s="281">
        <f t="shared" si="126"/>
        <v>8.7775200000000027</v>
      </c>
      <c r="HY433" s="281">
        <f>$HX$18+0.2*(bus_pitch*(n_rows_b&gt;0))*($HW$18*n_SA_b+$HU$7&lt;pax_b)</f>
        <v>6.5</v>
      </c>
      <c r="HZ433" s="281">
        <f>$HV$7</f>
        <v>-1.84</v>
      </c>
      <c r="IA433" s="281">
        <f t="shared" si="127"/>
        <v>-11.310479999999998</v>
      </c>
    </row>
    <row r="434" spans="56:235" x14ac:dyDescent="0.25">
      <c r="BD434" s="281">
        <f>AI8+0*L_nac-L_fus/2</f>
        <v>-7.4249768198019375</v>
      </c>
      <c r="BE434" s="281">
        <f>AH8+D_nac/2*1</f>
        <v>-4.9027995806615046</v>
      </c>
      <c r="BF434" s="281">
        <f>AJ8+D_nac/2*0</f>
        <v>-2.007506832463827</v>
      </c>
      <c r="BG434" s="281">
        <f t="shared" si="124"/>
        <v>-8.8393210563220705</v>
      </c>
      <c r="BH434" s="281">
        <f t="shared" si="125"/>
        <v>-1.389649804612751</v>
      </c>
      <c r="BM434" s="281">
        <f>$AZ$58+0.8*(seat_pitch)*($AY$58*n_SA+$AW$5&lt;pax_e)</f>
        <v>26.588000000000001</v>
      </c>
      <c r="BN434" s="281">
        <f>$AX$5</f>
        <v>-1.84</v>
      </c>
      <c r="BO434" s="281">
        <f t="shared" si="126"/>
        <v>8.7775200000000027</v>
      </c>
      <c r="HY434" s="281">
        <f>$HX$18+0.2*(bus_pitch*(n_rows_b&gt;0))*($HW$18*n_SA_b+$HU$7&lt;pax_b)</f>
        <v>6.5</v>
      </c>
      <c r="HZ434" s="281">
        <f>$HV$7+seat_w_b*($HW$18*n_SA_b+$HU$7&lt;pax_b)</f>
        <v>-1.84</v>
      </c>
      <c r="IA434" s="281">
        <f t="shared" si="127"/>
        <v>-11.310479999999998</v>
      </c>
    </row>
    <row r="435" spans="56:235" x14ac:dyDescent="0.25">
      <c r="BD435" s="281">
        <f>AI8+0*L_nac-L_fus/2</f>
        <v>-7.4249768198019375</v>
      </c>
      <c r="BE435" s="281">
        <f>AH8+D_nac/2*0.86603</f>
        <v>-5.0523496667240568</v>
      </c>
      <c r="BF435" s="281">
        <f>AJ8+D_nac/2*0.5</f>
        <v>-1.4493591648421491</v>
      </c>
      <c r="BG435" s="281">
        <f t="shared" si="124"/>
        <v>-8.9354499986706362</v>
      </c>
      <c r="BH435" s="281">
        <f t="shared" si="125"/>
        <v>-0.93221222567127193</v>
      </c>
      <c r="BM435" s="281">
        <f>$AZ$58+0.2*(seat_pitch)*($AY$58*n_SA+$AW$5&lt;pax_e)</f>
        <v>26.102</v>
      </c>
      <c r="BN435" s="281">
        <f>$AX$5</f>
        <v>-1.84</v>
      </c>
      <c r="BO435" s="281">
        <f t="shared" si="126"/>
        <v>8.291520000000002</v>
      </c>
      <c r="HY435" s="281">
        <f>$HX$18</f>
        <v>6.5</v>
      </c>
      <c r="HZ435" s="281">
        <f>$HV$7+seat_w_b*($HW$18*n_SA_b+$HU$7&lt;pax_b)</f>
        <v>-1.84</v>
      </c>
      <c r="IA435" s="281">
        <f t="shared" si="127"/>
        <v>-11.310479999999998</v>
      </c>
    </row>
    <row r="436" spans="56:235" x14ac:dyDescent="0.25">
      <c r="BD436" s="281">
        <f>AI8+0*L_nac-L_fus/2</f>
        <v>-7.4249768198019375</v>
      </c>
      <c r="BE436" s="281">
        <f>AH8+D_nac/2*0.5</f>
        <v>-5.4609472482831825</v>
      </c>
      <c r="BF436" s="281">
        <f>AJ8+D_nac/2*0.86603</f>
        <v>-1.0407615832830235</v>
      </c>
      <c r="BG436" s="281">
        <f t="shared" si="124"/>
        <v>-9.1980914614447258</v>
      </c>
      <c r="BH436" s="281">
        <f t="shared" si="125"/>
        <v>-0.69417822276041674</v>
      </c>
      <c r="BM436" s="281">
        <f>$AZ$58+(seat_pitch)</f>
        <v>26.75</v>
      </c>
      <c r="BN436" s="281">
        <f>$AX$5</f>
        <v>-1.84</v>
      </c>
      <c r="BO436" s="281">
        <f t="shared" si="126"/>
        <v>8.9395200000000017</v>
      </c>
      <c r="HY436" s="281">
        <f>$HX$18+1*(bus_pitch*(n_rows_b&gt;0))*($HW$18*n_SA_b+$HU$7&lt;pax_b)</f>
        <v>6.5</v>
      </c>
      <c r="HZ436" s="281">
        <f>$HV$7+seat_w_b*($HW$18*n_SA_b+$HU$7&lt;pax_b)</f>
        <v>-1.84</v>
      </c>
      <c r="IA436" s="281">
        <f t="shared" si="127"/>
        <v>-11.310479999999998</v>
      </c>
    </row>
    <row r="437" spans="56:235" x14ac:dyDescent="0.25">
      <c r="BD437" s="281">
        <f>AI8+0*L_nac-L_fus/2</f>
        <v>-7.4249768198019375</v>
      </c>
      <c r="BE437" s="281">
        <f>AH8+D_nac/2*0</f>
        <v>-6.0190949159048603</v>
      </c>
      <c r="BF437" s="281">
        <f>AJ8+D_nac/2*1</f>
        <v>-0.89121149722047099</v>
      </c>
      <c r="BG437" s="281">
        <f t="shared" si="124"/>
        <v>-9.556861866567381</v>
      </c>
      <c r="BH437" s="281">
        <f t="shared" si="125"/>
        <v>-0.73933698077083843</v>
      </c>
      <c r="BM437" s="281">
        <f>$AZ$59+0.2*(seat_pitch)*($AY$59*n_SA+$AW$5&lt;pax_e)</f>
        <v>26.102</v>
      </c>
      <c r="BN437" s="281">
        <f>$AX$5</f>
        <v>-1.84</v>
      </c>
      <c r="BO437" s="281">
        <f t="shared" si="126"/>
        <v>8.291520000000002</v>
      </c>
      <c r="HY437" s="281">
        <f>$HX$18+0.8*(bus_pitch*(n_rows_b&gt;0))*($HW$18*n_SA_b+$HU$7&lt;pax_b)</f>
        <v>6.5</v>
      </c>
      <c r="HZ437" s="281">
        <f>$HV$7+seat_w_b*($HW$18*n_SA_b+$HU$7&lt;pax_b)</f>
        <v>-1.84</v>
      </c>
      <c r="IA437" s="281">
        <f t="shared" si="127"/>
        <v>-11.310479999999998</v>
      </c>
    </row>
    <row r="438" spans="56:235" x14ac:dyDescent="0.25">
      <c r="BD438" s="281">
        <f>AI8+0*L_nac-L_fus/2</f>
        <v>-7.4249768198019375</v>
      </c>
      <c r="BE438" s="281">
        <f>AH8+D_nac/2*-0.5</f>
        <v>-6.5772425835265382</v>
      </c>
      <c r="BF438" s="281">
        <f>AJ8+D_nac/2*0.86603</f>
        <v>-1.0407615832830235</v>
      </c>
      <c r="BG438" s="281">
        <f t="shared" si="124"/>
        <v>-9.9156322716900362</v>
      </c>
      <c r="BH438" s="281">
        <f t="shared" si="125"/>
        <v>-1.0555725538822456</v>
      </c>
      <c r="BM438" s="281">
        <f>$AZ$59+0.2*(seat_pitch)*($AY$59*n_SA+$AW$5&lt;pax_e)</f>
        <v>26.102</v>
      </c>
      <c r="BN438" s="281">
        <f>$AX$5+seat_w*($AY$59*n_SA+$AW$5&lt;pax_e)</f>
        <v>-1.31</v>
      </c>
      <c r="BO438" s="281">
        <f t="shared" si="126"/>
        <v>8.291520000000002</v>
      </c>
      <c r="HY438" s="281">
        <f>$HX$18+0.8*(bus_pitch*(n_rows_b&gt;0))*($HW$18*n_SA_b+$HU$7&lt;pax_b)</f>
        <v>6.5</v>
      </c>
      <c r="HZ438" s="281">
        <f>$HV$7</f>
        <v>-1.84</v>
      </c>
      <c r="IA438" s="281">
        <f t="shared" si="127"/>
        <v>-11.310479999999998</v>
      </c>
    </row>
    <row r="439" spans="56:235" x14ac:dyDescent="0.25">
      <c r="BD439" s="281">
        <f>AI8+0*L_nac-L_fus/2</f>
        <v>-7.4249768198019375</v>
      </c>
      <c r="BE439" s="281">
        <f>AH8+D_nac/2*-0.86603</f>
        <v>-6.9858401650856639</v>
      </c>
      <c r="BF439" s="281">
        <f>AJ8+D_nac/2*0.5</f>
        <v>-1.4493591648421491</v>
      </c>
      <c r="BG439" s="281">
        <f t="shared" si="124"/>
        <v>-10.178273734464128</v>
      </c>
      <c r="BH439" s="281">
        <f t="shared" si="125"/>
        <v>-1.5581688908341467</v>
      </c>
      <c r="BM439" s="281">
        <f>$AZ$59</f>
        <v>25.94</v>
      </c>
      <c r="BN439" s="281">
        <f>$AX$5+seat_w*($AY$59*n_SA+$AW$5&lt;pax_e)</f>
        <v>-1.31</v>
      </c>
      <c r="BO439" s="281">
        <f t="shared" si="126"/>
        <v>8.129520000000003</v>
      </c>
      <c r="HY439" s="281">
        <f>$HX$18+0.2*(bus_pitch*(n_rows_b&gt;0))*($HW$18*n_SA_b+$HU$7&lt;pax_b)</f>
        <v>6.5</v>
      </c>
      <c r="HZ439" s="281">
        <f>$HV$7</f>
        <v>-1.84</v>
      </c>
      <c r="IA439" s="281">
        <f t="shared" si="127"/>
        <v>-11.310479999999998</v>
      </c>
    </row>
    <row r="440" spans="56:235" x14ac:dyDescent="0.25">
      <c r="BD440" s="281">
        <f>AI8+0*L_nac-L_fus/2</f>
        <v>-7.4249768198019375</v>
      </c>
      <c r="BE440" s="281">
        <f>AH8+D_nac/2*-1</f>
        <v>-7.1353902511482161</v>
      </c>
      <c r="BF440" s="281">
        <f>AJ8+D_nac/2*0</f>
        <v>-2.007506832463827</v>
      </c>
      <c r="BG440" s="281">
        <f t="shared" si="124"/>
        <v>-10.274402676812691</v>
      </c>
      <c r="BH440" s="281">
        <f t="shared" si="125"/>
        <v>-2.1124384668564082</v>
      </c>
      <c r="BM440" s="281">
        <f>$AZ$59+1*(seat_pitch)*($AY$59*n_SA+$AW$5&lt;pax_e)</f>
        <v>26.75</v>
      </c>
      <c r="BN440" s="281">
        <f>$AX$5+seat_w*($AY$59*n_SA+$AW$5&lt;pax_e)</f>
        <v>-1.31</v>
      </c>
      <c r="BO440" s="281">
        <f t="shared" si="126"/>
        <v>8.9395200000000017</v>
      </c>
      <c r="HY440" s="281">
        <f>$HX$18+(bus_pitch*(n_rows_b&gt;0))</f>
        <v>6.5</v>
      </c>
      <c r="HZ440" s="281">
        <f>$HV$7</f>
        <v>-1.84</v>
      </c>
      <c r="IA440" s="281">
        <f t="shared" si="127"/>
        <v>-11.310479999999998</v>
      </c>
    </row>
    <row r="441" spans="56:235" x14ac:dyDescent="0.25">
      <c r="BD441" s="281">
        <f>AI8+0*L_nac-L_fus/2</f>
        <v>-7.4249768198019375</v>
      </c>
      <c r="BE441" s="281">
        <f>AH8+D_nac/2*-0.86603</f>
        <v>-6.9858401650856639</v>
      </c>
      <c r="BF441" s="281">
        <f>AJ8+D_nac/2*-0.5</f>
        <v>-2.5656545000855049</v>
      </c>
      <c r="BG441" s="281">
        <f t="shared" si="124"/>
        <v>-10.178273734464128</v>
      </c>
      <c r="BH441" s="281">
        <f t="shared" si="125"/>
        <v>-2.5698760457978875</v>
      </c>
      <c r="BM441" s="281">
        <f>$AZ$59+0.8*(seat_pitch)*($AY$59*n_SA+$AW$5&lt;pax_e)</f>
        <v>26.588000000000001</v>
      </c>
      <c r="BN441" s="281">
        <f>$AX$5+seat_w*($AY$59*n_SA+$AW$5&lt;pax_e)</f>
        <v>-1.31</v>
      </c>
      <c r="BO441" s="281">
        <f t="shared" si="126"/>
        <v>8.7775200000000027</v>
      </c>
      <c r="HY441" s="281">
        <f>$HX$19+0.2*(bus_pitch*(n_rows_b&gt;0))*($HW$19*n_SA_b+$HU$7&lt;pax_b)</f>
        <v>6.5</v>
      </c>
      <c r="HZ441" s="281">
        <f>$HV$7</f>
        <v>-1.84</v>
      </c>
      <c r="IA441" s="281">
        <f t="shared" si="127"/>
        <v>-11.310479999999998</v>
      </c>
    </row>
    <row r="442" spans="56:235" x14ac:dyDescent="0.25">
      <c r="BD442" s="281">
        <f>AI8+0*L_nac-L_fus/2</f>
        <v>-7.4249768198019375</v>
      </c>
      <c r="BE442" s="281">
        <f>AH8+D_nac/2*-0.5</f>
        <v>-6.5772425835265382</v>
      </c>
      <c r="BF442" s="281">
        <f>AJ8+D_nac/2*-0.86603</f>
        <v>-2.9742520816446305</v>
      </c>
      <c r="BG442" s="281">
        <f t="shared" si="124"/>
        <v>-9.9156322716900362</v>
      </c>
      <c r="BH442" s="281">
        <f t="shared" si="125"/>
        <v>-2.8079100487087429</v>
      </c>
      <c r="BM442" s="281">
        <f>$AZ$59+0.8*(seat_pitch)*($AY$59*n_SA+$AW$5&lt;pax_e)</f>
        <v>26.588000000000001</v>
      </c>
      <c r="BN442" s="281">
        <f>$AX$5</f>
        <v>-1.84</v>
      </c>
      <c r="BO442" s="281">
        <f t="shared" si="126"/>
        <v>8.7775200000000027</v>
      </c>
      <c r="HY442" s="281">
        <f>$HX$19+0.2*(bus_pitch*(n_rows_b&gt;0))*($HW$19*n_SA_b+$HU$7&lt;pax_b)</f>
        <v>6.5</v>
      </c>
      <c r="HZ442" s="281">
        <f>$HV$7+seat_w_b*($HW$19*n_SA_b+$HU$7&lt;pax_b)</f>
        <v>-1.84</v>
      </c>
      <c r="IA442" s="281">
        <f t="shared" si="127"/>
        <v>-11.310479999999998</v>
      </c>
    </row>
    <row r="443" spans="56:235" x14ac:dyDescent="0.25">
      <c r="BD443" s="281">
        <f>AI8+0*L_nac-L_fus/2</f>
        <v>-7.4249768198019375</v>
      </c>
      <c r="BE443" s="281">
        <f>AH8+D_nac/2*0</f>
        <v>-6.0190949159048603</v>
      </c>
      <c r="BF443" s="281">
        <f>AJ8+D_nac/2*-1</f>
        <v>-3.1238021677071828</v>
      </c>
      <c r="BG443" s="281">
        <f t="shared" si="124"/>
        <v>-9.556861866567381</v>
      </c>
      <c r="BH443" s="281">
        <f t="shared" si="125"/>
        <v>-2.7627512906983207</v>
      </c>
      <c r="BM443" s="281">
        <f>$AZ$59+0.2*(seat_pitch)*($AY$59*n_SA+$AW$5&lt;pax_e)</f>
        <v>26.102</v>
      </c>
      <c r="BN443" s="281">
        <f>$AX$5</f>
        <v>-1.84</v>
      </c>
      <c r="BO443" s="281">
        <f t="shared" si="126"/>
        <v>8.291520000000002</v>
      </c>
      <c r="HY443" s="281">
        <f>$HX$19</f>
        <v>6.5</v>
      </c>
      <c r="HZ443" s="281">
        <f>$HV$7+seat_w_b*($HW$19*n_SA_b+$HU$7&lt;pax_b)</f>
        <v>-1.84</v>
      </c>
      <c r="IA443" s="281">
        <f t="shared" si="127"/>
        <v>-11.310479999999998</v>
      </c>
    </row>
    <row r="444" spans="56:235" x14ac:dyDescent="0.25">
      <c r="BD444" s="281">
        <f>AI8+0*L_nac-L_fus/2</f>
        <v>-7.4249768198019375</v>
      </c>
      <c r="BE444" s="281">
        <f>AH8+D_nac/2*0.5</f>
        <v>-5.4609472482831825</v>
      </c>
      <c r="BF444" s="281">
        <f>AJ8+D_nac/2*-0.86603</f>
        <v>-2.9742520816446305</v>
      </c>
      <c r="BG444" s="281">
        <f t="shared" si="124"/>
        <v>-9.1980914614447258</v>
      </c>
      <c r="BH444" s="281">
        <f t="shared" si="125"/>
        <v>-2.4465157175869141</v>
      </c>
      <c r="BM444" s="281">
        <f>$AZ$59+(seat_pitch)</f>
        <v>26.75</v>
      </c>
      <c r="BN444" s="281">
        <f>$AX$5</f>
        <v>-1.84</v>
      </c>
      <c r="BO444" s="281">
        <f t="shared" si="126"/>
        <v>8.9395200000000017</v>
      </c>
      <c r="HY444" s="281">
        <f>$HX$19+1*(bus_pitch*(n_rows_b&gt;0))*($HW$19*n_SA_b+$HU$7&lt;pax_b)</f>
        <v>6.5</v>
      </c>
      <c r="HZ444" s="281">
        <f>$HV$7+seat_w_b*($HW$19*n_SA_b+$HU$7&lt;pax_b)</f>
        <v>-1.84</v>
      </c>
      <c r="IA444" s="281">
        <f t="shared" si="127"/>
        <v>-11.310479999999998</v>
      </c>
    </row>
    <row r="445" spans="56:235" x14ac:dyDescent="0.25">
      <c r="BD445" s="281">
        <f>AI8+0*L_nac-L_fus/2</f>
        <v>-7.4249768198019375</v>
      </c>
      <c r="BE445" s="281">
        <f>AH8+D_nac/2*0.86603</f>
        <v>-5.0523496667240568</v>
      </c>
      <c r="BF445" s="281">
        <f>AJ8+D_nac/2*-0.5</f>
        <v>-2.5656545000855049</v>
      </c>
      <c r="BG445" s="281">
        <f t="shared" si="124"/>
        <v>-8.9354499986706362</v>
      </c>
      <c r="BH445" s="281">
        <f t="shared" si="125"/>
        <v>-1.943919380635013</v>
      </c>
      <c r="BM445" s="281">
        <f>$AZ$60+0.2*(seat_pitch)*($AY$60*n_SA+$AW$5&lt;pax_e)</f>
        <v>26.102</v>
      </c>
      <c r="BN445" s="281">
        <f>$AX$5</f>
        <v>-1.84</v>
      </c>
      <c r="BO445" s="281">
        <f t="shared" si="126"/>
        <v>8.291520000000002</v>
      </c>
      <c r="HY445" s="281">
        <f>$HX$19+0.8*(bus_pitch*(n_rows_b&gt;0))*($HW$19*n_SA_b+$HU$7&lt;pax_b)</f>
        <v>6.5</v>
      </c>
      <c r="HZ445" s="281">
        <f>$HV$7+seat_w_b*($HW$19*n_SA_b+$HU$7&lt;pax_b)</f>
        <v>-1.84</v>
      </c>
      <c r="IA445" s="281">
        <f t="shared" si="127"/>
        <v>-11.310479999999998</v>
      </c>
    </row>
    <row r="446" spans="56:235" x14ac:dyDescent="0.25">
      <c r="BD446" s="281">
        <f>AI8+0*L_nac-L_fus/2</f>
        <v>-7.4249768198019375</v>
      </c>
      <c r="BE446" s="281">
        <f>AH8+D_nac/2*1</f>
        <v>-4.9027995806615046</v>
      </c>
      <c r="BF446" s="281">
        <f>AJ8+D_nac/2*0</f>
        <v>-2.007506832463827</v>
      </c>
      <c r="BG446" s="281">
        <f t="shared" si="124"/>
        <v>-8.8393210563220705</v>
      </c>
      <c r="BH446" s="281">
        <f t="shared" si="125"/>
        <v>-1.389649804612751</v>
      </c>
      <c r="BM446" s="281">
        <f>$AZ$60+0.2*(seat_pitch)*($AY$60*n_SA+$AW$5&lt;pax_e)</f>
        <v>26.102</v>
      </c>
      <c r="BN446" s="281">
        <f>$AX$5+seat_w*($AY$60*n_SA+$AW$5&lt;pax_e)</f>
        <v>-1.31</v>
      </c>
      <c r="BO446" s="281">
        <f t="shared" si="126"/>
        <v>8.291520000000002</v>
      </c>
      <c r="HY446" s="281">
        <f>$HX$19+0.8*(bus_pitch*(n_rows_b&gt;0))*($HW$19*n_SA_b+$HU$7&lt;pax_b)</f>
        <v>6.5</v>
      </c>
      <c r="HZ446" s="281">
        <f>$HV$7</f>
        <v>-1.84</v>
      </c>
      <c r="IA446" s="281">
        <f t="shared" si="127"/>
        <v>-11.310479999999998</v>
      </c>
    </row>
    <row r="447" spans="56:235" x14ac:dyDescent="0.25">
      <c r="BD447" s="281">
        <f>AI8+1*L_nac-L_fus/2</f>
        <v>-3.1011786900655132</v>
      </c>
      <c r="BE447" s="281">
        <f>AH8+D_nac/2*1</f>
        <v>-4.9027995806615046</v>
      </c>
      <c r="BF447" s="281">
        <f>AJ8+D_nac/2*0</f>
        <v>-2.007506832463827</v>
      </c>
      <c r="BG447" s="281">
        <f t="shared" si="124"/>
        <v>-5.5270995258692537</v>
      </c>
      <c r="BH447" s="281">
        <f t="shared" si="125"/>
        <v>-2.5642259203456952</v>
      </c>
      <c r="BM447" s="281">
        <f>$AZ$60</f>
        <v>25.94</v>
      </c>
      <c r="BN447" s="281">
        <f>$AX$5+seat_w*($AY$60*n_SA+$AW$5&lt;pax_e)</f>
        <v>-1.31</v>
      </c>
      <c r="BO447" s="281">
        <f t="shared" si="126"/>
        <v>8.129520000000003</v>
      </c>
      <c r="HY447" s="281">
        <f>$HX$19+0.2*(bus_pitch*(n_rows_b&gt;0))*($HW$19*n_SA_b+$HU$7&lt;pax_b)</f>
        <v>6.5</v>
      </c>
      <c r="HZ447" s="281">
        <f>$HV$7</f>
        <v>-1.84</v>
      </c>
      <c r="IA447" s="281">
        <f t="shared" si="127"/>
        <v>-11.310479999999998</v>
      </c>
    </row>
    <row r="448" spans="56:235" x14ac:dyDescent="0.25">
      <c r="BD448" s="281">
        <f>AI8+1*L_nac-L_fus/2</f>
        <v>-3.1011786900655132</v>
      </c>
      <c r="BE448" s="281">
        <f>AH8+D_nac/2*0.86603</f>
        <v>-5.0523496667240568</v>
      </c>
      <c r="BF448" s="281">
        <f>AJ8+D_nac/2*0.5</f>
        <v>-1.4493591648421491</v>
      </c>
      <c r="BG448" s="281">
        <f t="shared" si="124"/>
        <v>-5.6232284682178175</v>
      </c>
      <c r="BH448" s="281">
        <f t="shared" si="125"/>
        <v>-2.1067883414042163</v>
      </c>
      <c r="BM448" s="281">
        <f>$AZ$60+1*(seat_pitch)*($AY$60*n_SA+$AW$5&lt;pax_e)</f>
        <v>26.75</v>
      </c>
      <c r="BN448" s="281">
        <f>$AX$5+seat_w*($AY$60*n_SA+$AW$5&lt;pax_e)</f>
        <v>-1.31</v>
      </c>
      <c r="BO448" s="281">
        <f t="shared" si="126"/>
        <v>8.9395200000000017</v>
      </c>
      <c r="HY448" s="281">
        <f>$HX$19+(bus_pitch*(n_rows_b&gt;0))</f>
        <v>6.5</v>
      </c>
      <c r="HZ448" s="281">
        <f>$HV$7</f>
        <v>-1.84</v>
      </c>
      <c r="IA448" s="281">
        <f t="shared" si="127"/>
        <v>-11.310479999999998</v>
      </c>
    </row>
    <row r="449" spans="56:235" x14ac:dyDescent="0.25">
      <c r="BD449" s="281">
        <f>AI8+1*L_nac-L_fus/2</f>
        <v>-3.1011786900655132</v>
      </c>
      <c r="BE449" s="281">
        <f>AH8+D_nac/2*0.5</f>
        <v>-5.4609472482831825</v>
      </c>
      <c r="BF449" s="281">
        <f>AJ8+D_nac/2*0.86603</f>
        <v>-1.0407615832830235</v>
      </c>
      <c r="BG449" s="281">
        <f t="shared" si="124"/>
        <v>-5.8858699309919089</v>
      </c>
      <c r="BH449" s="281">
        <f t="shared" si="125"/>
        <v>-1.8687543384933609</v>
      </c>
      <c r="BM449" s="281">
        <f>$AZ$60+0.8*(seat_pitch)*($AY$60*n_SA+$AW$5&lt;pax_e)</f>
        <v>26.588000000000001</v>
      </c>
      <c r="BN449" s="281">
        <f>$AX$5+seat_w*($AY$60*n_SA+$AW$5&lt;pax_e)</f>
        <v>-1.31</v>
      </c>
      <c r="BO449" s="281">
        <f t="shared" si="126"/>
        <v>8.7775200000000027</v>
      </c>
      <c r="HY449" s="281">
        <f>$HX$20+0.2*(bus_pitch*(n_rows_b&gt;0))*($HW$20*n_SA_b+$HU$7&lt;pax_b)</f>
        <v>6.5</v>
      </c>
      <c r="HZ449" s="281">
        <f>$HV$7</f>
        <v>-1.84</v>
      </c>
      <c r="IA449" s="281">
        <f t="shared" si="127"/>
        <v>-11.310479999999998</v>
      </c>
    </row>
    <row r="450" spans="56:235" x14ac:dyDescent="0.25">
      <c r="BD450" s="281">
        <f>AI8+1*L_nac-L_fus/2</f>
        <v>-3.1011786900655132</v>
      </c>
      <c r="BE450" s="281">
        <f>AH8+D_nac/2*0</f>
        <v>-6.0190949159048603</v>
      </c>
      <c r="BF450" s="281">
        <f>AJ8+D_nac/2*1</f>
        <v>-0.89121149722047099</v>
      </c>
      <c r="BG450" s="281">
        <f t="shared" si="124"/>
        <v>-6.2446403361145641</v>
      </c>
      <c r="BH450" s="281">
        <f t="shared" si="125"/>
        <v>-1.9139130965037827</v>
      </c>
      <c r="BM450" s="281">
        <f>$AZ$60+0.8*(seat_pitch)*($AY$60*n_SA+$AW$5&lt;pax_e)</f>
        <v>26.588000000000001</v>
      </c>
      <c r="BN450" s="281">
        <f>$AX$5</f>
        <v>-1.84</v>
      </c>
      <c r="BO450" s="281">
        <f t="shared" si="126"/>
        <v>8.7775200000000027</v>
      </c>
      <c r="HY450" s="281">
        <f>$HX$20+0.2*(bus_pitch*(n_rows_b&gt;0))*($HW$20*n_SA_b+$HU$7&lt;pax_b)</f>
        <v>6.5</v>
      </c>
      <c r="HZ450" s="281">
        <f>$HV$7+seat_w_b*($HW$20*n_SA_b+$HU$7&lt;pax_b)</f>
        <v>-1.84</v>
      </c>
      <c r="IA450" s="281">
        <f t="shared" si="127"/>
        <v>-11.310479999999998</v>
      </c>
    </row>
    <row r="451" spans="56:235" x14ac:dyDescent="0.25">
      <c r="BD451" s="281">
        <f>AI8+1*L_nac-L_fus/2</f>
        <v>-3.1011786900655132</v>
      </c>
      <c r="BE451" s="281">
        <f>AH8+D_nac/2*-0.5</f>
        <v>-6.5772425835265382</v>
      </c>
      <c r="BF451" s="281">
        <f>AJ8+D_nac/2*0.86603</f>
        <v>-1.0407615832830235</v>
      </c>
      <c r="BG451" s="281">
        <f t="shared" si="124"/>
        <v>-6.6034107412372194</v>
      </c>
      <c r="BH451" s="281">
        <f t="shared" si="125"/>
        <v>-2.2301486696151898</v>
      </c>
      <c r="BM451" s="281">
        <f>$AZ$60+0.2*(seat_pitch)*($AY$60*n_SA+$AW$5&lt;pax_e)</f>
        <v>26.102</v>
      </c>
      <c r="BN451" s="281">
        <f>$AX$5</f>
        <v>-1.84</v>
      </c>
      <c r="BO451" s="281">
        <f t="shared" si="126"/>
        <v>8.291520000000002</v>
      </c>
      <c r="HY451" s="281">
        <f>$HX$20</f>
        <v>6.5</v>
      </c>
      <c r="HZ451" s="281">
        <f>$HV$7+seat_w_b*($HW$20*n_SA_b+$HU$7&lt;pax_b)</f>
        <v>-1.84</v>
      </c>
      <c r="IA451" s="281">
        <f t="shared" si="127"/>
        <v>-11.310479999999998</v>
      </c>
    </row>
    <row r="452" spans="56:235" x14ac:dyDescent="0.25">
      <c r="BD452" s="281">
        <f>AI8+1*L_nac-L_fus/2</f>
        <v>-3.1011786900655132</v>
      </c>
      <c r="BE452" s="281">
        <f>AH8+D_nac/2*-0.86603</f>
        <v>-6.9858401650856639</v>
      </c>
      <c r="BF452" s="281">
        <f>AJ8+D_nac/2*0.5</f>
        <v>-1.4493591648421491</v>
      </c>
      <c r="BG452" s="281">
        <f t="shared" si="124"/>
        <v>-6.8660522040113108</v>
      </c>
      <c r="BH452" s="281">
        <f t="shared" si="125"/>
        <v>-2.7327450065670909</v>
      </c>
      <c r="BM452" s="281">
        <f>$AZ$60+(seat_pitch)</f>
        <v>26.75</v>
      </c>
      <c r="BN452" s="281">
        <f>$AX$5</f>
        <v>-1.84</v>
      </c>
      <c r="BO452" s="281">
        <f t="shared" si="126"/>
        <v>8.9395200000000017</v>
      </c>
      <c r="HY452" s="281">
        <f>$HX$20+1*(bus_pitch*(n_rows_b&gt;0))*($HW$20*n_SA_b+$HU$7&lt;pax_b)</f>
        <v>6.5</v>
      </c>
      <c r="HZ452" s="281">
        <f>$HV$7+seat_w_b*($HW$20*n_SA_b+$HU$7&lt;pax_b)</f>
        <v>-1.84</v>
      </c>
      <c r="IA452" s="281">
        <f t="shared" si="127"/>
        <v>-11.310479999999998</v>
      </c>
    </row>
    <row r="453" spans="56:235" x14ac:dyDescent="0.25">
      <c r="BD453" s="281">
        <f>AI8+1*L_nac-L_fus/2</f>
        <v>-3.1011786900655132</v>
      </c>
      <c r="BE453" s="281">
        <f>AH8+D_nac/2*-1</f>
        <v>-7.1353902511482161</v>
      </c>
      <c r="BF453" s="281">
        <f>AJ8+D_nac/2*0</f>
        <v>-2.007506832463827</v>
      </c>
      <c r="BG453" s="281">
        <f t="shared" ref="BG453:BG459" si="128">BD453*COS(RADIANS(view_az))+BE453*SIN(RADIANS(view_az))</f>
        <v>-6.9621811463598746</v>
      </c>
      <c r="BH453" s="281">
        <f t="shared" ref="BH453:BH459" si="129">BF453*COS(RADIANS(view_el))+(BE453*COS(RADIANS(view_az))-BD453*SIN(RADIANS(view_az)))*SIN(RADIANS(view_el))</f>
        <v>-3.2870145825893529</v>
      </c>
      <c r="BM453" s="281">
        <f>$AZ$61+0.2*(seat_pitch)*($AY$61*n_SA+$AW$5&lt;pax_e)</f>
        <v>26.102</v>
      </c>
      <c r="BN453" s="281">
        <f>$AX$5</f>
        <v>-1.84</v>
      </c>
      <c r="BO453" s="281">
        <f t="shared" ref="BO453:BO516" si="130">BM453-L_fus/2</f>
        <v>8.291520000000002</v>
      </c>
      <c r="HY453" s="281">
        <f>$HX$20+0.8*(bus_pitch*(n_rows_b&gt;0))*($HW$20*n_SA_b+$HU$7&lt;pax_b)</f>
        <v>6.5</v>
      </c>
      <c r="HZ453" s="281">
        <f>$HV$7+seat_w_b*($HW$20*n_SA_b+$HU$7&lt;pax_b)</f>
        <v>-1.84</v>
      </c>
      <c r="IA453" s="281">
        <f t="shared" ref="IA453:IA516" si="131">HY453-L_fus/2</f>
        <v>-11.310479999999998</v>
      </c>
    </row>
    <row r="454" spans="56:235" x14ac:dyDescent="0.25">
      <c r="BD454" s="281">
        <f>AI8+1*L_nac-L_fus/2</f>
        <v>-3.1011786900655132</v>
      </c>
      <c r="BE454" s="281">
        <f>AH8+D_nac/2*-0.86603</f>
        <v>-6.9858401650856639</v>
      </c>
      <c r="BF454" s="281">
        <f>AJ8+D_nac/2*-0.5</f>
        <v>-2.5656545000855049</v>
      </c>
      <c r="BG454" s="281">
        <f t="shared" si="128"/>
        <v>-6.8660522040113108</v>
      </c>
      <c r="BH454" s="281">
        <f t="shared" si="129"/>
        <v>-3.7444521615308322</v>
      </c>
      <c r="BM454" s="281">
        <f>$AZ$61+0.2*(seat_pitch)*($AY$61*n_SA+$AW$5&lt;pax_e)</f>
        <v>26.102</v>
      </c>
      <c r="BN454" s="281">
        <f>$AX$5+seat_w*($AY$61*n_SA+$AW$5&lt;pax_e)</f>
        <v>-1.31</v>
      </c>
      <c r="BO454" s="281">
        <f t="shared" si="130"/>
        <v>8.291520000000002</v>
      </c>
      <c r="HY454" s="281">
        <f>$HX$20+0.8*(bus_pitch*(n_rows_b&gt;0))*($HW$20*n_SA_b+$HU$7&lt;pax_b)</f>
        <v>6.5</v>
      </c>
      <c r="HZ454" s="281">
        <f>$HV$7</f>
        <v>-1.84</v>
      </c>
      <c r="IA454" s="281">
        <f t="shared" si="131"/>
        <v>-11.310479999999998</v>
      </c>
    </row>
    <row r="455" spans="56:235" x14ac:dyDescent="0.25">
      <c r="BD455" s="281">
        <f>AI8+1*L_nac-L_fus/2</f>
        <v>-3.1011786900655132</v>
      </c>
      <c r="BE455" s="281">
        <f>AH8+D_nac/2*-0.5</f>
        <v>-6.5772425835265382</v>
      </c>
      <c r="BF455" s="281">
        <f>AJ8+D_nac/2*-0.86603</f>
        <v>-2.9742520816446305</v>
      </c>
      <c r="BG455" s="281">
        <f t="shared" si="128"/>
        <v>-6.6034107412372194</v>
      </c>
      <c r="BH455" s="281">
        <f t="shared" si="129"/>
        <v>-3.9824861644416871</v>
      </c>
      <c r="BM455" s="281">
        <f>$AZ$61</f>
        <v>25.94</v>
      </c>
      <c r="BN455" s="281">
        <f>$AX$5+seat_w*($AY$61*n_SA+$AW$5&lt;pax_e)</f>
        <v>-1.31</v>
      </c>
      <c r="BO455" s="281">
        <f t="shared" si="130"/>
        <v>8.129520000000003</v>
      </c>
      <c r="HY455" s="281">
        <f>$HX$20+0.2*(bus_pitch*(n_rows_b&gt;0))*($HW$20*n_SA_b+$HU$7&lt;pax_b)</f>
        <v>6.5</v>
      </c>
      <c r="HZ455" s="281">
        <f>$HV$7</f>
        <v>-1.84</v>
      </c>
      <c r="IA455" s="281">
        <f t="shared" si="131"/>
        <v>-11.310479999999998</v>
      </c>
    </row>
    <row r="456" spans="56:235" x14ac:dyDescent="0.25">
      <c r="BD456" s="281">
        <f>AI8+1*L_nac-L_fus/2</f>
        <v>-3.1011786900655132</v>
      </c>
      <c r="BE456" s="281">
        <f>AH8+D_nac/2*0</f>
        <v>-6.0190949159048603</v>
      </c>
      <c r="BF456" s="281">
        <f>AJ8+D_nac/2*-1</f>
        <v>-3.1238021677071828</v>
      </c>
      <c r="BG456" s="281">
        <f t="shared" si="128"/>
        <v>-6.2446403361145641</v>
      </c>
      <c r="BH456" s="281">
        <f t="shared" si="129"/>
        <v>-3.9373274064312649</v>
      </c>
      <c r="BM456" s="281">
        <f>$AZ$61+1*(seat_pitch)*($AY$61*n_SA+$AW$5&lt;pax_e)</f>
        <v>26.75</v>
      </c>
      <c r="BN456" s="281">
        <f>$AX$5+seat_w*($AY$61*n_SA+$AW$5&lt;pax_e)</f>
        <v>-1.31</v>
      </c>
      <c r="BO456" s="281">
        <f t="shared" si="130"/>
        <v>8.9395200000000017</v>
      </c>
      <c r="HY456" s="281">
        <f>$HX$20+(bus_pitch*(n_rows_b&gt;0))</f>
        <v>6.5</v>
      </c>
      <c r="HZ456" s="281">
        <f>$HV$7</f>
        <v>-1.84</v>
      </c>
      <c r="IA456" s="281">
        <f t="shared" si="131"/>
        <v>-11.310479999999998</v>
      </c>
    </row>
    <row r="457" spans="56:235" x14ac:dyDescent="0.25">
      <c r="BD457" s="281">
        <f>AI8+1*L_nac-L_fus/2</f>
        <v>-3.1011786900655132</v>
      </c>
      <c r="BE457" s="281">
        <f>AH8+D_nac/2*0.5</f>
        <v>-5.4609472482831825</v>
      </c>
      <c r="BF457" s="281">
        <f>AJ8+D_nac/2*-0.86603</f>
        <v>-2.9742520816446305</v>
      </c>
      <c r="BG457" s="281">
        <f t="shared" si="128"/>
        <v>-5.8858699309919089</v>
      </c>
      <c r="BH457" s="281">
        <f t="shared" si="129"/>
        <v>-3.6210918333198583</v>
      </c>
      <c r="BM457" s="281">
        <f>$AZ$61+0.8*(seat_pitch)*($AY$61*n_SA+$AW$5&lt;pax_e)</f>
        <v>26.588000000000001</v>
      </c>
      <c r="BN457" s="281">
        <f>$AX$5+seat_w*($AY$61*n_SA+$AW$5&lt;pax_e)</f>
        <v>-1.31</v>
      </c>
      <c r="BO457" s="281">
        <f t="shared" si="130"/>
        <v>8.7775200000000027</v>
      </c>
      <c r="HY457" s="281">
        <f>$HX$21+0.2*(bus_pitch*(n_rows_b&gt;0))*($HW$21*n_SA_b+$HU$7&lt;pax_b)</f>
        <v>6.5</v>
      </c>
      <c r="HZ457" s="281">
        <f>$HV$7</f>
        <v>-1.84</v>
      </c>
      <c r="IA457" s="281">
        <f t="shared" si="131"/>
        <v>-11.310479999999998</v>
      </c>
    </row>
    <row r="458" spans="56:235" x14ac:dyDescent="0.25">
      <c r="BD458" s="281">
        <f>AI8+1*L_nac-L_fus/2</f>
        <v>-3.1011786900655132</v>
      </c>
      <c r="BE458" s="281">
        <f>AH8+D_nac/2*0.86603</f>
        <v>-5.0523496667240568</v>
      </c>
      <c r="BF458" s="281">
        <f>AJ8+D_nac/2*-0.5</f>
        <v>-2.5656545000855049</v>
      </c>
      <c r="BG458" s="281">
        <f t="shared" si="128"/>
        <v>-5.6232284682178175</v>
      </c>
      <c r="BH458" s="281">
        <f t="shared" si="129"/>
        <v>-3.1184954963679576</v>
      </c>
      <c r="BM458" s="281">
        <f>$AZ$61+0.8*(seat_pitch)*($AY$61*n_SA+$AW$5&lt;pax_e)</f>
        <v>26.588000000000001</v>
      </c>
      <c r="BN458" s="281">
        <f>$AX$5</f>
        <v>-1.84</v>
      </c>
      <c r="BO458" s="281">
        <f t="shared" si="130"/>
        <v>8.7775200000000027</v>
      </c>
      <c r="HY458" s="281">
        <f>$HX$21+0.2*(bus_pitch*(n_rows_b&gt;0))*($HW$21*n_SA_b+$HU$7&lt;pax_b)</f>
        <v>6.5</v>
      </c>
      <c r="HZ458" s="281">
        <f>$HV$7+seat_w_b*($HW$21*n_SA_b+$HU$7&lt;pax_b)</f>
        <v>-1.84</v>
      </c>
      <c r="IA458" s="281">
        <f t="shared" si="131"/>
        <v>-11.310479999999998</v>
      </c>
    </row>
    <row r="459" spans="56:235" x14ac:dyDescent="0.25">
      <c r="BD459" s="281">
        <f>AI8+1*L_nac-L_fus/2</f>
        <v>-3.1011786900655132</v>
      </c>
      <c r="BE459" s="281">
        <f>AH8+D_nac/2*1</f>
        <v>-4.9027995806615046</v>
      </c>
      <c r="BF459" s="281">
        <f>AJ8+D_nac/2*0</f>
        <v>-2.007506832463827</v>
      </c>
      <c r="BG459" s="281">
        <f t="shared" si="128"/>
        <v>-5.5270995258692537</v>
      </c>
      <c r="BH459" s="281">
        <f t="shared" si="129"/>
        <v>-2.5642259203456952</v>
      </c>
      <c r="BM459" s="281">
        <f>$AZ$61+0.2*(seat_pitch)*($AY$61*n_SA+$AW$5&lt;pax_e)</f>
        <v>26.102</v>
      </c>
      <c r="BN459" s="281">
        <f>$AX$5</f>
        <v>-1.84</v>
      </c>
      <c r="BO459" s="281">
        <f t="shared" si="130"/>
        <v>8.291520000000002</v>
      </c>
      <c r="HY459" s="281">
        <f>$HX$21</f>
        <v>6.5</v>
      </c>
      <c r="HZ459" s="281">
        <f>$HV$7+seat_w_b*($HW$21*n_SA_b+$HU$7&lt;pax_b)</f>
        <v>-1.84</v>
      </c>
      <c r="IA459" s="281">
        <f t="shared" si="131"/>
        <v>-11.310479999999998</v>
      </c>
    </row>
    <row r="460" spans="56:235" x14ac:dyDescent="0.25">
      <c r="BM460" s="281">
        <f>$AZ$61+(seat_pitch)</f>
        <v>26.75</v>
      </c>
      <c r="BN460" s="281">
        <f>$AX$5</f>
        <v>-1.84</v>
      </c>
      <c r="BO460" s="281">
        <f t="shared" si="130"/>
        <v>8.9395200000000017</v>
      </c>
      <c r="HY460" s="281">
        <f>$HX$21+1*(bus_pitch*(n_rows_b&gt;0))*($HW$21*n_SA_b+$HU$7&lt;pax_b)</f>
        <v>6.5</v>
      </c>
      <c r="HZ460" s="281">
        <f>$HV$7+seat_w_b*($HW$21*n_SA_b+$HU$7&lt;pax_b)</f>
        <v>-1.84</v>
      </c>
      <c r="IA460" s="281">
        <f t="shared" si="131"/>
        <v>-11.310479999999998</v>
      </c>
    </row>
    <row r="461" spans="56:235" x14ac:dyDescent="0.25">
      <c r="BM461" s="281">
        <f>$AZ$62+0.2*(seat_pitch)*($AY$62*n_SA+$AW$5&lt;pax_e)</f>
        <v>26.102</v>
      </c>
      <c r="BN461" s="281">
        <f>$AX$5</f>
        <v>-1.84</v>
      </c>
      <c r="BO461" s="281">
        <f t="shared" si="130"/>
        <v>8.291520000000002</v>
      </c>
      <c r="HY461" s="281">
        <f>$HX$21+0.8*(bus_pitch*(n_rows_b&gt;0))*($HW$21*n_SA_b+$HU$7&lt;pax_b)</f>
        <v>6.5</v>
      </c>
      <c r="HZ461" s="281">
        <f>$HV$7+seat_w_b*($HW$21*n_SA_b+$HU$7&lt;pax_b)</f>
        <v>-1.84</v>
      </c>
      <c r="IA461" s="281">
        <f t="shared" si="131"/>
        <v>-11.310479999999998</v>
      </c>
    </row>
    <row r="462" spans="56:235" x14ac:dyDescent="0.25">
      <c r="BM462" s="281">
        <f>$AZ$62+0.2*(seat_pitch)*($AY$62*n_SA+$AW$5&lt;pax_e)</f>
        <v>26.102</v>
      </c>
      <c r="BN462" s="281">
        <f>$AX$5+seat_w*($AY$62*n_SA+$AW$5&lt;pax_e)</f>
        <v>-1.31</v>
      </c>
      <c r="BO462" s="281">
        <f t="shared" si="130"/>
        <v>8.291520000000002</v>
      </c>
      <c r="HY462" s="281">
        <f>$HX$21+0.8*(bus_pitch*(n_rows_b&gt;0))*($HW$21*n_SA_b+$HU$7&lt;pax_b)</f>
        <v>6.5</v>
      </c>
      <c r="HZ462" s="281">
        <f>$HV$7</f>
        <v>-1.84</v>
      </c>
      <c r="IA462" s="281">
        <f t="shared" si="131"/>
        <v>-11.310479999999998</v>
      </c>
    </row>
    <row r="463" spans="56:235" x14ac:dyDescent="0.25">
      <c r="BM463" s="281">
        <f>$AZ$62</f>
        <v>25.94</v>
      </c>
      <c r="BN463" s="281">
        <f>$AX$5+seat_w*($AY$62*n_SA+$AW$5&lt;pax_e)</f>
        <v>-1.31</v>
      </c>
      <c r="BO463" s="281">
        <f t="shared" si="130"/>
        <v>8.129520000000003</v>
      </c>
      <c r="HY463" s="281">
        <f>$HX$21+0.2*(bus_pitch*(n_rows_b&gt;0))*($HW$21*n_SA_b+$HU$7&lt;pax_b)</f>
        <v>6.5</v>
      </c>
      <c r="HZ463" s="281">
        <f>$HV$7</f>
        <v>-1.84</v>
      </c>
      <c r="IA463" s="281">
        <f t="shared" si="131"/>
        <v>-11.310479999999998</v>
      </c>
    </row>
    <row r="464" spans="56:235" x14ac:dyDescent="0.25">
      <c r="BM464" s="281">
        <f>$AZ$62+1*(seat_pitch)*($AY$62*n_SA+$AW$5&lt;pax_e)</f>
        <v>26.75</v>
      </c>
      <c r="BN464" s="281">
        <f>$AX$5+seat_w*($AY$62*n_SA+$AW$5&lt;pax_e)</f>
        <v>-1.31</v>
      </c>
      <c r="BO464" s="281">
        <f t="shared" si="130"/>
        <v>8.9395200000000017</v>
      </c>
      <c r="HY464" s="281">
        <f>$HX$21+(bus_pitch*(n_rows_b&gt;0))</f>
        <v>6.5</v>
      </c>
      <c r="HZ464" s="281">
        <f>$HV$7</f>
        <v>-1.84</v>
      </c>
      <c r="IA464" s="281">
        <f t="shared" si="131"/>
        <v>-11.310479999999998</v>
      </c>
    </row>
    <row r="465" spans="65:235" x14ac:dyDescent="0.25">
      <c r="BM465" s="281">
        <f>$AZ$62+0.8*(seat_pitch)*($AY$62*n_SA+$AW$5&lt;pax_e)</f>
        <v>26.588000000000001</v>
      </c>
      <c r="BN465" s="281">
        <f>$AX$5+seat_w*($AY$62*n_SA+$AW$5&lt;pax_e)</f>
        <v>-1.31</v>
      </c>
      <c r="BO465" s="281">
        <f t="shared" si="130"/>
        <v>8.7775200000000027</v>
      </c>
      <c r="HY465" s="281">
        <f>$HX$22+0.2*(bus_pitch*(n_rows_b&gt;0))*($HW$22*n_SA_b+$HU$7&lt;pax_b)</f>
        <v>6.5</v>
      </c>
      <c r="HZ465" s="281">
        <f>$HV$7</f>
        <v>-1.84</v>
      </c>
      <c r="IA465" s="281">
        <f t="shared" si="131"/>
        <v>-11.310479999999998</v>
      </c>
    </row>
    <row r="466" spans="65:235" x14ac:dyDescent="0.25">
      <c r="BM466" s="281">
        <f>$AZ$62+0.8*(seat_pitch)*($AY$62*n_SA+$AW$5&lt;pax_e)</f>
        <v>26.588000000000001</v>
      </c>
      <c r="BN466" s="281">
        <f>$AX$5</f>
        <v>-1.84</v>
      </c>
      <c r="BO466" s="281">
        <f t="shared" si="130"/>
        <v>8.7775200000000027</v>
      </c>
      <c r="HY466" s="281">
        <f>$HX$22+0.2*(bus_pitch*(n_rows_b&gt;0))*($HW$22*n_SA_b+$HU$7&lt;pax_b)</f>
        <v>6.5</v>
      </c>
      <c r="HZ466" s="281">
        <f>$HV$7+seat_w_b*($HW$22*n_SA_b+$HU$7&lt;pax_b)</f>
        <v>-1.84</v>
      </c>
      <c r="IA466" s="281">
        <f t="shared" si="131"/>
        <v>-11.310479999999998</v>
      </c>
    </row>
    <row r="467" spans="65:235" x14ac:dyDescent="0.25">
      <c r="BM467" s="281">
        <f>$AZ$62+0.2*(seat_pitch)*($AY$62*n_SA+$AW$5&lt;pax_e)</f>
        <v>26.102</v>
      </c>
      <c r="BN467" s="281">
        <f>$AX$5</f>
        <v>-1.84</v>
      </c>
      <c r="BO467" s="281">
        <f t="shared" si="130"/>
        <v>8.291520000000002</v>
      </c>
      <c r="HY467" s="281">
        <f>$HX$22</f>
        <v>6.5</v>
      </c>
      <c r="HZ467" s="281">
        <f>$HV$7+seat_w_b*($HW$22*n_SA_b+$HU$7&lt;pax_b)</f>
        <v>-1.84</v>
      </c>
      <c r="IA467" s="281">
        <f t="shared" si="131"/>
        <v>-11.310479999999998</v>
      </c>
    </row>
    <row r="468" spans="65:235" x14ac:dyDescent="0.25">
      <c r="BM468" s="281">
        <f>$AZ$62+(seat_pitch)</f>
        <v>26.75</v>
      </c>
      <c r="BN468" s="281">
        <f>$AX$5</f>
        <v>-1.84</v>
      </c>
      <c r="BO468" s="281">
        <f t="shared" si="130"/>
        <v>8.9395200000000017</v>
      </c>
      <c r="HY468" s="281">
        <f>$HX$22+1*(bus_pitch*(n_rows_b&gt;0))*($HW$22*n_SA_b+$HU$7&lt;pax_b)</f>
        <v>6.5</v>
      </c>
      <c r="HZ468" s="281">
        <f>$HV$7+seat_w_b*($HW$22*n_SA_b+$HU$7&lt;pax_b)</f>
        <v>-1.84</v>
      </c>
      <c r="IA468" s="281">
        <f t="shared" si="131"/>
        <v>-11.310479999999998</v>
      </c>
    </row>
    <row r="469" spans="65:235" x14ac:dyDescent="0.25">
      <c r="BM469" s="281">
        <f>$AZ$63+0.2*(seat_pitch)*($AY$63*n_SA+$AW$5&lt;pax_e)</f>
        <v>26.102</v>
      </c>
      <c r="BN469" s="281">
        <f>$AX$5</f>
        <v>-1.84</v>
      </c>
      <c r="BO469" s="281">
        <f t="shared" si="130"/>
        <v>8.291520000000002</v>
      </c>
      <c r="HY469" s="281">
        <f>$HX$22+0.8*(bus_pitch*(n_rows_b&gt;0))*($HW$22*n_SA_b+$HU$7&lt;pax_b)</f>
        <v>6.5</v>
      </c>
      <c r="HZ469" s="281">
        <f>$HV$7+seat_w_b*($HW$22*n_SA_b+$HU$7&lt;pax_b)</f>
        <v>-1.84</v>
      </c>
      <c r="IA469" s="281">
        <f t="shared" si="131"/>
        <v>-11.310479999999998</v>
      </c>
    </row>
    <row r="470" spans="65:235" x14ac:dyDescent="0.25">
      <c r="BM470" s="281">
        <f>$AZ$63+0.2*(seat_pitch)*($AY$63*n_SA+$AW$5&lt;pax_e)</f>
        <v>26.102</v>
      </c>
      <c r="BN470" s="281">
        <f>$AX$5+seat_w*($AY$63*n_SA+$AW$5&lt;pax_e)</f>
        <v>-1.31</v>
      </c>
      <c r="BO470" s="281">
        <f t="shared" si="130"/>
        <v>8.291520000000002</v>
      </c>
      <c r="HY470" s="281">
        <f>$HX$22+0.8*(bus_pitch*(n_rows_b&gt;0))*($HW$22*n_SA_b+$HU$7&lt;pax_b)</f>
        <v>6.5</v>
      </c>
      <c r="HZ470" s="281">
        <f>$HV$7</f>
        <v>-1.84</v>
      </c>
      <c r="IA470" s="281">
        <f t="shared" si="131"/>
        <v>-11.310479999999998</v>
      </c>
    </row>
    <row r="471" spans="65:235" x14ac:dyDescent="0.25">
      <c r="BM471" s="281">
        <f>$AZ$63</f>
        <v>25.94</v>
      </c>
      <c r="BN471" s="281">
        <f>$AX$5+seat_w*($AY$63*n_SA+$AW$5&lt;pax_e)</f>
        <v>-1.31</v>
      </c>
      <c r="BO471" s="281">
        <f t="shared" si="130"/>
        <v>8.129520000000003</v>
      </c>
      <c r="HY471" s="281">
        <f>$HX$22+0.2*(bus_pitch*(n_rows_b&gt;0))*($HW$22*n_SA_b+$HU$7&lt;pax_b)</f>
        <v>6.5</v>
      </c>
      <c r="HZ471" s="281">
        <f>$HV$7</f>
        <v>-1.84</v>
      </c>
      <c r="IA471" s="281">
        <f t="shared" si="131"/>
        <v>-11.310479999999998</v>
      </c>
    </row>
    <row r="472" spans="65:235" x14ac:dyDescent="0.25">
      <c r="BM472" s="281">
        <f>$AZ$63+1*(seat_pitch)*($AY$63*n_SA+$AW$5&lt;pax_e)</f>
        <v>26.75</v>
      </c>
      <c r="BN472" s="281">
        <f>$AX$5+seat_w*($AY$63*n_SA+$AW$5&lt;pax_e)</f>
        <v>-1.31</v>
      </c>
      <c r="BO472" s="281">
        <f t="shared" si="130"/>
        <v>8.9395200000000017</v>
      </c>
      <c r="HY472" s="281">
        <f>$HX$22+(bus_pitch*(n_rows_b&gt;0))</f>
        <v>6.5</v>
      </c>
      <c r="HZ472" s="281">
        <f>$HV$7</f>
        <v>-1.84</v>
      </c>
      <c r="IA472" s="281">
        <f t="shared" si="131"/>
        <v>-11.310479999999998</v>
      </c>
    </row>
    <row r="473" spans="65:235" x14ac:dyDescent="0.25">
      <c r="BM473" s="281">
        <f>$AZ$63+0.8*(seat_pitch)*($AY$63*n_SA+$AW$5&lt;pax_e)</f>
        <v>26.588000000000001</v>
      </c>
      <c r="BN473" s="281">
        <f>$AX$5+seat_w*($AY$63*n_SA+$AW$5&lt;pax_e)</f>
        <v>-1.31</v>
      </c>
      <c r="BO473" s="281">
        <f t="shared" si="130"/>
        <v>8.7775200000000027</v>
      </c>
      <c r="HY473" s="281">
        <f>$HX$23+0.2*(bus_pitch*(n_rows_b&gt;0))*($HW$23*n_SA_b+$HU$7&lt;pax_b)</f>
        <v>6.5</v>
      </c>
      <c r="HZ473" s="281">
        <f>$HV$7</f>
        <v>-1.84</v>
      </c>
      <c r="IA473" s="281">
        <f t="shared" si="131"/>
        <v>-11.310479999999998</v>
      </c>
    </row>
    <row r="474" spans="65:235" x14ac:dyDescent="0.25">
      <c r="BM474" s="281">
        <f>$AZ$63+0.8*(seat_pitch)*($AY$63*n_SA+$AW$5&lt;pax_e)</f>
        <v>26.588000000000001</v>
      </c>
      <c r="BN474" s="281">
        <f>$AX$5</f>
        <v>-1.84</v>
      </c>
      <c r="BO474" s="281">
        <f t="shared" si="130"/>
        <v>8.7775200000000027</v>
      </c>
      <c r="HY474" s="281">
        <f>$HX$23+0.2*(bus_pitch*(n_rows_b&gt;0))*($HW$23*n_SA_b+$HU$7&lt;pax_b)</f>
        <v>6.5</v>
      </c>
      <c r="HZ474" s="281">
        <f>$HV$7+seat_w_b*($HW$23*n_SA_b+$HU$7&lt;pax_b)</f>
        <v>-1.84</v>
      </c>
      <c r="IA474" s="281">
        <f t="shared" si="131"/>
        <v>-11.310479999999998</v>
      </c>
    </row>
    <row r="475" spans="65:235" x14ac:dyDescent="0.25">
      <c r="BM475" s="281">
        <f>$AZ$63+0.2*(seat_pitch)*($AY$63*n_SA+$AW$5&lt;pax_e)</f>
        <v>26.102</v>
      </c>
      <c r="BN475" s="281">
        <f>$AX$5</f>
        <v>-1.84</v>
      </c>
      <c r="BO475" s="281">
        <f t="shared" si="130"/>
        <v>8.291520000000002</v>
      </c>
      <c r="HY475" s="281">
        <f>$HX$23</f>
        <v>6.5</v>
      </c>
      <c r="HZ475" s="281">
        <f>$HV$7+seat_w_b*($HW$23*n_SA_b+$HU$7&lt;pax_b)</f>
        <v>-1.84</v>
      </c>
      <c r="IA475" s="281">
        <f t="shared" si="131"/>
        <v>-11.310479999999998</v>
      </c>
    </row>
    <row r="476" spans="65:235" x14ac:dyDescent="0.25">
      <c r="BM476" s="281">
        <f>$AZ$63+(seat_pitch)</f>
        <v>26.75</v>
      </c>
      <c r="BN476" s="281">
        <f>$AX$5</f>
        <v>-1.84</v>
      </c>
      <c r="BO476" s="281">
        <f t="shared" si="130"/>
        <v>8.9395200000000017</v>
      </c>
      <c r="HY476" s="281">
        <f>$HX$23+1*(bus_pitch*(n_rows_b&gt;0))*($HW$23*n_SA_b+$HU$7&lt;pax_b)</f>
        <v>6.5</v>
      </c>
      <c r="HZ476" s="281">
        <f>$HV$7+seat_w_b*($HW$23*n_SA_b+$HU$7&lt;pax_b)</f>
        <v>-1.84</v>
      </c>
      <c r="IA476" s="281">
        <f t="shared" si="131"/>
        <v>-11.310479999999998</v>
      </c>
    </row>
    <row r="477" spans="65:235" x14ac:dyDescent="0.25">
      <c r="BM477" s="281">
        <f>$AZ$64+0.2*(seat_pitch)*($AY$64*n_SA+$AW$5&lt;pax_e)</f>
        <v>26.102</v>
      </c>
      <c r="BN477" s="281">
        <f>$AX$5</f>
        <v>-1.84</v>
      </c>
      <c r="BO477" s="281">
        <f t="shared" si="130"/>
        <v>8.291520000000002</v>
      </c>
      <c r="HY477" s="281">
        <f>$HX$23+0.8*(bus_pitch*(n_rows_b&gt;0))*($HW$23*n_SA_b+$HU$7&lt;pax_b)</f>
        <v>6.5</v>
      </c>
      <c r="HZ477" s="281">
        <f>$HV$7+seat_w_b*($HW$23*n_SA_b+$HU$7&lt;pax_b)</f>
        <v>-1.84</v>
      </c>
      <c r="IA477" s="281">
        <f t="shared" si="131"/>
        <v>-11.310479999999998</v>
      </c>
    </row>
    <row r="478" spans="65:235" x14ac:dyDescent="0.25">
      <c r="BM478" s="281">
        <f>$AZ$64+0.2*(seat_pitch)*($AY$64*n_SA+$AW$5&lt;pax_e)</f>
        <v>26.102</v>
      </c>
      <c r="BN478" s="281">
        <f>$AX$5+seat_w*($AY$64*n_SA+$AW$5&lt;pax_e)</f>
        <v>-1.31</v>
      </c>
      <c r="BO478" s="281">
        <f t="shared" si="130"/>
        <v>8.291520000000002</v>
      </c>
      <c r="HY478" s="281">
        <f>$HX$23+0.8*(bus_pitch*(n_rows_b&gt;0))*($HW$23*n_SA_b+$HU$7&lt;pax_b)</f>
        <v>6.5</v>
      </c>
      <c r="HZ478" s="281">
        <f>$HV$7</f>
        <v>-1.84</v>
      </c>
      <c r="IA478" s="281">
        <f t="shared" si="131"/>
        <v>-11.310479999999998</v>
      </c>
    </row>
    <row r="479" spans="65:235" x14ac:dyDescent="0.25">
      <c r="BM479" s="281">
        <f>$AZ$64</f>
        <v>25.94</v>
      </c>
      <c r="BN479" s="281">
        <f>$AX$5+seat_w*($AY$64*n_SA+$AW$5&lt;pax_e)</f>
        <v>-1.31</v>
      </c>
      <c r="BO479" s="281">
        <f t="shared" si="130"/>
        <v>8.129520000000003</v>
      </c>
      <c r="HY479" s="281">
        <f>$HX$23+0.2*(bus_pitch*(n_rows_b&gt;0))*($HW$23*n_SA_b+$HU$7&lt;pax_b)</f>
        <v>6.5</v>
      </c>
      <c r="HZ479" s="281">
        <f>$HV$7</f>
        <v>-1.84</v>
      </c>
      <c r="IA479" s="281">
        <f t="shared" si="131"/>
        <v>-11.310479999999998</v>
      </c>
    </row>
    <row r="480" spans="65:235" x14ac:dyDescent="0.25">
      <c r="BM480" s="281">
        <f>$AZ$64+1*(seat_pitch)*($AY$64*n_SA+$AW$5&lt;pax_e)</f>
        <v>26.75</v>
      </c>
      <c r="BN480" s="281">
        <f>$AX$5+seat_w*($AY$64*n_SA+$AW$5&lt;pax_e)</f>
        <v>-1.31</v>
      </c>
      <c r="BO480" s="281">
        <f t="shared" si="130"/>
        <v>8.9395200000000017</v>
      </c>
      <c r="HY480" s="281">
        <f>$HX$23+(bus_pitch*(n_rows_b&gt;0))</f>
        <v>6.5</v>
      </c>
      <c r="HZ480" s="281">
        <f>$HV$7</f>
        <v>-1.84</v>
      </c>
      <c r="IA480" s="281">
        <f t="shared" si="131"/>
        <v>-11.310479999999998</v>
      </c>
    </row>
    <row r="481" spans="65:235" x14ac:dyDescent="0.25">
      <c r="BM481" s="281">
        <f>$AZ$64+0.8*(seat_pitch)*($AY$64*n_SA+$AW$5&lt;pax_e)</f>
        <v>26.588000000000001</v>
      </c>
      <c r="BN481" s="281">
        <f>$AX$5+seat_w*($AY$64*n_SA+$AW$5&lt;pax_e)</f>
        <v>-1.31</v>
      </c>
      <c r="BO481" s="281">
        <f t="shared" si="130"/>
        <v>8.7775200000000027</v>
      </c>
      <c r="HY481" s="281">
        <f>$HX$24+0.2*(bus_pitch*(n_rows_b&gt;0))*($HW$24*n_SA_b+$HU$7&lt;pax_b)</f>
        <v>6.5</v>
      </c>
      <c r="HZ481" s="281">
        <f>$HV$7</f>
        <v>-1.84</v>
      </c>
      <c r="IA481" s="281">
        <f t="shared" si="131"/>
        <v>-11.310479999999998</v>
      </c>
    </row>
    <row r="482" spans="65:235" x14ac:dyDescent="0.25">
      <c r="BM482" s="281">
        <f>$AZ$64+0.8*(seat_pitch)*($AY$64*n_SA+$AW$5&lt;pax_e)</f>
        <v>26.588000000000001</v>
      </c>
      <c r="BN482" s="281">
        <f>$AX$5</f>
        <v>-1.84</v>
      </c>
      <c r="BO482" s="281">
        <f t="shared" si="130"/>
        <v>8.7775200000000027</v>
      </c>
      <c r="HY482" s="281">
        <f>$HX$24+0.2*(bus_pitch*(n_rows_b&gt;0))*($HW$24*n_SA_b+$HU$7&lt;pax_b)</f>
        <v>6.5</v>
      </c>
      <c r="HZ482" s="281">
        <f>$HV$7+seat_w_b*($HW$24*n_SA_b+$HU$7&lt;pax_b)</f>
        <v>-1.84</v>
      </c>
      <c r="IA482" s="281">
        <f t="shared" si="131"/>
        <v>-11.310479999999998</v>
      </c>
    </row>
    <row r="483" spans="65:235" x14ac:dyDescent="0.25">
      <c r="BM483" s="281">
        <f>$AZ$64+0.2*(seat_pitch)*($AY$64*n_SA+$AW$5&lt;pax_e)</f>
        <v>26.102</v>
      </c>
      <c r="BN483" s="281">
        <f>$AX$5</f>
        <v>-1.84</v>
      </c>
      <c r="BO483" s="281">
        <f t="shared" si="130"/>
        <v>8.291520000000002</v>
      </c>
      <c r="HY483" s="281">
        <f>$HX$24</f>
        <v>6.5</v>
      </c>
      <c r="HZ483" s="281">
        <f>$HV$7+seat_w_b*($HW$24*n_SA_b+$HU$7&lt;pax_b)</f>
        <v>-1.84</v>
      </c>
      <c r="IA483" s="281">
        <f t="shared" si="131"/>
        <v>-11.310479999999998</v>
      </c>
    </row>
    <row r="484" spans="65:235" x14ac:dyDescent="0.25">
      <c r="BM484" s="281">
        <f>$AZ$64+(seat_pitch)</f>
        <v>26.75</v>
      </c>
      <c r="BN484" s="281">
        <f>$AX$5</f>
        <v>-1.84</v>
      </c>
      <c r="BO484" s="281">
        <f t="shared" si="130"/>
        <v>8.9395200000000017</v>
      </c>
      <c r="HY484" s="281">
        <f>$HX$24+1*(bus_pitch*(n_rows_b&gt;0))*($HW$24*n_SA_b+$HU$7&lt;pax_b)</f>
        <v>6.5</v>
      </c>
      <c r="HZ484" s="281">
        <f>$HV$7+seat_w_b*($HW$24*n_SA_b+$HU$7&lt;pax_b)</f>
        <v>-1.84</v>
      </c>
      <c r="IA484" s="281">
        <f t="shared" si="131"/>
        <v>-11.310479999999998</v>
      </c>
    </row>
    <row r="485" spans="65:235" x14ac:dyDescent="0.25">
      <c r="BM485" s="281">
        <f>x_seat_end</f>
        <v>26.75</v>
      </c>
      <c r="BN485" s="281">
        <f>$AX$6</f>
        <v>-1.31</v>
      </c>
      <c r="BO485" s="281">
        <f t="shared" si="130"/>
        <v>8.9395200000000017</v>
      </c>
      <c r="HY485" s="281">
        <f>$HX$24+0.8*(bus_pitch*(n_rows_b&gt;0))*($HW$24*n_SA_b+$HU$7&lt;pax_b)</f>
        <v>6.5</v>
      </c>
      <c r="HZ485" s="281">
        <f>$HV$7+seat_w_b*($HW$24*n_SA_b+$HU$7&lt;pax_b)</f>
        <v>-1.84</v>
      </c>
      <c r="IA485" s="281">
        <f t="shared" si="131"/>
        <v>-11.310479999999998</v>
      </c>
    </row>
    <row r="486" spans="65:235" x14ac:dyDescent="0.25">
      <c r="BM486" s="281">
        <f>x_eco0</f>
        <v>6.5</v>
      </c>
      <c r="BN486" s="281">
        <f>$AX$6</f>
        <v>-1.31</v>
      </c>
      <c r="BO486" s="281">
        <f t="shared" si="130"/>
        <v>-11.310479999999998</v>
      </c>
      <c r="HY486" s="281">
        <f>$HX$24+0.8*(bus_pitch*(n_rows_b&gt;0))*($HW$24*n_SA_b+$HU$7&lt;pax_b)</f>
        <v>6.5</v>
      </c>
      <c r="HZ486" s="281">
        <f>$HV$7</f>
        <v>-1.84</v>
      </c>
      <c r="IA486" s="281">
        <f t="shared" si="131"/>
        <v>-11.310479999999998</v>
      </c>
    </row>
    <row r="487" spans="65:235" x14ac:dyDescent="0.25">
      <c r="BM487" s="281">
        <f>$AZ$5+0.2*(seat_pitch)*($AY$5*n_SA+$AW$6&lt;pax_e)</f>
        <v>6.6619999999999999</v>
      </c>
      <c r="BN487" s="281">
        <f>$AX$6</f>
        <v>-1.31</v>
      </c>
      <c r="BO487" s="281">
        <f t="shared" si="130"/>
        <v>-11.148479999999999</v>
      </c>
      <c r="HY487" s="281">
        <f>$HX$24+0.2*(bus_pitch*(n_rows_b&gt;0))*($HW$24*n_SA_b+$HU$7&lt;pax_b)</f>
        <v>6.5</v>
      </c>
      <c r="HZ487" s="281">
        <f>$HV$7</f>
        <v>-1.84</v>
      </c>
      <c r="IA487" s="281">
        <f t="shared" si="131"/>
        <v>-11.310479999999998</v>
      </c>
    </row>
    <row r="488" spans="65:235" x14ac:dyDescent="0.25">
      <c r="BM488" s="281">
        <f>$AZ$5+0.2*(seat_pitch)*($AY$5*n_SA+$AW$6&lt;pax_e)</f>
        <v>6.6619999999999999</v>
      </c>
      <c r="BN488" s="281">
        <f>$AX$6+seat_w*($AY$5*n_SA+$AW$6&lt;pax_e)</f>
        <v>-0.78</v>
      </c>
      <c r="BO488" s="281">
        <f t="shared" si="130"/>
        <v>-11.148479999999999</v>
      </c>
      <c r="HY488" s="281">
        <f>$HX$24+(bus_pitch*(n_rows_b&gt;0))</f>
        <v>6.5</v>
      </c>
      <c r="HZ488" s="281">
        <f>$HV$7</f>
        <v>-1.84</v>
      </c>
      <c r="IA488" s="281">
        <f t="shared" si="131"/>
        <v>-11.310479999999998</v>
      </c>
    </row>
    <row r="489" spans="65:235" x14ac:dyDescent="0.25">
      <c r="BM489" s="281">
        <f>$AZ$5</f>
        <v>6.5</v>
      </c>
      <c r="BN489" s="281">
        <f>$AX$6+seat_w*($AY$5*n_SA+$AW$6&lt;pax_e)</f>
        <v>-0.78</v>
      </c>
      <c r="BO489" s="281">
        <f t="shared" si="130"/>
        <v>-11.310479999999998</v>
      </c>
      <c r="HY489" s="281">
        <f>x_eco0</f>
        <v>6.5</v>
      </c>
      <c r="HZ489" s="281">
        <f>$HV$8</f>
        <v>-1.84</v>
      </c>
      <c r="IA489" s="281">
        <f t="shared" si="131"/>
        <v>-11.310479999999998</v>
      </c>
    </row>
    <row r="490" spans="65:235" x14ac:dyDescent="0.25">
      <c r="BM490" s="281">
        <f>$AZ$5+1*(seat_pitch)*($AY$5*n_SA+$AW$6&lt;pax_e)</f>
        <v>7.3100000000000005</v>
      </c>
      <c r="BN490" s="281">
        <f>$AX$6+seat_w*($AY$5*n_SA+$AW$6&lt;pax_e)</f>
        <v>-0.78</v>
      </c>
      <c r="BO490" s="281">
        <f t="shared" si="130"/>
        <v>-10.500479999999998</v>
      </c>
      <c r="HY490" s="281">
        <f>x_seat0</f>
        <v>6.5</v>
      </c>
      <c r="HZ490" s="281">
        <f>$HV$8</f>
        <v>-1.84</v>
      </c>
      <c r="IA490" s="281">
        <f t="shared" si="131"/>
        <v>-11.310479999999998</v>
      </c>
    </row>
    <row r="491" spans="65:235" x14ac:dyDescent="0.25">
      <c r="BM491" s="281">
        <f>$AZ$5+0.8*(seat_pitch)*($AY$5*n_SA+$AW$6&lt;pax_e)</f>
        <v>7.1479999999999997</v>
      </c>
      <c r="BN491" s="281">
        <f>$AX$6+seat_w*($AY$5*n_SA+$AW$6&lt;pax_e)</f>
        <v>-0.78</v>
      </c>
      <c r="BO491" s="281">
        <f t="shared" si="130"/>
        <v>-10.662479999999999</v>
      </c>
      <c r="HY491" s="281">
        <f>$HX$5+0.2*(bus_pitch*(n_rows_b&gt;0))*($HW$5*n_SA_b+$HU$8&lt;pax_b)</f>
        <v>6.5</v>
      </c>
      <c r="HZ491" s="281">
        <f>$HV$8</f>
        <v>-1.84</v>
      </c>
      <c r="IA491" s="281">
        <f t="shared" si="131"/>
        <v>-11.310479999999998</v>
      </c>
    </row>
    <row r="492" spans="65:235" x14ac:dyDescent="0.25">
      <c r="BM492" s="281">
        <f>$AZ$5+0.8*(seat_pitch)*($AY$5*n_SA+$AW$6&lt;pax_e)</f>
        <v>7.1479999999999997</v>
      </c>
      <c r="BN492" s="281">
        <f>$AX$6</f>
        <v>-1.31</v>
      </c>
      <c r="BO492" s="281">
        <f t="shared" si="130"/>
        <v>-10.662479999999999</v>
      </c>
      <c r="HY492" s="281">
        <f>$HX$5+0.2*(bus_pitch*(n_rows_b&gt;0))*($HW$5*n_SA_b+$HU$8&lt;pax_b)</f>
        <v>6.5</v>
      </c>
      <c r="HZ492" s="281">
        <f>$HV$8+seat_w_b*($HW$5*n_SA_b+$HU$8&lt;pax_b)</f>
        <v>-1.84</v>
      </c>
      <c r="IA492" s="281">
        <f t="shared" si="131"/>
        <v>-11.310479999999998</v>
      </c>
    </row>
    <row r="493" spans="65:235" x14ac:dyDescent="0.25">
      <c r="BM493" s="281">
        <f>$AZ$5+0.2*(seat_pitch)*($AY$5*n_SA+$AW$6&lt;pax_e)</f>
        <v>6.6619999999999999</v>
      </c>
      <c r="BN493" s="281">
        <f>$AX$6</f>
        <v>-1.31</v>
      </c>
      <c r="BO493" s="281">
        <f t="shared" si="130"/>
        <v>-11.148479999999999</v>
      </c>
      <c r="HY493" s="281">
        <f>$HX$5</f>
        <v>6.5</v>
      </c>
      <c r="HZ493" s="281">
        <f>$HV$8+seat_w_b*($HW$5*n_SA_b+$HU$8&lt;pax_b)</f>
        <v>-1.84</v>
      </c>
      <c r="IA493" s="281">
        <f t="shared" si="131"/>
        <v>-11.310479999999998</v>
      </c>
    </row>
    <row r="494" spans="65:235" x14ac:dyDescent="0.25">
      <c r="BM494" s="281">
        <f>$AZ$5+(seat_pitch)</f>
        <v>7.3100000000000005</v>
      </c>
      <c r="BN494" s="281">
        <f>$AX$6</f>
        <v>-1.31</v>
      </c>
      <c r="BO494" s="281">
        <f t="shared" si="130"/>
        <v>-10.500479999999998</v>
      </c>
      <c r="HY494" s="281">
        <f>$HX$5+1*(bus_pitch*(n_rows_b&gt;0))*($HW$5*n_SA_b+$HU$8&lt;pax_b)</f>
        <v>6.5</v>
      </c>
      <c r="HZ494" s="281">
        <f>$HV$8+seat_w_b*($HW$5*n_SA_b+$HU$8&lt;pax_b)</f>
        <v>-1.84</v>
      </c>
      <c r="IA494" s="281">
        <f t="shared" si="131"/>
        <v>-11.310479999999998</v>
      </c>
    </row>
    <row r="495" spans="65:235" x14ac:dyDescent="0.25">
      <c r="BM495" s="281">
        <f>$AZ$6+0.2*(seat_pitch)*($AY$6*n_SA+$AW$6&lt;pax_e)</f>
        <v>7.4720000000000004</v>
      </c>
      <c r="BN495" s="281">
        <f>$AX$6</f>
        <v>-1.31</v>
      </c>
      <c r="BO495" s="281">
        <f t="shared" si="130"/>
        <v>-10.338479999999997</v>
      </c>
      <c r="HY495" s="281">
        <f>$HX$5+0.8*(bus_pitch*(n_rows_b&gt;0))*($HW$5*n_SA_b+$HU$8&lt;pax_b)</f>
        <v>6.5</v>
      </c>
      <c r="HZ495" s="281">
        <f>$HV$8+seat_w_b*($HW$5*n_SA_b+$HU$8&lt;pax_b)</f>
        <v>-1.84</v>
      </c>
      <c r="IA495" s="281">
        <f t="shared" si="131"/>
        <v>-11.310479999999998</v>
      </c>
    </row>
    <row r="496" spans="65:235" x14ac:dyDescent="0.25">
      <c r="BM496" s="281">
        <f>$AZ$6+0.2*(seat_pitch)*($AY$6*n_SA+$AW$6&lt;pax_e)</f>
        <v>7.4720000000000004</v>
      </c>
      <c r="BN496" s="281">
        <f>$AX$6+seat_w*($AY$6*n_SA+$AW$6&lt;pax_e)</f>
        <v>-0.78</v>
      </c>
      <c r="BO496" s="281">
        <f t="shared" si="130"/>
        <v>-10.338479999999997</v>
      </c>
      <c r="HY496" s="281">
        <f>$HX$5+0.8*(bus_pitch*(n_rows_b&gt;0))*($HW$5*n_SA_b+$HU$8&lt;pax_b)</f>
        <v>6.5</v>
      </c>
      <c r="HZ496" s="281">
        <f>$HV$8</f>
        <v>-1.84</v>
      </c>
      <c r="IA496" s="281">
        <f t="shared" si="131"/>
        <v>-11.310479999999998</v>
      </c>
    </row>
    <row r="497" spans="65:235" x14ac:dyDescent="0.25">
      <c r="BM497" s="281">
        <f>$AZ$6</f>
        <v>7.3100000000000005</v>
      </c>
      <c r="BN497" s="281">
        <f>$AX$6+seat_w*($AY$6*n_SA+$AW$6&lt;pax_e)</f>
        <v>-0.78</v>
      </c>
      <c r="BO497" s="281">
        <f t="shared" si="130"/>
        <v>-10.500479999999998</v>
      </c>
      <c r="HY497" s="281">
        <f>$HX$5+0.2*(bus_pitch*(n_rows_b&gt;0))*($HW$5*n_SA_b+$HU$8&lt;pax_b)</f>
        <v>6.5</v>
      </c>
      <c r="HZ497" s="281">
        <f>$HV$8</f>
        <v>-1.84</v>
      </c>
      <c r="IA497" s="281">
        <f t="shared" si="131"/>
        <v>-11.310479999999998</v>
      </c>
    </row>
    <row r="498" spans="65:235" x14ac:dyDescent="0.25">
      <c r="BM498" s="281">
        <f>$AZ$6+1*(seat_pitch)*($AY$6*n_SA+$AW$6&lt;pax_e)</f>
        <v>8.120000000000001</v>
      </c>
      <c r="BN498" s="281">
        <f>$AX$6+seat_w*($AY$6*n_SA+$AW$6&lt;pax_e)</f>
        <v>-0.78</v>
      </c>
      <c r="BO498" s="281">
        <f t="shared" si="130"/>
        <v>-9.6904799999999973</v>
      </c>
      <c r="HY498" s="281">
        <f>$HX$5+(bus_pitch*(n_rows_b&gt;0))</f>
        <v>6.5</v>
      </c>
      <c r="HZ498" s="281">
        <f>$HV$8</f>
        <v>-1.84</v>
      </c>
      <c r="IA498" s="281">
        <f t="shared" si="131"/>
        <v>-11.310479999999998</v>
      </c>
    </row>
    <row r="499" spans="65:235" x14ac:dyDescent="0.25">
      <c r="BM499" s="281">
        <f>$AZ$6+0.8*(seat_pitch)*($AY$6*n_SA+$AW$6&lt;pax_e)</f>
        <v>7.9580000000000002</v>
      </c>
      <c r="BN499" s="281">
        <f>$AX$6+seat_w*($AY$6*n_SA+$AW$6&lt;pax_e)</f>
        <v>-0.78</v>
      </c>
      <c r="BO499" s="281">
        <f t="shared" si="130"/>
        <v>-9.8524799999999981</v>
      </c>
      <c r="HY499" s="281">
        <f>$HX$6+0.2*(bus_pitch*(n_rows_b&gt;0))*($HW$6*n_SA_b+$HU$8&lt;pax_b)</f>
        <v>6.5</v>
      </c>
      <c r="HZ499" s="281">
        <f>$HV$8</f>
        <v>-1.84</v>
      </c>
      <c r="IA499" s="281">
        <f t="shared" si="131"/>
        <v>-11.310479999999998</v>
      </c>
    </row>
    <row r="500" spans="65:235" x14ac:dyDescent="0.25">
      <c r="BM500" s="281">
        <f>$AZ$6+0.8*(seat_pitch)*($AY$6*n_SA+$AW$6&lt;pax_e)</f>
        <v>7.9580000000000002</v>
      </c>
      <c r="BN500" s="281">
        <f>$AX$6</f>
        <v>-1.31</v>
      </c>
      <c r="BO500" s="281">
        <f t="shared" si="130"/>
        <v>-9.8524799999999981</v>
      </c>
      <c r="HY500" s="281">
        <f>$HX$6+0.2*(bus_pitch*(n_rows_b&gt;0))*($HW$6*n_SA_b+$HU$8&lt;pax_b)</f>
        <v>6.5</v>
      </c>
      <c r="HZ500" s="281">
        <f>$HV$8+seat_w_b*($HW$6*n_SA_b+$HU$8&lt;pax_b)</f>
        <v>-1.84</v>
      </c>
      <c r="IA500" s="281">
        <f t="shared" si="131"/>
        <v>-11.310479999999998</v>
      </c>
    </row>
    <row r="501" spans="65:235" x14ac:dyDescent="0.25">
      <c r="BM501" s="281">
        <f>$AZ$6+0.2*(seat_pitch)*($AY$6*n_SA+$AW$6&lt;pax_e)</f>
        <v>7.4720000000000004</v>
      </c>
      <c r="BN501" s="281">
        <f>$AX$6</f>
        <v>-1.31</v>
      </c>
      <c r="BO501" s="281">
        <f t="shared" si="130"/>
        <v>-10.338479999999997</v>
      </c>
      <c r="HY501" s="281">
        <f>$HX$6</f>
        <v>6.5</v>
      </c>
      <c r="HZ501" s="281">
        <f>$HV$8+seat_w_b*($HW$6*n_SA_b+$HU$8&lt;pax_b)</f>
        <v>-1.84</v>
      </c>
      <c r="IA501" s="281">
        <f t="shared" si="131"/>
        <v>-11.310479999999998</v>
      </c>
    </row>
    <row r="502" spans="65:235" x14ac:dyDescent="0.25">
      <c r="BM502" s="281">
        <f>$AZ$6+(seat_pitch)</f>
        <v>8.120000000000001</v>
      </c>
      <c r="BN502" s="281">
        <f>$AX$6</f>
        <v>-1.31</v>
      </c>
      <c r="BO502" s="281">
        <f t="shared" si="130"/>
        <v>-9.6904799999999973</v>
      </c>
      <c r="HY502" s="281">
        <f>$HX$6+1*(bus_pitch*(n_rows_b&gt;0))*($HW$6*n_SA_b+$HU$8&lt;pax_b)</f>
        <v>6.5</v>
      </c>
      <c r="HZ502" s="281">
        <f>$HV$8+seat_w_b*($HW$6*n_SA_b+$HU$8&lt;pax_b)</f>
        <v>-1.84</v>
      </c>
      <c r="IA502" s="281">
        <f t="shared" si="131"/>
        <v>-11.310479999999998</v>
      </c>
    </row>
    <row r="503" spans="65:235" x14ac:dyDescent="0.25">
      <c r="BM503" s="281">
        <f>$AZ$7+0.2*(seat_pitch)*($AY$7*n_SA+$AW$6&lt;pax_e)</f>
        <v>8.2820000000000018</v>
      </c>
      <c r="BN503" s="281">
        <f>$AX$6</f>
        <v>-1.31</v>
      </c>
      <c r="BO503" s="281">
        <f t="shared" si="130"/>
        <v>-9.5284799999999965</v>
      </c>
      <c r="HY503" s="281">
        <f>$HX$6+0.8*(bus_pitch*(n_rows_b&gt;0))*($HW$6*n_SA_b+$HU$8&lt;pax_b)</f>
        <v>6.5</v>
      </c>
      <c r="HZ503" s="281">
        <f>$HV$8+seat_w_b*($HW$6*n_SA_b+$HU$8&lt;pax_b)</f>
        <v>-1.84</v>
      </c>
      <c r="IA503" s="281">
        <f t="shared" si="131"/>
        <v>-11.310479999999998</v>
      </c>
    </row>
    <row r="504" spans="65:235" x14ac:dyDescent="0.25">
      <c r="BM504" s="281">
        <f>$AZ$7+0.2*(seat_pitch)*($AY$7*n_SA+$AW$6&lt;pax_e)</f>
        <v>8.2820000000000018</v>
      </c>
      <c r="BN504" s="281">
        <f>$AX$6+seat_w*($AY$7*n_SA+$AW$6&lt;pax_e)</f>
        <v>-0.78</v>
      </c>
      <c r="BO504" s="281">
        <f t="shared" si="130"/>
        <v>-9.5284799999999965</v>
      </c>
      <c r="HY504" s="281">
        <f>$HX$6+0.8*(bus_pitch*(n_rows_b&gt;0))*($HW$6*n_SA_b+$HU$8&lt;pax_b)</f>
        <v>6.5</v>
      </c>
      <c r="HZ504" s="281">
        <f>$HV$8</f>
        <v>-1.84</v>
      </c>
      <c r="IA504" s="281">
        <f t="shared" si="131"/>
        <v>-11.310479999999998</v>
      </c>
    </row>
    <row r="505" spans="65:235" x14ac:dyDescent="0.25">
      <c r="BM505" s="281">
        <f>$AZ$7</f>
        <v>8.120000000000001</v>
      </c>
      <c r="BN505" s="281">
        <f>$AX$6+seat_w*($AY$7*n_SA+$AW$6&lt;pax_e)</f>
        <v>-0.78</v>
      </c>
      <c r="BO505" s="281">
        <f t="shared" si="130"/>
        <v>-9.6904799999999973</v>
      </c>
      <c r="HY505" s="281">
        <f>$HX$6+0.2*(bus_pitch*(n_rows_b&gt;0))*($HW$6*n_SA_b+$HU$8&lt;pax_b)</f>
        <v>6.5</v>
      </c>
      <c r="HZ505" s="281">
        <f>$HV$8</f>
        <v>-1.84</v>
      </c>
      <c r="IA505" s="281">
        <f t="shared" si="131"/>
        <v>-11.310479999999998</v>
      </c>
    </row>
    <row r="506" spans="65:235" x14ac:dyDescent="0.25">
      <c r="BM506" s="281">
        <f>$AZ$7+1*(seat_pitch)*($AY$7*n_SA+$AW$6&lt;pax_e)</f>
        <v>8.9300000000000015</v>
      </c>
      <c r="BN506" s="281">
        <f>$AX$6+seat_w*($AY$7*n_SA+$AW$6&lt;pax_e)</f>
        <v>-0.78</v>
      </c>
      <c r="BO506" s="281">
        <f t="shared" si="130"/>
        <v>-8.8804799999999968</v>
      </c>
      <c r="HY506" s="281">
        <f>$HX$6+(bus_pitch*(n_rows_b&gt;0))</f>
        <v>6.5</v>
      </c>
      <c r="HZ506" s="281">
        <f>$HV$8</f>
        <v>-1.84</v>
      </c>
      <c r="IA506" s="281">
        <f t="shared" si="131"/>
        <v>-11.310479999999998</v>
      </c>
    </row>
    <row r="507" spans="65:235" x14ac:dyDescent="0.25">
      <c r="BM507" s="281">
        <f>$AZ$7+0.8*(seat_pitch)*($AY$7*n_SA+$AW$6&lt;pax_e)</f>
        <v>8.7680000000000007</v>
      </c>
      <c r="BN507" s="281">
        <f>$AX$6+seat_w*($AY$7*n_SA+$AW$6&lt;pax_e)</f>
        <v>-0.78</v>
      </c>
      <c r="BO507" s="281">
        <f t="shared" si="130"/>
        <v>-9.0424799999999976</v>
      </c>
      <c r="HY507" s="281">
        <f>$HX$7+0.2*(bus_pitch*(n_rows_b&gt;0))*($HW$7*n_SA_b+$HU$8&lt;pax_b)</f>
        <v>6.5</v>
      </c>
      <c r="HZ507" s="281">
        <f>$HV$8</f>
        <v>-1.84</v>
      </c>
      <c r="IA507" s="281">
        <f t="shared" si="131"/>
        <v>-11.310479999999998</v>
      </c>
    </row>
    <row r="508" spans="65:235" x14ac:dyDescent="0.25">
      <c r="BM508" s="281">
        <f>$AZ$7+0.8*(seat_pitch)*($AY$7*n_SA+$AW$6&lt;pax_e)</f>
        <v>8.7680000000000007</v>
      </c>
      <c r="BN508" s="281">
        <f>$AX$6</f>
        <v>-1.31</v>
      </c>
      <c r="BO508" s="281">
        <f t="shared" si="130"/>
        <v>-9.0424799999999976</v>
      </c>
      <c r="HY508" s="281">
        <f>$HX$7+0.2*(bus_pitch*(n_rows_b&gt;0))*($HW$7*n_SA_b+$HU$8&lt;pax_b)</f>
        <v>6.5</v>
      </c>
      <c r="HZ508" s="281">
        <f>$HV$8+seat_w_b*($HW$7*n_SA_b+$HU$8&lt;pax_b)</f>
        <v>-1.84</v>
      </c>
      <c r="IA508" s="281">
        <f t="shared" si="131"/>
        <v>-11.310479999999998</v>
      </c>
    </row>
    <row r="509" spans="65:235" x14ac:dyDescent="0.25">
      <c r="BM509" s="281">
        <f>$AZ$7+0.2*(seat_pitch)*($AY$7*n_SA+$AW$6&lt;pax_e)</f>
        <v>8.2820000000000018</v>
      </c>
      <c r="BN509" s="281">
        <f>$AX$6</f>
        <v>-1.31</v>
      </c>
      <c r="BO509" s="281">
        <f t="shared" si="130"/>
        <v>-9.5284799999999965</v>
      </c>
      <c r="HY509" s="281">
        <f>$HX$7</f>
        <v>6.5</v>
      </c>
      <c r="HZ509" s="281">
        <f>$HV$8+seat_w_b*($HW$7*n_SA_b+$HU$8&lt;pax_b)</f>
        <v>-1.84</v>
      </c>
      <c r="IA509" s="281">
        <f t="shared" si="131"/>
        <v>-11.310479999999998</v>
      </c>
    </row>
    <row r="510" spans="65:235" x14ac:dyDescent="0.25">
      <c r="BM510" s="281">
        <f>$AZ$7+(seat_pitch)</f>
        <v>8.9300000000000015</v>
      </c>
      <c r="BN510" s="281">
        <f>$AX$6</f>
        <v>-1.31</v>
      </c>
      <c r="BO510" s="281">
        <f t="shared" si="130"/>
        <v>-8.8804799999999968</v>
      </c>
      <c r="HY510" s="281">
        <f>$HX$7+1*(bus_pitch*(n_rows_b&gt;0))*($HW$7*n_SA_b+$HU$8&lt;pax_b)</f>
        <v>6.5</v>
      </c>
      <c r="HZ510" s="281">
        <f>$HV$8+seat_w_b*($HW$7*n_SA_b+$HU$8&lt;pax_b)</f>
        <v>-1.84</v>
      </c>
      <c r="IA510" s="281">
        <f t="shared" si="131"/>
        <v>-11.310479999999998</v>
      </c>
    </row>
    <row r="511" spans="65:235" x14ac:dyDescent="0.25">
      <c r="BM511" s="281">
        <f>$AZ$8+0.2*(seat_pitch)*($AY$8*n_SA+$AW$6&lt;pax_e)</f>
        <v>9.0920000000000005</v>
      </c>
      <c r="BN511" s="281">
        <f>$AX$6</f>
        <v>-1.31</v>
      </c>
      <c r="BO511" s="281">
        <f t="shared" si="130"/>
        <v>-8.7184799999999978</v>
      </c>
      <c r="HY511" s="281">
        <f>$HX$7+0.8*(bus_pitch*(n_rows_b&gt;0))*($HW$7*n_SA_b+$HU$8&lt;pax_b)</f>
        <v>6.5</v>
      </c>
      <c r="HZ511" s="281">
        <f>$HV$8+seat_w_b*($HW$7*n_SA_b+$HU$8&lt;pax_b)</f>
        <v>-1.84</v>
      </c>
      <c r="IA511" s="281">
        <f t="shared" si="131"/>
        <v>-11.310479999999998</v>
      </c>
    </row>
    <row r="512" spans="65:235" x14ac:dyDescent="0.25">
      <c r="BM512" s="281">
        <f>$AZ$8+0.2*(seat_pitch)*($AY$8*n_SA+$AW$6&lt;pax_e)</f>
        <v>9.0920000000000005</v>
      </c>
      <c r="BN512" s="281">
        <f>$AX$6+seat_w*($AY$8*n_SA+$AW$6&lt;pax_e)</f>
        <v>-0.78</v>
      </c>
      <c r="BO512" s="281">
        <f t="shared" si="130"/>
        <v>-8.7184799999999978</v>
      </c>
      <c r="HY512" s="281">
        <f>$HX$7+0.8*(bus_pitch*(n_rows_b&gt;0))*($HW$7*n_SA_b+$HU$8&lt;pax_b)</f>
        <v>6.5</v>
      </c>
      <c r="HZ512" s="281">
        <f>$HV$8</f>
        <v>-1.84</v>
      </c>
      <c r="IA512" s="281">
        <f t="shared" si="131"/>
        <v>-11.310479999999998</v>
      </c>
    </row>
    <row r="513" spans="65:235" x14ac:dyDescent="0.25">
      <c r="BM513" s="281">
        <f>$AZ$8</f>
        <v>8.93</v>
      </c>
      <c r="BN513" s="281">
        <f>$AX$6+seat_w*($AY$8*n_SA+$AW$6&lt;pax_e)</f>
        <v>-0.78</v>
      </c>
      <c r="BO513" s="281">
        <f t="shared" si="130"/>
        <v>-8.8804799999999986</v>
      </c>
      <c r="HY513" s="281">
        <f>$HX$7+0.2*(bus_pitch*(n_rows_b&gt;0))*($HW$7*n_SA_b+$HU$8&lt;pax_b)</f>
        <v>6.5</v>
      </c>
      <c r="HZ513" s="281">
        <f>$HV$8</f>
        <v>-1.84</v>
      </c>
      <c r="IA513" s="281">
        <f t="shared" si="131"/>
        <v>-11.310479999999998</v>
      </c>
    </row>
    <row r="514" spans="65:235" x14ac:dyDescent="0.25">
      <c r="BM514" s="281">
        <f>$AZ$8+1*(seat_pitch)*($AY$8*n_SA+$AW$6&lt;pax_e)</f>
        <v>9.74</v>
      </c>
      <c r="BN514" s="281">
        <f>$AX$6+seat_w*($AY$8*n_SA+$AW$6&lt;pax_e)</f>
        <v>-0.78</v>
      </c>
      <c r="BO514" s="281">
        <f t="shared" si="130"/>
        <v>-8.0704799999999981</v>
      </c>
      <c r="HY514" s="281">
        <f>$HX$7+(bus_pitch*(n_rows_b&gt;0))</f>
        <v>6.5</v>
      </c>
      <c r="HZ514" s="281">
        <f>$HV$8</f>
        <v>-1.84</v>
      </c>
      <c r="IA514" s="281">
        <f t="shared" si="131"/>
        <v>-11.310479999999998</v>
      </c>
    </row>
    <row r="515" spans="65:235" x14ac:dyDescent="0.25">
      <c r="BM515" s="281">
        <f>$AZ$8+0.8*(seat_pitch)*($AY$8*n_SA+$AW$6&lt;pax_e)</f>
        <v>9.5779999999999994</v>
      </c>
      <c r="BN515" s="281">
        <f>$AX$6+seat_w*($AY$8*n_SA+$AW$6&lt;pax_e)</f>
        <v>-0.78</v>
      </c>
      <c r="BO515" s="281">
        <f t="shared" si="130"/>
        <v>-8.2324799999999989</v>
      </c>
      <c r="HY515" s="281">
        <f>$HX$8+0.2*(bus_pitch*(n_rows_b&gt;0))*($HW$8*n_SA_b+$HU$8&lt;pax_b)</f>
        <v>6.5</v>
      </c>
      <c r="HZ515" s="281">
        <f>$HV$8</f>
        <v>-1.84</v>
      </c>
      <c r="IA515" s="281">
        <f t="shared" si="131"/>
        <v>-11.310479999999998</v>
      </c>
    </row>
    <row r="516" spans="65:235" x14ac:dyDescent="0.25">
      <c r="BM516" s="281">
        <f>$AZ$8+0.8*(seat_pitch)*($AY$8*n_SA+$AW$6&lt;pax_e)</f>
        <v>9.5779999999999994</v>
      </c>
      <c r="BN516" s="281">
        <f>$AX$6</f>
        <v>-1.31</v>
      </c>
      <c r="BO516" s="281">
        <f t="shared" si="130"/>
        <v>-8.2324799999999989</v>
      </c>
      <c r="HY516" s="281">
        <f>$HX$8+0.2*(bus_pitch*(n_rows_b&gt;0))*($HW$8*n_SA_b+$HU$8&lt;pax_b)</f>
        <v>6.5</v>
      </c>
      <c r="HZ516" s="281">
        <f>$HV$8+seat_w_b*($HW$8*n_SA_b+$HU$8&lt;pax_b)</f>
        <v>-1.84</v>
      </c>
      <c r="IA516" s="281">
        <f t="shared" si="131"/>
        <v>-11.310479999999998</v>
      </c>
    </row>
    <row r="517" spans="65:235" x14ac:dyDescent="0.25">
      <c r="BM517" s="281">
        <f>$AZ$8+0.2*(seat_pitch)*($AY$8*n_SA+$AW$6&lt;pax_e)</f>
        <v>9.0920000000000005</v>
      </c>
      <c r="BN517" s="281">
        <f>$AX$6</f>
        <v>-1.31</v>
      </c>
      <c r="BO517" s="281">
        <f t="shared" ref="BO517:BO580" si="132">BM517-L_fus/2</f>
        <v>-8.7184799999999978</v>
      </c>
      <c r="HY517" s="281">
        <f>$HX$8</f>
        <v>6.5</v>
      </c>
      <c r="HZ517" s="281">
        <f>$HV$8+seat_w_b*($HW$8*n_SA_b+$HU$8&lt;pax_b)</f>
        <v>-1.84</v>
      </c>
      <c r="IA517" s="281">
        <f t="shared" ref="IA517:IA580" si="133">HY517-L_fus/2</f>
        <v>-11.310479999999998</v>
      </c>
    </row>
    <row r="518" spans="65:235" x14ac:dyDescent="0.25">
      <c r="BM518" s="281">
        <f>$AZ$8+(seat_pitch)</f>
        <v>9.74</v>
      </c>
      <c r="BN518" s="281">
        <f>$AX$6</f>
        <v>-1.31</v>
      </c>
      <c r="BO518" s="281">
        <f t="shared" si="132"/>
        <v>-8.0704799999999981</v>
      </c>
      <c r="HY518" s="281">
        <f>$HX$8+1*(bus_pitch*(n_rows_b&gt;0))*($HW$8*n_SA_b+$HU$8&lt;pax_b)</f>
        <v>6.5</v>
      </c>
      <c r="HZ518" s="281">
        <f>$HV$8+seat_w_b*($HW$8*n_SA_b+$HU$8&lt;pax_b)</f>
        <v>-1.84</v>
      </c>
      <c r="IA518" s="281">
        <f t="shared" si="133"/>
        <v>-11.310479999999998</v>
      </c>
    </row>
    <row r="519" spans="65:235" x14ac:dyDescent="0.25">
      <c r="BM519" s="281">
        <f>$AZ$9+0.2*(seat_pitch)*($AY$9*n_SA+$AW$6&lt;pax_e)</f>
        <v>9.902000000000001</v>
      </c>
      <c r="BN519" s="281">
        <f>$AX$6</f>
        <v>-1.31</v>
      </c>
      <c r="BO519" s="281">
        <f t="shared" si="132"/>
        <v>-7.9084799999999973</v>
      </c>
      <c r="HY519" s="281">
        <f>$HX$8+0.8*(bus_pitch*(n_rows_b&gt;0))*($HW$8*n_SA_b+$HU$8&lt;pax_b)</f>
        <v>6.5</v>
      </c>
      <c r="HZ519" s="281">
        <f>$HV$8+seat_w_b*($HW$8*n_SA_b+$HU$8&lt;pax_b)</f>
        <v>-1.84</v>
      </c>
      <c r="IA519" s="281">
        <f t="shared" si="133"/>
        <v>-11.310479999999998</v>
      </c>
    </row>
    <row r="520" spans="65:235" x14ac:dyDescent="0.25">
      <c r="BM520" s="281">
        <f>$AZ$9+0.2*(seat_pitch)*($AY$9*n_SA+$AW$6&lt;pax_e)</f>
        <v>9.902000000000001</v>
      </c>
      <c r="BN520" s="281">
        <f>$AX$6+seat_w*($AY$9*n_SA+$AW$6&lt;pax_e)</f>
        <v>-0.78</v>
      </c>
      <c r="BO520" s="281">
        <f t="shared" si="132"/>
        <v>-7.9084799999999973</v>
      </c>
      <c r="HY520" s="281">
        <f>$HX$8+0.8*(bus_pitch*(n_rows_b&gt;0))*($HW$8*n_SA_b+$HU$8&lt;pax_b)</f>
        <v>6.5</v>
      </c>
      <c r="HZ520" s="281">
        <f>$HV$8</f>
        <v>-1.84</v>
      </c>
      <c r="IA520" s="281">
        <f t="shared" si="133"/>
        <v>-11.310479999999998</v>
      </c>
    </row>
    <row r="521" spans="65:235" x14ac:dyDescent="0.25">
      <c r="BM521" s="281">
        <f>$AZ$9</f>
        <v>9.74</v>
      </c>
      <c r="BN521" s="281">
        <f>$AX$6+seat_w*($AY$9*n_SA+$AW$6&lt;pax_e)</f>
        <v>-0.78</v>
      </c>
      <c r="BO521" s="281">
        <f t="shared" si="132"/>
        <v>-8.0704799999999981</v>
      </c>
      <c r="HY521" s="281">
        <f>$HX$8+0.2*(bus_pitch*(n_rows_b&gt;0))*($HW$8*n_SA_b+$HU$8&lt;pax_b)</f>
        <v>6.5</v>
      </c>
      <c r="HZ521" s="281">
        <f>$HV$8</f>
        <v>-1.84</v>
      </c>
      <c r="IA521" s="281">
        <f t="shared" si="133"/>
        <v>-11.310479999999998</v>
      </c>
    </row>
    <row r="522" spans="65:235" x14ac:dyDescent="0.25">
      <c r="BM522" s="281">
        <f>$AZ$9+1*(seat_pitch)*($AY$9*n_SA+$AW$6&lt;pax_e)</f>
        <v>10.55</v>
      </c>
      <c r="BN522" s="281">
        <f>$AX$6+seat_w*($AY$9*n_SA+$AW$6&lt;pax_e)</f>
        <v>-0.78</v>
      </c>
      <c r="BO522" s="281">
        <f t="shared" si="132"/>
        <v>-7.2604799999999976</v>
      </c>
      <c r="HY522" s="281">
        <f>$HX$8+(bus_pitch*(n_rows_b&gt;0))</f>
        <v>6.5</v>
      </c>
      <c r="HZ522" s="281">
        <f>$HV$8</f>
        <v>-1.84</v>
      </c>
      <c r="IA522" s="281">
        <f t="shared" si="133"/>
        <v>-11.310479999999998</v>
      </c>
    </row>
    <row r="523" spans="65:235" x14ac:dyDescent="0.25">
      <c r="BM523" s="281">
        <f>$AZ$9+0.8*(seat_pitch)*($AY$9*n_SA+$AW$6&lt;pax_e)</f>
        <v>10.388</v>
      </c>
      <c r="BN523" s="281">
        <f>$AX$6+seat_w*($AY$9*n_SA+$AW$6&lt;pax_e)</f>
        <v>-0.78</v>
      </c>
      <c r="BO523" s="281">
        <f t="shared" si="132"/>
        <v>-7.4224799999999984</v>
      </c>
      <c r="HY523" s="281">
        <f>$HX$9+0.2*(bus_pitch*(n_rows_b&gt;0))*($HW$9*n_SA_b+$HU$8&lt;pax_b)</f>
        <v>6.5</v>
      </c>
      <c r="HZ523" s="281">
        <f>$HV$8</f>
        <v>-1.84</v>
      </c>
      <c r="IA523" s="281">
        <f t="shared" si="133"/>
        <v>-11.310479999999998</v>
      </c>
    </row>
    <row r="524" spans="65:235" x14ac:dyDescent="0.25">
      <c r="BM524" s="281">
        <f>$AZ$9+0.8*(seat_pitch)*($AY$9*n_SA+$AW$6&lt;pax_e)</f>
        <v>10.388</v>
      </c>
      <c r="BN524" s="281">
        <f>$AX$6</f>
        <v>-1.31</v>
      </c>
      <c r="BO524" s="281">
        <f t="shared" si="132"/>
        <v>-7.4224799999999984</v>
      </c>
      <c r="HY524" s="281">
        <f>$HX$9+0.2*(bus_pitch*(n_rows_b&gt;0))*($HW$9*n_SA_b+$HU$8&lt;pax_b)</f>
        <v>6.5</v>
      </c>
      <c r="HZ524" s="281">
        <f>$HV$8+seat_w_b*($HW$9*n_SA_b+$HU$8&lt;pax_b)</f>
        <v>-1.84</v>
      </c>
      <c r="IA524" s="281">
        <f t="shared" si="133"/>
        <v>-11.310479999999998</v>
      </c>
    </row>
    <row r="525" spans="65:235" x14ac:dyDescent="0.25">
      <c r="BM525" s="281">
        <f>$AZ$9+0.2*(seat_pitch)*($AY$9*n_SA+$AW$6&lt;pax_e)</f>
        <v>9.902000000000001</v>
      </c>
      <c r="BN525" s="281">
        <f>$AX$6</f>
        <v>-1.31</v>
      </c>
      <c r="BO525" s="281">
        <f t="shared" si="132"/>
        <v>-7.9084799999999973</v>
      </c>
      <c r="HY525" s="281">
        <f>$HX$9</f>
        <v>6.5</v>
      </c>
      <c r="HZ525" s="281">
        <f>$HV$8+seat_w_b*($HW$9*n_SA_b+$HU$8&lt;pax_b)</f>
        <v>-1.84</v>
      </c>
      <c r="IA525" s="281">
        <f t="shared" si="133"/>
        <v>-11.310479999999998</v>
      </c>
    </row>
    <row r="526" spans="65:235" x14ac:dyDescent="0.25">
      <c r="BM526" s="281">
        <f>$AZ$9+(seat_pitch)</f>
        <v>10.55</v>
      </c>
      <c r="BN526" s="281">
        <f>$AX$6</f>
        <v>-1.31</v>
      </c>
      <c r="BO526" s="281">
        <f t="shared" si="132"/>
        <v>-7.2604799999999976</v>
      </c>
      <c r="HY526" s="281">
        <f>$HX$9+1*(bus_pitch*(n_rows_b&gt;0))*($HW$9*n_SA_b+$HU$8&lt;pax_b)</f>
        <v>6.5</v>
      </c>
      <c r="HZ526" s="281">
        <f>$HV$8+seat_w_b*($HW$9*n_SA_b+$HU$8&lt;pax_b)</f>
        <v>-1.84</v>
      </c>
      <c r="IA526" s="281">
        <f t="shared" si="133"/>
        <v>-11.310479999999998</v>
      </c>
    </row>
    <row r="527" spans="65:235" x14ac:dyDescent="0.25">
      <c r="BM527" s="281">
        <f>$AZ$10+0.2*(seat_pitch)*($AY$10*n_SA+$AW$6&lt;pax_e)</f>
        <v>10.712000000000002</v>
      </c>
      <c r="BN527" s="281">
        <f>$AX$6</f>
        <v>-1.31</v>
      </c>
      <c r="BO527" s="281">
        <f t="shared" si="132"/>
        <v>-7.0984799999999968</v>
      </c>
      <c r="HY527" s="281">
        <f>$HX$9+0.8*(bus_pitch*(n_rows_b&gt;0))*($HW$9*n_SA_b+$HU$8&lt;pax_b)</f>
        <v>6.5</v>
      </c>
      <c r="HZ527" s="281">
        <f>$HV$8+seat_w_b*($HW$9*n_SA_b+$HU$8&lt;pax_b)</f>
        <v>-1.84</v>
      </c>
      <c r="IA527" s="281">
        <f t="shared" si="133"/>
        <v>-11.310479999999998</v>
      </c>
    </row>
    <row r="528" spans="65:235" x14ac:dyDescent="0.25">
      <c r="BM528" s="281">
        <f>$AZ$10+0.2*(seat_pitch)*($AY$10*n_SA+$AW$6&lt;pax_e)</f>
        <v>10.712000000000002</v>
      </c>
      <c r="BN528" s="281">
        <f>$AX$6+seat_w*($AY$10*n_SA+$AW$6&lt;pax_e)</f>
        <v>-0.78</v>
      </c>
      <c r="BO528" s="281">
        <f t="shared" si="132"/>
        <v>-7.0984799999999968</v>
      </c>
      <c r="HY528" s="281">
        <f>$HX$9+0.8*(bus_pitch*(n_rows_b&gt;0))*($HW$9*n_SA_b+$HU$8&lt;pax_b)</f>
        <v>6.5</v>
      </c>
      <c r="HZ528" s="281">
        <f>$HV$8</f>
        <v>-1.84</v>
      </c>
      <c r="IA528" s="281">
        <f t="shared" si="133"/>
        <v>-11.310479999999998</v>
      </c>
    </row>
    <row r="529" spans="65:235" x14ac:dyDescent="0.25">
      <c r="BM529" s="281">
        <f>$AZ$10</f>
        <v>10.55</v>
      </c>
      <c r="BN529" s="281">
        <f>$AX$6+seat_w*($AY$10*n_SA+$AW$6&lt;pax_e)</f>
        <v>-0.78</v>
      </c>
      <c r="BO529" s="281">
        <f t="shared" si="132"/>
        <v>-7.2604799999999976</v>
      </c>
      <c r="HY529" s="281">
        <f>$HX$9+0.2*(bus_pitch*(n_rows_b&gt;0))*($HW$9*n_SA_b+$HU$8&lt;pax_b)</f>
        <v>6.5</v>
      </c>
      <c r="HZ529" s="281">
        <f>$HV$8</f>
        <v>-1.84</v>
      </c>
      <c r="IA529" s="281">
        <f t="shared" si="133"/>
        <v>-11.310479999999998</v>
      </c>
    </row>
    <row r="530" spans="65:235" x14ac:dyDescent="0.25">
      <c r="BM530" s="281">
        <f>$AZ$10+1*(seat_pitch)*($AY$10*n_SA+$AW$6&lt;pax_e)</f>
        <v>11.360000000000001</v>
      </c>
      <c r="BN530" s="281">
        <f>$AX$6+seat_w*($AY$10*n_SA+$AW$6&lt;pax_e)</f>
        <v>-0.78</v>
      </c>
      <c r="BO530" s="281">
        <f t="shared" si="132"/>
        <v>-6.4504799999999971</v>
      </c>
      <c r="HY530" s="281">
        <f>$HX$9+(bus_pitch*(n_rows_b&gt;0))</f>
        <v>6.5</v>
      </c>
      <c r="HZ530" s="281">
        <f>$HV$8</f>
        <v>-1.84</v>
      </c>
      <c r="IA530" s="281">
        <f t="shared" si="133"/>
        <v>-11.310479999999998</v>
      </c>
    </row>
    <row r="531" spans="65:235" x14ac:dyDescent="0.25">
      <c r="BM531" s="281">
        <f>$AZ$10+0.8*(seat_pitch)*($AY$10*n_SA+$AW$6&lt;pax_e)</f>
        <v>11.198</v>
      </c>
      <c r="BN531" s="281">
        <f>$AX$6+seat_w*($AY$10*n_SA+$AW$6&lt;pax_e)</f>
        <v>-0.78</v>
      </c>
      <c r="BO531" s="281">
        <f t="shared" si="132"/>
        <v>-6.6124799999999979</v>
      </c>
      <c r="HY531" s="281">
        <f>$HX$10+0.2*(bus_pitch*(n_rows_b&gt;0))*($HW$10*n_SA_b+$HU$8&lt;pax_b)</f>
        <v>6.5</v>
      </c>
      <c r="HZ531" s="281">
        <f>$HV$8</f>
        <v>-1.84</v>
      </c>
      <c r="IA531" s="281">
        <f t="shared" si="133"/>
        <v>-11.310479999999998</v>
      </c>
    </row>
    <row r="532" spans="65:235" x14ac:dyDescent="0.25">
      <c r="BM532" s="281">
        <f>$AZ$10+0.8*(seat_pitch)*($AY$10*n_SA+$AW$6&lt;pax_e)</f>
        <v>11.198</v>
      </c>
      <c r="BN532" s="281">
        <f>$AX$6</f>
        <v>-1.31</v>
      </c>
      <c r="BO532" s="281">
        <f t="shared" si="132"/>
        <v>-6.6124799999999979</v>
      </c>
      <c r="HY532" s="281">
        <f>$HX$10+0.2*(bus_pitch*(n_rows_b&gt;0))*($HW$10*n_SA_b+$HU$8&lt;pax_b)</f>
        <v>6.5</v>
      </c>
      <c r="HZ532" s="281">
        <f>$HV$8+seat_w_b*($HW$10*n_SA_b+$HU$8&lt;pax_b)</f>
        <v>-1.84</v>
      </c>
      <c r="IA532" s="281">
        <f t="shared" si="133"/>
        <v>-11.310479999999998</v>
      </c>
    </row>
    <row r="533" spans="65:235" x14ac:dyDescent="0.25">
      <c r="BM533" s="281">
        <f>$AZ$10+0.2*(seat_pitch)*($AY$10*n_SA+$AW$6&lt;pax_e)</f>
        <v>10.712000000000002</v>
      </c>
      <c r="BN533" s="281">
        <f>$AX$6</f>
        <v>-1.31</v>
      </c>
      <c r="BO533" s="281">
        <f t="shared" si="132"/>
        <v>-7.0984799999999968</v>
      </c>
      <c r="HY533" s="281">
        <f>$HX$10</f>
        <v>6.5</v>
      </c>
      <c r="HZ533" s="281">
        <f>$HV$8+seat_w_b*($HW$10*n_SA_b+$HU$8&lt;pax_b)</f>
        <v>-1.84</v>
      </c>
      <c r="IA533" s="281">
        <f t="shared" si="133"/>
        <v>-11.310479999999998</v>
      </c>
    </row>
    <row r="534" spans="65:235" x14ac:dyDescent="0.25">
      <c r="BM534" s="281">
        <f>$AZ$10+(seat_pitch)</f>
        <v>11.360000000000001</v>
      </c>
      <c r="BN534" s="281">
        <f>$AX$6</f>
        <v>-1.31</v>
      </c>
      <c r="BO534" s="281">
        <f t="shared" si="132"/>
        <v>-6.4504799999999971</v>
      </c>
      <c r="HY534" s="281">
        <f>$HX$10+1*(bus_pitch*(n_rows_b&gt;0))*($HW$10*n_SA_b+$HU$8&lt;pax_b)</f>
        <v>6.5</v>
      </c>
      <c r="HZ534" s="281">
        <f>$HV$8+seat_w_b*($HW$10*n_SA_b+$HU$8&lt;pax_b)</f>
        <v>-1.84</v>
      </c>
      <c r="IA534" s="281">
        <f t="shared" si="133"/>
        <v>-11.310479999999998</v>
      </c>
    </row>
    <row r="535" spans="65:235" x14ac:dyDescent="0.25">
      <c r="BM535" s="281">
        <f>$AZ$11+0.2*(seat_pitch)*($AY$11*n_SA+$AW$6&lt;pax_e)</f>
        <v>11.522</v>
      </c>
      <c r="BN535" s="281">
        <f>$AX$6</f>
        <v>-1.31</v>
      </c>
      <c r="BO535" s="281">
        <f t="shared" si="132"/>
        <v>-6.2884799999999981</v>
      </c>
      <c r="HY535" s="281">
        <f>$HX$10+0.8*(bus_pitch*(n_rows_b&gt;0))*($HW$10*n_SA_b+$HU$8&lt;pax_b)</f>
        <v>6.5</v>
      </c>
      <c r="HZ535" s="281">
        <f>$HV$8+seat_w_b*($HW$10*n_SA_b+$HU$8&lt;pax_b)</f>
        <v>-1.84</v>
      </c>
      <c r="IA535" s="281">
        <f t="shared" si="133"/>
        <v>-11.310479999999998</v>
      </c>
    </row>
    <row r="536" spans="65:235" x14ac:dyDescent="0.25">
      <c r="BM536" s="281">
        <f>$AZ$11+0.2*(seat_pitch)*($AY$11*n_SA+$AW$6&lt;pax_e)</f>
        <v>11.522</v>
      </c>
      <c r="BN536" s="281">
        <f>$AX$6+seat_w*($AY$11*n_SA+$AW$6&lt;pax_e)</f>
        <v>-0.78</v>
      </c>
      <c r="BO536" s="281">
        <f t="shared" si="132"/>
        <v>-6.2884799999999981</v>
      </c>
      <c r="HY536" s="281">
        <f>$HX$10+0.8*(bus_pitch*(n_rows_b&gt;0))*($HW$10*n_SA_b+$HU$8&lt;pax_b)</f>
        <v>6.5</v>
      </c>
      <c r="HZ536" s="281">
        <f>$HV$8</f>
        <v>-1.84</v>
      </c>
      <c r="IA536" s="281">
        <f t="shared" si="133"/>
        <v>-11.310479999999998</v>
      </c>
    </row>
    <row r="537" spans="65:235" x14ac:dyDescent="0.25">
      <c r="BM537" s="281">
        <f>$AZ$11</f>
        <v>11.36</v>
      </c>
      <c r="BN537" s="281">
        <f>$AX$6+seat_w*($AY$11*n_SA+$AW$6&lt;pax_e)</f>
        <v>-0.78</v>
      </c>
      <c r="BO537" s="281">
        <f t="shared" si="132"/>
        <v>-6.4504799999999989</v>
      </c>
      <c r="HY537" s="281">
        <f>$HX$10+0.2*(bus_pitch*(n_rows_b&gt;0))*($HW$10*n_SA_b+$HU$8&lt;pax_b)</f>
        <v>6.5</v>
      </c>
      <c r="HZ537" s="281">
        <f>$HV$8</f>
        <v>-1.84</v>
      </c>
      <c r="IA537" s="281">
        <f t="shared" si="133"/>
        <v>-11.310479999999998</v>
      </c>
    </row>
    <row r="538" spans="65:235" x14ac:dyDescent="0.25">
      <c r="BM538" s="281">
        <f>$AZ$11+1*(seat_pitch)*($AY$11*n_SA+$AW$6&lt;pax_e)</f>
        <v>12.17</v>
      </c>
      <c r="BN538" s="281">
        <f>$AX$6+seat_w*($AY$11*n_SA+$AW$6&lt;pax_e)</f>
        <v>-0.78</v>
      </c>
      <c r="BO538" s="281">
        <f t="shared" si="132"/>
        <v>-5.6404799999999984</v>
      </c>
      <c r="HY538" s="281">
        <f>$HX$10+(bus_pitch*(n_rows_b&gt;0))</f>
        <v>6.5</v>
      </c>
      <c r="HZ538" s="281">
        <f>$HV$8</f>
        <v>-1.84</v>
      </c>
      <c r="IA538" s="281">
        <f t="shared" si="133"/>
        <v>-11.310479999999998</v>
      </c>
    </row>
    <row r="539" spans="65:235" x14ac:dyDescent="0.25">
      <c r="BM539" s="281">
        <f>$AZ$11+0.8*(seat_pitch)*($AY$11*n_SA+$AW$6&lt;pax_e)</f>
        <v>12.007999999999999</v>
      </c>
      <c r="BN539" s="281">
        <f>$AX$6+seat_w*($AY$11*n_SA+$AW$6&lt;pax_e)</f>
        <v>-0.78</v>
      </c>
      <c r="BO539" s="281">
        <f t="shared" si="132"/>
        <v>-5.8024799999999992</v>
      </c>
      <c r="HY539" s="281">
        <f>$HX$11+0.2*(bus_pitch*(n_rows_b&gt;0))*($HW$11*n_SA_b+$HU$8&lt;pax_b)</f>
        <v>6.5</v>
      </c>
      <c r="HZ539" s="281">
        <f>$HV$8</f>
        <v>-1.84</v>
      </c>
      <c r="IA539" s="281">
        <f t="shared" si="133"/>
        <v>-11.310479999999998</v>
      </c>
    </row>
    <row r="540" spans="65:235" x14ac:dyDescent="0.25">
      <c r="BM540" s="281">
        <f>$AZ$11+0.8*(seat_pitch)*($AY$11*n_SA+$AW$6&lt;pax_e)</f>
        <v>12.007999999999999</v>
      </c>
      <c r="BN540" s="281">
        <f>$AX$6</f>
        <v>-1.31</v>
      </c>
      <c r="BO540" s="281">
        <f t="shared" si="132"/>
        <v>-5.8024799999999992</v>
      </c>
      <c r="HY540" s="281">
        <f>$HX$11+0.2*(bus_pitch*(n_rows_b&gt;0))*($HW$11*n_SA_b+$HU$8&lt;pax_b)</f>
        <v>6.5</v>
      </c>
      <c r="HZ540" s="281">
        <f>$HV$8+seat_w_b*($HW$11*n_SA_b+$HU$8&lt;pax_b)</f>
        <v>-1.84</v>
      </c>
      <c r="IA540" s="281">
        <f t="shared" si="133"/>
        <v>-11.310479999999998</v>
      </c>
    </row>
    <row r="541" spans="65:235" x14ac:dyDescent="0.25">
      <c r="BM541" s="281">
        <f>$AZ$11+0.2*(seat_pitch)*($AY$11*n_SA+$AW$6&lt;pax_e)</f>
        <v>11.522</v>
      </c>
      <c r="BN541" s="281">
        <f>$AX$6</f>
        <v>-1.31</v>
      </c>
      <c r="BO541" s="281">
        <f t="shared" si="132"/>
        <v>-6.2884799999999981</v>
      </c>
      <c r="HY541" s="281">
        <f>$HX$11</f>
        <v>6.5</v>
      </c>
      <c r="HZ541" s="281">
        <f>$HV$8+seat_w_b*($HW$11*n_SA_b+$HU$8&lt;pax_b)</f>
        <v>-1.84</v>
      </c>
      <c r="IA541" s="281">
        <f t="shared" si="133"/>
        <v>-11.310479999999998</v>
      </c>
    </row>
    <row r="542" spans="65:235" x14ac:dyDescent="0.25">
      <c r="BM542" s="281">
        <f>$AZ$11+(seat_pitch)</f>
        <v>12.17</v>
      </c>
      <c r="BN542" s="281">
        <f>$AX$6</f>
        <v>-1.31</v>
      </c>
      <c r="BO542" s="281">
        <f t="shared" si="132"/>
        <v>-5.6404799999999984</v>
      </c>
      <c r="HY542" s="281">
        <f>$HX$11+1*(bus_pitch*(n_rows_b&gt;0))*($HW$11*n_SA_b+$HU$8&lt;pax_b)</f>
        <v>6.5</v>
      </c>
      <c r="HZ542" s="281">
        <f>$HV$8+seat_w_b*($HW$11*n_SA_b+$HU$8&lt;pax_b)</f>
        <v>-1.84</v>
      </c>
      <c r="IA542" s="281">
        <f t="shared" si="133"/>
        <v>-11.310479999999998</v>
      </c>
    </row>
    <row r="543" spans="65:235" x14ac:dyDescent="0.25">
      <c r="BM543" s="281">
        <f>$AZ$12+0.2*(seat_pitch)*($AY$12*n_SA+$AW$6&lt;pax_e)</f>
        <v>12.332000000000001</v>
      </c>
      <c r="BN543" s="281">
        <f>$AX$6</f>
        <v>-1.31</v>
      </c>
      <c r="BO543" s="281">
        <f t="shared" si="132"/>
        <v>-5.4784799999999976</v>
      </c>
      <c r="HY543" s="281">
        <f>$HX$11+0.8*(bus_pitch*(n_rows_b&gt;0))*($HW$11*n_SA_b+$HU$8&lt;pax_b)</f>
        <v>6.5</v>
      </c>
      <c r="HZ543" s="281">
        <f>$HV$8+seat_w_b*($HW$11*n_SA_b+$HU$8&lt;pax_b)</f>
        <v>-1.84</v>
      </c>
      <c r="IA543" s="281">
        <f t="shared" si="133"/>
        <v>-11.310479999999998</v>
      </c>
    </row>
    <row r="544" spans="65:235" x14ac:dyDescent="0.25">
      <c r="BM544" s="281">
        <f>$AZ$12+0.2*(seat_pitch)*($AY$12*n_SA+$AW$6&lt;pax_e)</f>
        <v>12.332000000000001</v>
      </c>
      <c r="BN544" s="281">
        <f>$AX$6+seat_w*($AY$12*n_SA+$AW$6&lt;pax_e)</f>
        <v>-0.78</v>
      </c>
      <c r="BO544" s="281">
        <f t="shared" si="132"/>
        <v>-5.4784799999999976</v>
      </c>
      <c r="HY544" s="281">
        <f>$HX$11+0.8*(bus_pitch*(n_rows_b&gt;0))*($HW$11*n_SA_b+$HU$8&lt;pax_b)</f>
        <v>6.5</v>
      </c>
      <c r="HZ544" s="281">
        <f>$HV$8</f>
        <v>-1.84</v>
      </c>
      <c r="IA544" s="281">
        <f t="shared" si="133"/>
        <v>-11.310479999999998</v>
      </c>
    </row>
    <row r="545" spans="65:235" x14ac:dyDescent="0.25">
      <c r="BM545" s="281">
        <f>$AZ$12</f>
        <v>12.17</v>
      </c>
      <c r="BN545" s="281">
        <f>$AX$6+seat_w*($AY$12*n_SA+$AW$6&lt;pax_e)</f>
        <v>-0.78</v>
      </c>
      <c r="BO545" s="281">
        <f t="shared" si="132"/>
        <v>-5.6404799999999984</v>
      </c>
      <c r="HY545" s="281">
        <f>$HX$11+0.2*(bus_pitch*(n_rows_b&gt;0))*($HW$11*n_SA_b+$HU$8&lt;pax_b)</f>
        <v>6.5</v>
      </c>
      <c r="HZ545" s="281">
        <f>$HV$8</f>
        <v>-1.84</v>
      </c>
      <c r="IA545" s="281">
        <f t="shared" si="133"/>
        <v>-11.310479999999998</v>
      </c>
    </row>
    <row r="546" spans="65:235" x14ac:dyDescent="0.25">
      <c r="BM546" s="281">
        <f>$AZ$12+1*(seat_pitch)*($AY$12*n_SA+$AW$6&lt;pax_e)</f>
        <v>12.98</v>
      </c>
      <c r="BN546" s="281">
        <f>$AX$6+seat_w*($AY$12*n_SA+$AW$6&lt;pax_e)</f>
        <v>-0.78</v>
      </c>
      <c r="BO546" s="281">
        <f t="shared" si="132"/>
        <v>-4.8304799999999979</v>
      </c>
      <c r="HY546" s="281">
        <f>$HX$11+(bus_pitch*(n_rows_b&gt;0))</f>
        <v>6.5</v>
      </c>
      <c r="HZ546" s="281">
        <f>$HV$8</f>
        <v>-1.84</v>
      </c>
      <c r="IA546" s="281">
        <f t="shared" si="133"/>
        <v>-11.310479999999998</v>
      </c>
    </row>
    <row r="547" spans="65:235" x14ac:dyDescent="0.25">
      <c r="BM547" s="281">
        <f>$AZ$12+0.8*(seat_pitch)*($AY$12*n_SA+$AW$6&lt;pax_e)</f>
        <v>12.818</v>
      </c>
      <c r="BN547" s="281">
        <f>$AX$6+seat_w*($AY$12*n_SA+$AW$6&lt;pax_e)</f>
        <v>-0.78</v>
      </c>
      <c r="BO547" s="281">
        <f t="shared" si="132"/>
        <v>-4.9924799999999987</v>
      </c>
      <c r="HY547" s="281">
        <f>$HX$12+0.2*(bus_pitch*(n_rows_b&gt;0))*($HW$12*n_SA_b+$HU$8&lt;pax_b)</f>
        <v>6.5</v>
      </c>
      <c r="HZ547" s="281">
        <f>$HV$8</f>
        <v>-1.84</v>
      </c>
      <c r="IA547" s="281">
        <f t="shared" si="133"/>
        <v>-11.310479999999998</v>
      </c>
    </row>
    <row r="548" spans="65:235" x14ac:dyDescent="0.25">
      <c r="BM548" s="281">
        <f>$AZ$12+0.8*(seat_pitch)*($AY$12*n_SA+$AW$6&lt;pax_e)</f>
        <v>12.818</v>
      </c>
      <c r="BN548" s="281">
        <f>$AX$6</f>
        <v>-1.31</v>
      </c>
      <c r="BO548" s="281">
        <f t="shared" si="132"/>
        <v>-4.9924799999999987</v>
      </c>
      <c r="HY548" s="281">
        <f>$HX$12+0.2*(bus_pitch*(n_rows_b&gt;0))*($HW$12*n_SA_b+$HU$8&lt;pax_b)</f>
        <v>6.5</v>
      </c>
      <c r="HZ548" s="281">
        <f>$HV$8+seat_w_b*($HW$12*n_SA_b+$HU$8&lt;pax_b)</f>
        <v>-1.84</v>
      </c>
      <c r="IA548" s="281">
        <f t="shared" si="133"/>
        <v>-11.310479999999998</v>
      </c>
    </row>
    <row r="549" spans="65:235" x14ac:dyDescent="0.25">
      <c r="BM549" s="281">
        <f>$AZ$12+0.2*(seat_pitch)*($AY$12*n_SA+$AW$6&lt;pax_e)</f>
        <v>12.332000000000001</v>
      </c>
      <c r="BN549" s="281">
        <f>$AX$6</f>
        <v>-1.31</v>
      </c>
      <c r="BO549" s="281">
        <f t="shared" si="132"/>
        <v>-5.4784799999999976</v>
      </c>
      <c r="HY549" s="281">
        <f>$HX$12</f>
        <v>6.5</v>
      </c>
      <c r="HZ549" s="281">
        <f>$HV$8+seat_w_b*($HW$12*n_SA_b+$HU$8&lt;pax_b)</f>
        <v>-1.84</v>
      </c>
      <c r="IA549" s="281">
        <f t="shared" si="133"/>
        <v>-11.310479999999998</v>
      </c>
    </row>
    <row r="550" spans="65:235" x14ac:dyDescent="0.25">
      <c r="BM550" s="281">
        <f>$AZ$12+(seat_pitch)</f>
        <v>12.98</v>
      </c>
      <c r="BN550" s="281">
        <f>$AX$6</f>
        <v>-1.31</v>
      </c>
      <c r="BO550" s="281">
        <f t="shared" si="132"/>
        <v>-4.8304799999999979</v>
      </c>
      <c r="HY550" s="281">
        <f>$HX$12+1*(bus_pitch*(n_rows_b&gt;0))*($HW$12*n_SA_b+$HU$8&lt;pax_b)</f>
        <v>6.5</v>
      </c>
      <c r="HZ550" s="281">
        <f>$HV$8+seat_w_b*($HW$12*n_SA_b+$HU$8&lt;pax_b)</f>
        <v>-1.84</v>
      </c>
      <c r="IA550" s="281">
        <f t="shared" si="133"/>
        <v>-11.310479999999998</v>
      </c>
    </row>
    <row r="551" spans="65:235" x14ac:dyDescent="0.25">
      <c r="BM551" s="281">
        <f>$AZ$13+0.2*(seat_pitch)*($AY$13*n_SA+$AW$6&lt;pax_e)</f>
        <v>13.142000000000001</v>
      </c>
      <c r="BN551" s="281">
        <f>$AX$6</f>
        <v>-1.31</v>
      </c>
      <c r="BO551" s="281">
        <f t="shared" si="132"/>
        <v>-4.6684799999999971</v>
      </c>
      <c r="HY551" s="281">
        <f>$HX$12+0.8*(bus_pitch*(n_rows_b&gt;0))*($HW$12*n_SA_b+$HU$8&lt;pax_b)</f>
        <v>6.5</v>
      </c>
      <c r="HZ551" s="281">
        <f>$HV$8+seat_w_b*($HW$12*n_SA_b+$HU$8&lt;pax_b)</f>
        <v>-1.84</v>
      </c>
      <c r="IA551" s="281">
        <f t="shared" si="133"/>
        <v>-11.310479999999998</v>
      </c>
    </row>
    <row r="552" spans="65:235" x14ac:dyDescent="0.25">
      <c r="BM552" s="281">
        <f>$AZ$13+0.2*(seat_pitch)*($AY$13*n_SA+$AW$6&lt;pax_e)</f>
        <v>13.142000000000001</v>
      </c>
      <c r="BN552" s="281">
        <f>$AX$6+seat_w*($AY$13*n_SA+$AW$6&lt;pax_e)</f>
        <v>-0.78</v>
      </c>
      <c r="BO552" s="281">
        <f t="shared" si="132"/>
        <v>-4.6684799999999971</v>
      </c>
      <c r="HY552" s="281">
        <f>$HX$12+0.8*(bus_pitch*(n_rows_b&gt;0))*($HW$12*n_SA_b+$HU$8&lt;pax_b)</f>
        <v>6.5</v>
      </c>
      <c r="HZ552" s="281">
        <f>$HV$8</f>
        <v>-1.84</v>
      </c>
      <c r="IA552" s="281">
        <f t="shared" si="133"/>
        <v>-11.310479999999998</v>
      </c>
    </row>
    <row r="553" spans="65:235" x14ac:dyDescent="0.25">
      <c r="BM553" s="281">
        <f>$AZ$13</f>
        <v>12.98</v>
      </c>
      <c r="BN553" s="281">
        <f>$AX$6+seat_w*($AY$13*n_SA+$AW$6&lt;pax_e)</f>
        <v>-0.78</v>
      </c>
      <c r="BO553" s="281">
        <f t="shared" si="132"/>
        <v>-4.8304799999999979</v>
      </c>
      <c r="HY553" s="281">
        <f>$HX$12+0.2*(bus_pitch*(n_rows_b&gt;0))*($HW$12*n_SA_b+$HU$8&lt;pax_b)</f>
        <v>6.5</v>
      </c>
      <c r="HZ553" s="281">
        <f>$HV$8</f>
        <v>-1.84</v>
      </c>
      <c r="IA553" s="281">
        <f t="shared" si="133"/>
        <v>-11.310479999999998</v>
      </c>
    </row>
    <row r="554" spans="65:235" x14ac:dyDescent="0.25">
      <c r="BM554" s="281">
        <f>$AZ$13+1*(seat_pitch)*($AY$13*n_SA+$AW$6&lt;pax_e)</f>
        <v>13.790000000000001</v>
      </c>
      <c r="BN554" s="281">
        <f>$AX$6+seat_w*($AY$13*n_SA+$AW$6&lt;pax_e)</f>
        <v>-0.78</v>
      </c>
      <c r="BO554" s="281">
        <f t="shared" si="132"/>
        <v>-4.0204799999999974</v>
      </c>
      <c r="HY554" s="281">
        <f>$HX$12+(bus_pitch*(n_rows_b&gt;0))</f>
        <v>6.5</v>
      </c>
      <c r="HZ554" s="281">
        <f>$HV$8</f>
        <v>-1.84</v>
      </c>
      <c r="IA554" s="281">
        <f t="shared" si="133"/>
        <v>-11.310479999999998</v>
      </c>
    </row>
    <row r="555" spans="65:235" x14ac:dyDescent="0.25">
      <c r="BM555" s="281">
        <f>$AZ$13+0.8*(seat_pitch)*($AY$13*n_SA+$AW$6&lt;pax_e)</f>
        <v>13.628</v>
      </c>
      <c r="BN555" s="281">
        <f>$AX$6+seat_w*($AY$13*n_SA+$AW$6&lt;pax_e)</f>
        <v>-0.78</v>
      </c>
      <c r="BO555" s="281">
        <f t="shared" si="132"/>
        <v>-4.1824799999999982</v>
      </c>
      <c r="HY555" s="281">
        <f>$HX$13+0.2*(bus_pitch*(n_rows_b&gt;0))*($HW$13*n_SA_b+$HU$8&lt;pax_b)</f>
        <v>6.5</v>
      </c>
      <c r="HZ555" s="281">
        <f>$HV$8</f>
        <v>-1.84</v>
      </c>
      <c r="IA555" s="281">
        <f t="shared" si="133"/>
        <v>-11.310479999999998</v>
      </c>
    </row>
    <row r="556" spans="65:235" x14ac:dyDescent="0.25">
      <c r="BM556" s="281">
        <f>$AZ$13+0.8*(seat_pitch)*($AY$13*n_SA+$AW$6&lt;pax_e)</f>
        <v>13.628</v>
      </c>
      <c r="BN556" s="281">
        <f>$AX$6</f>
        <v>-1.31</v>
      </c>
      <c r="BO556" s="281">
        <f t="shared" si="132"/>
        <v>-4.1824799999999982</v>
      </c>
      <c r="HY556" s="281">
        <f>$HX$13+0.2*(bus_pitch*(n_rows_b&gt;0))*($HW$13*n_SA_b+$HU$8&lt;pax_b)</f>
        <v>6.5</v>
      </c>
      <c r="HZ556" s="281">
        <f>$HV$8+seat_w_b*($HW$13*n_SA_b+$HU$8&lt;pax_b)</f>
        <v>-1.84</v>
      </c>
      <c r="IA556" s="281">
        <f t="shared" si="133"/>
        <v>-11.310479999999998</v>
      </c>
    </row>
    <row r="557" spans="65:235" x14ac:dyDescent="0.25">
      <c r="BM557" s="281">
        <f>$AZ$13+0.2*(seat_pitch)*($AY$13*n_SA+$AW$6&lt;pax_e)</f>
        <v>13.142000000000001</v>
      </c>
      <c r="BN557" s="281">
        <f>$AX$6</f>
        <v>-1.31</v>
      </c>
      <c r="BO557" s="281">
        <f t="shared" si="132"/>
        <v>-4.6684799999999971</v>
      </c>
      <c r="HY557" s="281">
        <f>$HX$13</f>
        <v>6.5</v>
      </c>
      <c r="HZ557" s="281">
        <f>$HV$8+seat_w_b*($HW$13*n_SA_b+$HU$8&lt;pax_b)</f>
        <v>-1.84</v>
      </c>
      <c r="IA557" s="281">
        <f t="shared" si="133"/>
        <v>-11.310479999999998</v>
      </c>
    </row>
    <row r="558" spans="65:235" x14ac:dyDescent="0.25">
      <c r="BM558" s="281">
        <f>$AZ$13+(seat_pitch)</f>
        <v>13.790000000000001</v>
      </c>
      <c r="BN558" s="281">
        <f>$AX$6</f>
        <v>-1.31</v>
      </c>
      <c r="BO558" s="281">
        <f t="shared" si="132"/>
        <v>-4.0204799999999974</v>
      </c>
      <c r="HY558" s="281">
        <f>$HX$13+1*(bus_pitch*(n_rows_b&gt;0))*($HW$13*n_SA_b+$HU$8&lt;pax_b)</f>
        <v>6.5</v>
      </c>
      <c r="HZ558" s="281">
        <f>$HV$8+seat_w_b*($HW$13*n_SA_b+$HU$8&lt;pax_b)</f>
        <v>-1.84</v>
      </c>
      <c r="IA558" s="281">
        <f t="shared" si="133"/>
        <v>-11.310479999999998</v>
      </c>
    </row>
    <row r="559" spans="65:235" x14ac:dyDescent="0.25">
      <c r="BM559" s="281">
        <f>$AZ$14+0.2*(seat_pitch)*($AY$14*n_SA+$AW$6&lt;pax_e)</f>
        <v>13.952000000000002</v>
      </c>
      <c r="BN559" s="281">
        <f>$AX$6</f>
        <v>-1.31</v>
      </c>
      <c r="BO559" s="281">
        <f t="shared" si="132"/>
        <v>-3.8584799999999966</v>
      </c>
      <c r="HY559" s="281">
        <f>$HX$13+0.8*(bus_pitch*(n_rows_b&gt;0))*($HW$13*n_SA_b+$HU$8&lt;pax_b)</f>
        <v>6.5</v>
      </c>
      <c r="HZ559" s="281">
        <f>$HV$8+seat_w_b*($HW$13*n_SA_b+$HU$8&lt;pax_b)</f>
        <v>-1.84</v>
      </c>
      <c r="IA559" s="281">
        <f t="shared" si="133"/>
        <v>-11.310479999999998</v>
      </c>
    </row>
    <row r="560" spans="65:235" x14ac:dyDescent="0.25">
      <c r="BM560" s="281">
        <f>$AZ$14+0.2*(seat_pitch)*($AY$14*n_SA+$AW$6&lt;pax_e)</f>
        <v>13.952000000000002</v>
      </c>
      <c r="BN560" s="281">
        <f>$AX$6+seat_w*($AY$14*n_SA+$AW$6&lt;pax_e)</f>
        <v>-0.78</v>
      </c>
      <c r="BO560" s="281">
        <f t="shared" si="132"/>
        <v>-3.8584799999999966</v>
      </c>
      <c r="HY560" s="281">
        <f>$HX$13+0.8*(bus_pitch*(n_rows_b&gt;0))*($HW$13*n_SA_b+$HU$8&lt;pax_b)</f>
        <v>6.5</v>
      </c>
      <c r="HZ560" s="281">
        <f>$HV$8</f>
        <v>-1.84</v>
      </c>
      <c r="IA560" s="281">
        <f t="shared" si="133"/>
        <v>-11.310479999999998</v>
      </c>
    </row>
    <row r="561" spans="65:235" x14ac:dyDescent="0.25">
      <c r="BM561" s="281">
        <f>$AZ$14</f>
        <v>13.790000000000001</v>
      </c>
      <c r="BN561" s="281">
        <f>$AX$6+seat_w*($AY$14*n_SA+$AW$6&lt;pax_e)</f>
        <v>-0.78</v>
      </c>
      <c r="BO561" s="281">
        <f t="shared" si="132"/>
        <v>-4.0204799999999974</v>
      </c>
      <c r="HY561" s="281">
        <f>$HX$13+0.2*(bus_pitch*(n_rows_b&gt;0))*($HW$13*n_SA_b+$HU$8&lt;pax_b)</f>
        <v>6.5</v>
      </c>
      <c r="HZ561" s="281">
        <f>$HV$8</f>
        <v>-1.84</v>
      </c>
      <c r="IA561" s="281">
        <f t="shared" si="133"/>
        <v>-11.310479999999998</v>
      </c>
    </row>
    <row r="562" spans="65:235" x14ac:dyDescent="0.25">
      <c r="BM562" s="281">
        <f>$AZ$14+1*(seat_pitch)*($AY$14*n_SA+$AW$6&lt;pax_e)</f>
        <v>14.600000000000001</v>
      </c>
      <c r="BN562" s="281">
        <f>$AX$6+seat_w*($AY$14*n_SA+$AW$6&lt;pax_e)</f>
        <v>-0.78</v>
      </c>
      <c r="BO562" s="281">
        <f t="shared" si="132"/>
        <v>-3.2104799999999969</v>
      </c>
      <c r="HY562" s="281">
        <f>$HX$13+(bus_pitch*(n_rows_b&gt;0))</f>
        <v>6.5</v>
      </c>
      <c r="HZ562" s="281">
        <f>$HV$8</f>
        <v>-1.84</v>
      </c>
      <c r="IA562" s="281">
        <f t="shared" si="133"/>
        <v>-11.310479999999998</v>
      </c>
    </row>
    <row r="563" spans="65:235" x14ac:dyDescent="0.25">
      <c r="BM563" s="281">
        <f>$AZ$14+0.8*(seat_pitch)*($AY$14*n_SA+$AW$6&lt;pax_e)</f>
        <v>14.438000000000001</v>
      </c>
      <c r="BN563" s="281">
        <f>$AX$6+seat_w*($AY$14*n_SA+$AW$6&lt;pax_e)</f>
        <v>-0.78</v>
      </c>
      <c r="BO563" s="281">
        <f t="shared" si="132"/>
        <v>-3.3724799999999977</v>
      </c>
      <c r="HY563" s="281">
        <f>$HX$14+0.2*(bus_pitch*(n_rows_b&gt;0))*($HW$14*n_SA_b+$HU$8&lt;pax_b)</f>
        <v>6.5</v>
      </c>
      <c r="HZ563" s="281">
        <f>$HV$8</f>
        <v>-1.84</v>
      </c>
      <c r="IA563" s="281">
        <f t="shared" si="133"/>
        <v>-11.310479999999998</v>
      </c>
    </row>
    <row r="564" spans="65:235" x14ac:dyDescent="0.25">
      <c r="BM564" s="281">
        <f>$AZ$14+0.8*(seat_pitch)*($AY$14*n_SA+$AW$6&lt;pax_e)</f>
        <v>14.438000000000001</v>
      </c>
      <c r="BN564" s="281">
        <f>$AX$6</f>
        <v>-1.31</v>
      </c>
      <c r="BO564" s="281">
        <f t="shared" si="132"/>
        <v>-3.3724799999999977</v>
      </c>
      <c r="HY564" s="281">
        <f>$HX$14+0.2*(bus_pitch*(n_rows_b&gt;0))*($HW$14*n_SA_b+$HU$8&lt;pax_b)</f>
        <v>6.5</v>
      </c>
      <c r="HZ564" s="281">
        <f>$HV$8+seat_w_b*($HW$14*n_SA_b+$HU$8&lt;pax_b)</f>
        <v>-1.84</v>
      </c>
      <c r="IA564" s="281">
        <f t="shared" si="133"/>
        <v>-11.310479999999998</v>
      </c>
    </row>
    <row r="565" spans="65:235" x14ac:dyDescent="0.25">
      <c r="BM565" s="281">
        <f>$AZ$14+0.2*(seat_pitch)*($AY$14*n_SA+$AW$6&lt;pax_e)</f>
        <v>13.952000000000002</v>
      </c>
      <c r="BN565" s="281">
        <f>$AX$6</f>
        <v>-1.31</v>
      </c>
      <c r="BO565" s="281">
        <f t="shared" si="132"/>
        <v>-3.8584799999999966</v>
      </c>
      <c r="HY565" s="281">
        <f>$HX$14</f>
        <v>6.5</v>
      </c>
      <c r="HZ565" s="281">
        <f>$HV$8+seat_w_b*($HW$14*n_SA_b+$HU$8&lt;pax_b)</f>
        <v>-1.84</v>
      </c>
      <c r="IA565" s="281">
        <f t="shared" si="133"/>
        <v>-11.310479999999998</v>
      </c>
    </row>
    <row r="566" spans="65:235" x14ac:dyDescent="0.25">
      <c r="BM566" s="281">
        <f>$AZ$14+(seat_pitch)</f>
        <v>14.600000000000001</v>
      </c>
      <c r="BN566" s="281">
        <f>$AX$6</f>
        <v>-1.31</v>
      </c>
      <c r="BO566" s="281">
        <f t="shared" si="132"/>
        <v>-3.2104799999999969</v>
      </c>
      <c r="HY566" s="281">
        <f>$HX$14+1*(bus_pitch*(n_rows_b&gt;0))*($HW$14*n_SA_b+$HU$8&lt;pax_b)</f>
        <v>6.5</v>
      </c>
      <c r="HZ566" s="281">
        <f>$HV$8+seat_w_b*($HW$14*n_SA_b+$HU$8&lt;pax_b)</f>
        <v>-1.84</v>
      </c>
      <c r="IA566" s="281">
        <f t="shared" si="133"/>
        <v>-11.310479999999998</v>
      </c>
    </row>
    <row r="567" spans="65:235" x14ac:dyDescent="0.25">
      <c r="BM567" s="281">
        <f>$AZ$15+0.2*(seat_pitch)*($AY$15*n_SA+$AW$6&lt;pax_e)</f>
        <v>14.762000000000002</v>
      </c>
      <c r="BN567" s="281">
        <f>$AX$6</f>
        <v>-1.31</v>
      </c>
      <c r="BO567" s="281">
        <f t="shared" si="132"/>
        <v>-3.0484799999999961</v>
      </c>
      <c r="HY567" s="281">
        <f>$HX$14+0.8*(bus_pitch*(n_rows_b&gt;0))*($HW$14*n_SA_b+$HU$8&lt;pax_b)</f>
        <v>6.5</v>
      </c>
      <c r="HZ567" s="281">
        <f>$HV$8+seat_w_b*($HW$14*n_SA_b+$HU$8&lt;pax_b)</f>
        <v>-1.84</v>
      </c>
      <c r="IA567" s="281">
        <f t="shared" si="133"/>
        <v>-11.310479999999998</v>
      </c>
    </row>
    <row r="568" spans="65:235" x14ac:dyDescent="0.25">
      <c r="BM568" s="281">
        <f>$AZ$15+0.2*(seat_pitch)*($AY$15*n_SA+$AW$6&lt;pax_e)</f>
        <v>14.762000000000002</v>
      </c>
      <c r="BN568" s="281">
        <f>$AX$6+seat_w*($AY$15*n_SA+$AW$6&lt;pax_e)</f>
        <v>-0.78</v>
      </c>
      <c r="BO568" s="281">
        <f t="shared" si="132"/>
        <v>-3.0484799999999961</v>
      </c>
      <c r="HY568" s="281">
        <f>$HX$14+0.8*(bus_pitch*(n_rows_b&gt;0))*($HW$14*n_SA_b+$HU$8&lt;pax_b)</f>
        <v>6.5</v>
      </c>
      <c r="HZ568" s="281">
        <f>$HV$8</f>
        <v>-1.84</v>
      </c>
      <c r="IA568" s="281">
        <f t="shared" si="133"/>
        <v>-11.310479999999998</v>
      </c>
    </row>
    <row r="569" spans="65:235" x14ac:dyDescent="0.25">
      <c r="BM569" s="281">
        <f>$AZ$15</f>
        <v>14.600000000000001</v>
      </c>
      <c r="BN569" s="281">
        <f>$AX$6+seat_w*($AY$15*n_SA+$AW$6&lt;pax_e)</f>
        <v>-0.78</v>
      </c>
      <c r="BO569" s="281">
        <f t="shared" si="132"/>
        <v>-3.2104799999999969</v>
      </c>
      <c r="HY569" s="281">
        <f>$HX$14+0.2*(bus_pitch*(n_rows_b&gt;0))*($HW$14*n_SA_b+$HU$8&lt;pax_b)</f>
        <v>6.5</v>
      </c>
      <c r="HZ569" s="281">
        <f>$HV$8</f>
        <v>-1.84</v>
      </c>
      <c r="IA569" s="281">
        <f t="shared" si="133"/>
        <v>-11.310479999999998</v>
      </c>
    </row>
    <row r="570" spans="65:235" x14ac:dyDescent="0.25">
      <c r="BM570" s="281">
        <f>$AZ$15+1*(seat_pitch)*($AY$15*n_SA+$AW$6&lt;pax_e)</f>
        <v>15.410000000000002</v>
      </c>
      <c r="BN570" s="281">
        <f>$AX$6+seat_w*($AY$15*n_SA+$AW$6&lt;pax_e)</f>
        <v>-0.78</v>
      </c>
      <c r="BO570" s="281">
        <f t="shared" si="132"/>
        <v>-2.4004799999999964</v>
      </c>
      <c r="HY570" s="281">
        <f>$HX$14+(bus_pitch*(n_rows_b&gt;0))</f>
        <v>6.5</v>
      </c>
      <c r="HZ570" s="281">
        <f>$HV$8</f>
        <v>-1.84</v>
      </c>
      <c r="IA570" s="281">
        <f t="shared" si="133"/>
        <v>-11.310479999999998</v>
      </c>
    </row>
    <row r="571" spans="65:235" x14ac:dyDescent="0.25">
      <c r="BM571" s="281">
        <f>$AZ$15+0.8*(seat_pitch)*($AY$15*n_SA+$AW$6&lt;pax_e)</f>
        <v>15.248000000000001</v>
      </c>
      <c r="BN571" s="281">
        <f>$AX$6+seat_w*($AY$15*n_SA+$AW$6&lt;pax_e)</f>
        <v>-0.78</v>
      </c>
      <c r="BO571" s="281">
        <f t="shared" si="132"/>
        <v>-2.5624799999999972</v>
      </c>
      <c r="HY571" s="281">
        <f>$HX$15+0.2*(bus_pitch*(n_rows_b&gt;0))*($HW$15*n_SA_b+$HU$8&lt;pax_b)</f>
        <v>6.5</v>
      </c>
      <c r="HZ571" s="281">
        <f>$HV$8</f>
        <v>-1.84</v>
      </c>
      <c r="IA571" s="281">
        <f t="shared" si="133"/>
        <v>-11.310479999999998</v>
      </c>
    </row>
    <row r="572" spans="65:235" x14ac:dyDescent="0.25">
      <c r="BM572" s="281">
        <f>$AZ$15+0.8*(seat_pitch)*($AY$15*n_SA+$AW$6&lt;pax_e)</f>
        <v>15.248000000000001</v>
      </c>
      <c r="BN572" s="281">
        <f>$AX$6</f>
        <v>-1.31</v>
      </c>
      <c r="BO572" s="281">
        <f t="shared" si="132"/>
        <v>-2.5624799999999972</v>
      </c>
      <c r="HY572" s="281">
        <f>$HX$15+0.2*(bus_pitch*(n_rows_b&gt;0))*($HW$15*n_SA_b+$HU$8&lt;pax_b)</f>
        <v>6.5</v>
      </c>
      <c r="HZ572" s="281">
        <f>$HV$8+seat_w_b*($HW$15*n_SA_b+$HU$8&lt;pax_b)</f>
        <v>-1.84</v>
      </c>
      <c r="IA572" s="281">
        <f t="shared" si="133"/>
        <v>-11.310479999999998</v>
      </c>
    </row>
    <row r="573" spans="65:235" x14ac:dyDescent="0.25">
      <c r="BM573" s="281">
        <f>$AZ$15+0.2*(seat_pitch)*($AY$15*n_SA+$AW$6&lt;pax_e)</f>
        <v>14.762000000000002</v>
      </c>
      <c r="BN573" s="281">
        <f>$AX$6</f>
        <v>-1.31</v>
      </c>
      <c r="BO573" s="281">
        <f t="shared" si="132"/>
        <v>-3.0484799999999961</v>
      </c>
      <c r="HY573" s="281">
        <f>$HX$15</f>
        <v>6.5</v>
      </c>
      <c r="HZ573" s="281">
        <f>$HV$8+seat_w_b*($HW$15*n_SA_b+$HU$8&lt;pax_b)</f>
        <v>-1.84</v>
      </c>
      <c r="IA573" s="281">
        <f t="shared" si="133"/>
        <v>-11.310479999999998</v>
      </c>
    </row>
    <row r="574" spans="65:235" x14ac:dyDescent="0.25">
      <c r="BM574" s="281">
        <f>$AZ$15+(seat_pitch)</f>
        <v>15.410000000000002</v>
      </c>
      <c r="BN574" s="281">
        <f>$AX$6</f>
        <v>-1.31</v>
      </c>
      <c r="BO574" s="281">
        <f t="shared" si="132"/>
        <v>-2.4004799999999964</v>
      </c>
      <c r="HY574" s="281">
        <f>$HX$15+1*(bus_pitch*(n_rows_b&gt;0))*($HW$15*n_SA_b+$HU$8&lt;pax_b)</f>
        <v>6.5</v>
      </c>
      <c r="HZ574" s="281">
        <f>$HV$8+seat_w_b*($HW$15*n_SA_b+$HU$8&lt;pax_b)</f>
        <v>-1.84</v>
      </c>
      <c r="IA574" s="281">
        <f t="shared" si="133"/>
        <v>-11.310479999999998</v>
      </c>
    </row>
    <row r="575" spans="65:235" x14ac:dyDescent="0.25">
      <c r="BM575" s="281">
        <f>$AZ$16+0.2*(seat_pitch)*($AY$16*n_SA+$AW$6&lt;pax_e)</f>
        <v>15.572000000000001</v>
      </c>
      <c r="BN575" s="281">
        <f>$AX$6</f>
        <v>-1.31</v>
      </c>
      <c r="BO575" s="281">
        <f t="shared" si="132"/>
        <v>-2.2384799999999974</v>
      </c>
      <c r="HY575" s="281">
        <f>$HX$15+0.8*(bus_pitch*(n_rows_b&gt;0))*($HW$15*n_SA_b+$HU$8&lt;pax_b)</f>
        <v>6.5</v>
      </c>
      <c r="HZ575" s="281">
        <f>$HV$8+seat_w_b*($HW$15*n_SA_b+$HU$8&lt;pax_b)</f>
        <v>-1.84</v>
      </c>
      <c r="IA575" s="281">
        <f t="shared" si="133"/>
        <v>-11.310479999999998</v>
      </c>
    </row>
    <row r="576" spans="65:235" x14ac:dyDescent="0.25">
      <c r="BM576" s="281">
        <f>$AZ$16+0.2*(seat_pitch)*($AY$16*n_SA+$AW$6&lt;pax_e)</f>
        <v>15.572000000000001</v>
      </c>
      <c r="BN576" s="281">
        <f>$AX$6+seat_w*($AY$16*n_SA+$AW$6&lt;pax_e)</f>
        <v>-0.78</v>
      </c>
      <c r="BO576" s="281">
        <f t="shared" si="132"/>
        <v>-2.2384799999999974</v>
      </c>
      <c r="HY576" s="281">
        <f>$HX$15+0.8*(bus_pitch*(n_rows_b&gt;0))*($HW$15*n_SA_b+$HU$8&lt;pax_b)</f>
        <v>6.5</v>
      </c>
      <c r="HZ576" s="281">
        <f>$HV$8</f>
        <v>-1.84</v>
      </c>
      <c r="IA576" s="281">
        <f t="shared" si="133"/>
        <v>-11.310479999999998</v>
      </c>
    </row>
    <row r="577" spans="65:235" x14ac:dyDescent="0.25">
      <c r="BM577" s="281">
        <f>$AZ$16</f>
        <v>15.41</v>
      </c>
      <c r="BN577" s="281">
        <f>$AX$6+seat_w*($AY$16*n_SA+$AW$6&lt;pax_e)</f>
        <v>-0.78</v>
      </c>
      <c r="BO577" s="281">
        <f t="shared" si="132"/>
        <v>-2.4004799999999982</v>
      </c>
      <c r="HY577" s="281">
        <f>$HX$15+0.2*(bus_pitch*(n_rows_b&gt;0))*($HW$15*n_SA_b+$HU$8&lt;pax_b)</f>
        <v>6.5</v>
      </c>
      <c r="HZ577" s="281">
        <f>$HV$8</f>
        <v>-1.84</v>
      </c>
      <c r="IA577" s="281">
        <f t="shared" si="133"/>
        <v>-11.310479999999998</v>
      </c>
    </row>
    <row r="578" spans="65:235" x14ac:dyDescent="0.25">
      <c r="BM578" s="281">
        <f>$AZ$16+1*(seat_pitch)*($AY$16*n_SA+$AW$6&lt;pax_e)</f>
        <v>16.22</v>
      </c>
      <c r="BN578" s="281">
        <f>$AX$6+seat_w*($AY$16*n_SA+$AW$6&lt;pax_e)</f>
        <v>-0.78</v>
      </c>
      <c r="BO578" s="281">
        <f t="shared" si="132"/>
        <v>-1.5904799999999994</v>
      </c>
      <c r="HY578" s="281">
        <f>$HX$15+(bus_pitch*(n_rows_b&gt;0))</f>
        <v>6.5</v>
      </c>
      <c r="HZ578" s="281">
        <f>$HV$8</f>
        <v>-1.84</v>
      </c>
      <c r="IA578" s="281">
        <f t="shared" si="133"/>
        <v>-11.310479999999998</v>
      </c>
    </row>
    <row r="579" spans="65:235" x14ac:dyDescent="0.25">
      <c r="BM579" s="281">
        <f>$AZ$16+0.8*(seat_pitch)*($AY$16*n_SA+$AW$6&lt;pax_e)</f>
        <v>16.058</v>
      </c>
      <c r="BN579" s="281">
        <f>$AX$6+seat_w*($AY$16*n_SA+$AW$6&lt;pax_e)</f>
        <v>-0.78</v>
      </c>
      <c r="BO579" s="281">
        <f t="shared" si="132"/>
        <v>-1.7524799999999985</v>
      </c>
      <c r="HY579" s="281">
        <f>$HX$16+0.2*(bus_pitch*(n_rows_b&gt;0))*($HW$16*n_SA_b+$HU$8&lt;pax_b)</f>
        <v>6.5</v>
      </c>
      <c r="HZ579" s="281">
        <f>$HV$8</f>
        <v>-1.84</v>
      </c>
      <c r="IA579" s="281">
        <f t="shared" si="133"/>
        <v>-11.310479999999998</v>
      </c>
    </row>
    <row r="580" spans="65:235" x14ac:dyDescent="0.25">
      <c r="BM580" s="281">
        <f>$AZ$16+0.8*(seat_pitch)*($AY$16*n_SA+$AW$6&lt;pax_e)</f>
        <v>16.058</v>
      </c>
      <c r="BN580" s="281">
        <f>$AX$6</f>
        <v>-1.31</v>
      </c>
      <c r="BO580" s="281">
        <f t="shared" si="132"/>
        <v>-1.7524799999999985</v>
      </c>
      <c r="HY580" s="281">
        <f>$HX$16+0.2*(bus_pitch*(n_rows_b&gt;0))*($HW$16*n_SA_b+$HU$8&lt;pax_b)</f>
        <v>6.5</v>
      </c>
      <c r="HZ580" s="281">
        <f>$HV$8+seat_w_b*($HW$16*n_SA_b+$HU$8&lt;pax_b)</f>
        <v>-1.84</v>
      </c>
      <c r="IA580" s="281">
        <f t="shared" si="133"/>
        <v>-11.310479999999998</v>
      </c>
    </row>
    <row r="581" spans="65:235" x14ac:dyDescent="0.25">
      <c r="BM581" s="281">
        <f>$AZ$16+0.2*(seat_pitch)*($AY$16*n_SA+$AW$6&lt;pax_e)</f>
        <v>15.572000000000001</v>
      </c>
      <c r="BN581" s="281">
        <f>$AX$6</f>
        <v>-1.31</v>
      </c>
      <c r="BO581" s="281">
        <f t="shared" ref="BO581:BO644" si="134">BM581-L_fus/2</f>
        <v>-2.2384799999999974</v>
      </c>
      <c r="HY581" s="281">
        <f>$HX$16</f>
        <v>6.5</v>
      </c>
      <c r="HZ581" s="281">
        <f>$HV$8+seat_w_b*($HW$16*n_SA_b+$HU$8&lt;pax_b)</f>
        <v>-1.84</v>
      </c>
      <c r="IA581" s="281">
        <f t="shared" ref="IA581:IA644" si="135">HY581-L_fus/2</f>
        <v>-11.310479999999998</v>
      </c>
    </row>
    <row r="582" spans="65:235" x14ac:dyDescent="0.25">
      <c r="BM582" s="281">
        <f>$AZ$16+(seat_pitch)</f>
        <v>16.22</v>
      </c>
      <c r="BN582" s="281">
        <f>$AX$6</f>
        <v>-1.31</v>
      </c>
      <c r="BO582" s="281">
        <f t="shared" si="134"/>
        <v>-1.5904799999999994</v>
      </c>
      <c r="HY582" s="281">
        <f>$HX$16+1*(bus_pitch*(n_rows_b&gt;0))*($HW$16*n_SA_b+$HU$8&lt;pax_b)</f>
        <v>6.5</v>
      </c>
      <c r="HZ582" s="281">
        <f>$HV$8+seat_w_b*($HW$16*n_SA_b+$HU$8&lt;pax_b)</f>
        <v>-1.84</v>
      </c>
      <c r="IA582" s="281">
        <f t="shared" si="135"/>
        <v>-11.310479999999998</v>
      </c>
    </row>
    <row r="583" spans="65:235" x14ac:dyDescent="0.25">
      <c r="BM583" s="281">
        <f>$AZ$17+0.2*(seat_pitch)*($AY$17*n_SA+$AW$6&lt;pax_e)</f>
        <v>16.381999999999998</v>
      </c>
      <c r="BN583" s="281">
        <f>$AX$6</f>
        <v>-1.31</v>
      </c>
      <c r="BO583" s="281">
        <f t="shared" si="134"/>
        <v>-1.4284800000000004</v>
      </c>
      <c r="HY583" s="281">
        <f>$HX$16+0.8*(bus_pitch*(n_rows_b&gt;0))*($HW$16*n_SA_b+$HU$8&lt;pax_b)</f>
        <v>6.5</v>
      </c>
      <c r="HZ583" s="281">
        <f>$HV$8+seat_w_b*($HW$16*n_SA_b+$HU$8&lt;pax_b)</f>
        <v>-1.84</v>
      </c>
      <c r="IA583" s="281">
        <f t="shared" si="135"/>
        <v>-11.310479999999998</v>
      </c>
    </row>
    <row r="584" spans="65:235" x14ac:dyDescent="0.25">
      <c r="BM584" s="281">
        <f>$AZ$17+0.2*(seat_pitch)*($AY$17*n_SA+$AW$6&lt;pax_e)</f>
        <v>16.381999999999998</v>
      </c>
      <c r="BN584" s="281">
        <f>$AX$6+seat_w*($AY$17*n_SA+$AW$6&lt;pax_e)</f>
        <v>-0.78</v>
      </c>
      <c r="BO584" s="281">
        <f t="shared" si="134"/>
        <v>-1.4284800000000004</v>
      </c>
      <c r="HY584" s="281">
        <f>$HX$16+0.8*(bus_pitch*(n_rows_b&gt;0))*($HW$16*n_SA_b+$HU$8&lt;pax_b)</f>
        <v>6.5</v>
      </c>
      <c r="HZ584" s="281">
        <f>$HV$8</f>
        <v>-1.84</v>
      </c>
      <c r="IA584" s="281">
        <f t="shared" si="135"/>
        <v>-11.310479999999998</v>
      </c>
    </row>
    <row r="585" spans="65:235" x14ac:dyDescent="0.25">
      <c r="BM585" s="281">
        <f>$AZ$17</f>
        <v>16.22</v>
      </c>
      <c r="BN585" s="281">
        <f>$AX$6+seat_w*($AY$17*n_SA+$AW$6&lt;pax_e)</f>
        <v>-0.78</v>
      </c>
      <c r="BO585" s="281">
        <f t="shared" si="134"/>
        <v>-1.5904799999999994</v>
      </c>
      <c r="HY585" s="281">
        <f>$HX$16+0.2*(bus_pitch*(n_rows_b&gt;0))*($HW$16*n_SA_b+$HU$8&lt;pax_b)</f>
        <v>6.5</v>
      </c>
      <c r="HZ585" s="281">
        <f>$HV$8</f>
        <v>-1.84</v>
      </c>
      <c r="IA585" s="281">
        <f t="shared" si="135"/>
        <v>-11.310479999999998</v>
      </c>
    </row>
    <row r="586" spans="65:235" x14ac:dyDescent="0.25">
      <c r="BM586" s="281">
        <f>$AZ$17+1*(seat_pitch)*($AY$17*n_SA+$AW$6&lt;pax_e)</f>
        <v>17.029999999999998</v>
      </c>
      <c r="BN586" s="281">
        <f>$AX$6+seat_w*($AY$17*n_SA+$AW$6&lt;pax_e)</f>
        <v>-0.78</v>
      </c>
      <c r="BO586" s="281">
        <f t="shared" si="134"/>
        <v>-0.78048000000000073</v>
      </c>
      <c r="HY586" s="281">
        <f>$HX$16+(bus_pitch*(n_rows_b&gt;0))</f>
        <v>6.5</v>
      </c>
      <c r="HZ586" s="281">
        <f>$HV$8</f>
        <v>-1.84</v>
      </c>
      <c r="IA586" s="281">
        <f t="shared" si="135"/>
        <v>-11.310479999999998</v>
      </c>
    </row>
    <row r="587" spans="65:235" x14ac:dyDescent="0.25">
      <c r="BM587" s="281">
        <f>$AZ$17+0.8*(seat_pitch)*($AY$17*n_SA+$AW$6&lt;pax_e)</f>
        <v>16.867999999999999</v>
      </c>
      <c r="BN587" s="281">
        <f>$AX$6+seat_w*($AY$17*n_SA+$AW$6&lt;pax_e)</f>
        <v>-0.78</v>
      </c>
      <c r="BO587" s="281">
        <f t="shared" si="134"/>
        <v>-0.94247999999999976</v>
      </c>
      <c r="HY587" s="281">
        <f>$HX$17+0.2*(bus_pitch*(n_rows_b&gt;0))*($HW$17*n_SA_b+$HU$8&lt;pax_b)</f>
        <v>6.5</v>
      </c>
      <c r="HZ587" s="281">
        <f>$HV$8</f>
        <v>-1.84</v>
      </c>
      <c r="IA587" s="281">
        <f t="shared" si="135"/>
        <v>-11.310479999999998</v>
      </c>
    </row>
    <row r="588" spans="65:235" x14ac:dyDescent="0.25">
      <c r="BM588" s="281">
        <f>$AZ$17+0.8*(seat_pitch)*($AY$17*n_SA+$AW$6&lt;pax_e)</f>
        <v>16.867999999999999</v>
      </c>
      <c r="BN588" s="281">
        <f>$AX$6</f>
        <v>-1.31</v>
      </c>
      <c r="BO588" s="281">
        <f t="shared" si="134"/>
        <v>-0.94247999999999976</v>
      </c>
      <c r="HY588" s="281">
        <f>$HX$17+0.2*(bus_pitch*(n_rows_b&gt;0))*($HW$17*n_SA_b+$HU$8&lt;pax_b)</f>
        <v>6.5</v>
      </c>
      <c r="HZ588" s="281">
        <f>$HV$8+seat_w_b*($HW$17*n_SA_b+$HU$8&lt;pax_b)</f>
        <v>-1.84</v>
      </c>
      <c r="IA588" s="281">
        <f t="shared" si="135"/>
        <v>-11.310479999999998</v>
      </c>
    </row>
    <row r="589" spans="65:235" x14ac:dyDescent="0.25">
      <c r="BM589" s="281">
        <f>$AZ$17+0.2*(seat_pitch)*($AY$17*n_SA+$AW$6&lt;pax_e)</f>
        <v>16.381999999999998</v>
      </c>
      <c r="BN589" s="281">
        <f>$AX$6</f>
        <v>-1.31</v>
      </c>
      <c r="BO589" s="281">
        <f t="shared" si="134"/>
        <v>-1.4284800000000004</v>
      </c>
      <c r="HY589" s="281">
        <f>$HX$17</f>
        <v>6.5</v>
      </c>
      <c r="HZ589" s="281">
        <f>$HV$8+seat_w_b*($HW$17*n_SA_b+$HU$8&lt;pax_b)</f>
        <v>-1.84</v>
      </c>
      <c r="IA589" s="281">
        <f t="shared" si="135"/>
        <v>-11.310479999999998</v>
      </c>
    </row>
    <row r="590" spans="65:235" x14ac:dyDescent="0.25">
      <c r="BM590" s="281">
        <f>$AZ$17+(seat_pitch)</f>
        <v>17.029999999999998</v>
      </c>
      <c r="BN590" s="281">
        <f>$AX$6</f>
        <v>-1.31</v>
      </c>
      <c r="BO590" s="281">
        <f t="shared" si="134"/>
        <v>-0.78048000000000073</v>
      </c>
      <c r="HY590" s="281">
        <f>$HX$17+1*(bus_pitch*(n_rows_b&gt;0))*($HW$17*n_SA_b+$HU$8&lt;pax_b)</f>
        <v>6.5</v>
      </c>
      <c r="HZ590" s="281">
        <f>$HV$8+seat_w_b*($HW$17*n_SA_b+$HU$8&lt;pax_b)</f>
        <v>-1.84</v>
      </c>
      <c r="IA590" s="281">
        <f t="shared" si="135"/>
        <v>-11.310479999999998</v>
      </c>
    </row>
    <row r="591" spans="65:235" x14ac:dyDescent="0.25">
      <c r="BM591" s="281">
        <f>$AZ$18+0.2*(seat_pitch)*($AY$18*n_SA+$AW$6&lt;pax_e)</f>
        <v>17.192</v>
      </c>
      <c r="BN591" s="281">
        <f>$AX$6</f>
        <v>-1.31</v>
      </c>
      <c r="BO591" s="281">
        <f t="shared" si="134"/>
        <v>-0.61847999999999814</v>
      </c>
      <c r="HY591" s="281">
        <f>$HX$17+0.8*(bus_pitch*(n_rows_b&gt;0))*($HW$17*n_SA_b+$HU$8&lt;pax_b)</f>
        <v>6.5</v>
      </c>
      <c r="HZ591" s="281">
        <f>$HV$8+seat_w_b*($HW$17*n_SA_b+$HU$8&lt;pax_b)</f>
        <v>-1.84</v>
      </c>
      <c r="IA591" s="281">
        <f t="shared" si="135"/>
        <v>-11.310479999999998</v>
      </c>
    </row>
    <row r="592" spans="65:235" x14ac:dyDescent="0.25">
      <c r="BM592" s="281">
        <f>$AZ$18+0.2*(seat_pitch)*($AY$18*n_SA+$AW$6&lt;pax_e)</f>
        <v>17.192</v>
      </c>
      <c r="BN592" s="281">
        <f>$AX$6+seat_w*($AY$18*n_SA+$AW$6&lt;pax_e)</f>
        <v>-0.78</v>
      </c>
      <c r="BO592" s="281">
        <f t="shared" si="134"/>
        <v>-0.61847999999999814</v>
      </c>
      <c r="HY592" s="281">
        <f>$HX$17+0.8*(bus_pitch*(n_rows_b&gt;0))*($HW$17*n_SA_b+$HU$8&lt;pax_b)</f>
        <v>6.5</v>
      </c>
      <c r="HZ592" s="281">
        <f>$HV$8</f>
        <v>-1.84</v>
      </c>
      <c r="IA592" s="281">
        <f t="shared" si="135"/>
        <v>-11.310479999999998</v>
      </c>
    </row>
    <row r="593" spans="65:235" x14ac:dyDescent="0.25">
      <c r="BM593" s="281">
        <f>$AZ$18</f>
        <v>17.03</v>
      </c>
      <c r="BN593" s="281">
        <f>$AX$6+seat_w*($AY$18*n_SA+$AW$6&lt;pax_e)</f>
        <v>-0.78</v>
      </c>
      <c r="BO593" s="281">
        <f t="shared" si="134"/>
        <v>-0.78047999999999718</v>
      </c>
      <c r="HY593" s="281">
        <f>$HX$17+0.2*(bus_pitch*(n_rows_b&gt;0))*($HW$17*n_SA_b+$HU$8&lt;pax_b)</f>
        <v>6.5</v>
      </c>
      <c r="HZ593" s="281">
        <f>$HV$8</f>
        <v>-1.84</v>
      </c>
      <c r="IA593" s="281">
        <f t="shared" si="135"/>
        <v>-11.310479999999998</v>
      </c>
    </row>
    <row r="594" spans="65:235" x14ac:dyDescent="0.25">
      <c r="BM594" s="281">
        <f>$AZ$18+1*(seat_pitch)*($AY$18*n_SA+$AW$6&lt;pax_e)</f>
        <v>17.84</v>
      </c>
      <c r="BN594" s="281">
        <f>$AX$6+seat_w*($AY$18*n_SA+$AW$6&lt;pax_e)</f>
        <v>-0.78</v>
      </c>
      <c r="BO594" s="281">
        <f t="shared" si="134"/>
        <v>2.9520000000001545E-2</v>
      </c>
      <c r="HY594" s="281">
        <f>$HX$17+(bus_pitch*(n_rows_b&gt;0))</f>
        <v>6.5</v>
      </c>
      <c r="HZ594" s="281">
        <f>$HV$8</f>
        <v>-1.84</v>
      </c>
      <c r="IA594" s="281">
        <f t="shared" si="135"/>
        <v>-11.310479999999998</v>
      </c>
    </row>
    <row r="595" spans="65:235" x14ac:dyDescent="0.25">
      <c r="BM595" s="281">
        <f>$AZ$18+0.8*(seat_pitch)*($AY$18*n_SA+$AW$6&lt;pax_e)</f>
        <v>17.678000000000001</v>
      </c>
      <c r="BN595" s="281">
        <f>$AX$6+seat_w*($AY$18*n_SA+$AW$6&lt;pax_e)</f>
        <v>-0.78</v>
      </c>
      <c r="BO595" s="281">
        <f t="shared" si="134"/>
        <v>-0.13247999999999749</v>
      </c>
      <c r="HY595" s="281">
        <f>$HX$18+0.2*(bus_pitch*(n_rows_b&gt;0))*($HW$18*n_SA_b+$HU$8&lt;pax_b)</f>
        <v>6.5</v>
      </c>
      <c r="HZ595" s="281">
        <f>$HV$8</f>
        <v>-1.84</v>
      </c>
      <c r="IA595" s="281">
        <f t="shared" si="135"/>
        <v>-11.310479999999998</v>
      </c>
    </row>
    <row r="596" spans="65:235" x14ac:dyDescent="0.25">
      <c r="BM596" s="281">
        <f>$AZ$18+0.8*(seat_pitch)*($AY$18*n_SA+$AW$6&lt;pax_e)</f>
        <v>17.678000000000001</v>
      </c>
      <c r="BN596" s="281">
        <f>$AX$6</f>
        <v>-1.31</v>
      </c>
      <c r="BO596" s="281">
        <f t="shared" si="134"/>
        <v>-0.13247999999999749</v>
      </c>
      <c r="HY596" s="281">
        <f>$HX$18+0.2*(bus_pitch*(n_rows_b&gt;0))*($HW$18*n_SA_b+$HU$8&lt;pax_b)</f>
        <v>6.5</v>
      </c>
      <c r="HZ596" s="281">
        <f>$HV$8+seat_w_b*($HW$18*n_SA_b+$HU$8&lt;pax_b)</f>
        <v>-1.84</v>
      </c>
      <c r="IA596" s="281">
        <f t="shared" si="135"/>
        <v>-11.310479999999998</v>
      </c>
    </row>
    <row r="597" spans="65:235" x14ac:dyDescent="0.25">
      <c r="BM597" s="281">
        <f>$AZ$18+0.2*(seat_pitch)*($AY$18*n_SA+$AW$6&lt;pax_e)</f>
        <v>17.192</v>
      </c>
      <c r="BN597" s="281">
        <f>$AX$6</f>
        <v>-1.31</v>
      </c>
      <c r="BO597" s="281">
        <f t="shared" si="134"/>
        <v>-0.61847999999999814</v>
      </c>
      <c r="HY597" s="281">
        <f>$HX$18</f>
        <v>6.5</v>
      </c>
      <c r="HZ597" s="281">
        <f>$HV$8+seat_w_b*($HW$18*n_SA_b+$HU$8&lt;pax_b)</f>
        <v>-1.84</v>
      </c>
      <c r="IA597" s="281">
        <f t="shared" si="135"/>
        <v>-11.310479999999998</v>
      </c>
    </row>
    <row r="598" spans="65:235" x14ac:dyDescent="0.25">
      <c r="BM598" s="281">
        <f>$AZ$18+(seat_pitch)</f>
        <v>17.84</v>
      </c>
      <c r="BN598" s="281">
        <f>$AX$6</f>
        <v>-1.31</v>
      </c>
      <c r="BO598" s="281">
        <f t="shared" si="134"/>
        <v>2.9520000000001545E-2</v>
      </c>
      <c r="HY598" s="281">
        <f>$HX$18+1*(bus_pitch*(n_rows_b&gt;0))*($HW$18*n_SA_b+$HU$8&lt;pax_b)</f>
        <v>6.5</v>
      </c>
      <c r="HZ598" s="281">
        <f>$HV$8+seat_w_b*($HW$18*n_SA_b+$HU$8&lt;pax_b)</f>
        <v>-1.84</v>
      </c>
      <c r="IA598" s="281">
        <f t="shared" si="135"/>
        <v>-11.310479999999998</v>
      </c>
    </row>
    <row r="599" spans="65:235" x14ac:dyDescent="0.25">
      <c r="BM599" s="281">
        <f>$AZ$19+0.2*(seat_pitch)*($AY$19*n_SA+$AW$6&lt;pax_e)</f>
        <v>18.001999999999999</v>
      </c>
      <c r="BN599" s="281">
        <f>$AX$6</f>
        <v>-1.31</v>
      </c>
      <c r="BO599" s="281">
        <f t="shared" si="134"/>
        <v>0.19152000000000058</v>
      </c>
      <c r="HY599" s="281">
        <f>$HX$18+0.8*(bus_pitch*(n_rows_b&gt;0))*($HW$18*n_SA_b+$HU$8&lt;pax_b)</f>
        <v>6.5</v>
      </c>
      <c r="HZ599" s="281">
        <f>$HV$8+seat_w_b*($HW$18*n_SA_b+$HU$8&lt;pax_b)</f>
        <v>-1.84</v>
      </c>
      <c r="IA599" s="281">
        <f t="shared" si="135"/>
        <v>-11.310479999999998</v>
      </c>
    </row>
    <row r="600" spans="65:235" x14ac:dyDescent="0.25">
      <c r="BM600" s="281">
        <f>$AZ$19+0.2*(seat_pitch)*($AY$19*n_SA+$AW$6&lt;pax_e)</f>
        <v>18.001999999999999</v>
      </c>
      <c r="BN600" s="281">
        <f>$AX$6+seat_w*($AY$19*n_SA+$AW$6&lt;pax_e)</f>
        <v>-0.78</v>
      </c>
      <c r="BO600" s="281">
        <f t="shared" si="134"/>
        <v>0.19152000000000058</v>
      </c>
      <c r="HY600" s="281">
        <f>$HX$18+0.8*(bus_pitch*(n_rows_b&gt;0))*($HW$18*n_SA_b+$HU$8&lt;pax_b)</f>
        <v>6.5</v>
      </c>
      <c r="HZ600" s="281">
        <f>$HV$8</f>
        <v>-1.84</v>
      </c>
      <c r="IA600" s="281">
        <f t="shared" si="135"/>
        <v>-11.310479999999998</v>
      </c>
    </row>
    <row r="601" spans="65:235" x14ac:dyDescent="0.25">
      <c r="BM601" s="281">
        <f>$AZ$19</f>
        <v>17.84</v>
      </c>
      <c r="BN601" s="281">
        <f>$AX$6+seat_w*($AY$19*n_SA+$AW$6&lt;pax_e)</f>
        <v>-0.78</v>
      </c>
      <c r="BO601" s="281">
        <f t="shared" si="134"/>
        <v>2.9520000000001545E-2</v>
      </c>
      <c r="HY601" s="281">
        <f>$HX$18+0.2*(bus_pitch*(n_rows_b&gt;0))*($HW$18*n_SA_b+$HU$8&lt;pax_b)</f>
        <v>6.5</v>
      </c>
      <c r="HZ601" s="281">
        <f>$HV$8</f>
        <v>-1.84</v>
      </c>
      <c r="IA601" s="281">
        <f t="shared" si="135"/>
        <v>-11.310479999999998</v>
      </c>
    </row>
    <row r="602" spans="65:235" x14ac:dyDescent="0.25">
      <c r="BM602" s="281">
        <f>$AZ$19+1*(seat_pitch)*($AY$19*n_SA+$AW$6&lt;pax_e)</f>
        <v>18.649999999999999</v>
      </c>
      <c r="BN602" s="281">
        <f>$AX$6+seat_w*($AY$19*n_SA+$AW$6&lt;pax_e)</f>
        <v>-0.78</v>
      </c>
      <c r="BO602" s="281">
        <f t="shared" si="134"/>
        <v>0.83952000000000027</v>
      </c>
      <c r="HY602" s="281">
        <f>$HX$18+(bus_pitch*(n_rows_b&gt;0))</f>
        <v>6.5</v>
      </c>
      <c r="HZ602" s="281">
        <f>$HV$8</f>
        <v>-1.84</v>
      </c>
      <c r="IA602" s="281">
        <f t="shared" si="135"/>
        <v>-11.310479999999998</v>
      </c>
    </row>
    <row r="603" spans="65:235" x14ac:dyDescent="0.25">
      <c r="BM603" s="281">
        <f>$AZ$19+0.8*(seat_pitch)*($AY$19*n_SA+$AW$6&lt;pax_e)</f>
        <v>18.488</v>
      </c>
      <c r="BN603" s="281">
        <f>$AX$6+seat_w*($AY$19*n_SA+$AW$6&lt;pax_e)</f>
        <v>-0.78</v>
      </c>
      <c r="BO603" s="281">
        <f t="shared" si="134"/>
        <v>0.67752000000000123</v>
      </c>
      <c r="HY603" s="281">
        <f>$HX$19+0.2*(bus_pitch*(n_rows_b&gt;0))*($HW$19*n_SA_b+$HU$8&lt;pax_b)</f>
        <v>6.5</v>
      </c>
      <c r="HZ603" s="281">
        <f>$HV$8</f>
        <v>-1.84</v>
      </c>
      <c r="IA603" s="281">
        <f t="shared" si="135"/>
        <v>-11.310479999999998</v>
      </c>
    </row>
    <row r="604" spans="65:235" x14ac:dyDescent="0.25">
      <c r="BM604" s="281">
        <f>$AZ$19+0.8*(seat_pitch)*($AY$19*n_SA+$AW$6&lt;pax_e)</f>
        <v>18.488</v>
      </c>
      <c r="BN604" s="281">
        <f>$AX$6</f>
        <v>-1.31</v>
      </c>
      <c r="BO604" s="281">
        <f t="shared" si="134"/>
        <v>0.67752000000000123</v>
      </c>
      <c r="HY604" s="281">
        <f>$HX$19+0.2*(bus_pitch*(n_rows_b&gt;0))*($HW$19*n_SA_b+$HU$8&lt;pax_b)</f>
        <v>6.5</v>
      </c>
      <c r="HZ604" s="281">
        <f>$HV$8+seat_w_b*($HW$19*n_SA_b+$HU$8&lt;pax_b)</f>
        <v>-1.84</v>
      </c>
      <c r="IA604" s="281">
        <f t="shared" si="135"/>
        <v>-11.310479999999998</v>
      </c>
    </row>
    <row r="605" spans="65:235" x14ac:dyDescent="0.25">
      <c r="BM605" s="281">
        <f>$AZ$19+0.2*(seat_pitch)*($AY$19*n_SA+$AW$6&lt;pax_e)</f>
        <v>18.001999999999999</v>
      </c>
      <c r="BN605" s="281">
        <f>$AX$6</f>
        <v>-1.31</v>
      </c>
      <c r="BO605" s="281">
        <f t="shared" si="134"/>
        <v>0.19152000000000058</v>
      </c>
      <c r="HY605" s="281">
        <f>$HX$19</f>
        <v>6.5</v>
      </c>
      <c r="HZ605" s="281">
        <f>$HV$8+seat_w_b*($HW$19*n_SA_b+$HU$8&lt;pax_b)</f>
        <v>-1.84</v>
      </c>
      <c r="IA605" s="281">
        <f t="shared" si="135"/>
        <v>-11.310479999999998</v>
      </c>
    </row>
    <row r="606" spans="65:235" x14ac:dyDescent="0.25">
      <c r="BM606" s="281">
        <f>$AZ$19+(seat_pitch)</f>
        <v>18.649999999999999</v>
      </c>
      <c r="BN606" s="281">
        <f>$AX$6</f>
        <v>-1.31</v>
      </c>
      <c r="BO606" s="281">
        <f t="shared" si="134"/>
        <v>0.83952000000000027</v>
      </c>
      <c r="HY606" s="281">
        <f>$HX$19+1*(bus_pitch*(n_rows_b&gt;0))*($HW$19*n_SA_b+$HU$8&lt;pax_b)</f>
        <v>6.5</v>
      </c>
      <c r="HZ606" s="281">
        <f>$HV$8+seat_w_b*($HW$19*n_SA_b+$HU$8&lt;pax_b)</f>
        <v>-1.84</v>
      </c>
      <c r="IA606" s="281">
        <f t="shared" si="135"/>
        <v>-11.310479999999998</v>
      </c>
    </row>
    <row r="607" spans="65:235" x14ac:dyDescent="0.25">
      <c r="BM607" s="281">
        <f>$AZ$20+0.2*(seat_pitch)*($AY$20*n_SA+$AW$6&lt;pax_e)</f>
        <v>18.811999999999998</v>
      </c>
      <c r="BN607" s="281">
        <f>$AX$6</f>
        <v>-1.31</v>
      </c>
      <c r="BO607" s="281">
        <f t="shared" si="134"/>
        <v>1.0015199999999993</v>
      </c>
      <c r="HY607" s="281">
        <f>$HX$19+0.8*(bus_pitch*(n_rows_b&gt;0))*($HW$19*n_SA_b+$HU$8&lt;pax_b)</f>
        <v>6.5</v>
      </c>
      <c r="HZ607" s="281">
        <f>$HV$8+seat_w_b*($HW$19*n_SA_b+$HU$8&lt;pax_b)</f>
        <v>-1.84</v>
      </c>
      <c r="IA607" s="281">
        <f t="shared" si="135"/>
        <v>-11.310479999999998</v>
      </c>
    </row>
    <row r="608" spans="65:235" x14ac:dyDescent="0.25">
      <c r="BM608" s="281">
        <f>$AZ$20+0.2*(seat_pitch)*($AY$20*n_SA+$AW$6&lt;pax_e)</f>
        <v>18.811999999999998</v>
      </c>
      <c r="BN608" s="281">
        <f>$AX$6+seat_w*($AY$20*n_SA+$AW$6&lt;pax_e)</f>
        <v>-0.78</v>
      </c>
      <c r="BO608" s="281">
        <f t="shared" si="134"/>
        <v>1.0015199999999993</v>
      </c>
      <c r="HY608" s="281">
        <f>$HX$19+0.8*(bus_pitch*(n_rows_b&gt;0))*($HW$19*n_SA_b+$HU$8&lt;pax_b)</f>
        <v>6.5</v>
      </c>
      <c r="HZ608" s="281">
        <f>$HV$8</f>
        <v>-1.84</v>
      </c>
      <c r="IA608" s="281">
        <f t="shared" si="135"/>
        <v>-11.310479999999998</v>
      </c>
    </row>
    <row r="609" spans="65:235" x14ac:dyDescent="0.25">
      <c r="BM609" s="281">
        <f>$AZ$20</f>
        <v>18.649999999999999</v>
      </c>
      <c r="BN609" s="281">
        <f>$AX$6+seat_w*($AY$20*n_SA+$AW$6&lt;pax_e)</f>
        <v>-0.78</v>
      </c>
      <c r="BO609" s="281">
        <f t="shared" si="134"/>
        <v>0.83952000000000027</v>
      </c>
      <c r="HY609" s="281">
        <f>$HX$19+0.2*(bus_pitch*(n_rows_b&gt;0))*($HW$19*n_SA_b+$HU$8&lt;pax_b)</f>
        <v>6.5</v>
      </c>
      <c r="HZ609" s="281">
        <f>$HV$8</f>
        <v>-1.84</v>
      </c>
      <c r="IA609" s="281">
        <f t="shared" si="135"/>
        <v>-11.310479999999998</v>
      </c>
    </row>
    <row r="610" spans="65:235" x14ac:dyDescent="0.25">
      <c r="BM610" s="281">
        <f>$AZ$20+1*(seat_pitch)*($AY$20*n_SA+$AW$6&lt;pax_e)</f>
        <v>19.459999999999997</v>
      </c>
      <c r="BN610" s="281">
        <f>$AX$6+seat_w*($AY$20*n_SA+$AW$6&lt;pax_e)</f>
        <v>-0.78</v>
      </c>
      <c r="BO610" s="281">
        <f t="shared" si="134"/>
        <v>1.649519999999999</v>
      </c>
      <c r="HY610" s="281">
        <f>$HX$19+(bus_pitch*(n_rows_b&gt;0))</f>
        <v>6.5</v>
      </c>
      <c r="HZ610" s="281">
        <f>$HV$8</f>
        <v>-1.84</v>
      </c>
      <c r="IA610" s="281">
        <f t="shared" si="135"/>
        <v>-11.310479999999998</v>
      </c>
    </row>
    <row r="611" spans="65:235" x14ac:dyDescent="0.25">
      <c r="BM611" s="281">
        <f>$AZ$20+0.8*(seat_pitch)*($AY$20*n_SA+$AW$6&lt;pax_e)</f>
        <v>19.297999999999998</v>
      </c>
      <c r="BN611" s="281">
        <f>$AX$6+seat_w*($AY$20*n_SA+$AW$6&lt;pax_e)</f>
        <v>-0.78</v>
      </c>
      <c r="BO611" s="281">
        <f t="shared" si="134"/>
        <v>1.48752</v>
      </c>
      <c r="HY611" s="281">
        <f>$HX$20+0.2*(bus_pitch*(n_rows_b&gt;0))*($HW$20*n_SA_b+$HU$8&lt;pax_b)</f>
        <v>6.5</v>
      </c>
      <c r="HZ611" s="281">
        <f>$HV$8</f>
        <v>-1.84</v>
      </c>
      <c r="IA611" s="281">
        <f t="shared" si="135"/>
        <v>-11.310479999999998</v>
      </c>
    </row>
    <row r="612" spans="65:235" x14ac:dyDescent="0.25">
      <c r="BM612" s="281">
        <f>$AZ$20+0.8*(seat_pitch)*($AY$20*n_SA+$AW$6&lt;pax_e)</f>
        <v>19.297999999999998</v>
      </c>
      <c r="BN612" s="281">
        <f>$AX$6</f>
        <v>-1.31</v>
      </c>
      <c r="BO612" s="281">
        <f t="shared" si="134"/>
        <v>1.48752</v>
      </c>
      <c r="HY612" s="281">
        <f>$HX$20+0.2*(bus_pitch*(n_rows_b&gt;0))*($HW$20*n_SA_b+$HU$8&lt;pax_b)</f>
        <v>6.5</v>
      </c>
      <c r="HZ612" s="281">
        <f>$HV$8+seat_w_b*($HW$20*n_SA_b+$HU$8&lt;pax_b)</f>
        <v>-1.84</v>
      </c>
      <c r="IA612" s="281">
        <f t="shared" si="135"/>
        <v>-11.310479999999998</v>
      </c>
    </row>
    <row r="613" spans="65:235" x14ac:dyDescent="0.25">
      <c r="BM613" s="281">
        <f>$AZ$20+0.2*(seat_pitch)*($AY$20*n_SA+$AW$6&lt;pax_e)</f>
        <v>18.811999999999998</v>
      </c>
      <c r="BN613" s="281">
        <f>$AX$6</f>
        <v>-1.31</v>
      </c>
      <c r="BO613" s="281">
        <f t="shared" si="134"/>
        <v>1.0015199999999993</v>
      </c>
      <c r="HY613" s="281">
        <f>$HX$20</f>
        <v>6.5</v>
      </c>
      <c r="HZ613" s="281">
        <f>$HV$8+seat_w_b*($HW$20*n_SA_b+$HU$8&lt;pax_b)</f>
        <v>-1.84</v>
      </c>
      <c r="IA613" s="281">
        <f t="shared" si="135"/>
        <v>-11.310479999999998</v>
      </c>
    </row>
    <row r="614" spans="65:235" x14ac:dyDescent="0.25">
      <c r="BM614" s="281">
        <f>$AZ$20+(seat_pitch)</f>
        <v>19.459999999999997</v>
      </c>
      <c r="BN614" s="281">
        <f>$AX$6</f>
        <v>-1.31</v>
      </c>
      <c r="BO614" s="281">
        <f t="shared" si="134"/>
        <v>1.649519999999999</v>
      </c>
      <c r="HY614" s="281">
        <f>$HX$20+1*(bus_pitch*(n_rows_b&gt;0))*($HW$20*n_SA_b+$HU$8&lt;pax_b)</f>
        <v>6.5</v>
      </c>
      <c r="HZ614" s="281">
        <f>$HV$8+seat_w_b*($HW$20*n_SA_b+$HU$8&lt;pax_b)</f>
        <v>-1.84</v>
      </c>
      <c r="IA614" s="281">
        <f t="shared" si="135"/>
        <v>-11.310479999999998</v>
      </c>
    </row>
    <row r="615" spans="65:235" x14ac:dyDescent="0.25">
      <c r="BM615" s="281">
        <f>$AZ$21+0.2*(seat_pitch)*($AY$21*n_SA+$AW$6&lt;pax_e)</f>
        <v>19.622</v>
      </c>
      <c r="BN615" s="281">
        <f>$AX$6</f>
        <v>-1.31</v>
      </c>
      <c r="BO615" s="281">
        <f t="shared" si="134"/>
        <v>1.8115200000000016</v>
      </c>
      <c r="HY615" s="281">
        <f>$HX$20+0.8*(bus_pitch*(n_rows_b&gt;0))*($HW$20*n_SA_b+$HU$8&lt;pax_b)</f>
        <v>6.5</v>
      </c>
      <c r="HZ615" s="281">
        <f>$HV$8+seat_w_b*($HW$20*n_SA_b+$HU$8&lt;pax_b)</f>
        <v>-1.84</v>
      </c>
      <c r="IA615" s="281">
        <f t="shared" si="135"/>
        <v>-11.310479999999998</v>
      </c>
    </row>
    <row r="616" spans="65:235" x14ac:dyDescent="0.25">
      <c r="BM616" s="281">
        <f>$AZ$21+0.2*(seat_pitch)*($AY$21*n_SA+$AW$6&lt;pax_e)</f>
        <v>19.622</v>
      </c>
      <c r="BN616" s="281">
        <f>$AX$6+seat_w*($AY$21*n_SA+$AW$6&lt;pax_e)</f>
        <v>-0.78</v>
      </c>
      <c r="BO616" s="281">
        <f t="shared" si="134"/>
        <v>1.8115200000000016</v>
      </c>
      <c r="HY616" s="281">
        <f>$HX$20+0.8*(bus_pitch*(n_rows_b&gt;0))*($HW$20*n_SA_b+$HU$8&lt;pax_b)</f>
        <v>6.5</v>
      </c>
      <c r="HZ616" s="281">
        <f>$HV$8</f>
        <v>-1.84</v>
      </c>
      <c r="IA616" s="281">
        <f t="shared" si="135"/>
        <v>-11.310479999999998</v>
      </c>
    </row>
    <row r="617" spans="65:235" x14ac:dyDescent="0.25">
      <c r="BM617" s="281">
        <f>$AZ$21</f>
        <v>19.46</v>
      </c>
      <c r="BN617" s="281">
        <f>$AX$6+seat_w*($AY$21*n_SA+$AW$6&lt;pax_e)</f>
        <v>-0.78</v>
      </c>
      <c r="BO617" s="281">
        <f t="shared" si="134"/>
        <v>1.6495200000000025</v>
      </c>
      <c r="HY617" s="281">
        <f>$HX$20+0.2*(bus_pitch*(n_rows_b&gt;0))*($HW$20*n_SA_b+$HU$8&lt;pax_b)</f>
        <v>6.5</v>
      </c>
      <c r="HZ617" s="281">
        <f>$HV$8</f>
        <v>-1.84</v>
      </c>
      <c r="IA617" s="281">
        <f t="shared" si="135"/>
        <v>-11.310479999999998</v>
      </c>
    </row>
    <row r="618" spans="65:235" x14ac:dyDescent="0.25">
      <c r="BM618" s="281">
        <f>$AZ$21+1*(seat_pitch)*($AY$21*n_SA+$AW$6&lt;pax_e)</f>
        <v>20.27</v>
      </c>
      <c r="BN618" s="281">
        <f>$AX$6+seat_w*($AY$21*n_SA+$AW$6&lt;pax_e)</f>
        <v>-0.78</v>
      </c>
      <c r="BO618" s="281">
        <f t="shared" si="134"/>
        <v>2.4595200000000013</v>
      </c>
      <c r="HY618" s="281">
        <f>$HX$20+(bus_pitch*(n_rows_b&gt;0))</f>
        <v>6.5</v>
      </c>
      <c r="HZ618" s="281">
        <f>$HV$8</f>
        <v>-1.84</v>
      </c>
      <c r="IA618" s="281">
        <f t="shared" si="135"/>
        <v>-11.310479999999998</v>
      </c>
    </row>
    <row r="619" spans="65:235" x14ac:dyDescent="0.25">
      <c r="BM619" s="281">
        <f>$AZ$21+0.8*(seat_pitch)*($AY$21*n_SA+$AW$6&lt;pax_e)</f>
        <v>20.108000000000001</v>
      </c>
      <c r="BN619" s="281">
        <f>$AX$6+seat_w*($AY$21*n_SA+$AW$6&lt;pax_e)</f>
        <v>-0.78</v>
      </c>
      <c r="BO619" s="281">
        <f t="shared" si="134"/>
        <v>2.2975200000000022</v>
      </c>
      <c r="HY619" s="281">
        <f>$HX$21+0.2*(bus_pitch*(n_rows_b&gt;0))*($HW$21*n_SA_b+$HU$8&lt;pax_b)</f>
        <v>6.5</v>
      </c>
      <c r="HZ619" s="281">
        <f>$HV$8</f>
        <v>-1.84</v>
      </c>
      <c r="IA619" s="281">
        <f t="shared" si="135"/>
        <v>-11.310479999999998</v>
      </c>
    </row>
    <row r="620" spans="65:235" x14ac:dyDescent="0.25">
      <c r="BM620" s="281">
        <f>$AZ$21+0.8*(seat_pitch)*($AY$21*n_SA+$AW$6&lt;pax_e)</f>
        <v>20.108000000000001</v>
      </c>
      <c r="BN620" s="281">
        <f>$AX$6</f>
        <v>-1.31</v>
      </c>
      <c r="BO620" s="281">
        <f t="shared" si="134"/>
        <v>2.2975200000000022</v>
      </c>
      <c r="HY620" s="281">
        <f>$HX$21+0.2*(bus_pitch*(n_rows_b&gt;0))*($HW$21*n_SA_b+$HU$8&lt;pax_b)</f>
        <v>6.5</v>
      </c>
      <c r="HZ620" s="281">
        <f>$HV$8+seat_w_b*($HW$21*n_SA_b+$HU$8&lt;pax_b)</f>
        <v>-1.84</v>
      </c>
      <c r="IA620" s="281">
        <f t="shared" si="135"/>
        <v>-11.310479999999998</v>
      </c>
    </row>
    <row r="621" spans="65:235" x14ac:dyDescent="0.25">
      <c r="BM621" s="281">
        <f>$AZ$21+0.2*(seat_pitch)*($AY$21*n_SA+$AW$6&lt;pax_e)</f>
        <v>19.622</v>
      </c>
      <c r="BN621" s="281">
        <f>$AX$6</f>
        <v>-1.31</v>
      </c>
      <c r="BO621" s="281">
        <f t="shared" si="134"/>
        <v>1.8115200000000016</v>
      </c>
      <c r="HY621" s="281">
        <f>$HX$21</f>
        <v>6.5</v>
      </c>
      <c r="HZ621" s="281">
        <f>$HV$8+seat_w_b*($HW$21*n_SA_b+$HU$8&lt;pax_b)</f>
        <v>-1.84</v>
      </c>
      <c r="IA621" s="281">
        <f t="shared" si="135"/>
        <v>-11.310479999999998</v>
      </c>
    </row>
    <row r="622" spans="65:235" x14ac:dyDescent="0.25">
      <c r="BM622" s="281">
        <f>$AZ$21+(seat_pitch)</f>
        <v>20.27</v>
      </c>
      <c r="BN622" s="281">
        <f>$AX$6</f>
        <v>-1.31</v>
      </c>
      <c r="BO622" s="281">
        <f t="shared" si="134"/>
        <v>2.4595200000000013</v>
      </c>
      <c r="HY622" s="281">
        <f>$HX$21+1*(bus_pitch*(n_rows_b&gt;0))*($HW$21*n_SA_b+$HU$8&lt;pax_b)</f>
        <v>6.5</v>
      </c>
      <c r="HZ622" s="281">
        <f>$HV$8+seat_w_b*($HW$21*n_SA_b+$HU$8&lt;pax_b)</f>
        <v>-1.84</v>
      </c>
      <c r="IA622" s="281">
        <f t="shared" si="135"/>
        <v>-11.310479999999998</v>
      </c>
    </row>
    <row r="623" spans="65:235" x14ac:dyDescent="0.25">
      <c r="BM623" s="281">
        <f>$AZ$22+0.2*(seat_pitch)*($AY$22*n_SA+$AW$6&lt;pax_e)</f>
        <v>20.432000000000002</v>
      </c>
      <c r="BN623" s="281">
        <f>$AX$6</f>
        <v>-1.31</v>
      </c>
      <c r="BO623" s="281">
        <f t="shared" si="134"/>
        <v>2.6215200000000038</v>
      </c>
      <c r="HY623" s="281">
        <f>$HX$21+0.8*(bus_pitch*(n_rows_b&gt;0))*($HW$21*n_SA_b+$HU$8&lt;pax_b)</f>
        <v>6.5</v>
      </c>
      <c r="HZ623" s="281">
        <f>$HV$8+seat_w_b*($HW$21*n_SA_b+$HU$8&lt;pax_b)</f>
        <v>-1.84</v>
      </c>
      <c r="IA623" s="281">
        <f t="shared" si="135"/>
        <v>-11.310479999999998</v>
      </c>
    </row>
    <row r="624" spans="65:235" x14ac:dyDescent="0.25">
      <c r="BM624" s="281">
        <f>$AZ$22+0.2*(seat_pitch)*($AY$22*n_SA+$AW$6&lt;pax_e)</f>
        <v>20.432000000000002</v>
      </c>
      <c r="BN624" s="281">
        <f>$AX$6+seat_w*($AY$22*n_SA+$AW$6&lt;pax_e)</f>
        <v>-0.78</v>
      </c>
      <c r="BO624" s="281">
        <f t="shared" si="134"/>
        <v>2.6215200000000038</v>
      </c>
      <c r="HY624" s="281">
        <f>$HX$21+0.8*(bus_pitch*(n_rows_b&gt;0))*($HW$21*n_SA_b+$HU$8&lt;pax_b)</f>
        <v>6.5</v>
      </c>
      <c r="HZ624" s="281">
        <f>$HV$8</f>
        <v>-1.84</v>
      </c>
      <c r="IA624" s="281">
        <f t="shared" si="135"/>
        <v>-11.310479999999998</v>
      </c>
    </row>
    <row r="625" spans="65:235" x14ac:dyDescent="0.25">
      <c r="BM625" s="281">
        <f>$AZ$22</f>
        <v>20.270000000000003</v>
      </c>
      <c r="BN625" s="281">
        <f>$AX$6+seat_w*($AY$22*n_SA+$AW$6&lt;pax_e)</f>
        <v>-0.78</v>
      </c>
      <c r="BO625" s="281">
        <f t="shared" si="134"/>
        <v>2.4595200000000048</v>
      </c>
      <c r="HY625" s="281">
        <f>$HX$21+0.2*(bus_pitch*(n_rows_b&gt;0))*($HW$21*n_SA_b+$HU$8&lt;pax_b)</f>
        <v>6.5</v>
      </c>
      <c r="HZ625" s="281">
        <f>$HV$8</f>
        <v>-1.84</v>
      </c>
      <c r="IA625" s="281">
        <f t="shared" si="135"/>
        <v>-11.310479999999998</v>
      </c>
    </row>
    <row r="626" spans="65:235" x14ac:dyDescent="0.25">
      <c r="BM626" s="281">
        <f>$AZ$22+1*(seat_pitch)*($AY$22*n_SA+$AW$6&lt;pax_e)</f>
        <v>21.080000000000002</v>
      </c>
      <c r="BN626" s="281">
        <f>$AX$6+seat_w*($AY$22*n_SA+$AW$6&lt;pax_e)</f>
        <v>-0.78</v>
      </c>
      <c r="BO626" s="281">
        <f t="shared" si="134"/>
        <v>3.2695200000000035</v>
      </c>
      <c r="HY626" s="281">
        <f>$HX$21+(bus_pitch*(n_rows_b&gt;0))</f>
        <v>6.5</v>
      </c>
      <c r="HZ626" s="281">
        <f>$HV$8</f>
        <v>-1.84</v>
      </c>
      <c r="IA626" s="281">
        <f t="shared" si="135"/>
        <v>-11.310479999999998</v>
      </c>
    </row>
    <row r="627" spans="65:235" x14ac:dyDescent="0.25">
      <c r="BM627" s="281">
        <f>$AZ$22+0.8*(seat_pitch)*($AY$22*n_SA+$AW$6&lt;pax_e)</f>
        <v>20.918000000000003</v>
      </c>
      <c r="BN627" s="281">
        <f>$AX$6+seat_w*($AY$22*n_SA+$AW$6&lt;pax_e)</f>
        <v>-0.78</v>
      </c>
      <c r="BO627" s="281">
        <f t="shared" si="134"/>
        <v>3.1075200000000045</v>
      </c>
      <c r="HY627" s="281">
        <f>$HX$22+0.2*(bus_pitch*(n_rows_b&gt;0))*($HW$22*n_SA_b+$HU$8&lt;pax_b)</f>
        <v>6.5</v>
      </c>
      <c r="HZ627" s="281">
        <f>$HV$8</f>
        <v>-1.84</v>
      </c>
      <c r="IA627" s="281">
        <f t="shared" si="135"/>
        <v>-11.310479999999998</v>
      </c>
    </row>
    <row r="628" spans="65:235" x14ac:dyDescent="0.25">
      <c r="BM628" s="281">
        <f>$AZ$22+0.8*(seat_pitch)*($AY$22*n_SA+$AW$6&lt;pax_e)</f>
        <v>20.918000000000003</v>
      </c>
      <c r="BN628" s="281">
        <f>$AX$6</f>
        <v>-1.31</v>
      </c>
      <c r="BO628" s="281">
        <f t="shared" si="134"/>
        <v>3.1075200000000045</v>
      </c>
      <c r="HY628" s="281">
        <f>$HX$22+0.2*(bus_pitch*(n_rows_b&gt;0))*($HW$22*n_SA_b+$HU$8&lt;pax_b)</f>
        <v>6.5</v>
      </c>
      <c r="HZ628" s="281">
        <f>$HV$8+seat_w_b*($HW$22*n_SA_b+$HU$8&lt;pax_b)</f>
        <v>-1.84</v>
      </c>
      <c r="IA628" s="281">
        <f t="shared" si="135"/>
        <v>-11.310479999999998</v>
      </c>
    </row>
    <row r="629" spans="65:235" x14ac:dyDescent="0.25">
      <c r="BM629" s="281">
        <f>$AZ$22+0.2*(seat_pitch)*($AY$22*n_SA+$AW$6&lt;pax_e)</f>
        <v>20.432000000000002</v>
      </c>
      <c r="BN629" s="281">
        <f>$AX$6</f>
        <v>-1.31</v>
      </c>
      <c r="BO629" s="281">
        <f t="shared" si="134"/>
        <v>2.6215200000000038</v>
      </c>
      <c r="HY629" s="281">
        <f>$HX$22</f>
        <v>6.5</v>
      </c>
      <c r="HZ629" s="281">
        <f>$HV$8+seat_w_b*($HW$22*n_SA_b+$HU$8&lt;pax_b)</f>
        <v>-1.84</v>
      </c>
      <c r="IA629" s="281">
        <f t="shared" si="135"/>
        <v>-11.310479999999998</v>
      </c>
    </row>
    <row r="630" spans="65:235" x14ac:dyDescent="0.25">
      <c r="BM630" s="281">
        <f>$AZ$22+(seat_pitch)</f>
        <v>21.080000000000002</v>
      </c>
      <c r="BN630" s="281">
        <f>$AX$6</f>
        <v>-1.31</v>
      </c>
      <c r="BO630" s="281">
        <f t="shared" si="134"/>
        <v>3.2695200000000035</v>
      </c>
      <c r="HY630" s="281">
        <f>$HX$22+1*(bus_pitch*(n_rows_b&gt;0))*($HW$22*n_SA_b+$HU$8&lt;pax_b)</f>
        <v>6.5</v>
      </c>
      <c r="HZ630" s="281">
        <f>$HV$8+seat_w_b*($HW$22*n_SA_b+$HU$8&lt;pax_b)</f>
        <v>-1.84</v>
      </c>
      <c r="IA630" s="281">
        <f t="shared" si="135"/>
        <v>-11.310479999999998</v>
      </c>
    </row>
    <row r="631" spans="65:235" x14ac:dyDescent="0.25">
      <c r="BM631" s="281">
        <f>$AZ$23+0.2*(seat_pitch)*($AY$23*n_SA+$AW$6&lt;pax_e)</f>
        <v>21.242000000000001</v>
      </c>
      <c r="BN631" s="281">
        <f>$AX$6</f>
        <v>-1.31</v>
      </c>
      <c r="BO631" s="281">
        <f t="shared" si="134"/>
        <v>3.4315200000000026</v>
      </c>
      <c r="HY631" s="281">
        <f>$HX$22+0.8*(bus_pitch*(n_rows_b&gt;0))*($HW$22*n_SA_b+$HU$8&lt;pax_b)</f>
        <v>6.5</v>
      </c>
      <c r="HZ631" s="281">
        <f>$HV$8+seat_w_b*($HW$22*n_SA_b+$HU$8&lt;pax_b)</f>
        <v>-1.84</v>
      </c>
      <c r="IA631" s="281">
        <f t="shared" si="135"/>
        <v>-11.310479999999998</v>
      </c>
    </row>
    <row r="632" spans="65:235" x14ac:dyDescent="0.25">
      <c r="BM632" s="281">
        <f>$AZ$23+0.2*(seat_pitch)*($AY$23*n_SA+$AW$6&lt;pax_e)</f>
        <v>21.242000000000001</v>
      </c>
      <c r="BN632" s="281">
        <f>$AX$6+seat_w*($AY$23*n_SA+$AW$6&lt;pax_e)</f>
        <v>-0.78</v>
      </c>
      <c r="BO632" s="281">
        <f t="shared" si="134"/>
        <v>3.4315200000000026</v>
      </c>
      <c r="HY632" s="281">
        <f>$HX$22+0.8*(bus_pitch*(n_rows_b&gt;0))*($HW$22*n_SA_b+$HU$8&lt;pax_b)</f>
        <v>6.5</v>
      </c>
      <c r="HZ632" s="281">
        <f>$HV$8</f>
        <v>-1.84</v>
      </c>
      <c r="IA632" s="281">
        <f t="shared" si="135"/>
        <v>-11.310479999999998</v>
      </c>
    </row>
    <row r="633" spans="65:235" x14ac:dyDescent="0.25">
      <c r="BM633" s="281">
        <f>$AZ$23</f>
        <v>21.080000000000002</v>
      </c>
      <c r="BN633" s="281">
        <f>$AX$6+seat_w*($AY$23*n_SA+$AW$6&lt;pax_e)</f>
        <v>-0.78</v>
      </c>
      <c r="BO633" s="281">
        <f t="shared" si="134"/>
        <v>3.2695200000000035</v>
      </c>
      <c r="HY633" s="281">
        <f>$HX$22+0.2*(bus_pitch*(n_rows_b&gt;0))*($HW$22*n_SA_b+$HU$8&lt;pax_b)</f>
        <v>6.5</v>
      </c>
      <c r="HZ633" s="281">
        <f>$HV$8</f>
        <v>-1.84</v>
      </c>
      <c r="IA633" s="281">
        <f t="shared" si="135"/>
        <v>-11.310479999999998</v>
      </c>
    </row>
    <row r="634" spans="65:235" x14ac:dyDescent="0.25">
      <c r="BM634" s="281">
        <f>$AZ$23+1*(seat_pitch)*($AY$23*n_SA+$AW$6&lt;pax_e)</f>
        <v>21.89</v>
      </c>
      <c r="BN634" s="281">
        <f>$AX$6+seat_w*($AY$23*n_SA+$AW$6&lt;pax_e)</f>
        <v>-0.78</v>
      </c>
      <c r="BO634" s="281">
        <f t="shared" si="134"/>
        <v>4.0795200000000023</v>
      </c>
      <c r="HY634" s="281">
        <f>$HX$22+(bus_pitch*(n_rows_b&gt;0))</f>
        <v>6.5</v>
      </c>
      <c r="HZ634" s="281">
        <f>$HV$8</f>
        <v>-1.84</v>
      </c>
      <c r="IA634" s="281">
        <f t="shared" si="135"/>
        <v>-11.310479999999998</v>
      </c>
    </row>
    <row r="635" spans="65:235" x14ac:dyDescent="0.25">
      <c r="BM635" s="281">
        <f>$AZ$23+0.8*(seat_pitch)*($AY$23*n_SA+$AW$6&lt;pax_e)</f>
        <v>21.728000000000002</v>
      </c>
      <c r="BN635" s="281">
        <f>$AX$6+seat_w*($AY$23*n_SA+$AW$6&lt;pax_e)</f>
        <v>-0.78</v>
      </c>
      <c r="BO635" s="281">
        <f t="shared" si="134"/>
        <v>3.9175200000000032</v>
      </c>
      <c r="HY635" s="281">
        <f>$HX$23+0.2*(bus_pitch*(n_rows_b&gt;0))*($HW$23*n_SA_b+$HU$8&lt;pax_b)</f>
        <v>6.5</v>
      </c>
      <c r="HZ635" s="281">
        <f>$HV$8</f>
        <v>-1.84</v>
      </c>
      <c r="IA635" s="281">
        <f t="shared" si="135"/>
        <v>-11.310479999999998</v>
      </c>
    </row>
    <row r="636" spans="65:235" x14ac:dyDescent="0.25">
      <c r="BM636" s="281">
        <f>$AZ$23+0.8*(seat_pitch)*($AY$23*n_SA+$AW$6&lt;pax_e)</f>
        <v>21.728000000000002</v>
      </c>
      <c r="BN636" s="281">
        <f>$AX$6</f>
        <v>-1.31</v>
      </c>
      <c r="BO636" s="281">
        <f t="shared" si="134"/>
        <v>3.9175200000000032</v>
      </c>
      <c r="HY636" s="281">
        <f>$HX$23+0.2*(bus_pitch*(n_rows_b&gt;0))*($HW$23*n_SA_b+$HU$8&lt;pax_b)</f>
        <v>6.5</v>
      </c>
      <c r="HZ636" s="281">
        <f>$HV$8+seat_w_b*($HW$23*n_SA_b+$HU$8&lt;pax_b)</f>
        <v>-1.84</v>
      </c>
      <c r="IA636" s="281">
        <f t="shared" si="135"/>
        <v>-11.310479999999998</v>
      </c>
    </row>
    <row r="637" spans="65:235" x14ac:dyDescent="0.25">
      <c r="BM637" s="281">
        <f>$AZ$23+0.2*(seat_pitch)*($AY$23*n_SA+$AW$6&lt;pax_e)</f>
        <v>21.242000000000001</v>
      </c>
      <c r="BN637" s="281">
        <f>$AX$6</f>
        <v>-1.31</v>
      </c>
      <c r="BO637" s="281">
        <f t="shared" si="134"/>
        <v>3.4315200000000026</v>
      </c>
      <c r="HY637" s="281">
        <f>$HX$23</f>
        <v>6.5</v>
      </c>
      <c r="HZ637" s="281">
        <f>$HV$8+seat_w_b*($HW$23*n_SA_b+$HU$8&lt;pax_b)</f>
        <v>-1.84</v>
      </c>
      <c r="IA637" s="281">
        <f t="shared" si="135"/>
        <v>-11.310479999999998</v>
      </c>
    </row>
    <row r="638" spans="65:235" x14ac:dyDescent="0.25">
      <c r="BM638" s="281">
        <f>$AZ$23+(seat_pitch)</f>
        <v>21.89</v>
      </c>
      <c r="BN638" s="281">
        <f>$AX$6</f>
        <v>-1.31</v>
      </c>
      <c r="BO638" s="281">
        <f t="shared" si="134"/>
        <v>4.0795200000000023</v>
      </c>
      <c r="HY638" s="281">
        <f>$HX$23+1*(bus_pitch*(n_rows_b&gt;0))*($HW$23*n_SA_b+$HU$8&lt;pax_b)</f>
        <v>6.5</v>
      </c>
      <c r="HZ638" s="281">
        <f>$HV$8+seat_w_b*($HW$23*n_SA_b+$HU$8&lt;pax_b)</f>
        <v>-1.84</v>
      </c>
      <c r="IA638" s="281">
        <f t="shared" si="135"/>
        <v>-11.310479999999998</v>
      </c>
    </row>
    <row r="639" spans="65:235" x14ac:dyDescent="0.25">
      <c r="BM639" s="281">
        <f>$AZ$24+0.2*(seat_pitch)*($AY$24*n_SA+$AW$6&lt;pax_e)</f>
        <v>22.052</v>
      </c>
      <c r="BN639" s="281">
        <f>$AX$6</f>
        <v>-1.31</v>
      </c>
      <c r="BO639" s="281">
        <f t="shared" si="134"/>
        <v>4.2415200000000013</v>
      </c>
      <c r="HY639" s="281">
        <f>$HX$23+0.8*(bus_pitch*(n_rows_b&gt;0))*($HW$23*n_SA_b+$HU$8&lt;pax_b)</f>
        <v>6.5</v>
      </c>
      <c r="HZ639" s="281">
        <f>$HV$8+seat_w_b*($HW$23*n_SA_b+$HU$8&lt;pax_b)</f>
        <v>-1.84</v>
      </c>
      <c r="IA639" s="281">
        <f t="shared" si="135"/>
        <v>-11.310479999999998</v>
      </c>
    </row>
    <row r="640" spans="65:235" x14ac:dyDescent="0.25">
      <c r="BM640" s="281">
        <f>$AZ$24+0.2*(seat_pitch)*($AY$24*n_SA+$AW$6&lt;pax_e)</f>
        <v>22.052</v>
      </c>
      <c r="BN640" s="281">
        <f>$AX$6+seat_w*($AY$24*n_SA+$AW$6&lt;pax_e)</f>
        <v>-0.78</v>
      </c>
      <c r="BO640" s="281">
        <f t="shared" si="134"/>
        <v>4.2415200000000013</v>
      </c>
      <c r="HY640" s="281">
        <f>$HX$23+0.8*(bus_pitch*(n_rows_b&gt;0))*($HW$23*n_SA_b+$HU$8&lt;pax_b)</f>
        <v>6.5</v>
      </c>
      <c r="HZ640" s="281">
        <f>$HV$8</f>
        <v>-1.84</v>
      </c>
      <c r="IA640" s="281">
        <f t="shared" si="135"/>
        <v>-11.310479999999998</v>
      </c>
    </row>
    <row r="641" spans="65:235" x14ac:dyDescent="0.25">
      <c r="BM641" s="281">
        <f>$AZ$24</f>
        <v>21.89</v>
      </c>
      <c r="BN641" s="281">
        <f>$AX$6+seat_w*($AY$24*n_SA+$AW$6&lt;pax_e)</f>
        <v>-0.78</v>
      </c>
      <c r="BO641" s="281">
        <f t="shared" si="134"/>
        <v>4.0795200000000023</v>
      </c>
      <c r="HY641" s="281">
        <f>$HX$23+0.2*(bus_pitch*(n_rows_b&gt;0))*($HW$23*n_SA_b+$HU$8&lt;pax_b)</f>
        <v>6.5</v>
      </c>
      <c r="HZ641" s="281">
        <f>$HV$8</f>
        <v>-1.84</v>
      </c>
      <c r="IA641" s="281">
        <f t="shared" si="135"/>
        <v>-11.310479999999998</v>
      </c>
    </row>
    <row r="642" spans="65:235" x14ac:dyDescent="0.25">
      <c r="BM642" s="281">
        <f>$AZ$24+1*(seat_pitch)*($AY$24*n_SA+$AW$6&lt;pax_e)</f>
        <v>22.7</v>
      </c>
      <c r="BN642" s="281">
        <f>$AX$6+seat_w*($AY$24*n_SA+$AW$6&lt;pax_e)</f>
        <v>-0.78</v>
      </c>
      <c r="BO642" s="281">
        <f t="shared" si="134"/>
        <v>4.889520000000001</v>
      </c>
      <c r="HY642" s="281">
        <f>$HX$23+(bus_pitch*(n_rows_b&gt;0))</f>
        <v>6.5</v>
      </c>
      <c r="HZ642" s="281">
        <f>$HV$8</f>
        <v>-1.84</v>
      </c>
      <c r="IA642" s="281">
        <f t="shared" si="135"/>
        <v>-11.310479999999998</v>
      </c>
    </row>
    <row r="643" spans="65:235" x14ac:dyDescent="0.25">
      <c r="BM643" s="281">
        <f>$AZ$24+0.8*(seat_pitch)*($AY$24*n_SA+$AW$6&lt;pax_e)</f>
        <v>22.538</v>
      </c>
      <c r="BN643" s="281">
        <f>$AX$6+seat_w*($AY$24*n_SA+$AW$6&lt;pax_e)</f>
        <v>-0.78</v>
      </c>
      <c r="BO643" s="281">
        <f t="shared" si="134"/>
        <v>4.7275200000000019</v>
      </c>
      <c r="HY643" s="281">
        <f>$HX$24+0.2*(bus_pitch*(n_rows_b&gt;0))*($HW$24*n_SA_b+$HU$8&lt;pax_b)</f>
        <v>6.5</v>
      </c>
      <c r="HZ643" s="281">
        <f>$HV$8</f>
        <v>-1.84</v>
      </c>
      <c r="IA643" s="281">
        <f t="shared" si="135"/>
        <v>-11.310479999999998</v>
      </c>
    </row>
    <row r="644" spans="65:235" x14ac:dyDescent="0.25">
      <c r="BM644" s="281">
        <f>$AZ$24+0.8*(seat_pitch)*($AY$24*n_SA+$AW$6&lt;pax_e)</f>
        <v>22.538</v>
      </c>
      <c r="BN644" s="281">
        <f>$AX$6</f>
        <v>-1.31</v>
      </c>
      <c r="BO644" s="281">
        <f t="shared" si="134"/>
        <v>4.7275200000000019</v>
      </c>
      <c r="HY644" s="281">
        <f>$HX$24+0.2*(bus_pitch*(n_rows_b&gt;0))*($HW$24*n_SA_b+$HU$8&lt;pax_b)</f>
        <v>6.5</v>
      </c>
      <c r="HZ644" s="281">
        <f>$HV$8+seat_w_b*($HW$24*n_SA_b+$HU$8&lt;pax_b)</f>
        <v>-1.84</v>
      </c>
      <c r="IA644" s="281">
        <f t="shared" si="135"/>
        <v>-11.310479999999998</v>
      </c>
    </row>
    <row r="645" spans="65:235" x14ac:dyDescent="0.25">
      <c r="BM645" s="281">
        <f>$AZ$24+0.2*(seat_pitch)*($AY$24*n_SA+$AW$6&lt;pax_e)</f>
        <v>22.052</v>
      </c>
      <c r="BN645" s="281">
        <f>$AX$6</f>
        <v>-1.31</v>
      </c>
      <c r="BO645" s="281">
        <f t="shared" ref="BO645:BO708" si="136">BM645-L_fus/2</f>
        <v>4.2415200000000013</v>
      </c>
      <c r="HY645" s="281">
        <f>$HX$24</f>
        <v>6.5</v>
      </c>
      <c r="HZ645" s="281">
        <f>$HV$8+seat_w_b*($HW$24*n_SA_b+$HU$8&lt;pax_b)</f>
        <v>-1.84</v>
      </c>
      <c r="IA645" s="281">
        <f t="shared" ref="IA645:IA708" si="137">HY645-L_fus/2</f>
        <v>-11.310479999999998</v>
      </c>
    </row>
    <row r="646" spans="65:235" x14ac:dyDescent="0.25">
      <c r="BM646" s="281">
        <f>$AZ$24+(seat_pitch)</f>
        <v>22.7</v>
      </c>
      <c r="BN646" s="281">
        <f>$AX$6</f>
        <v>-1.31</v>
      </c>
      <c r="BO646" s="281">
        <f t="shared" si="136"/>
        <v>4.889520000000001</v>
      </c>
      <c r="HY646" s="281">
        <f>$HX$24+1*(bus_pitch*(n_rows_b&gt;0))*($HW$24*n_SA_b+$HU$8&lt;pax_b)</f>
        <v>6.5</v>
      </c>
      <c r="HZ646" s="281">
        <f>$HV$8+seat_w_b*($HW$24*n_SA_b+$HU$8&lt;pax_b)</f>
        <v>-1.84</v>
      </c>
      <c r="IA646" s="281">
        <f t="shared" si="137"/>
        <v>-11.310479999999998</v>
      </c>
    </row>
    <row r="647" spans="65:235" x14ac:dyDescent="0.25">
      <c r="BM647" s="281">
        <f>$AZ$25+0.2*(seat_pitch)*($AY$25*n_SA+$AW$6&lt;pax_e)</f>
        <v>22.862000000000002</v>
      </c>
      <c r="BN647" s="281">
        <f>$AX$6</f>
        <v>-1.31</v>
      </c>
      <c r="BO647" s="281">
        <f t="shared" si="136"/>
        <v>5.0515200000000036</v>
      </c>
      <c r="HY647" s="281">
        <f>$HX$24+0.8*(bus_pitch*(n_rows_b&gt;0))*($HW$24*n_SA_b+$HU$8&lt;pax_b)</f>
        <v>6.5</v>
      </c>
      <c r="HZ647" s="281">
        <f>$HV$8+seat_w_b*($HW$24*n_SA_b+$HU$8&lt;pax_b)</f>
        <v>-1.84</v>
      </c>
      <c r="IA647" s="281">
        <f t="shared" si="137"/>
        <v>-11.310479999999998</v>
      </c>
    </row>
    <row r="648" spans="65:235" x14ac:dyDescent="0.25">
      <c r="BM648" s="281">
        <f>$AZ$25+0.2*(seat_pitch)*($AY$25*n_SA+$AW$6&lt;pax_e)</f>
        <v>22.862000000000002</v>
      </c>
      <c r="BN648" s="281">
        <f>$AX$6+seat_w*($AY$25*n_SA+$AW$6&lt;pax_e)</f>
        <v>-0.78</v>
      </c>
      <c r="BO648" s="281">
        <f t="shared" si="136"/>
        <v>5.0515200000000036</v>
      </c>
      <c r="HY648" s="281">
        <f>$HX$24+0.8*(bus_pitch*(n_rows_b&gt;0))*($HW$24*n_SA_b+$HU$8&lt;pax_b)</f>
        <v>6.5</v>
      </c>
      <c r="HZ648" s="281">
        <f>$HV$8</f>
        <v>-1.84</v>
      </c>
      <c r="IA648" s="281">
        <f t="shared" si="137"/>
        <v>-11.310479999999998</v>
      </c>
    </row>
    <row r="649" spans="65:235" x14ac:dyDescent="0.25">
      <c r="BM649" s="281">
        <f>$AZ$25</f>
        <v>22.700000000000003</v>
      </c>
      <c r="BN649" s="281">
        <f>$AX$6+seat_w*($AY$25*n_SA+$AW$6&lt;pax_e)</f>
        <v>-0.78</v>
      </c>
      <c r="BO649" s="281">
        <f t="shared" si="136"/>
        <v>4.8895200000000045</v>
      </c>
      <c r="HY649" s="281">
        <f>$HX$24+0.2*(bus_pitch*(n_rows_b&gt;0))*($HW$24*n_SA_b+$HU$8&lt;pax_b)</f>
        <v>6.5</v>
      </c>
      <c r="HZ649" s="281">
        <f>$HV$8</f>
        <v>-1.84</v>
      </c>
      <c r="IA649" s="281">
        <f t="shared" si="137"/>
        <v>-11.310479999999998</v>
      </c>
    </row>
    <row r="650" spans="65:235" x14ac:dyDescent="0.25">
      <c r="BM650" s="281">
        <f>$AZ$25+1*(seat_pitch)*($AY$25*n_SA+$AW$6&lt;pax_e)</f>
        <v>23.51</v>
      </c>
      <c r="BN650" s="281">
        <f>$AX$6+seat_w*($AY$25*n_SA+$AW$6&lt;pax_e)</f>
        <v>-0.78</v>
      </c>
      <c r="BO650" s="281">
        <f t="shared" si="136"/>
        <v>5.6995200000000033</v>
      </c>
      <c r="HY650" s="281">
        <f>$HX$24+(bus_pitch*(n_rows_b&gt;0))</f>
        <v>6.5</v>
      </c>
      <c r="HZ650" s="281">
        <f>$HV$8</f>
        <v>-1.84</v>
      </c>
      <c r="IA650" s="281">
        <f t="shared" si="137"/>
        <v>-11.310479999999998</v>
      </c>
    </row>
    <row r="651" spans="65:235" x14ac:dyDescent="0.25">
      <c r="BM651" s="281">
        <f>$AZ$25+0.8*(seat_pitch)*($AY$25*n_SA+$AW$6&lt;pax_e)</f>
        <v>23.348000000000003</v>
      </c>
      <c r="BN651" s="281">
        <f>$AX$6+seat_w*($AY$25*n_SA+$AW$6&lt;pax_e)</f>
        <v>-0.78</v>
      </c>
      <c r="BO651" s="281">
        <f t="shared" si="136"/>
        <v>5.5375200000000042</v>
      </c>
      <c r="HY651" s="281">
        <f>x_eco0</f>
        <v>6.5</v>
      </c>
      <c r="HZ651" s="281">
        <f>$HV$9</f>
        <v>-1.84</v>
      </c>
      <c r="IA651" s="281">
        <f t="shared" si="137"/>
        <v>-11.310479999999998</v>
      </c>
    </row>
    <row r="652" spans="65:235" x14ac:dyDescent="0.25">
      <c r="BM652" s="281">
        <f>$AZ$25+0.8*(seat_pitch)*($AY$25*n_SA+$AW$6&lt;pax_e)</f>
        <v>23.348000000000003</v>
      </c>
      <c r="BN652" s="281">
        <f>$AX$6</f>
        <v>-1.31</v>
      </c>
      <c r="BO652" s="281">
        <f t="shared" si="136"/>
        <v>5.5375200000000042</v>
      </c>
      <c r="HY652" s="281">
        <f>x_seat0</f>
        <v>6.5</v>
      </c>
      <c r="HZ652" s="281">
        <f>$HV$9</f>
        <v>-1.84</v>
      </c>
      <c r="IA652" s="281">
        <f t="shared" si="137"/>
        <v>-11.310479999999998</v>
      </c>
    </row>
    <row r="653" spans="65:235" x14ac:dyDescent="0.25">
      <c r="BM653" s="281">
        <f>$AZ$25+0.2*(seat_pitch)*($AY$25*n_SA+$AW$6&lt;pax_e)</f>
        <v>22.862000000000002</v>
      </c>
      <c r="BN653" s="281">
        <f>$AX$6</f>
        <v>-1.31</v>
      </c>
      <c r="BO653" s="281">
        <f t="shared" si="136"/>
        <v>5.0515200000000036</v>
      </c>
      <c r="HY653" s="281">
        <f>$HX$5+0.2*(bus_pitch*(n_rows_b&gt;0))*($HW$5*n_SA_b+$HU$9&lt;pax_b)</f>
        <v>6.5</v>
      </c>
      <c r="HZ653" s="281">
        <f>$HV$9</f>
        <v>-1.84</v>
      </c>
      <c r="IA653" s="281">
        <f t="shared" si="137"/>
        <v>-11.310479999999998</v>
      </c>
    </row>
    <row r="654" spans="65:235" x14ac:dyDescent="0.25">
      <c r="BM654" s="281">
        <f>$AZ$25+(seat_pitch)</f>
        <v>23.51</v>
      </c>
      <c r="BN654" s="281">
        <f>$AX$6</f>
        <v>-1.31</v>
      </c>
      <c r="BO654" s="281">
        <f t="shared" si="136"/>
        <v>5.6995200000000033</v>
      </c>
      <c r="HY654" s="281">
        <f>$HX$5+0.2*(bus_pitch*(n_rows_b&gt;0))*($HW$5*n_SA_b+$HU$9&lt;pax_b)</f>
        <v>6.5</v>
      </c>
      <c r="HZ654" s="281">
        <f>$HV$9+seat_w_b*($HW$5*n_SA_b+$HU$9&lt;pax_b)</f>
        <v>-1.84</v>
      </c>
      <c r="IA654" s="281">
        <f t="shared" si="137"/>
        <v>-11.310479999999998</v>
      </c>
    </row>
    <row r="655" spans="65:235" x14ac:dyDescent="0.25">
      <c r="BM655" s="281">
        <f>$AZ$26+0.2*(seat_pitch)*($AY$26*n_SA+$AW$6&lt;pax_e)</f>
        <v>23.672000000000001</v>
      </c>
      <c r="BN655" s="281">
        <f>$AX$6</f>
        <v>-1.31</v>
      </c>
      <c r="BO655" s="281">
        <f t="shared" si="136"/>
        <v>5.8615200000000023</v>
      </c>
      <c r="HY655" s="281">
        <f>$HX$5</f>
        <v>6.5</v>
      </c>
      <c r="HZ655" s="281">
        <f>$HV$9+seat_w_b*($HW$5*n_SA_b+$HU$9&lt;pax_b)</f>
        <v>-1.84</v>
      </c>
      <c r="IA655" s="281">
        <f t="shared" si="137"/>
        <v>-11.310479999999998</v>
      </c>
    </row>
    <row r="656" spans="65:235" x14ac:dyDescent="0.25">
      <c r="BM656" s="281">
        <f>$AZ$26+0.2*(seat_pitch)*($AY$26*n_SA+$AW$6&lt;pax_e)</f>
        <v>23.672000000000001</v>
      </c>
      <c r="BN656" s="281">
        <f>$AX$6+seat_w*($AY$26*n_SA+$AW$6&lt;pax_e)</f>
        <v>-0.78</v>
      </c>
      <c r="BO656" s="281">
        <f t="shared" si="136"/>
        <v>5.8615200000000023</v>
      </c>
      <c r="HY656" s="281">
        <f>$HX$5+1*(bus_pitch*(n_rows_b&gt;0))*($HW$5*n_SA_b+$HU$9&lt;pax_b)</f>
        <v>6.5</v>
      </c>
      <c r="HZ656" s="281">
        <f>$HV$9+seat_w_b*($HW$5*n_SA_b+$HU$9&lt;pax_b)</f>
        <v>-1.84</v>
      </c>
      <c r="IA656" s="281">
        <f t="shared" si="137"/>
        <v>-11.310479999999998</v>
      </c>
    </row>
    <row r="657" spans="65:235" x14ac:dyDescent="0.25">
      <c r="BM657" s="281">
        <f>$AZ$26</f>
        <v>23.51</v>
      </c>
      <c r="BN657" s="281">
        <f>$AX$6+seat_w*($AY$26*n_SA+$AW$6&lt;pax_e)</f>
        <v>-0.78</v>
      </c>
      <c r="BO657" s="281">
        <f t="shared" si="136"/>
        <v>5.6995200000000033</v>
      </c>
      <c r="HY657" s="281">
        <f>$HX$5+0.8*(bus_pitch*(n_rows_b&gt;0))*($HW$5*n_SA_b+$HU$9&lt;pax_b)</f>
        <v>6.5</v>
      </c>
      <c r="HZ657" s="281">
        <f>$HV$9+seat_w_b*($HW$5*n_SA_b+$HU$9&lt;pax_b)</f>
        <v>-1.84</v>
      </c>
      <c r="IA657" s="281">
        <f t="shared" si="137"/>
        <v>-11.310479999999998</v>
      </c>
    </row>
    <row r="658" spans="65:235" x14ac:dyDescent="0.25">
      <c r="BM658" s="281">
        <f>$AZ$26+1*(seat_pitch)*($AY$26*n_SA+$AW$6&lt;pax_e)</f>
        <v>24.32</v>
      </c>
      <c r="BN658" s="281">
        <f>$AX$6+seat_w*($AY$26*n_SA+$AW$6&lt;pax_e)</f>
        <v>-0.78</v>
      </c>
      <c r="BO658" s="281">
        <f t="shared" si="136"/>
        <v>6.509520000000002</v>
      </c>
      <c r="HY658" s="281">
        <f>$HX$5+0.8*(bus_pitch*(n_rows_b&gt;0))*($HW$5*n_SA_b+$HU$9&lt;pax_b)</f>
        <v>6.5</v>
      </c>
      <c r="HZ658" s="281">
        <f>$HV$9</f>
        <v>-1.84</v>
      </c>
      <c r="IA658" s="281">
        <f t="shared" si="137"/>
        <v>-11.310479999999998</v>
      </c>
    </row>
    <row r="659" spans="65:235" x14ac:dyDescent="0.25">
      <c r="BM659" s="281">
        <f>$AZ$26+0.8*(seat_pitch)*($AY$26*n_SA+$AW$6&lt;pax_e)</f>
        <v>24.158000000000001</v>
      </c>
      <c r="BN659" s="281">
        <f>$AX$6+seat_w*($AY$26*n_SA+$AW$6&lt;pax_e)</f>
        <v>-0.78</v>
      </c>
      <c r="BO659" s="281">
        <f t="shared" si="136"/>
        <v>6.3475200000000029</v>
      </c>
      <c r="HY659" s="281">
        <f>$HX$5+0.2*(bus_pitch*(n_rows_b&gt;0))*($HW$5*n_SA_b+$HU$9&lt;pax_b)</f>
        <v>6.5</v>
      </c>
      <c r="HZ659" s="281">
        <f>$HV$9</f>
        <v>-1.84</v>
      </c>
      <c r="IA659" s="281">
        <f t="shared" si="137"/>
        <v>-11.310479999999998</v>
      </c>
    </row>
    <row r="660" spans="65:235" x14ac:dyDescent="0.25">
      <c r="BM660" s="281">
        <f>$AZ$26+0.8*(seat_pitch)*($AY$26*n_SA+$AW$6&lt;pax_e)</f>
        <v>24.158000000000001</v>
      </c>
      <c r="BN660" s="281">
        <f>$AX$6</f>
        <v>-1.31</v>
      </c>
      <c r="BO660" s="281">
        <f t="shared" si="136"/>
        <v>6.3475200000000029</v>
      </c>
      <c r="HY660" s="281">
        <f>$HX$5+(bus_pitch*(n_rows_b&gt;0))</f>
        <v>6.5</v>
      </c>
      <c r="HZ660" s="281">
        <f>$HV$9</f>
        <v>-1.84</v>
      </c>
      <c r="IA660" s="281">
        <f t="shared" si="137"/>
        <v>-11.310479999999998</v>
      </c>
    </row>
    <row r="661" spans="65:235" x14ac:dyDescent="0.25">
      <c r="BM661" s="281">
        <f>$AZ$26+0.2*(seat_pitch)*($AY$26*n_SA+$AW$6&lt;pax_e)</f>
        <v>23.672000000000001</v>
      </c>
      <c r="BN661" s="281">
        <f>$AX$6</f>
        <v>-1.31</v>
      </c>
      <c r="BO661" s="281">
        <f t="shared" si="136"/>
        <v>5.8615200000000023</v>
      </c>
      <c r="HY661" s="281">
        <f>$HX$6+0.2*(bus_pitch*(n_rows_b&gt;0))*($HW$6*n_SA_b+$HU$9&lt;pax_b)</f>
        <v>6.5</v>
      </c>
      <c r="HZ661" s="281">
        <f>$HV$9</f>
        <v>-1.84</v>
      </c>
      <c r="IA661" s="281">
        <f t="shared" si="137"/>
        <v>-11.310479999999998</v>
      </c>
    </row>
    <row r="662" spans="65:235" x14ac:dyDescent="0.25">
      <c r="BM662" s="281">
        <f>$AZ$26+(seat_pitch)</f>
        <v>24.32</v>
      </c>
      <c r="BN662" s="281">
        <f>$AX$6</f>
        <v>-1.31</v>
      </c>
      <c r="BO662" s="281">
        <f t="shared" si="136"/>
        <v>6.509520000000002</v>
      </c>
      <c r="HY662" s="281">
        <f>$HX$6+0.2*(bus_pitch*(n_rows_b&gt;0))*($HW$6*n_SA_b+$HU$9&lt;pax_b)</f>
        <v>6.5</v>
      </c>
      <c r="HZ662" s="281">
        <f>$HV$9+seat_w_b*($HW$6*n_SA_b+$HU$9&lt;pax_b)</f>
        <v>-1.84</v>
      </c>
      <c r="IA662" s="281">
        <f t="shared" si="137"/>
        <v>-11.310479999999998</v>
      </c>
    </row>
    <row r="663" spans="65:235" x14ac:dyDescent="0.25">
      <c r="BM663" s="281">
        <f>$AZ$27+0.2*(seat_pitch)*($AY$27*n_SA+$AW$6&lt;pax_e)</f>
        <v>24.481999999999999</v>
      </c>
      <c r="BN663" s="281">
        <f>$AX$6</f>
        <v>-1.31</v>
      </c>
      <c r="BO663" s="281">
        <f t="shared" si="136"/>
        <v>6.671520000000001</v>
      </c>
      <c r="HY663" s="281">
        <f>$HX$6</f>
        <v>6.5</v>
      </c>
      <c r="HZ663" s="281">
        <f>$HV$9+seat_w_b*($HW$6*n_SA_b+$HU$9&lt;pax_b)</f>
        <v>-1.84</v>
      </c>
      <c r="IA663" s="281">
        <f t="shared" si="137"/>
        <v>-11.310479999999998</v>
      </c>
    </row>
    <row r="664" spans="65:235" x14ac:dyDescent="0.25">
      <c r="BM664" s="281">
        <f>$AZ$27+0.2*(seat_pitch)*($AY$27*n_SA+$AW$6&lt;pax_e)</f>
        <v>24.481999999999999</v>
      </c>
      <c r="BN664" s="281">
        <f>$AX$6+seat_w*($AY$27*n_SA+$AW$6&lt;pax_e)</f>
        <v>-0.78</v>
      </c>
      <c r="BO664" s="281">
        <f t="shared" si="136"/>
        <v>6.671520000000001</v>
      </c>
      <c r="HY664" s="281">
        <f>$HX$6+1*(bus_pitch*(n_rows_b&gt;0))*($HW$6*n_SA_b+$HU$9&lt;pax_b)</f>
        <v>6.5</v>
      </c>
      <c r="HZ664" s="281">
        <f>$HV$9+seat_w_b*($HW$6*n_SA_b+$HU$9&lt;pax_b)</f>
        <v>-1.84</v>
      </c>
      <c r="IA664" s="281">
        <f t="shared" si="137"/>
        <v>-11.310479999999998</v>
      </c>
    </row>
    <row r="665" spans="65:235" x14ac:dyDescent="0.25">
      <c r="BM665" s="281">
        <f>$AZ$27</f>
        <v>24.32</v>
      </c>
      <c r="BN665" s="281">
        <f>$AX$6+seat_w*($AY$27*n_SA+$AW$6&lt;pax_e)</f>
        <v>-0.78</v>
      </c>
      <c r="BO665" s="281">
        <f t="shared" si="136"/>
        <v>6.509520000000002</v>
      </c>
      <c r="HY665" s="281">
        <f>$HX$6+0.8*(bus_pitch*(n_rows_b&gt;0))*($HW$6*n_SA_b+$HU$9&lt;pax_b)</f>
        <v>6.5</v>
      </c>
      <c r="HZ665" s="281">
        <f>$HV$9+seat_w_b*($HW$6*n_SA_b+$HU$9&lt;pax_b)</f>
        <v>-1.84</v>
      </c>
      <c r="IA665" s="281">
        <f t="shared" si="137"/>
        <v>-11.310479999999998</v>
      </c>
    </row>
    <row r="666" spans="65:235" x14ac:dyDescent="0.25">
      <c r="BM666" s="281">
        <f>$AZ$27+1*(seat_pitch)*($AY$27*n_SA+$AW$6&lt;pax_e)</f>
        <v>25.13</v>
      </c>
      <c r="BN666" s="281">
        <f>$AX$6+seat_w*($AY$27*n_SA+$AW$6&lt;pax_e)</f>
        <v>-0.78</v>
      </c>
      <c r="BO666" s="281">
        <f t="shared" si="136"/>
        <v>7.3195200000000007</v>
      </c>
      <c r="HY666" s="281">
        <f>$HX$6+0.8*(bus_pitch*(n_rows_b&gt;0))*($HW$6*n_SA_b+$HU$9&lt;pax_b)</f>
        <v>6.5</v>
      </c>
      <c r="HZ666" s="281">
        <f>$HV$9</f>
        <v>-1.84</v>
      </c>
      <c r="IA666" s="281">
        <f t="shared" si="137"/>
        <v>-11.310479999999998</v>
      </c>
    </row>
    <row r="667" spans="65:235" x14ac:dyDescent="0.25">
      <c r="BM667" s="281">
        <f>$AZ$27+0.8*(seat_pitch)*($AY$27*n_SA+$AW$6&lt;pax_e)</f>
        <v>24.968</v>
      </c>
      <c r="BN667" s="281">
        <f>$AX$6+seat_w*($AY$27*n_SA+$AW$6&lt;pax_e)</f>
        <v>-0.78</v>
      </c>
      <c r="BO667" s="281">
        <f t="shared" si="136"/>
        <v>7.1575200000000017</v>
      </c>
      <c r="HY667" s="281">
        <f>$HX$6+0.2*(bus_pitch*(n_rows_b&gt;0))*($HW$6*n_SA_b+$HU$9&lt;pax_b)</f>
        <v>6.5</v>
      </c>
      <c r="HZ667" s="281">
        <f>$HV$9</f>
        <v>-1.84</v>
      </c>
      <c r="IA667" s="281">
        <f t="shared" si="137"/>
        <v>-11.310479999999998</v>
      </c>
    </row>
    <row r="668" spans="65:235" x14ac:dyDescent="0.25">
      <c r="BM668" s="281">
        <f>$AZ$27+0.8*(seat_pitch)*($AY$27*n_SA+$AW$6&lt;pax_e)</f>
        <v>24.968</v>
      </c>
      <c r="BN668" s="281">
        <f>$AX$6</f>
        <v>-1.31</v>
      </c>
      <c r="BO668" s="281">
        <f t="shared" si="136"/>
        <v>7.1575200000000017</v>
      </c>
      <c r="HY668" s="281">
        <f>$HX$6+(bus_pitch*(n_rows_b&gt;0))</f>
        <v>6.5</v>
      </c>
      <c r="HZ668" s="281">
        <f>$HV$9</f>
        <v>-1.84</v>
      </c>
      <c r="IA668" s="281">
        <f t="shared" si="137"/>
        <v>-11.310479999999998</v>
      </c>
    </row>
    <row r="669" spans="65:235" x14ac:dyDescent="0.25">
      <c r="BM669" s="281">
        <f>$AZ$27+0.2*(seat_pitch)*($AY$27*n_SA+$AW$6&lt;pax_e)</f>
        <v>24.481999999999999</v>
      </c>
      <c r="BN669" s="281">
        <f>$AX$6</f>
        <v>-1.31</v>
      </c>
      <c r="BO669" s="281">
        <f t="shared" si="136"/>
        <v>6.671520000000001</v>
      </c>
      <c r="HY669" s="281">
        <f>$HX$7+0.2*(bus_pitch*(n_rows_b&gt;0))*($HW$7*n_SA_b+$HU$9&lt;pax_b)</f>
        <v>6.5</v>
      </c>
      <c r="HZ669" s="281">
        <f>$HV$9</f>
        <v>-1.84</v>
      </c>
      <c r="IA669" s="281">
        <f t="shared" si="137"/>
        <v>-11.310479999999998</v>
      </c>
    </row>
    <row r="670" spans="65:235" x14ac:dyDescent="0.25">
      <c r="BM670" s="281">
        <f>$AZ$27+(seat_pitch)</f>
        <v>25.13</v>
      </c>
      <c r="BN670" s="281">
        <f>$AX$6</f>
        <v>-1.31</v>
      </c>
      <c r="BO670" s="281">
        <f t="shared" si="136"/>
        <v>7.3195200000000007</v>
      </c>
      <c r="HY670" s="281">
        <f>$HX$7+0.2*(bus_pitch*(n_rows_b&gt;0))*($HW$7*n_SA_b+$HU$9&lt;pax_b)</f>
        <v>6.5</v>
      </c>
      <c r="HZ670" s="281">
        <f>$HV$9+seat_w_b*($HW$7*n_SA_b+$HU$9&lt;pax_b)</f>
        <v>-1.84</v>
      </c>
      <c r="IA670" s="281">
        <f t="shared" si="137"/>
        <v>-11.310479999999998</v>
      </c>
    </row>
    <row r="671" spans="65:235" x14ac:dyDescent="0.25">
      <c r="BM671" s="281">
        <f>$AZ$28+0.2*(seat_pitch)*($AY$28*n_SA+$AW$6&lt;pax_e)</f>
        <v>25.292000000000002</v>
      </c>
      <c r="BN671" s="281">
        <f>$AX$6</f>
        <v>-1.31</v>
      </c>
      <c r="BO671" s="281">
        <f t="shared" si="136"/>
        <v>7.4815200000000033</v>
      </c>
      <c r="HY671" s="281">
        <f>$HX$7</f>
        <v>6.5</v>
      </c>
      <c r="HZ671" s="281">
        <f>$HV$9+seat_w_b*($HW$7*n_SA_b+$HU$9&lt;pax_b)</f>
        <v>-1.84</v>
      </c>
      <c r="IA671" s="281">
        <f t="shared" si="137"/>
        <v>-11.310479999999998</v>
      </c>
    </row>
    <row r="672" spans="65:235" x14ac:dyDescent="0.25">
      <c r="BM672" s="281">
        <f>$AZ$28+0.2*(seat_pitch)*($AY$28*n_SA+$AW$6&lt;pax_e)</f>
        <v>25.292000000000002</v>
      </c>
      <c r="BN672" s="281">
        <f>$AX$6+seat_w*($AY$28*n_SA+$AW$6&lt;pax_e)</f>
        <v>-0.78</v>
      </c>
      <c r="BO672" s="281">
        <f t="shared" si="136"/>
        <v>7.4815200000000033</v>
      </c>
      <c r="HY672" s="281">
        <f>$HX$7+1*(bus_pitch*(n_rows_b&gt;0))*($HW$7*n_SA_b+$HU$9&lt;pax_b)</f>
        <v>6.5</v>
      </c>
      <c r="HZ672" s="281">
        <f>$HV$9+seat_w_b*($HW$7*n_SA_b+$HU$9&lt;pax_b)</f>
        <v>-1.84</v>
      </c>
      <c r="IA672" s="281">
        <f t="shared" si="137"/>
        <v>-11.310479999999998</v>
      </c>
    </row>
    <row r="673" spans="65:235" x14ac:dyDescent="0.25">
      <c r="BM673" s="281">
        <f>$AZ$28</f>
        <v>25.130000000000003</v>
      </c>
      <c r="BN673" s="281">
        <f>$AX$6+seat_w*($AY$28*n_SA+$AW$6&lt;pax_e)</f>
        <v>-0.78</v>
      </c>
      <c r="BO673" s="281">
        <f t="shared" si="136"/>
        <v>7.3195200000000042</v>
      </c>
      <c r="HY673" s="281">
        <f>$HX$7+0.8*(bus_pitch*(n_rows_b&gt;0))*($HW$7*n_SA_b+$HU$9&lt;pax_b)</f>
        <v>6.5</v>
      </c>
      <c r="HZ673" s="281">
        <f>$HV$9+seat_w_b*($HW$7*n_SA_b+$HU$9&lt;pax_b)</f>
        <v>-1.84</v>
      </c>
      <c r="IA673" s="281">
        <f t="shared" si="137"/>
        <v>-11.310479999999998</v>
      </c>
    </row>
    <row r="674" spans="65:235" x14ac:dyDescent="0.25">
      <c r="BM674" s="281">
        <f>$AZ$28+1*(seat_pitch)*($AY$28*n_SA+$AW$6&lt;pax_e)</f>
        <v>25.94</v>
      </c>
      <c r="BN674" s="281">
        <f>$AX$6+seat_w*($AY$28*n_SA+$AW$6&lt;pax_e)</f>
        <v>-0.78</v>
      </c>
      <c r="BO674" s="281">
        <f t="shared" si="136"/>
        <v>8.129520000000003</v>
      </c>
      <c r="HY674" s="281">
        <f>$HX$7+0.8*(bus_pitch*(n_rows_b&gt;0))*($HW$7*n_SA_b+$HU$9&lt;pax_b)</f>
        <v>6.5</v>
      </c>
      <c r="HZ674" s="281">
        <f>$HV$9</f>
        <v>-1.84</v>
      </c>
      <c r="IA674" s="281">
        <f t="shared" si="137"/>
        <v>-11.310479999999998</v>
      </c>
    </row>
    <row r="675" spans="65:235" x14ac:dyDescent="0.25">
      <c r="BM675" s="281">
        <f>$AZ$28+0.8*(seat_pitch)*($AY$28*n_SA+$AW$6&lt;pax_e)</f>
        <v>25.778000000000002</v>
      </c>
      <c r="BN675" s="281">
        <f>$AX$6+seat_w*($AY$28*n_SA+$AW$6&lt;pax_e)</f>
        <v>-0.78</v>
      </c>
      <c r="BO675" s="281">
        <f t="shared" si="136"/>
        <v>7.9675200000000039</v>
      </c>
      <c r="HY675" s="281">
        <f>$HX$7+0.2*(bus_pitch*(n_rows_b&gt;0))*($HW$7*n_SA_b+$HU$9&lt;pax_b)</f>
        <v>6.5</v>
      </c>
      <c r="HZ675" s="281">
        <f>$HV$9</f>
        <v>-1.84</v>
      </c>
      <c r="IA675" s="281">
        <f t="shared" si="137"/>
        <v>-11.310479999999998</v>
      </c>
    </row>
    <row r="676" spans="65:235" x14ac:dyDescent="0.25">
      <c r="BM676" s="281">
        <f>$AZ$28+0.8*(seat_pitch)*($AY$28*n_SA+$AW$6&lt;pax_e)</f>
        <v>25.778000000000002</v>
      </c>
      <c r="BN676" s="281">
        <f>$AX$6</f>
        <v>-1.31</v>
      </c>
      <c r="BO676" s="281">
        <f t="shared" si="136"/>
        <v>7.9675200000000039</v>
      </c>
      <c r="HY676" s="281">
        <f>$HX$7+(bus_pitch*(n_rows_b&gt;0))</f>
        <v>6.5</v>
      </c>
      <c r="HZ676" s="281">
        <f>$HV$9</f>
        <v>-1.84</v>
      </c>
      <c r="IA676" s="281">
        <f t="shared" si="137"/>
        <v>-11.310479999999998</v>
      </c>
    </row>
    <row r="677" spans="65:235" x14ac:dyDescent="0.25">
      <c r="BM677" s="281">
        <f>$AZ$28+0.2*(seat_pitch)*($AY$28*n_SA+$AW$6&lt;pax_e)</f>
        <v>25.292000000000002</v>
      </c>
      <c r="BN677" s="281">
        <f>$AX$6</f>
        <v>-1.31</v>
      </c>
      <c r="BO677" s="281">
        <f t="shared" si="136"/>
        <v>7.4815200000000033</v>
      </c>
      <c r="HY677" s="281">
        <f>$HX$8+0.2*(bus_pitch*(n_rows_b&gt;0))*($HW$8*n_SA_b+$HU$9&lt;pax_b)</f>
        <v>6.5</v>
      </c>
      <c r="HZ677" s="281">
        <f>$HV$9</f>
        <v>-1.84</v>
      </c>
      <c r="IA677" s="281">
        <f t="shared" si="137"/>
        <v>-11.310479999999998</v>
      </c>
    </row>
    <row r="678" spans="65:235" x14ac:dyDescent="0.25">
      <c r="BM678" s="281">
        <f>$AZ$28+(seat_pitch)</f>
        <v>25.94</v>
      </c>
      <c r="BN678" s="281">
        <f>$AX$6</f>
        <v>-1.31</v>
      </c>
      <c r="BO678" s="281">
        <f t="shared" si="136"/>
        <v>8.129520000000003</v>
      </c>
      <c r="HY678" s="281">
        <f>$HX$8+0.2*(bus_pitch*(n_rows_b&gt;0))*($HW$8*n_SA_b+$HU$9&lt;pax_b)</f>
        <v>6.5</v>
      </c>
      <c r="HZ678" s="281">
        <f>$HV$9+seat_w_b*($HW$8*n_SA_b+$HU$9&lt;pax_b)</f>
        <v>-1.84</v>
      </c>
      <c r="IA678" s="281">
        <f t="shared" si="137"/>
        <v>-11.310479999999998</v>
      </c>
    </row>
    <row r="679" spans="65:235" x14ac:dyDescent="0.25">
      <c r="BM679" s="281">
        <f>$AZ$29+0.2*(seat_pitch)*($AY$29*n_SA+$AW$6&lt;pax_e)</f>
        <v>26.102</v>
      </c>
      <c r="BN679" s="281">
        <f>$AX$6</f>
        <v>-1.31</v>
      </c>
      <c r="BO679" s="281">
        <f t="shared" si="136"/>
        <v>8.291520000000002</v>
      </c>
      <c r="HY679" s="281">
        <f>$HX$8</f>
        <v>6.5</v>
      </c>
      <c r="HZ679" s="281">
        <f>$HV$9+seat_w_b*($HW$8*n_SA_b+$HU$9&lt;pax_b)</f>
        <v>-1.84</v>
      </c>
      <c r="IA679" s="281">
        <f t="shared" si="137"/>
        <v>-11.310479999999998</v>
      </c>
    </row>
    <row r="680" spans="65:235" x14ac:dyDescent="0.25">
      <c r="BM680" s="281">
        <f>$AZ$29+0.2*(seat_pitch)*($AY$29*n_SA+$AW$6&lt;pax_e)</f>
        <v>26.102</v>
      </c>
      <c r="BN680" s="281">
        <f>$AX$6+seat_w*($AY$29*n_SA+$AW$6&lt;pax_e)</f>
        <v>-0.78</v>
      </c>
      <c r="BO680" s="281">
        <f t="shared" si="136"/>
        <v>8.291520000000002</v>
      </c>
      <c r="HY680" s="281">
        <f>$HX$8+1*(bus_pitch*(n_rows_b&gt;0))*($HW$8*n_SA_b+$HU$9&lt;pax_b)</f>
        <v>6.5</v>
      </c>
      <c r="HZ680" s="281">
        <f>$HV$9+seat_w_b*($HW$8*n_SA_b+$HU$9&lt;pax_b)</f>
        <v>-1.84</v>
      </c>
      <c r="IA680" s="281">
        <f t="shared" si="137"/>
        <v>-11.310479999999998</v>
      </c>
    </row>
    <row r="681" spans="65:235" x14ac:dyDescent="0.25">
      <c r="BM681" s="281">
        <f>$AZ$29</f>
        <v>25.94</v>
      </c>
      <c r="BN681" s="281">
        <f>$AX$6+seat_w*($AY$29*n_SA+$AW$6&lt;pax_e)</f>
        <v>-0.78</v>
      </c>
      <c r="BO681" s="281">
        <f t="shared" si="136"/>
        <v>8.129520000000003</v>
      </c>
      <c r="HY681" s="281">
        <f>$HX$8+0.8*(bus_pitch*(n_rows_b&gt;0))*($HW$8*n_SA_b+$HU$9&lt;pax_b)</f>
        <v>6.5</v>
      </c>
      <c r="HZ681" s="281">
        <f>$HV$9+seat_w_b*($HW$8*n_SA_b+$HU$9&lt;pax_b)</f>
        <v>-1.84</v>
      </c>
      <c r="IA681" s="281">
        <f t="shared" si="137"/>
        <v>-11.310479999999998</v>
      </c>
    </row>
    <row r="682" spans="65:235" x14ac:dyDescent="0.25">
      <c r="BM682" s="281">
        <f>$AZ$29+1*(seat_pitch)*($AY$29*n_SA+$AW$6&lt;pax_e)</f>
        <v>26.75</v>
      </c>
      <c r="BN682" s="281">
        <f>$AX$6+seat_w*($AY$29*n_SA+$AW$6&lt;pax_e)</f>
        <v>-0.78</v>
      </c>
      <c r="BO682" s="281">
        <f t="shared" si="136"/>
        <v>8.9395200000000017</v>
      </c>
      <c r="HY682" s="281">
        <f>$HX$8+0.8*(bus_pitch*(n_rows_b&gt;0))*($HW$8*n_SA_b+$HU$9&lt;pax_b)</f>
        <v>6.5</v>
      </c>
      <c r="HZ682" s="281">
        <f>$HV$9</f>
        <v>-1.84</v>
      </c>
      <c r="IA682" s="281">
        <f t="shared" si="137"/>
        <v>-11.310479999999998</v>
      </c>
    </row>
    <row r="683" spans="65:235" x14ac:dyDescent="0.25">
      <c r="BM683" s="281">
        <f>$AZ$29+0.8*(seat_pitch)*($AY$29*n_SA+$AW$6&lt;pax_e)</f>
        <v>26.588000000000001</v>
      </c>
      <c r="BN683" s="281">
        <f>$AX$6+seat_w*($AY$29*n_SA+$AW$6&lt;pax_e)</f>
        <v>-0.78</v>
      </c>
      <c r="BO683" s="281">
        <f t="shared" si="136"/>
        <v>8.7775200000000027</v>
      </c>
      <c r="HY683" s="281">
        <f>$HX$8+0.2*(bus_pitch*(n_rows_b&gt;0))*($HW$8*n_SA_b+$HU$9&lt;pax_b)</f>
        <v>6.5</v>
      </c>
      <c r="HZ683" s="281">
        <f>$HV$9</f>
        <v>-1.84</v>
      </c>
      <c r="IA683" s="281">
        <f t="shared" si="137"/>
        <v>-11.310479999999998</v>
      </c>
    </row>
    <row r="684" spans="65:235" x14ac:dyDescent="0.25">
      <c r="BM684" s="281">
        <f>$AZ$29+0.8*(seat_pitch)*($AY$29*n_SA+$AW$6&lt;pax_e)</f>
        <v>26.588000000000001</v>
      </c>
      <c r="BN684" s="281">
        <f>$AX$6</f>
        <v>-1.31</v>
      </c>
      <c r="BO684" s="281">
        <f t="shared" si="136"/>
        <v>8.7775200000000027</v>
      </c>
      <c r="HY684" s="281">
        <f>$HX$8+(bus_pitch*(n_rows_b&gt;0))</f>
        <v>6.5</v>
      </c>
      <c r="HZ684" s="281">
        <f>$HV$9</f>
        <v>-1.84</v>
      </c>
      <c r="IA684" s="281">
        <f t="shared" si="137"/>
        <v>-11.310479999999998</v>
      </c>
    </row>
    <row r="685" spans="65:235" x14ac:dyDescent="0.25">
      <c r="BM685" s="281">
        <f>$AZ$29+0.2*(seat_pitch)*($AY$29*n_SA+$AW$6&lt;pax_e)</f>
        <v>26.102</v>
      </c>
      <c r="BN685" s="281">
        <f>$AX$6</f>
        <v>-1.31</v>
      </c>
      <c r="BO685" s="281">
        <f t="shared" si="136"/>
        <v>8.291520000000002</v>
      </c>
      <c r="HY685" s="281">
        <f>$HX$9+0.2*(bus_pitch*(n_rows_b&gt;0))*($HW$9*n_SA_b+$HU$9&lt;pax_b)</f>
        <v>6.5</v>
      </c>
      <c r="HZ685" s="281">
        <f>$HV$9</f>
        <v>-1.84</v>
      </c>
      <c r="IA685" s="281">
        <f t="shared" si="137"/>
        <v>-11.310479999999998</v>
      </c>
    </row>
    <row r="686" spans="65:235" x14ac:dyDescent="0.25">
      <c r="BM686" s="281">
        <f>$AZ$29+(seat_pitch)</f>
        <v>26.75</v>
      </c>
      <c r="BN686" s="281">
        <f>$AX$6</f>
        <v>-1.31</v>
      </c>
      <c r="BO686" s="281">
        <f t="shared" si="136"/>
        <v>8.9395200000000017</v>
      </c>
      <c r="HY686" s="281">
        <f>$HX$9+0.2*(bus_pitch*(n_rows_b&gt;0))*($HW$9*n_SA_b+$HU$9&lt;pax_b)</f>
        <v>6.5</v>
      </c>
      <c r="HZ686" s="281">
        <f>$HV$9+seat_w_b*($HW$9*n_SA_b+$HU$9&lt;pax_b)</f>
        <v>-1.84</v>
      </c>
      <c r="IA686" s="281">
        <f t="shared" si="137"/>
        <v>-11.310479999999998</v>
      </c>
    </row>
    <row r="687" spans="65:235" x14ac:dyDescent="0.25">
      <c r="BM687" s="281">
        <f>$AZ$30+0.2*(seat_pitch)*($AY$30*n_SA+$AW$6&lt;pax_e)</f>
        <v>26.102</v>
      </c>
      <c r="BN687" s="281">
        <f>$AX$6</f>
        <v>-1.31</v>
      </c>
      <c r="BO687" s="281">
        <f t="shared" si="136"/>
        <v>8.291520000000002</v>
      </c>
      <c r="HY687" s="281">
        <f>$HX$9</f>
        <v>6.5</v>
      </c>
      <c r="HZ687" s="281">
        <f>$HV$9+seat_w_b*($HW$9*n_SA_b+$HU$9&lt;pax_b)</f>
        <v>-1.84</v>
      </c>
      <c r="IA687" s="281">
        <f t="shared" si="137"/>
        <v>-11.310479999999998</v>
      </c>
    </row>
    <row r="688" spans="65:235" x14ac:dyDescent="0.25">
      <c r="BM688" s="281">
        <f>$AZ$30+0.2*(seat_pitch)*($AY$30*n_SA+$AW$6&lt;pax_e)</f>
        <v>26.102</v>
      </c>
      <c r="BN688" s="281">
        <f>$AX$6+seat_w*($AY$30*n_SA+$AW$6&lt;pax_e)</f>
        <v>-0.78</v>
      </c>
      <c r="BO688" s="281">
        <f t="shared" si="136"/>
        <v>8.291520000000002</v>
      </c>
      <c r="HY688" s="281">
        <f>$HX$9+1*(bus_pitch*(n_rows_b&gt;0))*($HW$9*n_SA_b+$HU$9&lt;pax_b)</f>
        <v>6.5</v>
      </c>
      <c r="HZ688" s="281">
        <f>$HV$9+seat_w_b*($HW$9*n_SA_b+$HU$9&lt;pax_b)</f>
        <v>-1.84</v>
      </c>
      <c r="IA688" s="281">
        <f t="shared" si="137"/>
        <v>-11.310479999999998</v>
      </c>
    </row>
    <row r="689" spans="65:235" x14ac:dyDescent="0.25">
      <c r="BM689" s="281">
        <f>$AZ$30</f>
        <v>25.94</v>
      </c>
      <c r="BN689" s="281">
        <f>$AX$6+seat_w*($AY$30*n_SA+$AW$6&lt;pax_e)</f>
        <v>-0.78</v>
      </c>
      <c r="BO689" s="281">
        <f t="shared" si="136"/>
        <v>8.129520000000003</v>
      </c>
      <c r="HY689" s="281">
        <f>$HX$9+0.8*(bus_pitch*(n_rows_b&gt;0))*($HW$9*n_SA_b+$HU$9&lt;pax_b)</f>
        <v>6.5</v>
      </c>
      <c r="HZ689" s="281">
        <f>$HV$9+seat_w_b*($HW$9*n_SA_b+$HU$9&lt;pax_b)</f>
        <v>-1.84</v>
      </c>
      <c r="IA689" s="281">
        <f t="shared" si="137"/>
        <v>-11.310479999999998</v>
      </c>
    </row>
    <row r="690" spans="65:235" x14ac:dyDescent="0.25">
      <c r="BM690" s="281">
        <f>$AZ$30+1*(seat_pitch)*($AY$30*n_SA+$AW$6&lt;pax_e)</f>
        <v>26.75</v>
      </c>
      <c r="BN690" s="281">
        <f>$AX$6+seat_w*($AY$30*n_SA+$AW$6&lt;pax_e)</f>
        <v>-0.78</v>
      </c>
      <c r="BO690" s="281">
        <f t="shared" si="136"/>
        <v>8.9395200000000017</v>
      </c>
      <c r="HY690" s="281">
        <f>$HX$9+0.8*(bus_pitch*(n_rows_b&gt;0))*($HW$9*n_SA_b+$HU$9&lt;pax_b)</f>
        <v>6.5</v>
      </c>
      <c r="HZ690" s="281">
        <f>$HV$9</f>
        <v>-1.84</v>
      </c>
      <c r="IA690" s="281">
        <f t="shared" si="137"/>
        <v>-11.310479999999998</v>
      </c>
    </row>
    <row r="691" spans="65:235" x14ac:dyDescent="0.25">
      <c r="BM691" s="281">
        <f>$AZ$30+0.8*(seat_pitch)*($AY$30*n_SA+$AW$6&lt;pax_e)</f>
        <v>26.588000000000001</v>
      </c>
      <c r="BN691" s="281">
        <f>$AX$6+seat_w*($AY$30*n_SA+$AW$6&lt;pax_e)</f>
        <v>-0.78</v>
      </c>
      <c r="BO691" s="281">
        <f t="shared" si="136"/>
        <v>8.7775200000000027</v>
      </c>
      <c r="HY691" s="281">
        <f>$HX$9+0.2*(bus_pitch*(n_rows_b&gt;0))*($HW$9*n_SA_b+$HU$9&lt;pax_b)</f>
        <v>6.5</v>
      </c>
      <c r="HZ691" s="281">
        <f>$HV$9</f>
        <v>-1.84</v>
      </c>
      <c r="IA691" s="281">
        <f t="shared" si="137"/>
        <v>-11.310479999999998</v>
      </c>
    </row>
    <row r="692" spans="65:235" x14ac:dyDescent="0.25">
      <c r="BM692" s="281">
        <f>$AZ$30+0.8*(seat_pitch)*($AY$30*n_SA+$AW$6&lt;pax_e)</f>
        <v>26.588000000000001</v>
      </c>
      <c r="BN692" s="281">
        <f>$AX$6</f>
        <v>-1.31</v>
      </c>
      <c r="BO692" s="281">
        <f t="shared" si="136"/>
        <v>8.7775200000000027</v>
      </c>
      <c r="HY692" s="281">
        <f>$HX$9+(bus_pitch*(n_rows_b&gt;0))</f>
        <v>6.5</v>
      </c>
      <c r="HZ692" s="281">
        <f>$HV$9</f>
        <v>-1.84</v>
      </c>
      <c r="IA692" s="281">
        <f t="shared" si="137"/>
        <v>-11.310479999999998</v>
      </c>
    </row>
    <row r="693" spans="65:235" x14ac:dyDescent="0.25">
      <c r="BM693" s="281">
        <f>$AZ$30+0.2*(seat_pitch)*($AY$30*n_SA+$AW$6&lt;pax_e)</f>
        <v>26.102</v>
      </c>
      <c r="BN693" s="281">
        <f>$AX$6</f>
        <v>-1.31</v>
      </c>
      <c r="BO693" s="281">
        <f t="shared" si="136"/>
        <v>8.291520000000002</v>
      </c>
      <c r="HY693" s="281">
        <f>$HX$10+0.2*(bus_pitch*(n_rows_b&gt;0))*($HW$10*n_SA_b+$HU$9&lt;pax_b)</f>
        <v>6.5</v>
      </c>
      <c r="HZ693" s="281">
        <f>$HV$9</f>
        <v>-1.84</v>
      </c>
      <c r="IA693" s="281">
        <f t="shared" si="137"/>
        <v>-11.310479999999998</v>
      </c>
    </row>
    <row r="694" spans="65:235" x14ac:dyDescent="0.25">
      <c r="BM694" s="281">
        <f>$AZ$30+(seat_pitch)</f>
        <v>26.75</v>
      </c>
      <c r="BN694" s="281">
        <f>$AX$6</f>
        <v>-1.31</v>
      </c>
      <c r="BO694" s="281">
        <f t="shared" si="136"/>
        <v>8.9395200000000017</v>
      </c>
      <c r="HY694" s="281">
        <f>$HX$10+0.2*(bus_pitch*(n_rows_b&gt;0))*($HW$10*n_SA_b+$HU$9&lt;pax_b)</f>
        <v>6.5</v>
      </c>
      <c r="HZ694" s="281">
        <f>$HV$9+seat_w_b*($HW$10*n_SA_b+$HU$9&lt;pax_b)</f>
        <v>-1.84</v>
      </c>
      <c r="IA694" s="281">
        <f t="shared" si="137"/>
        <v>-11.310479999999998</v>
      </c>
    </row>
    <row r="695" spans="65:235" x14ac:dyDescent="0.25">
      <c r="BM695" s="281">
        <f>$AZ$31+0.2*(seat_pitch)*($AY$31*n_SA+$AW$6&lt;pax_e)</f>
        <v>26.102</v>
      </c>
      <c r="BN695" s="281">
        <f>$AX$6</f>
        <v>-1.31</v>
      </c>
      <c r="BO695" s="281">
        <f t="shared" si="136"/>
        <v>8.291520000000002</v>
      </c>
      <c r="HY695" s="281">
        <f>$HX$10</f>
        <v>6.5</v>
      </c>
      <c r="HZ695" s="281">
        <f>$HV$9+seat_w_b*($HW$10*n_SA_b+$HU$9&lt;pax_b)</f>
        <v>-1.84</v>
      </c>
      <c r="IA695" s="281">
        <f t="shared" si="137"/>
        <v>-11.310479999999998</v>
      </c>
    </row>
    <row r="696" spans="65:235" x14ac:dyDescent="0.25">
      <c r="BM696" s="281">
        <f>$AZ$31+0.2*(seat_pitch)*($AY$31*n_SA+$AW$6&lt;pax_e)</f>
        <v>26.102</v>
      </c>
      <c r="BN696" s="281">
        <f>$AX$6+seat_w*($AY$31*n_SA+$AW$6&lt;pax_e)</f>
        <v>-0.78</v>
      </c>
      <c r="BO696" s="281">
        <f t="shared" si="136"/>
        <v>8.291520000000002</v>
      </c>
      <c r="HY696" s="281">
        <f>$HX$10+1*(bus_pitch*(n_rows_b&gt;0))*($HW$10*n_SA_b+$HU$9&lt;pax_b)</f>
        <v>6.5</v>
      </c>
      <c r="HZ696" s="281">
        <f>$HV$9+seat_w_b*($HW$10*n_SA_b+$HU$9&lt;pax_b)</f>
        <v>-1.84</v>
      </c>
      <c r="IA696" s="281">
        <f t="shared" si="137"/>
        <v>-11.310479999999998</v>
      </c>
    </row>
    <row r="697" spans="65:235" x14ac:dyDescent="0.25">
      <c r="BM697" s="281">
        <f>$AZ$31</f>
        <v>25.94</v>
      </c>
      <c r="BN697" s="281">
        <f>$AX$6+seat_w*($AY$31*n_SA+$AW$6&lt;pax_e)</f>
        <v>-0.78</v>
      </c>
      <c r="BO697" s="281">
        <f t="shared" si="136"/>
        <v>8.129520000000003</v>
      </c>
      <c r="HY697" s="281">
        <f>$HX$10+0.8*(bus_pitch*(n_rows_b&gt;0))*($HW$10*n_SA_b+$HU$9&lt;pax_b)</f>
        <v>6.5</v>
      </c>
      <c r="HZ697" s="281">
        <f>$HV$9+seat_w_b*($HW$10*n_SA_b+$HU$9&lt;pax_b)</f>
        <v>-1.84</v>
      </c>
      <c r="IA697" s="281">
        <f t="shared" si="137"/>
        <v>-11.310479999999998</v>
      </c>
    </row>
    <row r="698" spans="65:235" x14ac:dyDescent="0.25">
      <c r="BM698" s="281">
        <f>$AZ$31+1*(seat_pitch)*($AY$31*n_SA+$AW$6&lt;pax_e)</f>
        <v>26.75</v>
      </c>
      <c r="BN698" s="281">
        <f>$AX$6+seat_w*($AY$31*n_SA+$AW$6&lt;pax_e)</f>
        <v>-0.78</v>
      </c>
      <c r="BO698" s="281">
        <f t="shared" si="136"/>
        <v>8.9395200000000017</v>
      </c>
      <c r="HY698" s="281">
        <f>$HX$10+0.8*(bus_pitch*(n_rows_b&gt;0))*($HW$10*n_SA_b+$HU$9&lt;pax_b)</f>
        <v>6.5</v>
      </c>
      <c r="HZ698" s="281">
        <f>$HV$9</f>
        <v>-1.84</v>
      </c>
      <c r="IA698" s="281">
        <f t="shared" si="137"/>
        <v>-11.310479999999998</v>
      </c>
    </row>
    <row r="699" spans="65:235" x14ac:dyDescent="0.25">
      <c r="BM699" s="281">
        <f>$AZ$31+0.8*(seat_pitch)*($AY$31*n_SA+$AW$6&lt;pax_e)</f>
        <v>26.588000000000001</v>
      </c>
      <c r="BN699" s="281">
        <f>$AX$6+seat_w*($AY$31*n_SA+$AW$6&lt;pax_e)</f>
        <v>-0.78</v>
      </c>
      <c r="BO699" s="281">
        <f t="shared" si="136"/>
        <v>8.7775200000000027</v>
      </c>
      <c r="HY699" s="281">
        <f>$HX$10+0.2*(bus_pitch*(n_rows_b&gt;0))*($HW$10*n_SA_b+$HU$9&lt;pax_b)</f>
        <v>6.5</v>
      </c>
      <c r="HZ699" s="281">
        <f>$HV$9</f>
        <v>-1.84</v>
      </c>
      <c r="IA699" s="281">
        <f t="shared" si="137"/>
        <v>-11.310479999999998</v>
      </c>
    </row>
    <row r="700" spans="65:235" x14ac:dyDescent="0.25">
      <c r="BM700" s="281">
        <f>$AZ$31+0.8*(seat_pitch)*($AY$31*n_SA+$AW$6&lt;pax_e)</f>
        <v>26.588000000000001</v>
      </c>
      <c r="BN700" s="281">
        <f>$AX$6</f>
        <v>-1.31</v>
      </c>
      <c r="BO700" s="281">
        <f t="shared" si="136"/>
        <v>8.7775200000000027</v>
      </c>
      <c r="HY700" s="281">
        <f>$HX$10+(bus_pitch*(n_rows_b&gt;0))</f>
        <v>6.5</v>
      </c>
      <c r="HZ700" s="281">
        <f>$HV$9</f>
        <v>-1.84</v>
      </c>
      <c r="IA700" s="281">
        <f t="shared" si="137"/>
        <v>-11.310479999999998</v>
      </c>
    </row>
    <row r="701" spans="65:235" x14ac:dyDescent="0.25">
      <c r="BM701" s="281">
        <f>$AZ$31+0.2*(seat_pitch)*($AY$31*n_SA+$AW$6&lt;pax_e)</f>
        <v>26.102</v>
      </c>
      <c r="BN701" s="281">
        <f>$AX$6</f>
        <v>-1.31</v>
      </c>
      <c r="BO701" s="281">
        <f t="shared" si="136"/>
        <v>8.291520000000002</v>
      </c>
      <c r="HY701" s="281">
        <f>$HX$11+0.2*(bus_pitch*(n_rows_b&gt;0))*($HW$11*n_SA_b+$HU$9&lt;pax_b)</f>
        <v>6.5</v>
      </c>
      <c r="HZ701" s="281">
        <f>$HV$9</f>
        <v>-1.84</v>
      </c>
      <c r="IA701" s="281">
        <f t="shared" si="137"/>
        <v>-11.310479999999998</v>
      </c>
    </row>
    <row r="702" spans="65:235" x14ac:dyDescent="0.25">
      <c r="BM702" s="281">
        <f>$AZ$31+(seat_pitch)</f>
        <v>26.75</v>
      </c>
      <c r="BN702" s="281">
        <f>$AX$6</f>
        <v>-1.31</v>
      </c>
      <c r="BO702" s="281">
        <f t="shared" si="136"/>
        <v>8.9395200000000017</v>
      </c>
      <c r="HY702" s="281">
        <f>$HX$11+0.2*(bus_pitch*(n_rows_b&gt;0))*($HW$11*n_SA_b+$HU$9&lt;pax_b)</f>
        <v>6.5</v>
      </c>
      <c r="HZ702" s="281">
        <f>$HV$9+seat_w_b*($HW$11*n_SA_b+$HU$9&lt;pax_b)</f>
        <v>-1.84</v>
      </c>
      <c r="IA702" s="281">
        <f t="shared" si="137"/>
        <v>-11.310479999999998</v>
      </c>
    </row>
    <row r="703" spans="65:235" x14ac:dyDescent="0.25">
      <c r="BM703" s="281">
        <f>$AZ$32+0.2*(seat_pitch)*($AY$32*n_SA+$AW$6&lt;pax_e)</f>
        <v>26.102</v>
      </c>
      <c r="BN703" s="281">
        <f>$AX$6</f>
        <v>-1.31</v>
      </c>
      <c r="BO703" s="281">
        <f t="shared" si="136"/>
        <v>8.291520000000002</v>
      </c>
      <c r="HY703" s="281">
        <f>$HX$11</f>
        <v>6.5</v>
      </c>
      <c r="HZ703" s="281">
        <f>$HV$9+seat_w_b*($HW$11*n_SA_b+$HU$9&lt;pax_b)</f>
        <v>-1.84</v>
      </c>
      <c r="IA703" s="281">
        <f t="shared" si="137"/>
        <v>-11.310479999999998</v>
      </c>
    </row>
    <row r="704" spans="65:235" x14ac:dyDescent="0.25">
      <c r="BM704" s="281">
        <f>$AZ$32+0.2*(seat_pitch)*($AY$32*n_SA+$AW$6&lt;pax_e)</f>
        <v>26.102</v>
      </c>
      <c r="BN704" s="281">
        <f>$AX$6+seat_w*($AY$32*n_SA+$AW$6&lt;pax_e)</f>
        <v>-0.78</v>
      </c>
      <c r="BO704" s="281">
        <f t="shared" si="136"/>
        <v>8.291520000000002</v>
      </c>
      <c r="HY704" s="281">
        <f>$HX$11+1*(bus_pitch*(n_rows_b&gt;0))*($HW$11*n_SA_b+$HU$9&lt;pax_b)</f>
        <v>6.5</v>
      </c>
      <c r="HZ704" s="281">
        <f>$HV$9+seat_w_b*($HW$11*n_SA_b+$HU$9&lt;pax_b)</f>
        <v>-1.84</v>
      </c>
      <c r="IA704" s="281">
        <f t="shared" si="137"/>
        <v>-11.310479999999998</v>
      </c>
    </row>
    <row r="705" spans="65:235" x14ac:dyDescent="0.25">
      <c r="BM705" s="281">
        <f>$AZ$32</f>
        <v>25.94</v>
      </c>
      <c r="BN705" s="281">
        <f>$AX$6+seat_w*($AY$32*n_SA+$AW$6&lt;pax_e)</f>
        <v>-0.78</v>
      </c>
      <c r="BO705" s="281">
        <f t="shared" si="136"/>
        <v>8.129520000000003</v>
      </c>
      <c r="HY705" s="281">
        <f>$HX$11+0.8*(bus_pitch*(n_rows_b&gt;0))*($HW$11*n_SA_b+$HU$9&lt;pax_b)</f>
        <v>6.5</v>
      </c>
      <c r="HZ705" s="281">
        <f>$HV$9+seat_w_b*($HW$11*n_SA_b+$HU$9&lt;pax_b)</f>
        <v>-1.84</v>
      </c>
      <c r="IA705" s="281">
        <f t="shared" si="137"/>
        <v>-11.310479999999998</v>
      </c>
    </row>
    <row r="706" spans="65:235" x14ac:dyDescent="0.25">
      <c r="BM706" s="281">
        <f>$AZ$32+1*(seat_pitch)*($AY$32*n_SA+$AW$6&lt;pax_e)</f>
        <v>26.75</v>
      </c>
      <c r="BN706" s="281">
        <f>$AX$6+seat_w*($AY$32*n_SA+$AW$6&lt;pax_e)</f>
        <v>-0.78</v>
      </c>
      <c r="BO706" s="281">
        <f t="shared" si="136"/>
        <v>8.9395200000000017</v>
      </c>
      <c r="HY706" s="281">
        <f>$HX$11+0.8*(bus_pitch*(n_rows_b&gt;0))*($HW$11*n_SA_b+$HU$9&lt;pax_b)</f>
        <v>6.5</v>
      </c>
      <c r="HZ706" s="281">
        <f>$HV$9</f>
        <v>-1.84</v>
      </c>
      <c r="IA706" s="281">
        <f t="shared" si="137"/>
        <v>-11.310479999999998</v>
      </c>
    </row>
    <row r="707" spans="65:235" x14ac:dyDescent="0.25">
      <c r="BM707" s="281">
        <f>$AZ$32+0.8*(seat_pitch)*($AY$32*n_SA+$AW$6&lt;pax_e)</f>
        <v>26.588000000000001</v>
      </c>
      <c r="BN707" s="281">
        <f>$AX$6+seat_w*($AY$32*n_SA+$AW$6&lt;pax_e)</f>
        <v>-0.78</v>
      </c>
      <c r="BO707" s="281">
        <f t="shared" si="136"/>
        <v>8.7775200000000027</v>
      </c>
      <c r="HY707" s="281">
        <f>$HX$11+0.2*(bus_pitch*(n_rows_b&gt;0))*($HW$11*n_SA_b+$HU$9&lt;pax_b)</f>
        <v>6.5</v>
      </c>
      <c r="HZ707" s="281">
        <f>$HV$9</f>
        <v>-1.84</v>
      </c>
      <c r="IA707" s="281">
        <f t="shared" si="137"/>
        <v>-11.310479999999998</v>
      </c>
    </row>
    <row r="708" spans="65:235" x14ac:dyDescent="0.25">
      <c r="BM708" s="281">
        <f>$AZ$32+0.8*(seat_pitch)*($AY$32*n_SA+$AW$6&lt;pax_e)</f>
        <v>26.588000000000001</v>
      </c>
      <c r="BN708" s="281">
        <f>$AX$6</f>
        <v>-1.31</v>
      </c>
      <c r="BO708" s="281">
        <f t="shared" si="136"/>
        <v>8.7775200000000027</v>
      </c>
      <c r="HY708" s="281">
        <f>$HX$11+(bus_pitch*(n_rows_b&gt;0))</f>
        <v>6.5</v>
      </c>
      <c r="HZ708" s="281">
        <f>$HV$9</f>
        <v>-1.84</v>
      </c>
      <c r="IA708" s="281">
        <f t="shared" si="137"/>
        <v>-11.310479999999998</v>
      </c>
    </row>
    <row r="709" spans="65:235" x14ac:dyDescent="0.25">
      <c r="BM709" s="281">
        <f>$AZ$32+0.2*(seat_pitch)*($AY$32*n_SA+$AW$6&lt;pax_e)</f>
        <v>26.102</v>
      </c>
      <c r="BN709" s="281">
        <f>$AX$6</f>
        <v>-1.31</v>
      </c>
      <c r="BO709" s="281">
        <f t="shared" ref="BO709:BO772" si="138">BM709-L_fus/2</f>
        <v>8.291520000000002</v>
      </c>
      <c r="HY709" s="281">
        <f>$HX$12+0.2*(bus_pitch*(n_rows_b&gt;0))*($HW$12*n_SA_b+$HU$9&lt;pax_b)</f>
        <v>6.5</v>
      </c>
      <c r="HZ709" s="281">
        <f>$HV$9</f>
        <v>-1.84</v>
      </c>
      <c r="IA709" s="281">
        <f t="shared" ref="IA709:IA772" si="139">HY709-L_fus/2</f>
        <v>-11.310479999999998</v>
      </c>
    </row>
    <row r="710" spans="65:235" x14ac:dyDescent="0.25">
      <c r="BM710" s="281">
        <f>$AZ$32+(seat_pitch)</f>
        <v>26.75</v>
      </c>
      <c r="BN710" s="281">
        <f>$AX$6</f>
        <v>-1.31</v>
      </c>
      <c r="BO710" s="281">
        <f t="shared" si="138"/>
        <v>8.9395200000000017</v>
      </c>
      <c r="HY710" s="281">
        <f>$HX$12+0.2*(bus_pitch*(n_rows_b&gt;0))*($HW$12*n_SA_b+$HU$9&lt;pax_b)</f>
        <v>6.5</v>
      </c>
      <c r="HZ710" s="281">
        <f>$HV$9+seat_w_b*($HW$12*n_SA_b+$HU$9&lt;pax_b)</f>
        <v>-1.84</v>
      </c>
      <c r="IA710" s="281">
        <f t="shared" si="139"/>
        <v>-11.310479999999998</v>
      </c>
    </row>
    <row r="711" spans="65:235" x14ac:dyDescent="0.25">
      <c r="BM711" s="281">
        <f>$AZ$33+0.2*(seat_pitch)*($AY$33*n_SA+$AW$6&lt;pax_e)</f>
        <v>26.102</v>
      </c>
      <c r="BN711" s="281">
        <f>$AX$6</f>
        <v>-1.31</v>
      </c>
      <c r="BO711" s="281">
        <f t="shared" si="138"/>
        <v>8.291520000000002</v>
      </c>
      <c r="HY711" s="281">
        <f>$HX$12</f>
        <v>6.5</v>
      </c>
      <c r="HZ711" s="281">
        <f>$HV$9+seat_w_b*($HW$12*n_SA_b+$HU$9&lt;pax_b)</f>
        <v>-1.84</v>
      </c>
      <c r="IA711" s="281">
        <f t="shared" si="139"/>
        <v>-11.310479999999998</v>
      </c>
    </row>
    <row r="712" spans="65:235" x14ac:dyDescent="0.25">
      <c r="BM712" s="281">
        <f>$AZ$33+0.2*(seat_pitch)*($AY$33*n_SA+$AW$6&lt;pax_e)</f>
        <v>26.102</v>
      </c>
      <c r="BN712" s="281">
        <f>$AX$6+seat_w*($AY$33*n_SA+$AW$6&lt;pax_e)</f>
        <v>-0.78</v>
      </c>
      <c r="BO712" s="281">
        <f t="shared" si="138"/>
        <v>8.291520000000002</v>
      </c>
      <c r="HY712" s="281">
        <f>$HX$12+1*(bus_pitch*(n_rows_b&gt;0))*($HW$12*n_SA_b+$HU$9&lt;pax_b)</f>
        <v>6.5</v>
      </c>
      <c r="HZ712" s="281">
        <f>$HV$9+seat_w_b*($HW$12*n_SA_b+$HU$9&lt;pax_b)</f>
        <v>-1.84</v>
      </c>
      <c r="IA712" s="281">
        <f t="shared" si="139"/>
        <v>-11.310479999999998</v>
      </c>
    </row>
    <row r="713" spans="65:235" x14ac:dyDescent="0.25">
      <c r="BM713" s="281">
        <f>$AZ$33</f>
        <v>25.94</v>
      </c>
      <c r="BN713" s="281">
        <f>$AX$6+seat_w*($AY$33*n_SA+$AW$6&lt;pax_e)</f>
        <v>-0.78</v>
      </c>
      <c r="BO713" s="281">
        <f t="shared" si="138"/>
        <v>8.129520000000003</v>
      </c>
      <c r="HY713" s="281">
        <f>$HX$12+0.8*(bus_pitch*(n_rows_b&gt;0))*($HW$12*n_SA_b+$HU$9&lt;pax_b)</f>
        <v>6.5</v>
      </c>
      <c r="HZ713" s="281">
        <f>$HV$9+seat_w_b*($HW$12*n_SA_b+$HU$9&lt;pax_b)</f>
        <v>-1.84</v>
      </c>
      <c r="IA713" s="281">
        <f t="shared" si="139"/>
        <v>-11.310479999999998</v>
      </c>
    </row>
    <row r="714" spans="65:235" x14ac:dyDescent="0.25">
      <c r="BM714" s="281">
        <f>$AZ$33+1*(seat_pitch)*($AY$33*n_SA+$AW$6&lt;pax_e)</f>
        <v>26.75</v>
      </c>
      <c r="BN714" s="281">
        <f>$AX$6+seat_w*($AY$33*n_SA+$AW$6&lt;pax_e)</f>
        <v>-0.78</v>
      </c>
      <c r="BO714" s="281">
        <f t="shared" si="138"/>
        <v>8.9395200000000017</v>
      </c>
      <c r="HY714" s="281">
        <f>$HX$12+0.8*(bus_pitch*(n_rows_b&gt;0))*($HW$12*n_SA_b+$HU$9&lt;pax_b)</f>
        <v>6.5</v>
      </c>
      <c r="HZ714" s="281">
        <f>$HV$9</f>
        <v>-1.84</v>
      </c>
      <c r="IA714" s="281">
        <f t="shared" si="139"/>
        <v>-11.310479999999998</v>
      </c>
    </row>
    <row r="715" spans="65:235" x14ac:dyDescent="0.25">
      <c r="BM715" s="281">
        <f>$AZ$33+0.8*(seat_pitch)*($AY$33*n_SA+$AW$6&lt;pax_e)</f>
        <v>26.588000000000001</v>
      </c>
      <c r="BN715" s="281">
        <f>$AX$6+seat_w*($AY$33*n_SA+$AW$6&lt;pax_e)</f>
        <v>-0.78</v>
      </c>
      <c r="BO715" s="281">
        <f t="shared" si="138"/>
        <v>8.7775200000000027</v>
      </c>
      <c r="HY715" s="281">
        <f>$HX$12+0.2*(bus_pitch*(n_rows_b&gt;0))*($HW$12*n_SA_b+$HU$9&lt;pax_b)</f>
        <v>6.5</v>
      </c>
      <c r="HZ715" s="281">
        <f>$HV$9</f>
        <v>-1.84</v>
      </c>
      <c r="IA715" s="281">
        <f t="shared" si="139"/>
        <v>-11.310479999999998</v>
      </c>
    </row>
    <row r="716" spans="65:235" x14ac:dyDescent="0.25">
      <c r="BM716" s="281">
        <f>$AZ$33+0.8*(seat_pitch)*($AY$33*n_SA+$AW$6&lt;pax_e)</f>
        <v>26.588000000000001</v>
      </c>
      <c r="BN716" s="281">
        <f>$AX$6</f>
        <v>-1.31</v>
      </c>
      <c r="BO716" s="281">
        <f t="shared" si="138"/>
        <v>8.7775200000000027</v>
      </c>
      <c r="HY716" s="281">
        <f>$HX$12+(bus_pitch*(n_rows_b&gt;0))</f>
        <v>6.5</v>
      </c>
      <c r="HZ716" s="281">
        <f>$HV$9</f>
        <v>-1.84</v>
      </c>
      <c r="IA716" s="281">
        <f t="shared" si="139"/>
        <v>-11.310479999999998</v>
      </c>
    </row>
    <row r="717" spans="65:235" x14ac:dyDescent="0.25">
      <c r="BM717" s="281">
        <f>$AZ$33+0.2*(seat_pitch)*($AY$33*n_SA+$AW$6&lt;pax_e)</f>
        <v>26.102</v>
      </c>
      <c r="BN717" s="281">
        <f>$AX$6</f>
        <v>-1.31</v>
      </c>
      <c r="BO717" s="281">
        <f t="shared" si="138"/>
        <v>8.291520000000002</v>
      </c>
      <c r="HY717" s="281">
        <f>$HX$13+0.2*(bus_pitch*(n_rows_b&gt;0))*($HW$13*n_SA_b+$HU$9&lt;pax_b)</f>
        <v>6.5</v>
      </c>
      <c r="HZ717" s="281">
        <f>$HV$9</f>
        <v>-1.84</v>
      </c>
      <c r="IA717" s="281">
        <f t="shared" si="139"/>
        <v>-11.310479999999998</v>
      </c>
    </row>
    <row r="718" spans="65:235" x14ac:dyDescent="0.25">
      <c r="BM718" s="281">
        <f>$AZ$33+(seat_pitch)</f>
        <v>26.75</v>
      </c>
      <c r="BN718" s="281">
        <f>$AX$6</f>
        <v>-1.31</v>
      </c>
      <c r="BO718" s="281">
        <f t="shared" si="138"/>
        <v>8.9395200000000017</v>
      </c>
      <c r="HY718" s="281">
        <f>$HX$13+0.2*(bus_pitch*(n_rows_b&gt;0))*($HW$13*n_SA_b+$HU$9&lt;pax_b)</f>
        <v>6.5</v>
      </c>
      <c r="HZ718" s="281">
        <f>$HV$9+seat_w_b*($HW$13*n_SA_b+$HU$9&lt;pax_b)</f>
        <v>-1.84</v>
      </c>
      <c r="IA718" s="281">
        <f t="shared" si="139"/>
        <v>-11.310479999999998</v>
      </c>
    </row>
    <row r="719" spans="65:235" x14ac:dyDescent="0.25">
      <c r="BM719" s="281">
        <f>$AZ$34+0.2*(seat_pitch)*($AY$34*n_SA+$AW$6&lt;pax_e)</f>
        <v>26.102</v>
      </c>
      <c r="BN719" s="281">
        <f>$AX$6</f>
        <v>-1.31</v>
      </c>
      <c r="BO719" s="281">
        <f t="shared" si="138"/>
        <v>8.291520000000002</v>
      </c>
      <c r="HY719" s="281">
        <f>$HX$13</f>
        <v>6.5</v>
      </c>
      <c r="HZ719" s="281">
        <f>$HV$9+seat_w_b*($HW$13*n_SA_b+$HU$9&lt;pax_b)</f>
        <v>-1.84</v>
      </c>
      <c r="IA719" s="281">
        <f t="shared" si="139"/>
        <v>-11.310479999999998</v>
      </c>
    </row>
    <row r="720" spans="65:235" x14ac:dyDescent="0.25">
      <c r="BM720" s="281">
        <f>$AZ$34+0.2*(seat_pitch)*($AY$34*n_SA+$AW$6&lt;pax_e)</f>
        <v>26.102</v>
      </c>
      <c r="BN720" s="281">
        <f>$AX$6+seat_w*($AY$34*n_SA+$AW$6&lt;pax_e)</f>
        <v>-0.78</v>
      </c>
      <c r="BO720" s="281">
        <f t="shared" si="138"/>
        <v>8.291520000000002</v>
      </c>
      <c r="HY720" s="281">
        <f>$HX$13+1*(bus_pitch*(n_rows_b&gt;0))*($HW$13*n_SA_b+$HU$9&lt;pax_b)</f>
        <v>6.5</v>
      </c>
      <c r="HZ720" s="281">
        <f>$HV$9+seat_w_b*($HW$13*n_SA_b+$HU$9&lt;pax_b)</f>
        <v>-1.84</v>
      </c>
      <c r="IA720" s="281">
        <f t="shared" si="139"/>
        <v>-11.310479999999998</v>
      </c>
    </row>
    <row r="721" spans="65:235" x14ac:dyDescent="0.25">
      <c r="BM721" s="281">
        <f>$AZ$34</f>
        <v>25.94</v>
      </c>
      <c r="BN721" s="281">
        <f>$AX$6+seat_w*($AY$34*n_SA+$AW$6&lt;pax_e)</f>
        <v>-0.78</v>
      </c>
      <c r="BO721" s="281">
        <f t="shared" si="138"/>
        <v>8.129520000000003</v>
      </c>
      <c r="HY721" s="281">
        <f>$HX$13+0.8*(bus_pitch*(n_rows_b&gt;0))*($HW$13*n_SA_b+$HU$9&lt;pax_b)</f>
        <v>6.5</v>
      </c>
      <c r="HZ721" s="281">
        <f>$HV$9+seat_w_b*($HW$13*n_SA_b+$HU$9&lt;pax_b)</f>
        <v>-1.84</v>
      </c>
      <c r="IA721" s="281">
        <f t="shared" si="139"/>
        <v>-11.310479999999998</v>
      </c>
    </row>
    <row r="722" spans="65:235" x14ac:dyDescent="0.25">
      <c r="BM722" s="281">
        <f>$AZ$34+1*(seat_pitch)*($AY$34*n_SA+$AW$6&lt;pax_e)</f>
        <v>26.75</v>
      </c>
      <c r="BN722" s="281">
        <f>$AX$6+seat_w*($AY$34*n_SA+$AW$6&lt;pax_e)</f>
        <v>-0.78</v>
      </c>
      <c r="BO722" s="281">
        <f t="shared" si="138"/>
        <v>8.9395200000000017</v>
      </c>
      <c r="HY722" s="281">
        <f>$HX$13+0.8*(bus_pitch*(n_rows_b&gt;0))*($HW$13*n_SA_b+$HU$9&lt;pax_b)</f>
        <v>6.5</v>
      </c>
      <c r="HZ722" s="281">
        <f>$HV$9</f>
        <v>-1.84</v>
      </c>
      <c r="IA722" s="281">
        <f t="shared" si="139"/>
        <v>-11.310479999999998</v>
      </c>
    </row>
    <row r="723" spans="65:235" x14ac:dyDescent="0.25">
      <c r="BM723" s="281">
        <f>$AZ$34+0.8*(seat_pitch)*($AY$34*n_SA+$AW$6&lt;pax_e)</f>
        <v>26.588000000000001</v>
      </c>
      <c r="BN723" s="281">
        <f>$AX$6+seat_w*($AY$34*n_SA+$AW$6&lt;pax_e)</f>
        <v>-0.78</v>
      </c>
      <c r="BO723" s="281">
        <f t="shared" si="138"/>
        <v>8.7775200000000027</v>
      </c>
      <c r="HY723" s="281">
        <f>$HX$13+0.2*(bus_pitch*(n_rows_b&gt;0))*($HW$13*n_SA_b+$HU$9&lt;pax_b)</f>
        <v>6.5</v>
      </c>
      <c r="HZ723" s="281">
        <f>$HV$9</f>
        <v>-1.84</v>
      </c>
      <c r="IA723" s="281">
        <f t="shared" si="139"/>
        <v>-11.310479999999998</v>
      </c>
    </row>
    <row r="724" spans="65:235" x14ac:dyDescent="0.25">
      <c r="BM724" s="281">
        <f>$AZ$34+0.8*(seat_pitch)*($AY$34*n_SA+$AW$6&lt;pax_e)</f>
        <v>26.588000000000001</v>
      </c>
      <c r="BN724" s="281">
        <f>$AX$6</f>
        <v>-1.31</v>
      </c>
      <c r="BO724" s="281">
        <f t="shared" si="138"/>
        <v>8.7775200000000027</v>
      </c>
      <c r="HY724" s="281">
        <f>$HX$13+(bus_pitch*(n_rows_b&gt;0))</f>
        <v>6.5</v>
      </c>
      <c r="HZ724" s="281">
        <f>$HV$9</f>
        <v>-1.84</v>
      </c>
      <c r="IA724" s="281">
        <f t="shared" si="139"/>
        <v>-11.310479999999998</v>
      </c>
    </row>
    <row r="725" spans="65:235" x14ac:dyDescent="0.25">
      <c r="BM725" s="281">
        <f>$AZ$34+0.2*(seat_pitch)*($AY$34*n_SA+$AW$6&lt;pax_e)</f>
        <v>26.102</v>
      </c>
      <c r="BN725" s="281">
        <f>$AX$6</f>
        <v>-1.31</v>
      </c>
      <c r="BO725" s="281">
        <f t="shared" si="138"/>
        <v>8.291520000000002</v>
      </c>
      <c r="HY725" s="281">
        <f>$HX$14+0.2*(bus_pitch*(n_rows_b&gt;0))*($HW$14*n_SA_b+$HU$9&lt;pax_b)</f>
        <v>6.5</v>
      </c>
      <c r="HZ725" s="281">
        <f>$HV$9</f>
        <v>-1.84</v>
      </c>
      <c r="IA725" s="281">
        <f t="shared" si="139"/>
        <v>-11.310479999999998</v>
      </c>
    </row>
    <row r="726" spans="65:235" x14ac:dyDescent="0.25">
      <c r="BM726" s="281">
        <f>$AZ$34+(seat_pitch)</f>
        <v>26.75</v>
      </c>
      <c r="BN726" s="281">
        <f>$AX$6</f>
        <v>-1.31</v>
      </c>
      <c r="BO726" s="281">
        <f t="shared" si="138"/>
        <v>8.9395200000000017</v>
      </c>
      <c r="HY726" s="281">
        <f>$HX$14+0.2*(bus_pitch*(n_rows_b&gt;0))*($HW$14*n_SA_b+$HU$9&lt;pax_b)</f>
        <v>6.5</v>
      </c>
      <c r="HZ726" s="281">
        <f>$HV$9+seat_w_b*($HW$14*n_SA_b+$HU$9&lt;pax_b)</f>
        <v>-1.84</v>
      </c>
      <c r="IA726" s="281">
        <f t="shared" si="139"/>
        <v>-11.310479999999998</v>
      </c>
    </row>
    <row r="727" spans="65:235" x14ac:dyDescent="0.25">
      <c r="BM727" s="281">
        <f>$AZ$35+0.2*(seat_pitch)*($AY$35*n_SA+$AW$6&lt;pax_e)</f>
        <v>26.102</v>
      </c>
      <c r="BN727" s="281">
        <f>$AX$6</f>
        <v>-1.31</v>
      </c>
      <c r="BO727" s="281">
        <f t="shared" si="138"/>
        <v>8.291520000000002</v>
      </c>
      <c r="HY727" s="281">
        <f>$HX$14</f>
        <v>6.5</v>
      </c>
      <c r="HZ727" s="281">
        <f>$HV$9+seat_w_b*($HW$14*n_SA_b+$HU$9&lt;pax_b)</f>
        <v>-1.84</v>
      </c>
      <c r="IA727" s="281">
        <f t="shared" si="139"/>
        <v>-11.310479999999998</v>
      </c>
    </row>
    <row r="728" spans="65:235" x14ac:dyDescent="0.25">
      <c r="BM728" s="281">
        <f>$AZ$35+0.2*(seat_pitch)*($AY$35*n_SA+$AW$6&lt;pax_e)</f>
        <v>26.102</v>
      </c>
      <c r="BN728" s="281">
        <f>$AX$6+seat_w*($AY$35*n_SA+$AW$6&lt;pax_e)</f>
        <v>-0.78</v>
      </c>
      <c r="BO728" s="281">
        <f t="shared" si="138"/>
        <v>8.291520000000002</v>
      </c>
      <c r="HY728" s="281">
        <f>$HX$14+1*(bus_pitch*(n_rows_b&gt;0))*($HW$14*n_SA_b+$HU$9&lt;pax_b)</f>
        <v>6.5</v>
      </c>
      <c r="HZ728" s="281">
        <f>$HV$9+seat_w_b*($HW$14*n_SA_b+$HU$9&lt;pax_b)</f>
        <v>-1.84</v>
      </c>
      <c r="IA728" s="281">
        <f t="shared" si="139"/>
        <v>-11.310479999999998</v>
      </c>
    </row>
    <row r="729" spans="65:235" x14ac:dyDescent="0.25">
      <c r="BM729" s="281">
        <f>$AZ$35</f>
        <v>25.94</v>
      </c>
      <c r="BN729" s="281">
        <f>$AX$6+seat_w*($AY$35*n_SA+$AW$6&lt;pax_e)</f>
        <v>-0.78</v>
      </c>
      <c r="BO729" s="281">
        <f t="shared" si="138"/>
        <v>8.129520000000003</v>
      </c>
      <c r="HY729" s="281">
        <f>$HX$14+0.8*(bus_pitch*(n_rows_b&gt;0))*($HW$14*n_SA_b+$HU$9&lt;pax_b)</f>
        <v>6.5</v>
      </c>
      <c r="HZ729" s="281">
        <f>$HV$9+seat_w_b*($HW$14*n_SA_b+$HU$9&lt;pax_b)</f>
        <v>-1.84</v>
      </c>
      <c r="IA729" s="281">
        <f t="shared" si="139"/>
        <v>-11.310479999999998</v>
      </c>
    </row>
    <row r="730" spans="65:235" x14ac:dyDescent="0.25">
      <c r="BM730" s="281">
        <f>$AZ$35+1*(seat_pitch)*($AY$35*n_SA+$AW$6&lt;pax_e)</f>
        <v>26.75</v>
      </c>
      <c r="BN730" s="281">
        <f>$AX$6+seat_w*($AY$35*n_SA+$AW$6&lt;pax_e)</f>
        <v>-0.78</v>
      </c>
      <c r="BO730" s="281">
        <f t="shared" si="138"/>
        <v>8.9395200000000017</v>
      </c>
      <c r="HY730" s="281">
        <f>$HX$14+0.8*(bus_pitch*(n_rows_b&gt;0))*($HW$14*n_SA_b+$HU$9&lt;pax_b)</f>
        <v>6.5</v>
      </c>
      <c r="HZ730" s="281">
        <f>$HV$9</f>
        <v>-1.84</v>
      </c>
      <c r="IA730" s="281">
        <f t="shared" si="139"/>
        <v>-11.310479999999998</v>
      </c>
    </row>
    <row r="731" spans="65:235" x14ac:dyDescent="0.25">
      <c r="BM731" s="281">
        <f>$AZ$35+0.8*(seat_pitch)*($AY$35*n_SA+$AW$6&lt;pax_e)</f>
        <v>26.588000000000001</v>
      </c>
      <c r="BN731" s="281">
        <f>$AX$6+seat_w*($AY$35*n_SA+$AW$6&lt;pax_e)</f>
        <v>-0.78</v>
      </c>
      <c r="BO731" s="281">
        <f t="shared" si="138"/>
        <v>8.7775200000000027</v>
      </c>
      <c r="HY731" s="281">
        <f>$HX$14+0.2*(bus_pitch*(n_rows_b&gt;0))*($HW$14*n_SA_b+$HU$9&lt;pax_b)</f>
        <v>6.5</v>
      </c>
      <c r="HZ731" s="281">
        <f>$HV$9</f>
        <v>-1.84</v>
      </c>
      <c r="IA731" s="281">
        <f t="shared" si="139"/>
        <v>-11.310479999999998</v>
      </c>
    </row>
    <row r="732" spans="65:235" x14ac:dyDescent="0.25">
      <c r="BM732" s="281">
        <f>$AZ$35+0.8*(seat_pitch)*($AY$35*n_SA+$AW$6&lt;pax_e)</f>
        <v>26.588000000000001</v>
      </c>
      <c r="BN732" s="281">
        <f>$AX$6</f>
        <v>-1.31</v>
      </c>
      <c r="BO732" s="281">
        <f t="shared" si="138"/>
        <v>8.7775200000000027</v>
      </c>
      <c r="HY732" s="281">
        <f>$HX$14+(bus_pitch*(n_rows_b&gt;0))</f>
        <v>6.5</v>
      </c>
      <c r="HZ732" s="281">
        <f>$HV$9</f>
        <v>-1.84</v>
      </c>
      <c r="IA732" s="281">
        <f t="shared" si="139"/>
        <v>-11.310479999999998</v>
      </c>
    </row>
    <row r="733" spans="65:235" x14ac:dyDescent="0.25">
      <c r="BM733" s="281">
        <f>$AZ$35+0.2*(seat_pitch)*($AY$35*n_SA+$AW$6&lt;pax_e)</f>
        <v>26.102</v>
      </c>
      <c r="BN733" s="281">
        <f>$AX$6</f>
        <v>-1.31</v>
      </c>
      <c r="BO733" s="281">
        <f t="shared" si="138"/>
        <v>8.291520000000002</v>
      </c>
      <c r="HY733" s="281">
        <f>$HX$15+0.2*(bus_pitch*(n_rows_b&gt;0))*($HW$15*n_SA_b+$HU$9&lt;pax_b)</f>
        <v>6.5</v>
      </c>
      <c r="HZ733" s="281">
        <f>$HV$9</f>
        <v>-1.84</v>
      </c>
      <c r="IA733" s="281">
        <f t="shared" si="139"/>
        <v>-11.310479999999998</v>
      </c>
    </row>
    <row r="734" spans="65:235" x14ac:dyDescent="0.25">
      <c r="BM734" s="281">
        <f>$AZ$35+(seat_pitch)</f>
        <v>26.75</v>
      </c>
      <c r="BN734" s="281">
        <f>$AX$6</f>
        <v>-1.31</v>
      </c>
      <c r="BO734" s="281">
        <f t="shared" si="138"/>
        <v>8.9395200000000017</v>
      </c>
      <c r="HY734" s="281">
        <f>$HX$15+0.2*(bus_pitch*(n_rows_b&gt;0))*($HW$15*n_SA_b+$HU$9&lt;pax_b)</f>
        <v>6.5</v>
      </c>
      <c r="HZ734" s="281">
        <f>$HV$9+seat_w_b*($HW$15*n_SA_b+$HU$9&lt;pax_b)</f>
        <v>-1.84</v>
      </c>
      <c r="IA734" s="281">
        <f t="shared" si="139"/>
        <v>-11.310479999999998</v>
      </c>
    </row>
    <row r="735" spans="65:235" x14ac:dyDescent="0.25">
      <c r="BM735" s="281">
        <f>$AZ$36+0.2*(seat_pitch)*($AY$36*n_SA+$AW$6&lt;pax_e)</f>
        <v>26.102</v>
      </c>
      <c r="BN735" s="281">
        <f>$AX$6</f>
        <v>-1.31</v>
      </c>
      <c r="BO735" s="281">
        <f t="shared" si="138"/>
        <v>8.291520000000002</v>
      </c>
      <c r="HY735" s="281">
        <f>$HX$15</f>
        <v>6.5</v>
      </c>
      <c r="HZ735" s="281">
        <f>$HV$9+seat_w_b*($HW$15*n_SA_b+$HU$9&lt;pax_b)</f>
        <v>-1.84</v>
      </c>
      <c r="IA735" s="281">
        <f t="shared" si="139"/>
        <v>-11.310479999999998</v>
      </c>
    </row>
    <row r="736" spans="65:235" x14ac:dyDescent="0.25">
      <c r="BM736" s="281">
        <f>$AZ$36+0.2*(seat_pitch)*($AY$36*n_SA+$AW$6&lt;pax_e)</f>
        <v>26.102</v>
      </c>
      <c r="BN736" s="281">
        <f>$AX$6+seat_w*($AY$36*n_SA+$AW$6&lt;pax_e)</f>
        <v>-0.78</v>
      </c>
      <c r="BO736" s="281">
        <f t="shared" si="138"/>
        <v>8.291520000000002</v>
      </c>
      <c r="HY736" s="281">
        <f>$HX$15+1*(bus_pitch*(n_rows_b&gt;0))*($HW$15*n_SA_b+$HU$9&lt;pax_b)</f>
        <v>6.5</v>
      </c>
      <c r="HZ736" s="281">
        <f>$HV$9+seat_w_b*($HW$15*n_SA_b+$HU$9&lt;pax_b)</f>
        <v>-1.84</v>
      </c>
      <c r="IA736" s="281">
        <f t="shared" si="139"/>
        <v>-11.310479999999998</v>
      </c>
    </row>
    <row r="737" spans="65:235" x14ac:dyDescent="0.25">
      <c r="BM737" s="281">
        <f>$AZ$36</f>
        <v>25.94</v>
      </c>
      <c r="BN737" s="281">
        <f>$AX$6+seat_w*($AY$36*n_SA+$AW$6&lt;pax_e)</f>
        <v>-0.78</v>
      </c>
      <c r="BO737" s="281">
        <f t="shared" si="138"/>
        <v>8.129520000000003</v>
      </c>
      <c r="HY737" s="281">
        <f>$HX$15+0.8*(bus_pitch*(n_rows_b&gt;0))*($HW$15*n_SA_b+$HU$9&lt;pax_b)</f>
        <v>6.5</v>
      </c>
      <c r="HZ737" s="281">
        <f>$HV$9+seat_w_b*($HW$15*n_SA_b+$HU$9&lt;pax_b)</f>
        <v>-1.84</v>
      </c>
      <c r="IA737" s="281">
        <f t="shared" si="139"/>
        <v>-11.310479999999998</v>
      </c>
    </row>
    <row r="738" spans="65:235" x14ac:dyDescent="0.25">
      <c r="BM738" s="281">
        <f>$AZ$36+1*(seat_pitch)*($AY$36*n_SA+$AW$6&lt;pax_e)</f>
        <v>26.75</v>
      </c>
      <c r="BN738" s="281">
        <f>$AX$6+seat_w*($AY$36*n_SA+$AW$6&lt;pax_e)</f>
        <v>-0.78</v>
      </c>
      <c r="BO738" s="281">
        <f t="shared" si="138"/>
        <v>8.9395200000000017</v>
      </c>
      <c r="HY738" s="281">
        <f>$HX$15+0.8*(bus_pitch*(n_rows_b&gt;0))*($HW$15*n_SA_b+$HU$9&lt;pax_b)</f>
        <v>6.5</v>
      </c>
      <c r="HZ738" s="281">
        <f>$HV$9</f>
        <v>-1.84</v>
      </c>
      <c r="IA738" s="281">
        <f t="shared" si="139"/>
        <v>-11.310479999999998</v>
      </c>
    </row>
    <row r="739" spans="65:235" x14ac:dyDescent="0.25">
      <c r="BM739" s="281">
        <f>$AZ$36+0.8*(seat_pitch)*($AY$36*n_SA+$AW$6&lt;pax_e)</f>
        <v>26.588000000000001</v>
      </c>
      <c r="BN739" s="281">
        <f>$AX$6+seat_w*($AY$36*n_SA+$AW$6&lt;pax_e)</f>
        <v>-0.78</v>
      </c>
      <c r="BO739" s="281">
        <f t="shared" si="138"/>
        <v>8.7775200000000027</v>
      </c>
      <c r="HY739" s="281">
        <f>$HX$15+0.2*(bus_pitch*(n_rows_b&gt;0))*($HW$15*n_SA_b+$HU$9&lt;pax_b)</f>
        <v>6.5</v>
      </c>
      <c r="HZ739" s="281">
        <f>$HV$9</f>
        <v>-1.84</v>
      </c>
      <c r="IA739" s="281">
        <f t="shared" si="139"/>
        <v>-11.310479999999998</v>
      </c>
    </row>
    <row r="740" spans="65:235" x14ac:dyDescent="0.25">
      <c r="BM740" s="281">
        <f>$AZ$36+0.8*(seat_pitch)*($AY$36*n_SA+$AW$6&lt;pax_e)</f>
        <v>26.588000000000001</v>
      </c>
      <c r="BN740" s="281">
        <f>$AX$6</f>
        <v>-1.31</v>
      </c>
      <c r="BO740" s="281">
        <f t="shared" si="138"/>
        <v>8.7775200000000027</v>
      </c>
      <c r="HY740" s="281">
        <f>$HX$15+(bus_pitch*(n_rows_b&gt;0))</f>
        <v>6.5</v>
      </c>
      <c r="HZ740" s="281">
        <f>$HV$9</f>
        <v>-1.84</v>
      </c>
      <c r="IA740" s="281">
        <f t="shared" si="139"/>
        <v>-11.310479999999998</v>
      </c>
    </row>
    <row r="741" spans="65:235" x14ac:dyDescent="0.25">
      <c r="BM741" s="281">
        <f>$AZ$36+0.2*(seat_pitch)*($AY$36*n_SA+$AW$6&lt;pax_e)</f>
        <v>26.102</v>
      </c>
      <c r="BN741" s="281">
        <f>$AX$6</f>
        <v>-1.31</v>
      </c>
      <c r="BO741" s="281">
        <f t="shared" si="138"/>
        <v>8.291520000000002</v>
      </c>
      <c r="HY741" s="281">
        <f>$HX$16+0.2*(bus_pitch*(n_rows_b&gt;0))*($HW$16*n_SA_b+$HU$9&lt;pax_b)</f>
        <v>6.5</v>
      </c>
      <c r="HZ741" s="281">
        <f>$HV$9</f>
        <v>-1.84</v>
      </c>
      <c r="IA741" s="281">
        <f t="shared" si="139"/>
        <v>-11.310479999999998</v>
      </c>
    </row>
    <row r="742" spans="65:235" x14ac:dyDescent="0.25">
      <c r="BM742" s="281">
        <f>$AZ$36+(seat_pitch)</f>
        <v>26.75</v>
      </c>
      <c r="BN742" s="281">
        <f>$AX$6</f>
        <v>-1.31</v>
      </c>
      <c r="BO742" s="281">
        <f t="shared" si="138"/>
        <v>8.9395200000000017</v>
      </c>
      <c r="HY742" s="281">
        <f>$HX$16+0.2*(bus_pitch*(n_rows_b&gt;0))*($HW$16*n_SA_b+$HU$9&lt;pax_b)</f>
        <v>6.5</v>
      </c>
      <c r="HZ742" s="281">
        <f>$HV$9+seat_w_b*($HW$16*n_SA_b+$HU$9&lt;pax_b)</f>
        <v>-1.84</v>
      </c>
      <c r="IA742" s="281">
        <f t="shared" si="139"/>
        <v>-11.310479999999998</v>
      </c>
    </row>
    <row r="743" spans="65:235" x14ac:dyDescent="0.25">
      <c r="BM743" s="281">
        <f>$AZ$37+0.2*(seat_pitch)*($AY$37*n_SA+$AW$6&lt;pax_e)</f>
        <v>26.102</v>
      </c>
      <c r="BN743" s="281">
        <f>$AX$6</f>
        <v>-1.31</v>
      </c>
      <c r="BO743" s="281">
        <f t="shared" si="138"/>
        <v>8.291520000000002</v>
      </c>
      <c r="HY743" s="281">
        <f>$HX$16</f>
        <v>6.5</v>
      </c>
      <c r="HZ743" s="281">
        <f>$HV$9+seat_w_b*($HW$16*n_SA_b+$HU$9&lt;pax_b)</f>
        <v>-1.84</v>
      </c>
      <c r="IA743" s="281">
        <f t="shared" si="139"/>
        <v>-11.310479999999998</v>
      </c>
    </row>
    <row r="744" spans="65:235" x14ac:dyDescent="0.25">
      <c r="BM744" s="281">
        <f>$AZ$37+0.2*(seat_pitch)*($AY$37*n_SA+$AW$6&lt;pax_e)</f>
        <v>26.102</v>
      </c>
      <c r="BN744" s="281">
        <f>$AX$6+seat_w*($AY$37*n_SA+$AW$6&lt;pax_e)</f>
        <v>-0.78</v>
      </c>
      <c r="BO744" s="281">
        <f t="shared" si="138"/>
        <v>8.291520000000002</v>
      </c>
      <c r="HY744" s="281">
        <f>$HX$16+1*(bus_pitch*(n_rows_b&gt;0))*($HW$16*n_SA_b+$HU$9&lt;pax_b)</f>
        <v>6.5</v>
      </c>
      <c r="HZ744" s="281">
        <f>$HV$9+seat_w_b*($HW$16*n_SA_b+$HU$9&lt;pax_b)</f>
        <v>-1.84</v>
      </c>
      <c r="IA744" s="281">
        <f t="shared" si="139"/>
        <v>-11.310479999999998</v>
      </c>
    </row>
    <row r="745" spans="65:235" x14ac:dyDescent="0.25">
      <c r="BM745" s="281">
        <f>$AZ$37</f>
        <v>25.94</v>
      </c>
      <c r="BN745" s="281">
        <f>$AX$6+seat_w*($AY$37*n_SA+$AW$6&lt;pax_e)</f>
        <v>-0.78</v>
      </c>
      <c r="BO745" s="281">
        <f t="shared" si="138"/>
        <v>8.129520000000003</v>
      </c>
      <c r="HY745" s="281">
        <f>$HX$16+0.8*(bus_pitch*(n_rows_b&gt;0))*($HW$16*n_SA_b+$HU$9&lt;pax_b)</f>
        <v>6.5</v>
      </c>
      <c r="HZ745" s="281">
        <f>$HV$9+seat_w_b*($HW$16*n_SA_b+$HU$9&lt;pax_b)</f>
        <v>-1.84</v>
      </c>
      <c r="IA745" s="281">
        <f t="shared" si="139"/>
        <v>-11.310479999999998</v>
      </c>
    </row>
    <row r="746" spans="65:235" x14ac:dyDescent="0.25">
      <c r="BM746" s="281">
        <f>$AZ$37+1*(seat_pitch)*($AY$37*n_SA+$AW$6&lt;pax_e)</f>
        <v>26.75</v>
      </c>
      <c r="BN746" s="281">
        <f>$AX$6+seat_w*($AY$37*n_SA+$AW$6&lt;pax_e)</f>
        <v>-0.78</v>
      </c>
      <c r="BO746" s="281">
        <f t="shared" si="138"/>
        <v>8.9395200000000017</v>
      </c>
      <c r="HY746" s="281">
        <f>$HX$16+0.8*(bus_pitch*(n_rows_b&gt;0))*($HW$16*n_SA_b+$HU$9&lt;pax_b)</f>
        <v>6.5</v>
      </c>
      <c r="HZ746" s="281">
        <f>$HV$9</f>
        <v>-1.84</v>
      </c>
      <c r="IA746" s="281">
        <f t="shared" si="139"/>
        <v>-11.310479999999998</v>
      </c>
    </row>
    <row r="747" spans="65:235" x14ac:dyDescent="0.25">
      <c r="BM747" s="281">
        <f>$AZ$37+0.8*(seat_pitch)*($AY$37*n_SA+$AW$6&lt;pax_e)</f>
        <v>26.588000000000001</v>
      </c>
      <c r="BN747" s="281">
        <f>$AX$6+seat_w*($AY$37*n_SA+$AW$6&lt;pax_e)</f>
        <v>-0.78</v>
      </c>
      <c r="BO747" s="281">
        <f t="shared" si="138"/>
        <v>8.7775200000000027</v>
      </c>
      <c r="HY747" s="281">
        <f>$HX$16+0.2*(bus_pitch*(n_rows_b&gt;0))*($HW$16*n_SA_b+$HU$9&lt;pax_b)</f>
        <v>6.5</v>
      </c>
      <c r="HZ747" s="281">
        <f>$HV$9</f>
        <v>-1.84</v>
      </c>
      <c r="IA747" s="281">
        <f t="shared" si="139"/>
        <v>-11.310479999999998</v>
      </c>
    </row>
    <row r="748" spans="65:235" x14ac:dyDescent="0.25">
      <c r="BM748" s="281">
        <f>$AZ$37+0.8*(seat_pitch)*($AY$37*n_SA+$AW$6&lt;pax_e)</f>
        <v>26.588000000000001</v>
      </c>
      <c r="BN748" s="281">
        <f>$AX$6</f>
        <v>-1.31</v>
      </c>
      <c r="BO748" s="281">
        <f t="shared" si="138"/>
        <v>8.7775200000000027</v>
      </c>
      <c r="HY748" s="281">
        <f>$HX$16+(bus_pitch*(n_rows_b&gt;0))</f>
        <v>6.5</v>
      </c>
      <c r="HZ748" s="281">
        <f>$HV$9</f>
        <v>-1.84</v>
      </c>
      <c r="IA748" s="281">
        <f t="shared" si="139"/>
        <v>-11.310479999999998</v>
      </c>
    </row>
    <row r="749" spans="65:235" x14ac:dyDescent="0.25">
      <c r="BM749" s="281">
        <f>$AZ$37+0.2*(seat_pitch)*($AY$37*n_SA+$AW$6&lt;pax_e)</f>
        <v>26.102</v>
      </c>
      <c r="BN749" s="281">
        <f>$AX$6</f>
        <v>-1.31</v>
      </c>
      <c r="BO749" s="281">
        <f t="shared" si="138"/>
        <v>8.291520000000002</v>
      </c>
      <c r="HY749" s="281">
        <f>$HX$17+0.2*(bus_pitch*(n_rows_b&gt;0))*($HW$17*n_SA_b+$HU$9&lt;pax_b)</f>
        <v>6.5</v>
      </c>
      <c r="HZ749" s="281">
        <f>$HV$9</f>
        <v>-1.84</v>
      </c>
      <c r="IA749" s="281">
        <f t="shared" si="139"/>
        <v>-11.310479999999998</v>
      </c>
    </row>
    <row r="750" spans="65:235" x14ac:dyDescent="0.25">
      <c r="BM750" s="281">
        <f>$AZ$37+(seat_pitch)</f>
        <v>26.75</v>
      </c>
      <c r="BN750" s="281">
        <f>$AX$6</f>
        <v>-1.31</v>
      </c>
      <c r="BO750" s="281">
        <f t="shared" si="138"/>
        <v>8.9395200000000017</v>
      </c>
      <c r="HY750" s="281">
        <f>$HX$17+0.2*(bus_pitch*(n_rows_b&gt;0))*($HW$17*n_SA_b+$HU$9&lt;pax_b)</f>
        <v>6.5</v>
      </c>
      <c r="HZ750" s="281">
        <f>$HV$9+seat_w_b*($HW$17*n_SA_b+$HU$9&lt;pax_b)</f>
        <v>-1.84</v>
      </c>
      <c r="IA750" s="281">
        <f t="shared" si="139"/>
        <v>-11.310479999999998</v>
      </c>
    </row>
    <row r="751" spans="65:235" x14ac:dyDescent="0.25">
      <c r="BM751" s="281">
        <f>$AZ$38+0.2*(seat_pitch)*($AY$38*n_SA+$AW$6&lt;pax_e)</f>
        <v>26.102</v>
      </c>
      <c r="BN751" s="281">
        <f>$AX$6</f>
        <v>-1.31</v>
      </c>
      <c r="BO751" s="281">
        <f t="shared" si="138"/>
        <v>8.291520000000002</v>
      </c>
      <c r="HY751" s="281">
        <f>$HX$17</f>
        <v>6.5</v>
      </c>
      <c r="HZ751" s="281">
        <f>$HV$9+seat_w_b*($HW$17*n_SA_b+$HU$9&lt;pax_b)</f>
        <v>-1.84</v>
      </c>
      <c r="IA751" s="281">
        <f t="shared" si="139"/>
        <v>-11.310479999999998</v>
      </c>
    </row>
    <row r="752" spans="65:235" x14ac:dyDescent="0.25">
      <c r="BM752" s="281">
        <f>$AZ$38+0.2*(seat_pitch)*($AY$38*n_SA+$AW$6&lt;pax_e)</f>
        <v>26.102</v>
      </c>
      <c r="BN752" s="281">
        <f>$AX$6+seat_w*($AY$38*n_SA+$AW$6&lt;pax_e)</f>
        <v>-0.78</v>
      </c>
      <c r="BO752" s="281">
        <f t="shared" si="138"/>
        <v>8.291520000000002</v>
      </c>
      <c r="HY752" s="281">
        <f>$HX$17+1*(bus_pitch*(n_rows_b&gt;0))*($HW$17*n_SA_b+$HU$9&lt;pax_b)</f>
        <v>6.5</v>
      </c>
      <c r="HZ752" s="281">
        <f>$HV$9+seat_w_b*($HW$17*n_SA_b+$HU$9&lt;pax_b)</f>
        <v>-1.84</v>
      </c>
      <c r="IA752" s="281">
        <f t="shared" si="139"/>
        <v>-11.310479999999998</v>
      </c>
    </row>
    <row r="753" spans="65:235" x14ac:dyDescent="0.25">
      <c r="BM753" s="281">
        <f>$AZ$38</f>
        <v>25.94</v>
      </c>
      <c r="BN753" s="281">
        <f>$AX$6+seat_w*($AY$38*n_SA+$AW$6&lt;pax_e)</f>
        <v>-0.78</v>
      </c>
      <c r="BO753" s="281">
        <f t="shared" si="138"/>
        <v>8.129520000000003</v>
      </c>
      <c r="HY753" s="281">
        <f>$HX$17+0.8*(bus_pitch*(n_rows_b&gt;0))*($HW$17*n_SA_b+$HU$9&lt;pax_b)</f>
        <v>6.5</v>
      </c>
      <c r="HZ753" s="281">
        <f>$HV$9+seat_w_b*($HW$17*n_SA_b+$HU$9&lt;pax_b)</f>
        <v>-1.84</v>
      </c>
      <c r="IA753" s="281">
        <f t="shared" si="139"/>
        <v>-11.310479999999998</v>
      </c>
    </row>
    <row r="754" spans="65:235" x14ac:dyDescent="0.25">
      <c r="BM754" s="281">
        <f>$AZ$38+1*(seat_pitch)*($AY$38*n_SA+$AW$6&lt;pax_e)</f>
        <v>26.75</v>
      </c>
      <c r="BN754" s="281">
        <f>$AX$6+seat_w*($AY$38*n_SA+$AW$6&lt;pax_e)</f>
        <v>-0.78</v>
      </c>
      <c r="BO754" s="281">
        <f t="shared" si="138"/>
        <v>8.9395200000000017</v>
      </c>
      <c r="HY754" s="281">
        <f>$HX$17+0.8*(bus_pitch*(n_rows_b&gt;0))*($HW$17*n_SA_b+$HU$9&lt;pax_b)</f>
        <v>6.5</v>
      </c>
      <c r="HZ754" s="281">
        <f>$HV$9</f>
        <v>-1.84</v>
      </c>
      <c r="IA754" s="281">
        <f t="shared" si="139"/>
        <v>-11.310479999999998</v>
      </c>
    </row>
    <row r="755" spans="65:235" x14ac:dyDescent="0.25">
      <c r="BM755" s="281">
        <f>$AZ$38+0.8*(seat_pitch)*($AY$38*n_SA+$AW$6&lt;pax_e)</f>
        <v>26.588000000000001</v>
      </c>
      <c r="BN755" s="281">
        <f>$AX$6+seat_w*($AY$38*n_SA+$AW$6&lt;pax_e)</f>
        <v>-0.78</v>
      </c>
      <c r="BO755" s="281">
        <f t="shared" si="138"/>
        <v>8.7775200000000027</v>
      </c>
      <c r="HY755" s="281">
        <f>$HX$17+0.2*(bus_pitch*(n_rows_b&gt;0))*($HW$17*n_SA_b+$HU$9&lt;pax_b)</f>
        <v>6.5</v>
      </c>
      <c r="HZ755" s="281">
        <f>$HV$9</f>
        <v>-1.84</v>
      </c>
      <c r="IA755" s="281">
        <f t="shared" si="139"/>
        <v>-11.310479999999998</v>
      </c>
    </row>
    <row r="756" spans="65:235" x14ac:dyDescent="0.25">
      <c r="BM756" s="281">
        <f>$AZ$38+0.8*(seat_pitch)*($AY$38*n_SA+$AW$6&lt;pax_e)</f>
        <v>26.588000000000001</v>
      </c>
      <c r="BN756" s="281">
        <f>$AX$6</f>
        <v>-1.31</v>
      </c>
      <c r="BO756" s="281">
        <f t="shared" si="138"/>
        <v>8.7775200000000027</v>
      </c>
      <c r="HY756" s="281">
        <f>$HX$17+(bus_pitch*(n_rows_b&gt;0))</f>
        <v>6.5</v>
      </c>
      <c r="HZ756" s="281">
        <f>$HV$9</f>
        <v>-1.84</v>
      </c>
      <c r="IA756" s="281">
        <f t="shared" si="139"/>
        <v>-11.310479999999998</v>
      </c>
    </row>
    <row r="757" spans="65:235" x14ac:dyDescent="0.25">
      <c r="BM757" s="281">
        <f>$AZ$38+0.2*(seat_pitch)*($AY$38*n_SA+$AW$6&lt;pax_e)</f>
        <v>26.102</v>
      </c>
      <c r="BN757" s="281">
        <f>$AX$6</f>
        <v>-1.31</v>
      </c>
      <c r="BO757" s="281">
        <f t="shared" si="138"/>
        <v>8.291520000000002</v>
      </c>
      <c r="HY757" s="281">
        <f>$HX$18+0.2*(bus_pitch*(n_rows_b&gt;0))*($HW$18*n_SA_b+$HU$9&lt;pax_b)</f>
        <v>6.5</v>
      </c>
      <c r="HZ757" s="281">
        <f>$HV$9</f>
        <v>-1.84</v>
      </c>
      <c r="IA757" s="281">
        <f t="shared" si="139"/>
        <v>-11.310479999999998</v>
      </c>
    </row>
    <row r="758" spans="65:235" x14ac:dyDescent="0.25">
      <c r="BM758" s="281">
        <f>$AZ$38+(seat_pitch)</f>
        <v>26.75</v>
      </c>
      <c r="BN758" s="281">
        <f>$AX$6</f>
        <v>-1.31</v>
      </c>
      <c r="BO758" s="281">
        <f t="shared" si="138"/>
        <v>8.9395200000000017</v>
      </c>
      <c r="HY758" s="281">
        <f>$HX$18+0.2*(bus_pitch*(n_rows_b&gt;0))*($HW$18*n_SA_b+$HU$9&lt;pax_b)</f>
        <v>6.5</v>
      </c>
      <c r="HZ758" s="281">
        <f>$HV$9+seat_w_b*($HW$18*n_SA_b+$HU$9&lt;pax_b)</f>
        <v>-1.84</v>
      </c>
      <c r="IA758" s="281">
        <f t="shared" si="139"/>
        <v>-11.310479999999998</v>
      </c>
    </row>
    <row r="759" spans="65:235" x14ac:dyDescent="0.25">
      <c r="BM759" s="281">
        <f>$AZ$39+0.2*(seat_pitch)*($AY$39*n_SA+$AW$6&lt;pax_e)</f>
        <v>26.102</v>
      </c>
      <c r="BN759" s="281">
        <f>$AX$6</f>
        <v>-1.31</v>
      </c>
      <c r="BO759" s="281">
        <f t="shared" si="138"/>
        <v>8.291520000000002</v>
      </c>
      <c r="HY759" s="281">
        <f>$HX$18</f>
        <v>6.5</v>
      </c>
      <c r="HZ759" s="281">
        <f>$HV$9+seat_w_b*($HW$18*n_SA_b+$HU$9&lt;pax_b)</f>
        <v>-1.84</v>
      </c>
      <c r="IA759" s="281">
        <f t="shared" si="139"/>
        <v>-11.310479999999998</v>
      </c>
    </row>
    <row r="760" spans="65:235" x14ac:dyDescent="0.25">
      <c r="BM760" s="281">
        <f>$AZ$39+0.2*(seat_pitch)*($AY$39*n_SA+$AW$6&lt;pax_e)</f>
        <v>26.102</v>
      </c>
      <c r="BN760" s="281">
        <f>$AX$6+seat_w*($AY$39*n_SA+$AW$6&lt;pax_e)</f>
        <v>-0.78</v>
      </c>
      <c r="BO760" s="281">
        <f t="shared" si="138"/>
        <v>8.291520000000002</v>
      </c>
      <c r="HY760" s="281">
        <f>$HX$18+1*(bus_pitch*(n_rows_b&gt;0))*($HW$18*n_SA_b+$HU$9&lt;pax_b)</f>
        <v>6.5</v>
      </c>
      <c r="HZ760" s="281">
        <f>$HV$9+seat_w_b*($HW$18*n_SA_b+$HU$9&lt;pax_b)</f>
        <v>-1.84</v>
      </c>
      <c r="IA760" s="281">
        <f t="shared" si="139"/>
        <v>-11.310479999999998</v>
      </c>
    </row>
    <row r="761" spans="65:235" x14ac:dyDescent="0.25">
      <c r="BM761" s="281">
        <f>$AZ$39</f>
        <v>25.94</v>
      </c>
      <c r="BN761" s="281">
        <f>$AX$6+seat_w*($AY$39*n_SA+$AW$6&lt;pax_e)</f>
        <v>-0.78</v>
      </c>
      <c r="BO761" s="281">
        <f t="shared" si="138"/>
        <v>8.129520000000003</v>
      </c>
      <c r="HY761" s="281">
        <f>$HX$18+0.8*(bus_pitch*(n_rows_b&gt;0))*($HW$18*n_SA_b+$HU$9&lt;pax_b)</f>
        <v>6.5</v>
      </c>
      <c r="HZ761" s="281">
        <f>$HV$9+seat_w_b*($HW$18*n_SA_b+$HU$9&lt;pax_b)</f>
        <v>-1.84</v>
      </c>
      <c r="IA761" s="281">
        <f t="shared" si="139"/>
        <v>-11.310479999999998</v>
      </c>
    </row>
    <row r="762" spans="65:235" x14ac:dyDescent="0.25">
      <c r="BM762" s="281">
        <f>$AZ$39+1*(seat_pitch)*($AY$39*n_SA+$AW$6&lt;pax_e)</f>
        <v>26.75</v>
      </c>
      <c r="BN762" s="281">
        <f>$AX$6+seat_w*($AY$39*n_SA+$AW$6&lt;pax_e)</f>
        <v>-0.78</v>
      </c>
      <c r="BO762" s="281">
        <f t="shared" si="138"/>
        <v>8.9395200000000017</v>
      </c>
      <c r="HY762" s="281">
        <f>$HX$18+0.8*(bus_pitch*(n_rows_b&gt;0))*($HW$18*n_SA_b+$HU$9&lt;pax_b)</f>
        <v>6.5</v>
      </c>
      <c r="HZ762" s="281">
        <f>$HV$9</f>
        <v>-1.84</v>
      </c>
      <c r="IA762" s="281">
        <f t="shared" si="139"/>
        <v>-11.310479999999998</v>
      </c>
    </row>
    <row r="763" spans="65:235" x14ac:dyDescent="0.25">
      <c r="BM763" s="281">
        <f>$AZ$39+0.8*(seat_pitch)*($AY$39*n_SA+$AW$6&lt;pax_e)</f>
        <v>26.588000000000001</v>
      </c>
      <c r="BN763" s="281">
        <f>$AX$6+seat_w*($AY$39*n_SA+$AW$6&lt;pax_e)</f>
        <v>-0.78</v>
      </c>
      <c r="BO763" s="281">
        <f t="shared" si="138"/>
        <v>8.7775200000000027</v>
      </c>
      <c r="HY763" s="281">
        <f>$HX$18+0.2*(bus_pitch*(n_rows_b&gt;0))*($HW$18*n_SA_b+$HU$9&lt;pax_b)</f>
        <v>6.5</v>
      </c>
      <c r="HZ763" s="281">
        <f>$HV$9</f>
        <v>-1.84</v>
      </c>
      <c r="IA763" s="281">
        <f t="shared" si="139"/>
        <v>-11.310479999999998</v>
      </c>
    </row>
    <row r="764" spans="65:235" x14ac:dyDescent="0.25">
      <c r="BM764" s="281">
        <f>$AZ$39+0.8*(seat_pitch)*($AY$39*n_SA+$AW$6&lt;pax_e)</f>
        <v>26.588000000000001</v>
      </c>
      <c r="BN764" s="281">
        <f>$AX$6</f>
        <v>-1.31</v>
      </c>
      <c r="BO764" s="281">
        <f t="shared" si="138"/>
        <v>8.7775200000000027</v>
      </c>
      <c r="HY764" s="281">
        <f>$HX$18+(bus_pitch*(n_rows_b&gt;0))</f>
        <v>6.5</v>
      </c>
      <c r="HZ764" s="281">
        <f>$HV$9</f>
        <v>-1.84</v>
      </c>
      <c r="IA764" s="281">
        <f t="shared" si="139"/>
        <v>-11.310479999999998</v>
      </c>
    </row>
    <row r="765" spans="65:235" x14ac:dyDescent="0.25">
      <c r="BM765" s="281">
        <f>$AZ$39+0.2*(seat_pitch)*($AY$39*n_SA+$AW$6&lt;pax_e)</f>
        <v>26.102</v>
      </c>
      <c r="BN765" s="281">
        <f>$AX$6</f>
        <v>-1.31</v>
      </c>
      <c r="BO765" s="281">
        <f t="shared" si="138"/>
        <v>8.291520000000002</v>
      </c>
      <c r="HY765" s="281">
        <f>$HX$19+0.2*(bus_pitch*(n_rows_b&gt;0))*($HW$19*n_SA_b+$HU$9&lt;pax_b)</f>
        <v>6.5</v>
      </c>
      <c r="HZ765" s="281">
        <f>$HV$9</f>
        <v>-1.84</v>
      </c>
      <c r="IA765" s="281">
        <f t="shared" si="139"/>
        <v>-11.310479999999998</v>
      </c>
    </row>
    <row r="766" spans="65:235" x14ac:dyDescent="0.25">
      <c r="BM766" s="281">
        <f>$AZ$39+(seat_pitch)</f>
        <v>26.75</v>
      </c>
      <c r="BN766" s="281">
        <f>$AX$6</f>
        <v>-1.31</v>
      </c>
      <c r="BO766" s="281">
        <f t="shared" si="138"/>
        <v>8.9395200000000017</v>
      </c>
      <c r="HY766" s="281">
        <f>$HX$19+0.2*(bus_pitch*(n_rows_b&gt;0))*($HW$19*n_SA_b+$HU$9&lt;pax_b)</f>
        <v>6.5</v>
      </c>
      <c r="HZ766" s="281">
        <f>$HV$9+seat_w_b*($HW$19*n_SA_b+$HU$9&lt;pax_b)</f>
        <v>-1.84</v>
      </c>
      <c r="IA766" s="281">
        <f t="shared" si="139"/>
        <v>-11.310479999999998</v>
      </c>
    </row>
    <row r="767" spans="65:235" x14ac:dyDescent="0.25">
      <c r="BM767" s="281">
        <f>$AZ$40+0.2*(seat_pitch)*($AY$40*n_SA+$AW$6&lt;pax_e)</f>
        <v>26.102</v>
      </c>
      <c r="BN767" s="281">
        <f>$AX$6</f>
        <v>-1.31</v>
      </c>
      <c r="BO767" s="281">
        <f t="shared" si="138"/>
        <v>8.291520000000002</v>
      </c>
      <c r="HY767" s="281">
        <f>$HX$19</f>
        <v>6.5</v>
      </c>
      <c r="HZ767" s="281">
        <f>$HV$9+seat_w_b*($HW$19*n_SA_b+$HU$9&lt;pax_b)</f>
        <v>-1.84</v>
      </c>
      <c r="IA767" s="281">
        <f t="shared" si="139"/>
        <v>-11.310479999999998</v>
      </c>
    </row>
    <row r="768" spans="65:235" x14ac:dyDescent="0.25">
      <c r="BM768" s="281">
        <f>$AZ$40+0.2*(seat_pitch)*($AY$40*n_SA+$AW$6&lt;pax_e)</f>
        <v>26.102</v>
      </c>
      <c r="BN768" s="281">
        <f>$AX$6+seat_w*($AY$40*n_SA+$AW$6&lt;pax_e)</f>
        <v>-0.78</v>
      </c>
      <c r="BO768" s="281">
        <f t="shared" si="138"/>
        <v>8.291520000000002</v>
      </c>
      <c r="HY768" s="281">
        <f>$HX$19+1*(bus_pitch*(n_rows_b&gt;0))*($HW$19*n_SA_b+$HU$9&lt;pax_b)</f>
        <v>6.5</v>
      </c>
      <c r="HZ768" s="281">
        <f>$HV$9+seat_w_b*($HW$19*n_SA_b+$HU$9&lt;pax_b)</f>
        <v>-1.84</v>
      </c>
      <c r="IA768" s="281">
        <f t="shared" si="139"/>
        <v>-11.310479999999998</v>
      </c>
    </row>
    <row r="769" spans="65:235" x14ac:dyDescent="0.25">
      <c r="BM769" s="281">
        <f>$AZ$40</f>
        <v>25.94</v>
      </c>
      <c r="BN769" s="281">
        <f>$AX$6+seat_w*($AY$40*n_SA+$AW$6&lt;pax_e)</f>
        <v>-0.78</v>
      </c>
      <c r="BO769" s="281">
        <f t="shared" si="138"/>
        <v>8.129520000000003</v>
      </c>
      <c r="HY769" s="281">
        <f>$HX$19+0.8*(bus_pitch*(n_rows_b&gt;0))*($HW$19*n_SA_b+$HU$9&lt;pax_b)</f>
        <v>6.5</v>
      </c>
      <c r="HZ769" s="281">
        <f>$HV$9+seat_w_b*($HW$19*n_SA_b+$HU$9&lt;pax_b)</f>
        <v>-1.84</v>
      </c>
      <c r="IA769" s="281">
        <f t="shared" si="139"/>
        <v>-11.310479999999998</v>
      </c>
    </row>
    <row r="770" spans="65:235" x14ac:dyDescent="0.25">
      <c r="BM770" s="281">
        <f>$AZ$40+1*(seat_pitch)*($AY$40*n_SA+$AW$6&lt;pax_e)</f>
        <v>26.75</v>
      </c>
      <c r="BN770" s="281">
        <f>$AX$6+seat_w*($AY$40*n_SA+$AW$6&lt;pax_e)</f>
        <v>-0.78</v>
      </c>
      <c r="BO770" s="281">
        <f t="shared" si="138"/>
        <v>8.9395200000000017</v>
      </c>
      <c r="HY770" s="281">
        <f>$HX$19+0.8*(bus_pitch*(n_rows_b&gt;0))*($HW$19*n_SA_b+$HU$9&lt;pax_b)</f>
        <v>6.5</v>
      </c>
      <c r="HZ770" s="281">
        <f>$HV$9</f>
        <v>-1.84</v>
      </c>
      <c r="IA770" s="281">
        <f t="shared" si="139"/>
        <v>-11.310479999999998</v>
      </c>
    </row>
    <row r="771" spans="65:235" x14ac:dyDescent="0.25">
      <c r="BM771" s="281">
        <f>$AZ$40+0.8*(seat_pitch)*($AY$40*n_SA+$AW$6&lt;pax_e)</f>
        <v>26.588000000000001</v>
      </c>
      <c r="BN771" s="281">
        <f>$AX$6+seat_w*($AY$40*n_SA+$AW$6&lt;pax_e)</f>
        <v>-0.78</v>
      </c>
      <c r="BO771" s="281">
        <f t="shared" si="138"/>
        <v>8.7775200000000027</v>
      </c>
      <c r="HY771" s="281">
        <f>$HX$19+0.2*(bus_pitch*(n_rows_b&gt;0))*($HW$19*n_SA_b+$HU$9&lt;pax_b)</f>
        <v>6.5</v>
      </c>
      <c r="HZ771" s="281">
        <f>$HV$9</f>
        <v>-1.84</v>
      </c>
      <c r="IA771" s="281">
        <f t="shared" si="139"/>
        <v>-11.310479999999998</v>
      </c>
    </row>
    <row r="772" spans="65:235" x14ac:dyDescent="0.25">
      <c r="BM772" s="281">
        <f>$AZ$40+0.8*(seat_pitch)*($AY$40*n_SA+$AW$6&lt;pax_e)</f>
        <v>26.588000000000001</v>
      </c>
      <c r="BN772" s="281">
        <f>$AX$6</f>
        <v>-1.31</v>
      </c>
      <c r="BO772" s="281">
        <f t="shared" si="138"/>
        <v>8.7775200000000027</v>
      </c>
      <c r="HY772" s="281">
        <f>$HX$19+(bus_pitch*(n_rows_b&gt;0))</f>
        <v>6.5</v>
      </c>
      <c r="HZ772" s="281">
        <f>$HV$9</f>
        <v>-1.84</v>
      </c>
      <c r="IA772" s="281">
        <f t="shared" si="139"/>
        <v>-11.310479999999998</v>
      </c>
    </row>
    <row r="773" spans="65:235" x14ac:dyDescent="0.25">
      <c r="BM773" s="281">
        <f>$AZ$40+0.2*(seat_pitch)*($AY$40*n_SA+$AW$6&lt;pax_e)</f>
        <v>26.102</v>
      </c>
      <c r="BN773" s="281">
        <f>$AX$6</f>
        <v>-1.31</v>
      </c>
      <c r="BO773" s="281">
        <f t="shared" ref="BO773:BO836" si="140">BM773-L_fus/2</f>
        <v>8.291520000000002</v>
      </c>
      <c r="HY773" s="281">
        <f>$HX$20+0.2*(bus_pitch*(n_rows_b&gt;0))*($HW$20*n_SA_b+$HU$9&lt;pax_b)</f>
        <v>6.5</v>
      </c>
      <c r="HZ773" s="281">
        <f>$HV$9</f>
        <v>-1.84</v>
      </c>
      <c r="IA773" s="281">
        <f t="shared" ref="IA773:IA836" si="141">HY773-L_fus/2</f>
        <v>-11.310479999999998</v>
      </c>
    </row>
    <row r="774" spans="65:235" x14ac:dyDescent="0.25">
      <c r="BM774" s="281">
        <f>$AZ$40+(seat_pitch)</f>
        <v>26.75</v>
      </c>
      <c r="BN774" s="281">
        <f>$AX$6</f>
        <v>-1.31</v>
      </c>
      <c r="BO774" s="281">
        <f t="shared" si="140"/>
        <v>8.9395200000000017</v>
      </c>
      <c r="HY774" s="281">
        <f>$HX$20+0.2*(bus_pitch*(n_rows_b&gt;0))*($HW$20*n_SA_b+$HU$9&lt;pax_b)</f>
        <v>6.5</v>
      </c>
      <c r="HZ774" s="281">
        <f>$HV$9+seat_w_b*($HW$20*n_SA_b+$HU$9&lt;pax_b)</f>
        <v>-1.84</v>
      </c>
      <c r="IA774" s="281">
        <f t="shared" si="141"/>
        <v>-11.310479999999998</v>
      </c>
    </row>
    <row r="775" spans="65:235" x14ac:dyDescent="0.25">
      <c r="BM775" s="281">
        <f>$AZ$41+0.2*(seat_pitch)*($AY$41*n_SA+$AW$6&lt;pax_e)</f>
        <v>26.102</v>
      </c>
      <c r="BN775" s="281">
        <f>$AX$6</f>
        <v>-1.31</v>
      </c>
      <c r="BO775" s="281">
        <f t="shared" si="140"/>
        <v>8.291520000000002</v>
      </c>
      <c r="HY775" s="281">
        <f>$HX$20</f>
        <v>6.5</v>
      </c>
      <c r="HZ775" s="281">
        <f>$HV$9+seat_w_b*($HW$20*n_SA_b+$HU$9&lt;pax_b)</f>
        <v>-1.84</v>
      </c>
      <c r="IA775" s="281">
        <f t="shared" si="141"/>
        <v>-11.310479999999998</v>
      </c>
    </row>
    <row r="776" spans="65:235" x14ac:dyDescent="0.25">
      <c r="BM776" s="281">
        <f>$AZ$41+0.2*(seat_pitch)*($AY$41*n_SA+$AW$6&lt;pax_e)</f>
        <v>26.102</v>
      </c>
      <c r="BN776" s="281">
        <f>$AX$6+seat_w*($AY$41*n_SA+$AW$6&lt;pax_e)</f>
        <v>-0.78</v>
      </c>
      <c r="BO776" s="281">
        <f t="shared" si="140"/>
        <v>8.291520000000002</v>
      </c>
      <c r="HY776" s="281">
        <f>$HX$20+1*(bus_pitch*(n_rows_b&gt;0))*($HW$20*n_SA_b+$HU$9&lt;pax_b)</f>
        <v>6.5</v>
      </c>
      <c r="HZ776" s="281">
        <f>$HV$9+seat_w_b*($HW$20*n_SA_b+$HU$9&lt;pax_b)</f>
        <v>-1.84</v>
      </c>
      <c r="IA776" s="281">
        <f t="shared" si="141"/>
        <v>-11.310479999999998</v>
      </c>
    </row>
    <row r="777" spans="65:235" x14ac:dyDescent="0.25">
      <c r="BM777" s="281">
        <f>$AZ$41</f>
        <v>25.94</v>
      </c>
      <c r="BN777" s="281">
        <f>$AX$6+seat_w*($AY$41*n_SA+$AW$6&lt;pax_e)</f>
        <v>-0.78</v>
      </c>
      <c r="BO777" s="281">
        <f t="shared" si="140"/>
        <v>8.129520000000003</v>
      </c>
      <c r="HY777" s="281">
        <f>$HX$20+0.8*(bus_pitch*(n_rows_b&gt;0))*($HW$20*n_SA_b+$HU$9&lt;pax_b)</f>
        <v>6.5</v>
      </c>
      <c r="HZ777" s="281">
        <f>$HV$9+seat_w_b*($HW$20*n_SA_b+$HU$9&lt;pax_b)</f>
        <v>-1.84</v>
      </c>
      <c r="IA777" s="281">
        <f t="shared" si="141"/>
        <v>-11.310479999999998</v>
      </c>
    </row>
    <row r="778" spans="65:235" x14ac:dyDescent="0.25">
      <c r="BM778" s="281">
        <f>$AZ$41+1*(seat_pitch)*($AY$41*n_SA+$AW$6&lt;pax_e)</f>
        <v>26.75</v>
      </c>
      <c r="BN778" s="281">
        <f>$AX$6+seat_w*($AY$41*n_SA+$AW$6&lt;pax_e)</f>
        <v>-0.78</v>
      </c>
      <c r="BO778" s="281">
        <f t="shared" si="140"/>
        <v>8.9395200000000017</v>
      </c>
      <c r="HY778" s="281">
        <f>$HX$20+0.8*(bus_pitch*(n_rows_b&gt;0))*($HW$20*n_SA_b+$HU$9&lt;pax_b)</f>
        <v>6.5</v>
      </c>
      <c r="HZ778" s="281">
        <f>$HV$9</f>
        <v>-1.84</v>
      </c>
      <c r="IA778" s="281">
        <f t="shared" si="141"/>
        <v>-11.310479999999998</v>
      </c>
    </row>
    <row r="779" spans="65:235" x14ac:dyDescent="0.25">
      <c r="BM779" s="281">
        <f>$AZ$41+0.8*(seat_pitch)*($AY$41*n_SA+$AW$6&lt;pax_e)</f>
        <v>26.588000000000001</v>
      </c>
      <c r="BN779" s="281">
        <f>$AX$6+seat_w*($AY$41*n_SA+$AW$6&lt;pax_e)</f>
        <v>-0.78</v>
      </c>
      <c r="BO779" s="281">
        <f t="shared" si="140"/>
        <v>8.7775200000000027</v>
      </c>
      <c r="HY779" s="281">
        <f>$HX$20+0.2*(bus_pitch*(n_rows_b&gt;0))*($HW$20*n_SA_b+$HU$9&lt;pax_b)</f>
        <v>6.5</v>
      </c>
      <c r="HZ779" s="281">
        <f>$HV$9</f>
        <v>-1.84</v>
      </c>
      <c r="IA779" s="281">
        <f t="shared" si="141"/>
        <v>-11.310479999999998</v>
      </c>
    </row>
    <row r="780" spans="65:235" x14ac:dyDescent="0.25">
      <c r="BM780" s="281">
        <f>$AZ$41+0.8*(seat_pitch)*($AY$41*n_SA+$AW$6&lt;pax_e)</f>
        <v>26.588000000000001</v>
      </c>
      <c r="BN780" s="281">
        <f>$AX$6</f>
        <v>-1.31</v>
      </c>
      <c r="BO780" s="281">
        <f t="shared" si="140"/>
        <v>8.7775200000000027</v>
      </c>
      <c r="HY780" s="281">
        <f>$HX$20+(bus_pitch*(n_rows_b&gt;0))</f>
        <v>6.5</v>
      </c>
      <c r="HZ780" s="281">
        <f>$HV$9</f>
        <v>-1.84</v>
      </c>
      <c r="IA780" s="281">
        <f t="shared" si="141"/>
        <v>-11.310479999999998</v>
      </c>
    </row>
    <row r="781" spans="65:235" x14ac:dyDescent="0.25">
      <c r="BM781" s="281">
        <f>$AZ$41+0.2*(seat_pitch)*($AY$41*n_SA+$AW$6&lt;pax_e)</f>
        <v>26.102</v>
      </c>
      <c r="BN781" s="281">
        <f>$AX$6</f>
        <v>-1.31</v>
      </c>
      <c r="BO781" s="281">
        <f t="shared" si="140"/>
        <v>8.291520000000002</v>
      </c>
      <c r="HY781" s="281">
        <f>$HX$21+0.2*(bus_pitch*(n_rows_b&gt;0))*($HW$21*n_SA_b+$HU$9&lt;pax_b)</f>
        <v>6.5</v>
      </c>
      <c r="HZ781" s="281">
        <f>$HV$9</f>
        <v>-1.84</v>
      </c>
      <c r="IA781" s="281">
        <f t="shared" si="141"/>
        <v>-11.310479999999998</v>
      </c>
    </row>
    <row r="782" spans="65:235" x14ac:dyDescent="0.25">
      <c r="BM782" s="281">
        <f>$AZ$41+(seat_pitch)</f>
        <v>26.75</v>
      </c>
      <c r="BN782" s="281">
        <f>$AX$6</f>
        <v>-1.31</v>
      </c>
      <c r="BO782" s="281">
        <f t="shared" si="140"/>
        <v>8.9395200000000017</v>
      </c>
      <c r="HY782" s="281">
        <f>$HX$21+0.2*(bus_pitch*(n_rows_b&gt;0))*($HW$21*n_SA_b+$HU$9&lt;pax_b)</f>
        <v>6.5</v>
      </c>
      <c r="HZ782" s="281">
        <f>$HV$9+seat_w_b*($HW$21*n_SA_b+$HU$9&lt;pax_b)</f>
        <v>-1.84</v>
      </c>
      <c r="IA782" s="281">
        <f t="shared" si="141"/>
        <v>-11.310479999999998</v>
      </c>
    </row>
    <row r="783" spans="65:235" x14ac:dyDescent="0.25">
      <c r="BM783" s="281">
        <f>$AZ$42+0.2*(seat_pitch)*($AY$42*n_SA+$AW$6&lt;pax_e)</f>
        <v>26.102</v>
      </c>
      <c r="BN783" s="281">
        <f>$AX$6</f>
        <v>-1.31</v>
      </c>
      <c r="BO783" s="281">
        <f t="shared" si="140"/>
        <v>8.291520000000002</v>
      </c>
      <c r="HY783" s="281">
        <f>$HX$21</f>
        <v>6.5</v>
      </c>
      <c r="HZ783" s="281">
        <f>$HV$9+seat_w_b*($HW$21*n_SA_b+$HU$9&lt;pax_b)</f>
        <v>-1.84</v>
      </c>
      <c r="IA783" s="281">
        <f t="shared" si="141"/>
        <v>-11.310479999999998</v>
      </c>
    </row>
    <row r="784" spans="65:235" x14ac:dyDescent="0.25">
      <c r="BM784" s="281">
        <f>$AZ$42+0.2*(seat_pitch)*($AY$42*n_SA+$AW$6&lt;pax_e)</f>
        <v>26.102</v>
      </c>
      <c r="BN784" s="281">
        <f>$AX$6+seat_w*($AY$42*n_SA+$AW$6&lt;pax_e)</f>
        <v>-0.78</v>
      </c>
      <c r="BO784" s="281">
        <f t="shared" si="140"/>
        <v>8.291520000000002</v>
      </c>
      <c r="HY784" s="281">
        <f>$HX$21+1*(bus_pitch*(n_rows_b&gt;0))*($HW$21*n_SA_b+$HU$9&lt;pax_b)</f>
        <v>6.5</v>
      </c>
      <c r="HZ784" s="281">
        <f>$HV$9+seat_w_b*($HW$21*n_SA_b+$HU$9&lt;pax_b)</f>
        <v>-1.84</v>
      </c>
      <c r="IA784" s="281">
        <f t="shared" si="141"/>
        <v>-11.310479999999998</v>
      </c>
    </row>
    <row r="785" spans="65:235" x14ac:dyDescent="0.25">
      <c r="BM785" s="281">
        <f>$AZ$42</f>
        <v>25.94</v>
      </c>
      <c r="BN785" s="281">
        <f>$AX$6+seat_w*($AY$42*n_SA+$AW$6&lt;pax_e)</f>
        <v>-0.78</v>
      </c>
      <c r="BO785" s="281">
        <f t="shared" si="140"/>
        <v>8.129520000000003</v>
      </c>
      <c r="HY785" s="281">
        <f>$HX$21+0.8*(bus_pitch*(n_rows_b&gt;0))*($HW$21*n_SA_b+$HU$9&lt;pax_b)</f>
        <v>6.5</v>
      </c>
      <c r="HZ785" s="281">
        <f>$HV$9+seat_w_b*($HW$21*n_SA_b+$HU$9&lt;pax_b)</f>
        <v>-1.84</v>
      </c>
      <c r="IA785" s="281">
        <f t="shared" si="141"/>
        <v>-11.310479999999998</v>
      </c>
    </row>
    <row r="786" spans="65:235" x14ac:dyDescent="0.25">
      <c r="BM786" s="281">
        <f>$AZ$42+1*(seat_pitch)*($AY$42*n_SA+$AW$6&lt;pax_e)</f>
        <v>26.75</v>
      </c>
      <c r="BN786" s="281">
        <f>$AX$6+seat_w*($AY$42*n_SA+$AW$6&lt;pax_e)</f>
        <v>-0.78</v>
      </c>
      <c r="BO786" s="281">
        <f t="shared" si="140"/>
        <v>8.9395200000000017</v>
      </c>
      <c r="HY786" s="281">
        <f>$HX$21+0.8*(bus_pitch*(n_rows_b&gt;0))*($HW$21*n_SA_b+$HU$9&lt;pax_b)</f>
        <v>6.5</v>
      </c>
      <c r="HZ786" s="281">
        <f>$HV$9</f>
        <v>-1.84</v>
      </c>
      <c r="IA786" s="281">
        <f t="shared" si="141"/>
        <v>-11.310479999999998</v>
      </c>
    </row>
    <row r="787" spans="65:235" x14ac:dyDescent="0.25">
      <c r="BM787" s="281">
        <f>$AZ$42+0.8*(seat_pitch)*($AY$42*n_SA+$AW$6&lt;pax_e)</f>
        <v>26.588000000000001</v>
      </c>
      <c r="BN787" s="281">
        <f>$AX$6+seat_w*($AY$42*n_SA+$AW$6&lt;pax_e)</f>
        <v>-0.78</v>
      </c>
      <c r="BO787" s="281">
        <f t="shared" si="140"/>
        <v>8.7775200000000027</v>
      </c>
      <c r="HY787" s="281">
        <f>$HX$21+0.2*(bus_pitch*(n_rows_b&gt;0))*($HW$21*n_SA_b+$HU$9&lt;pax_b)</f>
        <v>6.5</v>
      </c>
      <c r="HZ787" s="281">
        <f>$HV$9</f>
        <v>-1.84</v>
      </c>
      <c r="IA787" s="281">
        <f t="shared" si="141"/>
        <v>-11.310479999999998</v>
      </c>
    </row>
    <row r="788" spans="65:235" x14ac:dyDescent="0.25">
      <c r="BM788" s="281">
        <f>$AZ$42+0.8*(seat_pitch)*($AY$42*n_SA+$AW$6&lt;pax_e)</f>
        <v>26.588000000000001</v>
      </c>
      <c r="BN788" s="281">
        <f>$AX$6</f>
        <v>-1.31</v>
      </c>
      <c r="BO788" s="281">
        <f t="shared" si="140"/>
        <v>8.7775200000000027</v>
      </c>
      <c r="HY788" s="281">
        <f>$HX$21+(bus_pitch*(n_rows_b&gt;0))</f>
        <v>6.5</v>
      </c>
      <c r="HZ788" s="281">
        <f>$HV$9</f>
        <v>-1.84</v>
      </c>
      <c r="IA788" s="281">
        <f t="shared" si="141"/>
        <v>-11.310479999999998</v>
      </c>
    </row>
    <row r="789" spans="65:235" x14ac:dyDescent="0.25">
      <c r="BM789" s="281">
        <f>$AZ$42+0.2*(seat_pitch)*($AY$42*n_SA+$AW$6&lt;pax_e)</f>
        <v>26.102</v>
      </c>
      <c r="BN789" s="281">
        <f>$AX$6</f>
        <v>-1.31</v>
      </c>
      <c r="BO789" s="281">
        <f t="shared" si="140"/>
        <v>8.291520000000002</v>
      </c>
      <c r="HY789" s="281">
        <f>$HX$22+0.2*(bus_pitch*(n_rows_b&gt;0))*($HW$22*n_SA_b+$HU$9&lt;pax_b)</f>
        <v>6.5</v>
      </c>
      <c r="HZ789" s="281">
        <f>$HV$9</f>
        <v>-1.84</v>
      </c>
      <c r="IA789" s="281">
        <f t="shared" si="141"/>
        <v>-11.310479999999998</v>
      </c>
    </row>
    <row r="790" spans="65:235" x14ac:dyDescent="0.25">
      <c r="BM790" s="281">
        <f>$AZ$42+(seat_pitch)</f>
        <v>26.75</v>
      </c>
      <c r="BN790" s="281">
        <f>$AX$6</f>
        <v>-1.31</v>
      </c>
      <c r="BO790" s="281">
        <f t="shared" si="140"/>
        <v>8.9395200000000017</v>
      </c>
      <c r="HY790" s="281">
        <f>$HX$22+0.2*(bus_pitch*(n_rows_b&gt;0))*($HW$22*n_SA_b+$HU$9&lt;pax_b)</f>
        <v>6.5</v>
      </c>
      <c r="HZ790" s="281">
        <f>$HV$9+seat_w_b*($HW$22*n_SA_b+$HU$9&lt;pax_b)</f>
        <v>-1.84</v>
      </c>
      <c r="IA790" s="281">
        <f t="shared" si="141"/>
        <v>-11.310479999999998</v>
      </c>
    </row>
    <row r="791" spans="65:235" x14ac:dyDescent="0.25">
      <c r="BM791" s="281">
        <f>$AZ$43+0.2*(seat_pitch)*($AY$43*n_SA+$AW$6&lt;pax_e)</f>
        <v>26.102</v>
      </c>
      <c r="BN791" s="281">
        <f>$AX$6</f>
        <v>-1.31</v>
      </c>
      <c r="BO791" s="281">
        <f t="shared" si="140"/>
        <v>8.291520000000002</v>
      </c>
      <c r="HY791" s="281">
        <f>$HX$22</f>
        <v>6.5</v>
      </c>
      <c r="HZ791" s="281">
        <f>$HV$9+seat_w_b*($HW$22*n_SA_b+$HU$9&lt;pax_b)</f>
        <v>-1.84</v>
      </c>
      <c r="IA791" s="281">
        <f t="shared" si="141"/>
        <v>-11.310479999999998</v>
      </c>
    </row>
    <row r="792" spans="65:235" x14ac:dyDescent="0.25">
      <c r="BM792" s="281">
        <f>$AZ$43+0.2*(seat_pitch)*($AY$43*n_SA+$AW$6&lt;pax_e)</f>
        <v>26.102</v>
      </c>
      <c r="BN792" s="281">
        <f>$AX$6+seat_w*($AY$43*n_SA+$AW$6&lt;pax_e)</f>
        <v>-0.78</v>
      </c>
      <c r="BO792" s="281">
        <f t="shared" si="140"/>
        <v>8.291520000000002</v>
      </c>
      <c r="HY792" s="281">
        <f>$HX$22+1*(bus_pitch*(n_rows_b&gt;0))*($HW$22*n_SA_b+$HU$9&lt;pax_b)</f>
        <v>6.5</v>
      </c>
      <c r="HZ792" s="281">
        <f>$HV$9+seat_w_b*($HW$22*n_SA_b+$HU$9&lt;pax_b)</f>
        <v>-1.84</v>
      </c>
      <c r="IA792" s="281">
        <f t="shared" si="141"/>
        <v>-11.310479999999998</v>
      </c>
    </row>
    <row r="793" spans="65:235" x14ac:dyDescent="0.25">
      <c r="BM793" s="281">
        <f>$AZ$43</f>
        <v>25.94</v>
      </c>
      <c r="BN793" s="281">
        <f>$AX$6+seat_w*($AY$43*n_SA+$AW$6&lt;pax_e)</f>
        <v>-0.78</v>
      </c>
      <c r="BO793" s="281">
        <f t="shared" si="140"/>
        <v>8.129520000000003</v>
      </c>
      <c r="HY793" s="281">
        <f>$HX$22+0.8*(bus_pitch*(n_rows_b&gt;0))*($HW$22*n_SA_b+$HU$9&lt;pax_b)</f>
        <v>6.5</v>
      </c>
      <c r="HZ793" s="281">
        <f>$HV$9+seat_w_b*($HW$22*n_SA_b+$HU$9&lt;pax_b)</f>
        <v>-1.84</v>
      </c>
      <c r="IA793" s="281">
        <f t="shared" si="141"/>
        <v>-11.310479999999998</v>
      </c>
    </row>
    <row r="794" spans="65:235" x14ac:dyDescent="0.25">
      <c r="BM794" s="281">
        <f>$AZ$43+1*(seat_pitch)*($AY$43*n_SA+$AW$6&lt;pax_e)</f>
        <v>26.75</v>
      </c>
      <c r="BN794" s="281">
        <f>$AX$6+seat_w*($AY$43*n_SA+$AW$6&lt;pax_e)</f>
        <v>-0.78</v>
      </c>
      <c r="BO794" s="281">
        <f t="shared" si="140"/>
        <v>8.9395200000000017</v>
      </c>
      <c r="HY794" s="281">
        <f>$HX$22+0.8*(bus_pitch*(n_rows_b&gt;0))*($HW$22*n_SA_b+$HU$9&lt;pax_b)</f>
        <v>6.5</v>
      </c>
      <c r="HZ794" s="281">
        <f>$HV$9</f>
        <v>-1.84</v>
      </c>
      <c r="IA794" s="281">
        <f t="shared" si="141"/>
        <v>-11.310479999999998</v>
      </c>
    </row>
    <row r="795" spans="65:235" x14ac:dyDescent="0.25">
      <c r="BM795" s="281">
        <f>$AZ$43+0.8*(seat_pitch)*($AY$43*n_SA+$AW$6&lt;pax_e)</f>
        <v>26.588000000000001</v>
      </c>
      <c r="BN795" s="281">
        <f>$AX$6+seat_w*($AY$43*n_SA+$AW$6&lt;pax_e)</f>
        <v>-0.78</v>
      </c>
      <c r="BO795" s="281">
        <f t="shared" si="140"/>
        <v>8.7775200000000027</v>
      </c>
      <c r="HY795" s="281">
        <f>$HX$22+0.2*(bus_pitch*(n_rows_b&gt;0))*($HW$22*n_SA_b+$HU$9&lt;pax_b)</f>
        <v>6.5</v>
      </c>
      <c r="HZ795" s="281">
        <f>$HV$9</f>
        <v>-1.84</v>
      </c>
      <c r="IA795" s="281">
        <f t="shared" si="141"/>
        <v>-11.310479999999998</v>
      </c>
    </row>
    <row r="796" spans="65:235" x14ac:dyDescent="0.25">
      <c r="BM796" s="281">
        <f>$AZ$43+0.8*(seat_pitch)*($AY$43*n_SA+$AW$6&lt;pax_e)</f>
        <v>26.588000000000001</v>
      </c>
      <c r="BN796" s="281">
        <f>$AX$6</f>
        <v>-1.31</v>
      </c>
      <c r="BO796" s="281">
        <f t="shared" si="140"/>
        <v>8.7775200000000027</v>
      </c>
      <c r="HY796" s="281">
        <f>$HX$22+(bus_pitch*(n_rows_b&gt;0))</f>
        <v>6.5</v>
      </c>
      <c r="HZ796" s="281">
        <f>$HV$9</f>
        <v>-1.84</v>
      </c>
      <c r="IA796" s="281">
        <f t="shared" si="141"/>
        <v>-11.310479999999998</v>
      </c>
    </row>
    <row r="797" spans="65:235" x14ac:dyDescent="0.25">
      <c r="BM797" s="281">
        <f>$AZ$43+0.2*(seat_pitch)*($AY$43*n_SA+$AW$6&lt;pax_e)</f>
        <v>26.102</v>
      </c>
      <c r="BN797" s="281">
        <f>$AX$6</f>
        <v>-1.31</v>
      </c>
      <c r="BO797" s="281">
        <f t="shared" si="140"/>
        <v>8.291520000000002</v>
      </c>
      <c r="HY797" s="281">
        <f>$HX$23+0.2*(bus_pitch*(n_rows_b&gt;0))*($HW$23*n_SA_b+$HU$9&lt;pax_b)</f>
        <v>6.5</v>
      </c>
      <c r="HZ797" s="281">
        <f>$HV$9</f>
        <v>-1.84</v>
      </c>
      <c r="IA797" s="281">
        <f t="shared" si="141"/>
        <v>-11.310479999999998</v>
      </c>
    </row>
    <row r="798" spans="65:235" x14ac:dyDescent="0.25">
      <c r="BM798" s="281">
        <f>$AZ$43+(seat_pitch)</f>
        <v>26.75</v>
      </c>
      <c r="BN798" s="281">
        <f>$AX$6</f>
        <v>-1.31</v>
      </c>
      <c r="BO798" s="281">
        <f t="shared" si="140"/>
        <v>8.9395200000000017</v>
      </c>
      <c r="HY798" s="281">
        <f>$HX$23+0.2*(bus_pitch*(n_rows_b&gt;0))*($HW$23*n_SA_b+$HU$9&lt;pax_b)</f>
        <v>6.5</v>
      </c>
      <c r="HZ798" s="281">
        <f>$HV$9+seat_w_b*($HW$23*n_SA_b+$HU$9&lt;pax_b)</f>
        <v>-1.84</v>
      </c>
      <c r="IA798" s="281">
        <f t="shared" si="141"/>
        <v>-11.310479999999998</v>
      </c>
    </row>
    <row r="799" spans="65:235" x14ac:dyDescent="0.25">
      <c r="BM799" s="281">
        <f>$AZ$44+0.2*(seat_pitch)*($AY$44*n_SA+$AW$6&lt;pax_e)</f>
        <v>26.102</v>
      </c>
      <c r="BN799" s="281">
        <f>$AX$6</f>
        <v>-1.31</v>
      </c>
      <c r="BO799" s="281">
        <f t="shared" si="140"/>
        <v>8.291520000000002</v>
      </c>
      <c r="HY799" s="281">
        <f>$HX$23</f>
        <v>6.5</v>
      </c>
      <c r="HZ799" s="281">
        <f>$HV$9+seat_w_b*($HW$23*n_SA_b+$HU$9&lt;pax_b)</f>
        <v>-1.84</v>
      </c>
      <c r="IA799" s="281">
        <f t="shared" si="141"/>
        <v>-11.310479999999998</v>
      </c>
    </row>
    <row r="800" spans="65:235" x14ac:dyDescent="0.25">
      <c r="BM800" s="281">
        <f>$AZ$44+0.2*(seat_pitch)*($AY$44*n_SA+$AW$6&lt;pax_e)</f>
        <v>26.102</v>
      </c>
      <c r="BN800" s="281">
        <f>$AX$6+seat_w*($AY$44*n_SA+$AW$6&lt;pax_e)</f>
        <v>-0.78</v>
      </c>
      <c r="BO800" s="281">
        <f t="shared" si="140"/>
        <v>8.291520000000002</v>
      </c>
      <c r="HY800" s="281">
        <f>$HX$23+1*(bus_pitch*(n_rows_b&gt;0))*($HW$23*n_SA_b+$HU$9&lt;pax_b)</f>
        <v>6.5</v>
      </c>
      <c r="HZ800" s="281">
        <f>$HV$9+seat_w_b*($HW$23*n_SA_b+$HU$9&lt;pax_b)</f>
        <v>-1.84</v>
      </c>
      <c r="IA800" s="281">
        <f t="shared" si="141"/>
        <v>-11.310479999999998</v>
      </c>
    </row>
    <row r="801" spans="65:235" x14ac:dyDescent="0.25">
      <c r="BM801" s="281">
        <f>$AZ$44</f>
        <v>25.94</v>
      </c>
      <c r="BN801" s="281">
        <f>$AX$6+seat_w*($AY$44*n_SA+$AW$6&lt;pax_e)</f>
        <v>-0.78</v>
      </c>
      <c r="BO801" s="281">
        <f t="shared" si="140"/>
        <v>8.129520000000003</v>
      </c>
      <c r="HY801" s="281">
        <f>$HX$23+0.8*(bus_pitch*(n_rows_b&gt;0))*($HW$23*n_SA_b+$HU$9&lt;pax_b)</f>
        <v>6.5</v>
      </c>
      <c r="HZ801" s="281">
        <f>$HV$9+seat_w_b*($HW$23*n_SA_b+$HU$9&lt;pax_b)</f>
        <v>-1.84</v>
      </c>
      <c r="IA801" s="281">
        <f t="shared" si="141"/>
        <v>-11.310479999999998</v>
      </c>
    </row>
    <row r="802" spans="65:235" x14ac:dyDescent="0.25">
      <c r="BM802" s="281">
        <f>$AZ$44+1*(seat_pitch)*($AY$44*n_SA+$AW$6&lt;pax_e)</f>
        <v>26.75</v>
      </c>
      <c r="BN802" s="281">
        <f>$AX$6+seat_w*($AY$44*n_SA+$AW$6&lt;pax_e)</f>
        <v>-0.78</v>
      </c>
      <c r="BO802" s="281">
        <f t="shared" si="140"/>
        <v>8.9395200000000017</v>
      </c>
      <c r="HY802" s="281">
        <f>$HX$23+0.8*(bus_pitch*(n_rows_b&gt;0))*($HW$23*n_SA_b+$HU$9&lt;pax_b)</f>
        <v>6.5</v>
      </c>
      <c r="HZ802" s="281">
        <f>$HV$9</f>
        <v>-1.84</v>
      </c>
      <c r="IA802" s="281">
        <f t="shared" si="141"/>
        <v>-11.310479999999998</v>
      </c>
    </row>
    <row r="803" spans="65:235" x14ac:dyDescent="0.25">
      <c r="BM803" s="281">
        <f>$AZ$44+0.8*(seat_pitch)*($AY$44*n_SA+$AW$6&lt;pax_e)</f>
        <v>26.588000000000001</v>
      </c>
      <c r="BN803" s="281">
        <f>$AX$6+seat_w*($AY$44*n_SA+$AW$6&lt;pax_e)</f>
        <v>-0.78</v>
      </c>
      <c r="BO803" s="281">
        <f t="shared" si="140"/>
        <v>8.7775200000000027</v>
      </c>
      <c r="HY803" s="281">
        <f>$HX$23+0.2*(bus_pitch*(n_rows_b&gt;0))*($HW$23*n_SA_b+$HU$9&lt;pax_b)</f>
        <v>6.5</v>
      </c>
      <c r="HZ803" s="281">
        <f>$HV$9</f>
        <v>-1.84</v>
      </c>
      <c r="IA803" s="281">
        <f t="shared" si="141"/>
        <v>-11.310479999999998</v>
      </c>
    </row>
    <row r="804" spans="65:235" x14ac:dyDescent="0.25">
      <c r="BM804" s="281">
        <f>$AZ$44+0.8*(seat_pitch)*($AY$44*n_SA+$AW$6&lt;pax_e)</f>
        <v>26.588000000000001</v>
      </c>
      <c r="BN804" s="281">
        <f>$AX$6</f>
        <v>-1.31</v>
      </c>
      <c r="BO804" s="281">
        <f t="shared" si="140"/>
        <v>8.7775200000000027</v>
      </c>
      <c r="HY804" s="281">
        <f>$HX$23+(bus_pitch*(n_rows_b&gt;0))</f>
        <v>6.5</v>
      </c>
      <c r="HZ804" s="281">
        <f>$HV$9</f>
        <v>-1.84</v>
      </c>
      <c r="IA804" s="281">
        <f t="shared" si="141"/>
        <v>-11.310479999999998</v>
      </c>
    </row>
    <row r="805" spans="65:235" x14ac:dyDescent="0.25">
      <c r="BM805" s="281">
        <f>$AZ$44+0.2*(seat_pitch)*($AY$44*n_SA+$AW$6&lt;pax_e)</f>
        <v>26.102</v>
      </c>
      <c r="BN805" s="281">
        <f>$AX$6</f>
        <v>-1.31</v>
      </c>
      <c r="BO805" s="281">
        <f t="shared" si="140"/>
        <v>8.291520000000002</v>
      </c>
      <c r="HY805" s="281">
        <f>$HX$24+0.2*(bus_pitch*(n_rows_b&gt;0))*($HW$24*n_SA_b+$HU$9&lt;pax_b)</f>
        <v>6.5</v>
      </c>
      <c r="HZ805" s="281">
        <f>$HV$9</f>
        <v>-1.84</v>
      </c>
      <c r="IA805" s="281">
        <f t="shared" si="141"/>
        <v>-11.310479999999998</v>
      </c>
    </row>
    <row r="806" spans="65:235" x14ac:dyDescent="0.25">
      <c r="BM806" s="281">
        <f>$AZ$44+(seat_pitch)</f>
        <v>26.75</v>
      </c>
      <c r="BN806" s="281">
        <f>$AX$6</f>
        <v>-1.31</v>
      </c>
      <c r="BO806" s="281">
        <f t="shared" si="140"/>
        <v>8.9395200000000017</v>
      </c>
      <c r="HY806" s="281">
        <f>$HX$24+0.2*(bus_pitch*(n_rows_b&gt;0))*($HW$24*n_SA_b+$HU$9&lt;pax_b)</f>
        <v>6.5</v>
      </c>
      <c r="HZ806" s="281">
        <f>$HV$9+seat_w_b*($HW$24*n_SA_b+$HU$9&lt;pax_b)</f>
        <v>-1.84</v>
      </c>
      <c r="IA806" s="281">
        <f t="shared" si="141"/>
        <v>-11.310479999999998</v>
      </c>
    </row>
    <row r="807" spans="65:235" x14ac:dyDescent="0.25">
      <c r="BM807" s="281">
        <f>$AZ$45+0.2*(seat_pitch)*($AY$45*n_SA+$AW$6&lt;pax_e)</f>
        <v>26.102</v>
      </c>
      <c r="BN807" s="281">
        <f>$AX$6</f>
        <v>-1.31</v>
      </c>
      <c r="BO807" s="281">
        <f t="shared" si="140"/>
        <v>8.291520000000002</v>
      </c>
      <c r="HY807" s="281">
        <f>$HX$24</f>
        <v>6.5</v>
      </c>
      <c r="HZ807" s="281">
        <f>$HV$9+seat_w_b*($HW$24*n_SA_b+$HU$9&lt;pax_b)</f>
        <v>-1.84</v>
      </c>
      <c r="IA807" s="281">
        <f t="shared" si="141"/>
        <v>-11.310479999999998</v>
      </c>
    </row>
    <row r="808" spans="65:235" x14ac:dyDescent="0.25">
      <c r="BM808" s="281">
        <f>$AZ$45+0.2*(seat_pitch)*($AY$45*n_SA+$AW$6&lt;pax_e)</f>
        <v>26.102</v>
      </c>
      <c r="BN808" s="281">
        <f>$AX$6+seat_w*($AY$45*n_SA+$AW$6&lt;pax_e)</f>
        <v>-0.78</v>
      </c>
      <c r="BO808" s="281">
        <f t="shared" si="140"/>
        <v>8.291520000000002</v>
      </c>
      <c r="HY808" s="281">
        <f>$HX$24+1*(bus_pitch*(n_rows_b&gt;0))*($HW$24*n_SA_b+$HU$9&lt;pax_b)</f>
        <v>6.5</v>
      </c>
      <c r="HZ808" s="281">
        <f>$HV$9+seat_w_b*($HW$24*n_SA_b+$HU$9&lt;pax_b)</f>
        <v>-1.84</v>
      </c>
      <c r="IA808" s="281">
        <f t="shared" si="141"/>
        <v>-11.310479999999998</v>
      </c>
    </row>
    <row r="809" spans="65:235" x14ac:dyDescent="0.25">
      <c r="BM809" s="281">
        <f>$AZ$45</f>
        <v>25.94</v>
      </c>
      <c r="BN809" s="281">
        <f>$AX$6+seat_w*($AY$45*n_SA+$AW$6&lt;pax_e)</f>
        <v>-0.78</v>
      </c>
      <c r="BO809" s="281">
        <f t="shared" si="140"/>
        <v>8.129520000000003</v>
      </c>
      <c r="HY809" s="281">
        <f>$HX$24+0.8*(bus_pitch*(n_rows_b&gt;0))*($HW$24*n_SA_b+$HU$9&lt;pax_b)</f>
        <v>6.5</v>
      </c>
      <c r="HZ809" s="281">
        <f>$HV$9+seat_w_b*($HW$24*n_SA_b+$HU$9&lt;pax_b)</f>
        <v>-1.84</v>
      </c>
      <c r="IA809" s="281">
        <f t="shared" si="141"/>
        <v>-11.310479999999998</v>
      </c>
    </row>
    <row r="810" spans="65:235" x14ac:dyDescent="0.25">
      <c r="BM810" s="281">
        <f>$AZ$45+1*(seat_pitch)*($AY$45*n_SA+$AW$6&lt;pax_e)</f>
        <v>26.75</v>
      </c>
      <c r="BN810" s="281">
        <f>$AX$6+seat_w*($AY$45*n_SA+$AW$6&lt;pax_e)</f>
        <v>-0.78</v>
      </c>
      <c r="BO810" s="281">
        <f t="shared" si="140"/>
        <v>8.9395200000000017</v>
      </c>
      <c r="HY810" s="281">
        <f>$HX$24+0.8*(bus_pitch*(n_rows_b&gt;0))*($HW$24*n_SA_b+$HU$9&lt;pax_b)</f>
        <v>6.5</v>
      </c>
      <c r="HZ810" s="281">
        <f>$HV$9</f>
        <v>-1.84</v>
      </c>
      <c r="IA810" s="281">
        <f t="shared" si="141"/>
        <v>-11.310479999999998</v>
      </c>
    </row>
    <row r="811" spans="65:235" x14ac:dyDescent="0.25">
      <c r="BM811" s="281">
        <f>$AZ$45+0.8*(seat_pitch)*($AY$45*n_SA+$AW$6&lt;pax_e)</f>
        <v>26.588000000000001</v>
      </c>
      <c r="BN811" s="281">
        <f>$AX$6+seat_w*($AY$45*n_SA+$AW$6&lt;pax_e)</f>
        <v>-0.78</v>
      </c>
      <c r="BO811" s="281">
        <f t="shared" si="140"/>
        <v>8.7775200000000027</v>
      </c>
      <c r="HY811" s="281">
        <f>$HX$24+0.2*(bus_pitch*(n_rows_b&gt;0))*($HW$24*n_SA_b+$HU$9&lt;pax_b)</f>
        <v>6.5</v>
      </c>
      <c r="HZ811" s="281">
        <f>$HV$9</f>
        <v>-1.84</v>
      </c>
      <c r="IA811" s="281">
        <f t="shared" si="141"/>
        <v>-11.310479999999998</v>
      </c>
    </row>
    <row r="812" spans="65:235" x14ac:dyDescent="0.25">
      <c r="BM812" s="281">
        <f>$AZ$45+0.8*(seat_pitch)*($AY$45*n_SA+$AW$6&lt;pax_e)</f>
        <v>26.588000000000001</v>
      </c>
      <c r="BN812" s="281">
        <f>$AX$6</f>
        <v>-1.31</v>
      </c>
      <c r="BO812" s="281">
        <f t="shared" si="140"/>
        <v>8.7775200000000027</v>
      </c>
      <c r="HY812" s="281">
        <f>$HX$24+(bus_pitch*(n_rows_b&gt;0))</f>
        <v>6.5</v>
      </c>
      <c r="HZ812" s="281">
        <f>$HV$9</f>
        <v>-1.84</v>
      </c>
      <c r="IA812" s="281">
        <f t="shared" si="141"/>
        <v>-11.310479999999998</v>
      </c>
    </row>
    <row r="813" spans="65:235" x14ac:dyDescent="0.25">
      <c r="BM813" s="281">
        <f>$AZ$45+0.2*(seat_pitch)*($AY$45*n_SA+$AW$6&lt;pax_e)</f>
        <v>26.102</v>
      </c>
      <c r="BN813" s="281">
        <f>$AX$6</f>
        <v>-1.31</v>
      </c>
      <c r="BO813" s="281">
        <f t="shared" si="140"/>
        <v>8.291520000000002</v>
      </c>
      <c r="HY813" s="281">
        <f>x_eco0</f>
        <v>6.5</v>
      </c>
      <c r="HZ813" s="281">
        <f>$HV$10</f>
        <v>-1.84</v>
      </c>
      <c r="IA813" s="281">
        <f t="shared" si="141"/>
        <v>-11.310479999999998</v>
      </c>
    </row>
    <row r="814" spans="65:235" x14ac:dyDescent="0.25">
      <c r="BM814" s="281">
        <f>$AZ$45+(seat_pitch)</f>
        <v>26.75</v>
      </c>
      <c r="BN814" s="281">
        <f>$AX$6</f>
        <v>-1.31</v>
      </c>
      <c r="BO814" s="281">
        <f t="shared" si="140"/>
        <v>8.9395200000000017</v>
      </c>
      <c r="HY814" s="281">
        <f>x_seat0</f>
        <v>6.5</v>
      </c>
      <c r="HZ814" s="281">
        <f>$HV$10</f>
        <v>-1.84</v>
      </c>
      <c r="IA814" s="281">
        <f t="shared" si="141"/>
        <v>-11.310479999999998</v>
      </c>
    </row>
    <row r="815" spans="65:235" x14ac:dyDescent="0.25">
      <c r="BM815" s="281">
        <f>$AZ$46+0.2*(seat_pitch)*($AY$46*n_SA+$AW$6&lt;pax_e)</f>
        <v>26.102</v>
      </c>
      <c r="BN815" s="281">
        <f>$AX$6</f>
        <v>-1.31</v>
      </c>
      <c r="BO815" s="281">
        <f t="shared" si="140"/>
        <v>8.291520000000002</v>
      </c>
      <c r="HY815" s="281">
        <f>$HX$5+0.2*(bus_pitch*(n_rows_b&gt;0))*($HW$5*n_SA_b+$HU$10&lt;pax_b)</f>
        <v>6.5</v>
      </c>
      <c r="HZ815" s="281">
        <f>$HV$10</f>
        <v>-1.84</v>
      </c>
      <c r="IA815" s="281">
        <f t="shared" si="141"/>
        <v>-11.310479999999998</v>
      </c>
    </row>
    <row r="816" spans="65:235" x14ac:dyDescent="0.25">
      <c r="BM816" s="281">
        <f>$AZ$46+0.2*(seat_pitch)*($AY$46*n_SA+$AW$6&lt;pax_e)</f>
        <v>26.102</v>
      </c>
      <c r="BN816" s="281">
        <f>$AX$6+seat_w*($AY$46*n_SA+$AW$6&lt;pax_e)</f>
        <v>-0.78</v>
      </c>
      <c r="BO816" s="281">
        <f t="shared" si="140"/>
        <v>8.291520000000002</v>
      </c>
      <c r="HY816" s="281">
        <f>$HX$5+0.2*(bus_pitch*(n_rows_b&gt;0))*($HW$5*n_SA_b+$HU$10&lt;pax_b)</f>
        <v>6.5</v>
      </c>
      <c r="HZ816" s="281">
        <f>$HV$10+seat_w_b*($HW$5*n_SA_b+$HU$10&lt;pax_b)</f>
        <v>-1.84</v>
      </c>
      <c r="IA816" s="281">
        <f t="shared" si="141"/>
        <v>-11.310479999999998</v>
      </c>
    </row>
    <row r="817" spans="65:235" x14ac:dyDescent="0.25">
      <c r="BM817" s="281">
        <f>$AZ$46</f>
        <v>25.94</v>
      </c>
      <c r="BN817" s="281">
        <f>$AX$6+seat_w*($AY$46*n_SA+$AW$6&lt;pax_e)</f>
        <v>-0.78</v>
      </c>
      <c r="BO817" s="281">
        <f t="shared" si="140"/>
        <v>8.129520000000003</v>
      </c>
      <c r="HY817" s="281">
        <f>$HX$5</f>
        <v>6.5</v>
      </c>
      <c r="HZ817" s="281">
        <f>$HV$10+seat_w_b*($HW$5*n_SA_b+$HU$10&lt;pax_b)</f>
        <v>-1.84</v>
      </c>
      <c r="IA817" s="281">
        <f t="shared" si="141"/>
        <v>-11.310479999999998</v>
      </c>
    </row>
    <row r="818" spans="65:235" x14ac:dyDescent="0.25">
      <c r="BM818" s="281">
        <f>$AZ$46+1*(seat_pitch)*($AY$46*n_SA+$AW$6&lt;pax_e)</f>
        <v>26.75</v>
      </c>
      <c r="BN818" s="281">
        <f>$AX$6+seat_w*($AY$46*n_SA+$AW$6&lt;pax_e)</f>
        <v>-0.78</v>
      </c>
      <c r="BO818" s="281">
        <f t="shared" si="140"/>
        <v>8.9395200000000017</v>
      </c>
      <c r="HY818" s="281">
        <f>$HX$5+1*(bus_pitch*(n_rows_b&gt;0))*($HW$5*n_SA_b+$HU$10&lt;pax_b)</f>
        <v>6.5</v>
      </c>
      <c r="HZ818" s="281">
        <f>$HV$10+seat_w_b*($HW$5*n_SA_b+$HU$10&lt;pax_b)</f>
        <v>-1.84</v>
      </c>
      <c r="IA818" s="281">
        <f t="shared" si="141"/>
        <v>-11.310479999999998</v>
      </c>
    </row>
    <row r="819" spans="65:235" x14ac:dyDescent="0.25">
      <c r="BM819" s="281">
        <f>$AZ$46+0.8*(seat_pitch)*($AY$46*n_SA+$AW$6&lt;pax_e)</f>
        <v>26.588000000000001</v>
      </c>
      <c r="BN819" s="281">
        <f>$AX$6+seat_w*($AY$46*n_SA+$AW$6&lt;pax_e)</f>
        <v>-0.78</v>
      </c>
      <c r="BO819" s="281">
        <f t="shared" si="140"/>
        <v>8.7775200000000027</v>
      </c>
      <c r="HY819" s="281">
        <f>$HX$5+0.8*(bus_pitch*(n_rows_b&gt;0))*($HW$5*n_SA_b+$HU$10&lt;pax_b)</f>
        <v>6.5</v>
      </c>
      <c r="HZ819" s="281">
        <f>$HV$10+seat_w_b*($HW$5*n_SA_b+$HU$10&lt;pax_b)</f>
        <v>-1.84</v>
      </c>
      <c r="IA819" s="281">
        <f t="shared" si="141"/>
        <v>-11.310479999999998</v>
      </c>
    </row>
    <row r="820" spans="65:235" x14ac:dyDescent="0.25">
      <c r="BM820" s="281">
        <f>$AZ$46+0.8*(seat_pitch)*($AY$46*n_SA+$AW$6&lt;pax_e)</f>
        <v>26.588000000000001</v>
      </c>
      <c r="BN820" s="281">
        <f>$AX$6</f>
        <v>-1.31</v>
      </c>
      <c r="BO820" s="281">
        <f t="shared" si="140"/>
        <v>8.7775200000000027</v>
      </c>
      <c r="HY820" s="281">
        <f>$HX$5+0.8*(bus_pitch*(n_rows_b&gt;0))*($HW$5*n_SA_b+$HU$10&lt;pax_b)</f>
        <v>6.5</v>
      </c>
      <c r="HZ820" s="281">
        <f>$HV$10</f>
        <v>-1.84</v>
      </c>
      <c r="IA820" s="281">
        <f t="shared" si="141"/>
        <v>-11.310479999999998</v>
      </c>
    </row>
    <row r="821" spans="65:235" x14ac:dyDescent="0.25">
      <c r="BM821" s="281">
        <f>$AZ$46+0.2*(seat_pitch)*($AY$46*n_SA+$AW$6&lt;pax_e)</f>
        <v>26.102</v>
      </c>
      <c r="BN821" s="281">
        <f>$AX$6</f>
        <v>-1.31</v>
      </c>
      <c r="BO821" s="281">
        <f t="shared" si="140"/>
        <v>8.291520000000002</v>
      </c>
      <c r="HY821" s="281">
        <f>$HX$5+0.2*(bus_pitch*(n_rows_b&gt;0))*($HW$5*n_SA_b+$HU$10&lt;pax_b)</f>
        <v>6.5</v>
      </c>
      <c r="HZ821" s="281">
        <f>$HV$10</f>
        <v>-1.84</v>
      </c>
      <c r="IA821" s="281">
        <f t="shared" si="141"/>
        <v>-11.310479999999998</v>
      </c>
    </row>
    <row r="822" spans="65:235" x14ac:dyDescent="0.25">
      <c r="BM822" s="281">
        <f>$AZ$46+(seat_pitch)</f>
        <v>26.75</v>
      </c>
      <c r="BN822" s="281">
        <f>$AX$6</f>
        <v>-1.31</v>
      </c>
      <c r="BO822" s="281">
        <f t="shared" si="140"/>
        <v>8.9395200000000017</v>
      </c>
      <c r="HY822" s="281">
        <f>$HX$5+(bus_pitch*(n_rows_b&gt;0))</f>
        <v>6.5</v>
      </c>
      <c r="HZ822" s="281">
        <f>$HV$10</f>
        <v>-1.84</v>
      </c>
      <c r="IA822" s="281">
        <f t="shared" si="141"/>
        <v>-11.310479999999998</v>
      </c>
    </row>
    <row r="823" spans="65:235" x14ac:dyDescent="0.25">
      <c r="BM823" s="281">
        <f>$AZ$47+0.2*(seat_pitch)*($AY$47*n_SA+$AW$6&lt;pax_e)</f>
        <v>26.102</v>
      </c>
      <c r="BN823" s="281">
        <f>$AX$6</f>
        <v>-1.31</v>
      </c>
      <c r="BO823" s="281">
        <f t="shared" si="140"/>
        <v>8.291520000000002</v>
      </c>
      <c r="HY823" s="281">
        <f>$HX$6+0.2*(bus_pitch*(n_rows_b&gt;0))*($HW$6*n_SA_b+$HU$10&lt;pax_b)</f>
        <v>6.5</v>
      </c>
      <c r="HZ823" s="281">
        <f>$HV$10</f>
        <v>-1.84</v>
      </c>
      <c r="IA823" s="281">
        <f t="shared" si="141"/>
        <v>-11.310479999999998</v>
      </c>
    </row>
    <row r="824" spans="65:235" x14ac:dyDescent="0.25">
      <c r="BM824" s="281">
        <f>$AZ$47+0.2*(seat_pitch)*($AY$47*n_SA+$AW$6&lt;pax_e)</f>
        <v>26.102</v>
      </c>
      <c r="BN824" s="281">
        <f>$AX$6+seat_w*($AY$47*n_SA+$AW$6&lt;pax_e)</f>
        <v>-0.78</v>
      </c>
      <c r="BO824" s="281">
        <f t="shared" si="140"/>
        <v>8.291520000000002</v>
      </c>
      <c r="HY824" s="281">
        <f>$HX$6+0.2*(bus_pitch*(n_rows_b&gt;0))*($HW$6*n_SA_b+$HU$10&lt;pax_b)</f>
        <v>6.5</v>
      </c>
      <c r="HZ824" s="281">
        <f>$HV$10+seat_w_b*($HW$6*n_SA_b+$HU$10&lt;pax_b)</f>
        <v>-1.84</v>
      </c>
      <c r="IA824" s="281">
        <f t="shared" si="141"/>
        <v>-11.310479999999998</v>
      </c>
    </row>
    <row r="825" spans="65:235" x14ac:dyDescent="0.25">
      <c r="BM825" s="281">
        <f>$AZ$47</f>
        <v>25.94</v>
      </c>
      <c r="BN825" s="281">
        <f>$AX$6+seat_w*($AY$47*n_SA+$AW$6&lt;pax_e)</f>
        <v>-0.78</v>
      </c>
      <c r="BO825" s="281">
        <f t="shared" si="140"/>
        <v>8.129520000000003</v>
      </c>
      <c r="HY825" s="281">
        <f>$HX$6</f>
        <v>6.5</v>
      </c>
      <c r="HZ825" s="281">
        <f>$HV$10+seat_w_b*($HW$6*n_SA_b+$HU$10&lt;pax_b)</f>
        <v>-1.84</v>
      </c>
      <c r="IA825" s="281">
        <f t="shared" si="141"/>
        <v>-11.310479999999998</v>
      </c>
    </row>
    <row r="826" spans="65:235" x14ac:dyDescent="0.25">
      <c r="BM826" s="281">
        <f>$AZ$47+1*(seat_pitch)*($AY$47*n_SA+$AW$6&lt;pax_e)</f>
        <v>26.75</v>
      </c>
      <c r="BN826" s="281">
        <f>$AX$6+seat_w*($AY$47*n_SA+$AW$6&lt;pax_e)</f>
        <v>-0.78</v>
      </c>
      <c r="BO826" s="281">
        <f t="shared" si="140"/>
        <v>8.9395200000000017</v>
      </c>
      <c r="HY826" s="281">
        <f>$HX$6+1*(bus_pitch*(n_rows_b&gt;0))*($HW$6*n_SA_b+$HU$10&lt;pax_b)</f>
        <v>6.5</v>
      </c>
      <c r="HZ826" s="281">
        <f>$HV$10+seat_w_b*($HW$6*n_SA_b+$HU$10&lt;pax_b)</f>
        <v>-1.84</v>
      </c>
      <c r="IA826" s="281">
        <f t="shared" si="141"/>
        <v>-11.310479999999998</v>
      </c>
    </row>
    <row r="827" spans="65:235" x14ac:dyDescent="0.25">
      <c r="BM827" s="281">
        <f>$AZ$47+0.8*(seat_pitch)*($AY$47*n_SA+$AW$6&lt;pax_e)</f>
        <v>26.588000000000001</v>
      </c>
      <c r="BN827" s="281">
        <f>$AX$6+seat_w*($AY$47*n_SA+$AW$6&lt;pax_e)</f>
        <v>-0.78</v>
      </c>
      <c r="BO827" s="281">
        <f t="shared" si="140"/>
        <v>8.7775200000000027</v>
      </c>
      <c r="HY827" s="281">
        <f>$HX$6+0.8*(bus_pitch*(n_rows_b&gt;0))*($HW$6*n_SA_b+$HU$10&lt;pax_b)</f>
        <v>6.5</v>
      </c>
      <c r="HZ827" s="281">
        <f>$HV$10+seat_w_b*($HW$6*n_SA_b+$HU$10&lt;pax_b)</f>
        <v>-1.84</v>
      </c>
      <c r="IA827" s="281">
        <f t="shared" si="141"/>
        <v>-11.310479999999998</v>
      </c>
    </row>
    <row r="828" spans="65:235" x14ac:dyDescent="0.25">
      <c r="BM828" s="281">
        <f>$AZ$47+0.8*(seat_pitch)*($AY$47*n_SA+$AW$6&lt;pax_e)</f>
        <v>26.588000000000001</v>
      </c>
      <c r="BN828" s="281">
        <f>$AX$6</f>
        <v>-1.31</v>
      </c>
      <c r="BO828" s="281">
        <f t="shared" si="140"/>
        <v>8.7775200000000027</v>
      </c>
      <c r="HY828" s="281">
        <f>$HX$6+0.8*(bus_pitch*(n_rows_b&gt;0))*($HW$6*n_SA_b+$HU$10&lt;pax_b)</f>
        <v>6.5</v>
      </c>
      <c r="HZ828" s="281">
        <f>$HV$10</f>
        <v>-1.84</v>
      </c>
      <c r="IA828" s="281">
        <f t="shared" si="141"/>
        <v>-11.310479999999998</v>
      </c>
    </row>
    <row r="829" spans="65:235" x14ac:dyDescent="0.25">
      <c r="BM829" s="281">
        <f>$AZ$47+0.2*(seat_pitch)*($AY$47*n_SA+$AW$6&lt;pax_e)</f>
        <v>26.102</v>
      </c>
      <c r="BN829" s="281">
        <f>$AX$6</f>
        <v>-1.31</v>
      </c>
      <c r="BO829" s="281">
        <f t="shared" si="140"/>
        <v>8.291520000000002</v>
      </c>
      <c r="HY829" s="281">
        <f>$HX$6+0.2*(bus_pitch*(n_rows_b&gt;0))*($HW$6*n_SA_b+$HU$10&lt;pax_b)</f>
        <v>6.5</v>
      </c>
      <c r="HZ829" s="281">
        <f>$HV$10</f>
        <v>-1.84</v>
      </c>
      <c r="IA829" s="281">
        <f t="shared" si="141"/>
        <v>-11.310479999999998</v>
      </c>
    </row>
    <row r="830" spans="65:235" x14ac:dyDescent="0.25">
      <c r="BM830" s="281">
        <f>$AZ$47+(seat_pitch)</f>
        <v>26.75</v>
      </c>
      <c r="BN830" s="281">
        <f>$AX$6</f>
        <v>-1.31</v>
      </c>
      <c r="BO830" s="281">
        <f t="shared" si="140"/>
        <v>8.9395200000000017</v>
      </c>
      <c r="HY830" s="281">
        <f>$HX$6+(bus_pitch*(n_rows_b&gt;0))</f>
        <v>6.5</v>
      </c>
      <c r="HZ830" s="281">
        <f>$HV$10</f>
        <v>-1.84</v>
      </c>
      <c r="IA830" s="281">
        <f t="shared" si="141"/>
        <v>-11.310479999999998</v>
      </c>
    </row>
    <row r="831" spans="65:235" x14ac:dyDescent="0.25">
      <c r="BM831" s="281">
        <f>$AZ$48+0.2*(seat_pitch)*($AY$48*n_SA+$AW$6&lt;pax_e)</f>
        <v>26.102</v>
      </c>
      <c r="BN831" s="281">
        <f>$AX$6</f>
        <v>-1.31</v>
      </c>
      <c r="BO831" s="281">
        <f t="shared" si="140"/>
        <v>8.291520000000002</v>
      </c>
      <c r="HY831" s="281">
        <f>$HX$7+0.2*(bus_pitch*(n_rows_b&gt;0))*($HW$7*n_SA_b+$HU$10&lt;pax_b)</f>
        <v>6.5</v>
      </c>
      <c r="HZ831" s="281">
        <f>$HV$10</f>
        <v>-1.84</v>
      </c>
      <c r="IA831" s="281">
        <f t="shared" si="141"/>
        <v>-11.310479999999998</v>
      </c>
    </row>
    <row r="832" spans="65:235" x14ac:dyDescent="0.25">
      <c r="BM832" s="281">
        <f>$AZ$48+0.2*(seat_pitch)*($AY$48*n_SA+$AW$6&lt;pax_e)</f>
        <v>26.102</v>
      </c>
      <c r="BN832" s="281">
        <f>$AX$6+seat_w*($AY$48*n_SA+$AW$6&lt;pax_e)</f>
        <v>-0.78</v>
      </c>
      <c r="BO832" s="281">
        <f t="shared" si="140"/>
        <v>8.291520000000002</v>
      </c>
      <c r="HY832" s="281">
        <f>$HX$7+0.2*(bus_pitch*(n_rows_b&gt;0))*($HW$7*n_SA_b+$HU$10&lt;pax_b)</f>
        <v>6.5</v>
      </c>
      <c r="HZ832" s="281">
        <f>$HV$10+seat_w_b*($HW$7*n_SA_b+$HU$10&lt;pax_b)</f>
        <v>-1.84</v>
      </c>
      <c r="IA832" s="281">
        <f t="shared" si="141"/>
        <v>-11.310479999999998</v>
      </c>
    </row>
    <row r="833" spans="65:235" x14ac:dyDescent="0.25">
      <c r="BM833" s="281">
        <f>$AZ$48</f>
        <v>25.94</v>
      </c>
      <c r="BN833" s="281">
        <f>$AX$6+seat_w*($AY$48*n_SA+$AW$6&lt;pax_e)</f>
        <v>-0.78</v>
      </c>
      <c r="BO833" s="281">
        <f t="shared" si="140"/>
        <v>8.129520000000003</v>
      </c>
      <c r="HY833" s="281">
        <f>$HX$7</f>
        <v>6.5</v>
      </c>
      <c r="HZ833" s="281">
        <f>$HV$10+seat_w_b*($HW$7*n_SA_b+$HU$10&lt;pax_b)</f>
        <v>-1.84</v>
      </c>
      <c r="IA833" s="281">
        <f t="shared" si="141"/>
        <v>-11.310479999999998</v>
      </c>
    </row>
    <row r="834" spans="65:235" x14ac:dyDescent="0.25">
      <c r="BM834" s="281">
        <f>$AZ$48+1*(seat_pitch)*($AY$48*n_SA+$AW$6&lt;pax_e)</f>
        <v>26.75</v>
      </c>
      <c r="BN834" s="281">
        <f>$AX$6+seat_w*($AY$48*n_SA+$AW$6&lt;pax_e)</f>
        <v>-0.78</v>
      </c>
      <c r="BO834" s="281">
        <f t="shared" si="140"/>
        <v>8.9395200000000017</v>
      </c>
      <c r="HY834" s="281">
        <f>$HX$7+1*(bus_pitch*(n_rows_b&gt;0))*($HW$7*n_SA_b+$HU$10&lt;pax_b)</f>
        <v>6.5</v>
      </c>
      <c r="HZ834" s="281">
        <f>$HV$10+seat_w_b*($HW$7*n_SA_b+$HU$10&lt;pax_b)</f>
        <v>-1.84</v>
      </c>
      <c r="IA834" s="281">
        <f t="shared" si="141"/>
        <v>-11.310479999999998</v>
      </c>
    </row>
    <row r="835" spans="65:235" x14ac:dyDescent="0.25">
      <c r="BM835" s="281">
        <f>$AZ$48+0.8*(seat_pitch)*($AY$48*n_SA+$AW$6&lt;pax_e)</f>
        <v>26.588000000000001</v>
      </c>
      <c r="BN835" s="281">
        <f>$AX$6+seat_w*($AY$48*n_SA+$AW$6&lt;pax_e)</f>
        <v>-0.78</v>
      </c>
      <c r="BO835" s="281">
        <f t="shared" si="140"/>
        <v>8.7775200000000027</v>
      </c>
      <c r="HY835" s="281">
        <f>$HX$7+0.8*(bus_pitch*(n_rows_b&gt;0))*($HW$7*n_SA_b+$HU$10&lt;pax_b)</f>
        <v>6.5</v>
      </c>
      <c r="HZ835" s="281">
        <f>$HV$10+seat_w_b*($HW$7*n_SA_b+$HU$10&lt;pax_b)</f>
        <v>-1.84</v>
      </c>
      <c r="IA835" s="281">
        <f t="shared" si="141"/>
        <v>-11.310479999999998</v>
      </c>
    </row>
    <row r="836" spans="65:235" x14ac:dyDescent="0.25">
      <c r="BM836" s="281">
        <f>$AZ$48+0.8*(seat_pitch)*($AY$48*n_SA+$AW$6&lt;pax_e)</f>
        <v>26.588000000000001</v>
      </c>
      <c r="BN836" s="281">
        <f>$AX$6</f>
        <v>-1.31</v>
      </c>
      <c r="BO836" s="281">
        <f t="shared" si="140"/>
        <v>8.7775200000000027</v>
      </c>
      <c r="HY836" s="281">
        <f>$HX$7+0.8*(bus_pitch*(n_rows_b&gt;0))*($HW$7*n_SA_b+$HU$10&lt;pax_b)</f>
        <v>6.5</v>
      </c>
      <c r="HZ836" s="281">
        <f>$HV$10</f>
        <v>-1.84</v>
      </c>
      <c r="IA836" s="281">
        <f t="shared" si="141"/>
        <v>-11.310479999999998</v>
      </c>
    </row>
    <row r="837" spans="65:235" x14ac:dyDescent="0.25">
      <c r="BM837" s="281">
        <f>$AZ$48+0.2*(seat_pitch)*($AY$48*n_SA+$AW$6&lt;pax_e)</f>
        <v>26.102</v>
      </c>
      <c r="BN837" s="281">
        <f>$AX$6</f>
        <v>-1.31</v>
      </c>
      <c r="BO837" s="281">
        <f t="shared" ref="BO837:BO900" si="142">BM837-L_fus/2</f>
        <v>8.291520000000002</v>
      </c>
      <c r="HY837" s="281">
        <f>$HX$7+0.2*(bus_pitch*(n_rows_b&gt;0))*($HW$7*n_SA_b+$HU$10&lt;pax_b)</f>
        <v>6.5</v>
      </c>
      <c r="HZ837" s="281">
        <f>$HV$10</f>
        <v>-1.84</v>
      </c>
      <c r="IA837" s="281">
        <f t="shared" ref="IA837:IA900" si="143">HY837-L_fus/2</f>
        <v>-11.310479999999998</v>
      </c>
    </row>
    <row r="838" spans="65:235" x14ac:dyDescent="0.25">
      <c r="BM838" s="281">
        <f>$AZ$48+(seat_pitch)</f>
        <v>26.75</v>
      </c>
      <c r="BN838" s="281">
        <f>$AX$6</f>
        <v>-1.31</v>
      </c>
      <c r="BO838" s="281">
        <f t="shared" si="142"/>
        <v>8.9395200000000017</v>
      </c>
      <c r="HY838" s="281">
        <f>$HX$7+(bus_pitch*(n_rows_b&gt;0))</f>
        <v>6.5</v>
      </c>
      <c r="HZ838" s="281">
        <f>$HV$10</f>
        <v>-1.84</v>
      </c>
      <c r="IA838" s="281">
        <f t="shared" si="143"/>
        <v>-11.310479999999998</v>
      </c>
    </row>
    <row r="839" spans="65:235" x14ac:dyDescent="0.25">
      <c r="BM839" s="281">
        <f>$AZ$49+0.2*(seat_pitch)*($AY$49*n_SA+$AW$6&lt;pax_e)</f>
        <v>26.102</v>
      </c>
      <c r="BN839" s="281">
        <f>$AX$6</f>
        <v>-1.31</v>
      </c>
      <c r="BO839" s="281">
        <f t="shared" si="142"/>
        <v>8.291520000000002</v>
      </c>
      <c r="HY839" s="281">
        <f>$HX$8+0.2*(bus_pitch*(n_rows_b&gt;0))*($HW$8*n_SA_b+$HU$10&lt;pax_b)</f>
        <v>6.5</v>
      </c>
      <c r="HZ839" s="281">
        <f>$HV$10</f>
        <v>-1.84</v>
      </c>
      <c r="IA839" s="281">
        <f t="shared" si="143"/>
        <v>-11.310479999999998</v>
      </c>
    </row>
    <row r="840" spans="65:235" x14ac:dyDescent="0.25">
      <c r="BM840" s="281">
        <f>$AZ$49+0.2*(seat_pitch)*($AY$49*n_SA+$AW$6&lt;pax_e)</f>
        <v>26.102</v>
      </c>
      <c r="BN840" s="281">
        <f>$AX$6+seat_w*($AY$49*n_SA+$AW$6&lt;pax_e)</f>
        <v>-0.78</v>
      </c>
      <c r="BO840" s="281">
        <f t="shared" si="142"/>
        <v>8.291520000000002</v>
      </c>
      <c r="HY840" s="281">
        <f>$HX$8+0.2*(bus_pitch*(n_rows_b&gt;0))*($HW$8*n_SA_b+$HU$10&lt;pax_b)</f>
        <v>6.5</v>
      </c>
      <c r="HZ840" s="281">
        <f>$HV$10+seat_w_b*($HW$8*n_SA_b+$HU$10&lt;pax_b)</f>
        <v>-1.84</v>
      </c>
      <c r="IA840" s="281">
        <f t="shared" si="143"/>
        <v>-11.310479999999998</v>
      </c>
    </row>
    <row r="841" spans="65:235" x14ac:dyDescent="0.25">
      <c r="BM841" s="281">
        <f>$AZ$49</f>
        <v>25.94</v>
      </c>
      <c r="BN841" s="281">
        <f>$AX$6+seat_w*($AY$49*n_SA+$AW$6&lt;pax_e)</f>
        <v>-0.78</v>
      </c>
      <c r="BO841" s="281">
        <f t="shared" si="142"/>
        <v>8.129520000000003</v>
      </c>
      <c r="HY841" s="281">
        <f>$HX$8</f>
        <v>6.5</v>
      </c>
      <c r="HZ841" s="281">
        <f>$HV$10+seat_w_b*($HW$8*n_SA_b+$HU$10&lt;pax_b)</f>
        <v>-1.84</v>
      </c>
      <c r="IA841" s="281">
        <f t="shared" si="143"/>
        <v>-11.310479999999998</v>
      </c>
    </row>
    <row r="842" spans="65:235" x14ac:dyDescent="0.25">
      <c r="BM842" s="281">
        <f>$AZ$49+1*(seat_pitch)*($AY$49*n_SA+$AW$6&lt;pax_e)</f>
        <v>26.75</v>
      </c>
      <c r="BN842" s="281">
        <f>$AX$6+seat_w*($AY$49*n_SA+$AW$6&lt;pax_e)</f>
        <v>-0.78</v>
      </c>
      <c r="BO842" s="281">
        <f t="shared" si="142"/>
        <v>8.9395200000000017</v>
      </c>
      <c r="HY842" s="281">
        <f>$HX$8+1*(bus_pitch*(n_rows_b&gt;0))*($HW$8*n_SA_b+$HU$10&lt;pax_b)</f>
        <v>6.5</v>
      </c>
      <c r="HZ842" s="281">
        <f>$HV$10+seat_w_b*($HW$8*n_SA_b+$HU$10&lt;pax_b)</f>
        <v>-1.84</v>
      </c>
      <c r="IA842" s="281">
        <f t="shared" si="143"/>
        <v>-11.310479999999998</v>
      </c>
    </row>
    <row r="843" spans="65:235" x14ac:dyDescent="0.25">
      <c r="BM843" s="281">
        <f>$AZ$49+0.8*(seat_pitch)*($AY$49*n_SA+$AW$6&lt;pax_e)</f>
        <v>26.588000000000001</v>
      </c>
      <c r="BN843" s="281">
        <f>$AX$6+seat_w*($AY$49*n_SA+$AW$6&lt;pax_e)</f>
        <v>-0.78</v>
      </c>
      <c r="BO843" s="281">
        <f t="shared" si="142"/>
        <v>8.7775200000000027</v>
      </c>
      <c r="HY843" s="281">
        <f>$HX$8+0.8*(bus_pitch*(n_rows_b&gt;0))*($HW$8*n_SA_b+$HU$10&lt;pax_b)</f>
        <v>6.5</v>
      </c>
      <c r="HZ843" s="281">
        <f>$HV$10+seat_w_b*($HW$8*n_SA_b+$HU$10&lt;pax_b)</f>
        <v>-1.84</v>
      </c>
      <c r="IA843" s="281">
        <f t="shared" si="143"/>
        <v>-11.310479999999998</v>
      </c>
    </row>
    <row r="844" spans="65:235" x14ac:dyDescent="0.25">
      <c r="BM844" s="281">
        <f>$AZ$49+0.8*(seat_pitch)*($AY$49*n_SA+$AW$6&lt;pax_e)</f>
        <v>26.588000000000001</v>
      </c>
      <c r="BN844" s="281">
        <f>$AX$6</f>
        <v>-1.31</v>
      </c>
      <c r="BO844" s="281">
        <f t="shared" si="142"/>
        <v>8.7775200000000027</v>
      </c>
      <c r="HY844" s="281">
        <f>$HX$8+0.8*(bus_pitch*(n_rows_b&gt;0))*($HW$8*n_SA_b+$HU$10&lt;pax_b)</f>
        <v>6.5</v>
      </c>
      <c r="HZ844" s="281">
        <f>$HV$10</f>
        <v>-1.84</v>
      </c>
      <c r="IA844" s="281">
        <f t="shared" si="143"/>
        <v>-11.310479999999998</v>
      </c>
    </row>
    <row r="845" spans="65:235" x14ac:dyDescent="0.25">
      <c r="BM845" s="281">
        <f>$AZ$49+0.2*(seat_pitch)*($AY$49*n_SA+$AW$6&lt;pax_e)</f>
        <v>26.102</v>
      </c>
      <c r="BN845" s="281">
        <f>$AX$6</f>
        <v>-1.31</v>
      </c>
      <c r="BO845" s="281">
        <f t="shared" si="142"/>
        <v>8.291520000000002</v>
      </c>
      <c r="HY845" s="281">
        <f>$HX$8+0.2*(bus_pitch*(n_rows_b&gt;0))*($HW$8*n_SA_b+$HU$10&lt;pax_b)</f>
        <v>6.5</v>
      </c>
      <c r="HZ845" s="281">
        <f>$HV$10</f>
        <v>-1.84</v>
      </c>
      <c r="IA845" s="281">
        <f t="shared" si="143"/>
        <v>-11.310479999999998</v>
      </c>
    </row>
    <row r="846" spans="65:235" x14ac:dyDescent="0.25">
      <c r="BM846" s="281">
        <f>$AZ$49+(seat_pitch)</f>
        <v>26.75</v>
      </c>
      <c r="BN846" s="281">
        <f>$AX$6</f>
        <v>-1.31</v>
      </c>
      <c r="BO846" s="281">
        <f t="shared" si="142"/>
        <v>8.9395200000000017</v>
      </c>
      <c r="HY846" s="281">
        <f>$HX$8+(bus_pitch*(n_rows_b&gt;0))</f>
        <v>6.5</v>
      </c>
      <c r="HZ846" s="281">
        <f>$HV$10</f>
        <v>-1.84</v>
      </c>
      <c r="IA846" s="281">
        <f t="shared" si="143"/>
        <v>-11.310479999999998</v>
      </c>
    </row>
    <row r="847" spans="65:235" x14ac:dyDescent="0.25">
      <c r="BM847" s="281">
        <f>$AZ$50+0.2*(seat_pitch)*($AY$50*n_SA+$AW$6&lt;pax_e)</f>
        <v>26.102</v>
      </c>
      <c r="BN847" s="281">
        <f>$AX$6</f>
        <v>-1.31</v>
      </c>
      <c r="BO847" s="281">
        <f t="shared" si="142"/>
        <v>8.291520000000002</v>
      </c>
      <c r="HY847" s="281">
        <f>$HX$9+0.2*(bus_pitch*(n_rows_b&gt;0))*($HW$9*n_SA_b+$HU$10&lt;pax_b)</f>
        <v>6.5</v>
      </c>
      <c r="HZ847" s="281">
        <f>$HV$10</f>
        <v>-1.84</v>
      </c>
      <c r="IA847" s="281">
        <f t="shared" si="143"/>
        <v>-11.310479999999998</v>
      </c>
    </row>
    <row r="848" spans="65:235" x14ac:dyDescent="0.25">
      <c r="BM848" s="281">
        <f>$AZ$50+0.2*(seat_pitch)*($AY$50*n_SA+$AW$6&lt;pax_e)</f>
        <v>26.102</v>
      </c>
      <c r="BN848" s="281">
        <f>$AX$6+seat_w*($AY$50*n_SA+$AW$6&lt;pax_e)</f>
        <v>-0.78</v>
      </c>
      <c r="BO848" s="281">
        <f t="shared" si="142"/>
        <v>8.291520000000002</v>
      </c>
      <c r="HY848" s="281">
        <f>$HX$9+0.2*(bus_pitch*(n_rows_b&gt;0))*($HW$9*n_SA_b+$HU$10&lt;pax_b)</f>
        <v>6.5</v>
      </c>
      <c r="HZ848" s="281">
        <f>$HV$10+seat_w_b*($HW$9*n_SA_b+$HU$10&lt;pax_b)</f>
        <v>-1.84</v>
      </c>
      <c r="IA848" s="281">
        <f t="shared" si="143"/>
        <v>-11.310479999999998</v>
      </c>
    </row>
    <row r="849" spans="65:235" x14ac:dyDescent="0.25">
      <c r="BM849" s="281">
        <f>$AZ$50</f>
        <v>25.94</v>
      </c>
      <c r="BN849" s="281">
        <f>$AX$6+seat_w*($AY$50*n_SA+$AW$6&lt;pax_e)</f>
        <v>-0.78</v>
      </c>
      <c r="BO849" s="281">
        <f t="shared" si="142"/>
        <v>8.129520000000003</v>
      </c>
      <c r="HY849" s="281">
        <f>$HX$9</f>
        <v>6.5</v>
      </c>
      <c r="HZ849" s="281">
        <f>$HV$10+seat_w_b*($HW$9*n_SA_b+$HU$10&lt;pax_b)</f>
        <v>-1.84</v>
      </c>
      <c r="IA849" s="281">
        <f t="shared" si="143"/>
        <v>-11.310479999999998</v>
      </c>
    </row>
    <row r="850" spans="65:235" x14ac:dyDescent="0.25">
      <c r="BM850" s="281">
        <f>$AZ$50+1*(seat_pitch)*($AY$50*n_SA+$AW$6&lt;pax_e)</f>
        <v>26.75</v>
      </c>
      <c r="BN850" s="281">
        <f>$AX$6+seat_w*($AY$50*n_SA+$AW$6&lt;pax_e)</f>
        <v>-0.78</v>
      </c>
      <c r="BO850" s="281">
        <f t="shared" si="142"/>
        <v>8.9395200000000017</v>
      </c>
      <c r="HY850" s="281">
        <f>$HX$9+1*(bus_pitch*(n_rows_b&gt;0))*($HW$9*n_SA_b+$HU$10&lt;pax_b)</f>
        <v>6.5</v>
      </c>
      <c r="HZ850" s="281">
        <f>$HV$10+seat_w_b*($HW$9*n_SA_b+$HU$10&lt;pax_b)</f>
        <v>-1.84</v>
      </c>
      <c r="IA850" s="281">
        <f t="shared" si="143"/>
        <v>-11.310479999999998</v>
      </c>
    </row>
    <row r="851" spans="65:235" x14ac:dyDescent="0.25">
      <c r="BM851" s="281">
        <f>$AZ$50+0.8*(seat_pitch)*($AY$50*n_SA+$AW$6&lt;pax_e)</f>
        <v>26.588000000000001</v>
      </c>
      <c r="BN851" s="281">
        <f>$AX$6+seat_w*($AY$50*n_SA+$AW$6&lt;pax_e)</f>
        <v>-0.78</v>
      </c>
      <c r="BO851" s="281">
        <f t="shared" si="142"/>
        <v>8.7775200000000027</v>
      </c>
      <c r="HY851" s="281">
        <f>$HX$9+0.8*(bus_pitch*(n_rows_b&gt;0))*($HW$9*n_SA_b+$HU$10&lt;pax_b)</f>
        <v>6.5</v>
      </c>
      <c r="HZ851" s="281">
        <f>$HV$10+seat_w_b*($HW$9*n_SA_b+$HU$10&lt;pax_b)</f>
        <v>-1.84</v>
      </c>
      <c r="IA851" s="281">
        <f t="shared" si="143"/>
        <v>-11.310479999999998</v>
      </c>
    </row>
    <row r="852" spans="65:235" x14ac:dyDescent="0.25">
      <c r="BM852" s="281">
        <f>$AZ$50+0.8*(seat_pitch)*($AY$50*n_SA+$AW$6&lt;pax_e)</f>
        <v>26.588000000000001</v>
      </c>
      <c r="BN852" s="281">
        <f>$AX$6</f>
        <v>-1.31</v>
      </c>
      <c r="BO852" s="281">
        <f t="shared" si="142"/>
        <v>8.7775200000000027</v>
      </c>
      <c r="HY852" s="281">
        <f>$HX$9+0.8*(bus_pitch*(n_rows_b&gt;0))*($HW$9*n_SA_b+$HU$10&lt;pax_b)</f>
        <v>6.5</v>
      </c>
      <c r="HZ852" s="281">
        <f>$HV$10</f>
        <v>-1.84</v>
      </c>
      <c r="IA852" s="281">
        <f t="shared" si="143"/>
        <v>-11.310479999999998</v>
      </c>
    </row>
    <row r="853" spans="65:235" x14ac:dyDescent="0.25">
      <c r="BM853" s="281">
        <f>$AZ$50+0.2*(seat_pitch)*($AY$50*n_SA+$AW$6&lt;pax_e)</f>
        <v>26.102</v>
      </c>
      <c r="BN853" s="281">
        <f>$AX$6</f>
        <v>-1.31</v>
      </c>
      <c r="BO853" s="281">
        <f t="shared" si="142"/>
        <v>8.291520000000002</v>
      </c>
      <c r="HY853" s="281">
        <f>$HX$9+0.2*(bus_pitch*(n_rows_b&gt;0))*($HW$9*n_SA_b+$HU$10&lt;pax_b)</f>
        <v>6.5</v>
      </c>
      <c r="HZ853" s="281">
        <f>$HV$10</f>
        <v>-1.84</v>
      </c>
      <c r="IA853" s="281">
        <f t="shared" si="143"/>
        <v>-11.310479999999998</v>
      </c>
    </row>
    <row r="854" spans="65:235" x14ac:dyDescent="0.25">
      <c r="BM854" s="281">
        <f>$AZ$50+(seat_pitch)</f>
        <v>26.75</v>
      </c>
      <c r="BN854" s="281">
        <f>$AX$6</f>
        <v>-1.31</v>
      </c>
      <c r="BO854" s="281">
        <f t="shared" si="142"/>
        <v>8.9395200000000017</v>
      </c>
      <c r="HY854" s="281">
        <f>$HX$9+(bus_pitch*(n_rows_b&gt;0))</f>
        <v>6.5</v>
      </c>
      <c r="HZ854" s="281">
        <f>$HV$10</f>
        <v>-1.84</v>
      </c>
      <c r="IA854" s="281">
        <f t="shared" si="143"/>
        <v>-11.310479999999998</v>
      </c>
    </row>
    <row r="855" spans="65:235" x14ac:dyDescent="0.25">
      <c r="BM855" s="281">
        <f>$AZ$51+0.2*(seat_pitch)*($AY$51*n_SA+$AW$6&lt;pax_e)</f>
        <v>26.102</v>
      </c>
      <c r="BN855" s="281">
        <f>$AX$6</f>
        <v>-1.31</v>
      </c>
      <c r="BO855" s="281">
        <f t="shared" si="142"/>
        <v>8.291520000000002</v>
      </c>
      <c r="HY855" s="281">
        <f>$HX$10+0.2*(bus_pitch*(n_rows_b&gt;0))*($HW$10*n_SA_b+$HU$10&lt;pax_b)</f>
        <v>6.5</v>
      </c>
      <c r="HZ855" s="281">
        <f>$HV$10</f>
        <v>-1.84</v>
      </c>
      <c r="IA855" s="281">
        <f t="shared" si="143"/>
        <v>-11.310479999999998</v>
      </c>
    </row>
    <row r="856" spans="65:235" x14ac:dyDescent="0.25">
      <c r="BM856" s="281">
        <f>$AZ$51+0.2*(seat_pitch)*($AY$51*n_SA+$AW$6&lt;pax_e)</f>
        <v>26.102</v>
      </c>
      <c r="BN856" s="281">
        <f>$AX$6+seat_w*($AY$51*n_SA+$AW$6&lt;pax_e)</f>
        <v>-0.78</v>
      </c>
      <c r="BO856" s="281">
        <f t="shared" si="142"/>
        <v>8.291520000000002</v>
      </c>
      <c r="HY856" s="281">
        <f>$HX$10+0.2*(bus_pitch*(n_rows_b&gt;0))*($HW$10*n_SA_b+$HU$10&lt;pax_b)</f>
        <v>6.5</v>
      </c>
      <c r="HZ856" s="281">
        <f>$HV$10+seat_w_b*($HW$10*n_SA_b+$HU$10&lt;pax_b)</f>
        <v>-1.84</v>
      </c>
      <c r="IA856" s="281">
        <f t="shared" si="143"/>
        <v>-11.310479999999998</v>
      </c>
    </row>
    <row r="857" spans="65:235" x14ac:dyDescent="0.25">
      <c r="BM857" s="281">
        <f>$AZ$51</f>
        <v>25.94</v>
      </c>
      <c r="BN857" s="281">
        <f>$AX$6+seat_w*($AY$51*n_SA+$AW$6&lt;pax_e)</f>
        <v>-0.78</v>
      </c>
      <c r="BO857" s="281">
        <f t="shared" si="142"/>
        <v>8.129520000000003</v>
      </c>
      <c r="HY857" s="281">
        <f>$HX$10</f>
        <v>6.5</v>
      </c>
      <c r="HZ857" s="281">
        <f>$HV$10+seat_w_b*($HW$10*n_SA_b+$HU$10&lt;pax_b)</f>
        <v>-1.84</v>
      </c>
      <c r="IA857" s="281">
        <f t="shared" si="143"/>
        <v>-11.310479999999998</v>
      </c>
    </row>
    <row r="858" spans="65:235" x14ac:dyDescent="0.25">
      <c r="BM858" s="281">
        <f>$AZ$51+1*(seat_pitch)*($AY$51*n_SA+$AW$6&lt;pax_e)</f>
        <v>26.75</v>
      </c>
      <c r="BN858" s="281">
        <f>$AX$6+seat_w*($AY$51*n_SA+$AW$6&lt;pax_e)</f>
        <v>-0.78</v>
      </c>
      <c r="BO858" s="281">
        <f t="shared" si="142"/>
        <v>8.9395200000000017</v>
      </c>
      <c r="HY858" s="281">
        <f>$HX$10+1*(bus_pitch*(n_rows_b&gt;0))*($HW$10*n_SA_b+$HU$10&lt;pax_b)</f>
        <v>6.5</v>
      </c>
      <c r="HZ858" s="281">
        <f>$HV$10+seat_w_b*($HW$10*n_SA_b+$HU$10&lt;pax_b)</f>
        <v>-1.84</v>
      </c>
      <c r="IA858" s="281">
        <f t="shared" si="143"/>
        <v>-11.310479999999998</v>
      </c>
    </row>
    <row r="859" spans="65:235" x14ac:dyDescent="0.25">
      <c r="BM859" s="281">
        <f>$AZ$51+0.8*(seat_pitch)*($AY$51*n_SA+$AW$6&lt;pax_e)</f>
        <v>26.588000000000001</v>
      </c>
      <c r="BN859" s="281">
        <f>$AX$6+seat_w*($AY$51*n_SA+$AW$6&lt;pax_e)</f>
        <v>-0.78</v>
      </c>
      <c r="BO859" s="281">
        <f t="shared" si="142"/>
        <v>8.7775200000000027</v>
      </c>
      <c r="HY859" s="281">
        <f>$HX$10+0.8*(bus_pitch*(n_rows_b&gt;0))*($HW$10*n_SA_b+$HU$10&lt;pax_b)</f>
        <v>6.5</v>
      </c>
      <c r="HZ859" s="281">
        <f>$HV$10+seat_w_b*($HW$10*n_SA_b+$HU$10&lt;pax_b)</f>
        <v>-1.84</v>
      </c>
      <c r="IA859" s="281">
        <f t="shared" si="143"/>
        <v>-11.310479999999998</v>
      </c>
    </row>
    <row r="860" spans="65:235" x14ac:dyDescent="0.25">
      <c r="BM860" s="281">
        <f>$AZ$51+0.8*(seat_pitch)*($AY$51*n_SA+$AW$6&lt;pax_e)</f>
        <v>26.588000000000001</v>
      </c>
      <c r="BN860" s="281">
        <f>$AX$6</f>
        <v>-1.31</v>
      </c>
      <c r="BO860" s="281">
        <f t="shared" si="142"/>
        <v>8.7775200000000027</v>
      </c>
      <c r="HY860" s="281">
        <f>$HX$10+0.8*(bus_pitch*(n_rows_b&gt;0))*($HW$10*n_SA_b+$HU$10&lt;pax_b)</f>
        <v>6.5</v>
      </c>
      <c r="HZ860" s="281">
        <f>$HV$10</f>
        <v>-1.84</v>
      </c>
      <c r="IA860" s="281">
        <f t="shared" si="143"/>
        <v>-11.310479999999998</v>
      </c>
    </row>
    <row r="861" spans="65:235" x14ac:dyDescent="0.25">
      <c r="BM861" s="281">
        <f>$AZ$51+0.2*(seat_pitch)*($AY$51*n_SA+$AW$6&lt;pax_e)</f>
        <v>26.102</v>
      </c>
      <c r="BN861" s="281">
        <f>$AX$6</f>
        <v>-1.31</v>
      </c>
      <c r="BO861" s="281">
        <f t="shared" si="142"/>
        <v>8.291520000000002</v>
      </c>
      <c r="HY861" s="281">
        <f>$HX$10+0.2*(bus_pitch*(n_rows_b&gt;0))*($HW$10*n_SA_b+$HU$10&lt;pax_b)</f>
        <v>6.5</v>
      </c>
      <c r="HZ861" s="281">
        <f>$HV$10</f>
        <v>-1.84</v>
      </c>
      <c r="IA861" s="281">
        <f t="shared" si="143"/>
        <v>-11.310479999999998</v>
      </c>
    </row>
    <row r="862" spans="65:235" x14ac:dyDescent="0.25">
      <c r="BM862" s="281">
        <f>$AZ$51+(seat_pitch)</f>
        <v>26.75</v>
      </c>
      <c r="BN862" s="281">
        <f>$AX$6</f>
        <v>-1.31</v>
      </c>
      <c r="BO862" s="281">
        <f t="shared" si="142"/>
        <v>8.9395200000000017</v>
      </c>
      <c r="HY862" s="281">
        <f>$HX$10+(bus_pitch*(n_rows_b&gt;0))</f>
        <v>6.5</v>
      </c>
      <c r="HZ862" s="281">
        <f>$HV$10</f>
        <v>-1.84</v>
      </c>
      <c r="IA862" s="281">
        <f t="shared" si="143"/>
        <v>-11.310479999999998</v>
      </c>
    </row>
    <row r="863" spans="65:235" x14ac:dyDescent="0.25">
      <c r="BM863" s="281">
        <f>$AZ$52+0.2*(seat_pitch)*($AY$52*n_SA+$AW$6&lt;pax_e)</f>
        <v>26.102</v>
      </c>
      <c r="BN863" s="281">
        <f>$AX$6</f>
        <v>-1.31</v>
      </c>
      <c r="BO863" s="281">
        <f t="shared" si="142"/>
        <v>8.291520000000002</v>
      </c>
      <c r="HY863" s="281">
        <f>$HX$11+0.2*(bus_pitch*(n_rows_b&gt;0))*($HW$11*n_SA_b+$HU$10&lt;pax_b)</f>
        <v>6.5</v>
      </c>
      <c r="HZ863" s="281">
        <f>$HV$10</f>
        <v>-1.84</v>
      </c>
      <c r="IA863" s="281">
        <f t="shared" si="143"/>
        <v>-11.310479999999998</v>
      </c>
    </row>
    <row r="864" spans="65:235" x14ac:dyDescent="0.25">
      <c r="BM864" s="281">
        <f>$AZ$52+0.2*(seat_pitch)*($AY$52*n_SA+$AW$6&lt;pax_e)</f>
        <v>26.102</v>
      </c>
      <c r="BN864" s="281">
        <f>$AX$6+seat_w*($AY$52*n_SA+$AW$6&lt;pax_e)</f>
        <v>-0.78</v>
      </c>
      <c r="BO864" s="281">
        <f t="shared" si="142"/>
        <v>8.291520000000002</v>
      </c>
      <c r="HY864" s="281">
        <f>$HX$11+0.2*(bus_pitch*(n_rows_b&gt;0))*($HW$11*n_SA_b+$HU$10&lt;pax_b)</f>
        <v>6.5</v>
      </c>
      <c r="HZ864" s="281">
        <f>$HV$10+seat_w_b*($HW$11*n_SA_b+$HU$10&lt;pax_b)</f>
        <v>-1.84</v>
      </c>
      <c r="IA864" s="281">
        <f t="shared" si="143"/>
        <v>-11.310479999999998</v>
      </c>
    </row>
    <row r="865" spans="65:235" x14ac:dyDescent="0.25">
      <c r="BM865" s="281">
        <f>$AZ$52</f>
        <v>25.94</v>
      </c>
      <c r="BN865" s="281">
        <f>$AX$6+seat_w*($AY$52*n_SA+$AW$6&lt;pax_e)</f>
        <v>-0.78</v>
      </c>
      <c r="BO865" s="281">
        <f t="shared" si="142"/>
        <v>8.129520000000003</v>
      </c>
      <c r="HY865" s="281">
        <f>$HX$11</f>
        <v>6.5</v>
      </c>
      <c r="HZ865" s="281">
        <f>$HV$10+seat_w_b*($HW$11*n_SA_b+$HU$10&lt;pax_b)</f>
        <v>-1.84</v>
      </c>
      <c r="IA865" s="281">
        <f t="shared" si="143"/>
        <v>-11.310479999999998</v>
      </c>
    </row>
    <row r="866" spans="65:235" x14ac:dyDescent="0.25">
      <c r="BM866" s="281">
        <f>$AZ$52+1*(seat_pitch)*($AY$52*n_SA+$AW$6&lt;pax_e)</f>
        <v>26.75</v>
      </c>
      <c r="BN866" s="281">
        <f>$AX$6+seat_w*($AY$52*n_SA+$AW$6&lt;pax_e)</f>
        <v>-0.78</v>
      </c>
      <c r="BO866" s="281">
        <f t="shared" si="142"/>
        <v>8.9395200000000017</v>
      </c>
      <c r="HY866" s="281">
        <f>$HX$11+1*(bus_pitch*(n_rows_b&gt;0))*($HW$11*n_SA_b+$HU$10&lt;pax_b)</f>
        <v>6.5</v>
      </c>
      <c r="HZ866" s="281">
        <f>$HV$10+seat_w_b*($HW$11*n_SA_b+$HU$10&lt;pax_b)</f>
        <v>-1.84</v>
      </c>
      <c r="IA866" s="281">
        <f t="shared" si="143"/>
        <v>-11.310479999999998</v>
      </c>
    </row>
    <row r="867" spans="65:235" x14ac:dyDescent="0.25">
      <c r="BM867" s="281">
        <f>$AZ$52+0.8*(seat_pitch)*($AY$52*n_SA+$AW$6&lt;pax_e)</f>
        <v>26.588000000000001</v>
      </c>
      <c r="BN867" s="281">
        <f>$AX$6+seat_w*($AY$52*n_SA+$AW$6&lt;pax_e)</f>
        <v>-0.78</v>
      </c>
      <c r="BO867" s="281">
        <f t="shared" si="142"/>
        <v>8.7775200000000027</v>
      </c>
      <c r="HY867" s="281">
        <f>$HX$11+0.8*(bus_pitch*(n_rows_b&gt;0))*($HW$11*n_SA_b+$HU$10&lt;pax_b)</f>
        <v>6.5</v>
      </c>
      <c r="HZ867" s="281">
        <f>$HV$10+seat_w_b*($HW$11*n_SA_b+$HU$10&lt;pax_b)</f>
        <v>-1.84</v>
      </c>
      <c r="IA867" s="281">
        <f t="shared" si="143"/>
        <v>-11.310479999999998</v>
      </c>
    </row>
    <row r="868" spans="65:235" x14ac:dyDescent="0.25">
      <c r="BM868" s="281">
        <f>$AZ$52+0.8*(seat_pitch)*($AY$52*n_SA+$AW$6&lt;pax_e)</f>
        <v>26.588000000000001</v>
      </c>
      <c r="BN868" s="281">
        <f>$AX$6</f>
        <v>-1.31</v>
      </c>
      <c r="BO868" s="281">
        <f t="shared" si="142"/>
        <v>8.7775200000000027</v>
      </c>
      <c r="HY868" s="281">
        <f>$HX$11+0.8*(bus_pitch*(n_rows_b&gt;0))*($HW$11*n_SA_b+$HU$10&lt;pax_b)</f>
        <v>6.5</v>
      </c>
      <c r="HZ868" s="281">
        <f>$HV$10</f>
        <v>-1.84</v>
      </c>
      <c r="IA868" s="281">
        <f t="shared" si="143"/>
        <v>-11.310479999999998</v>
      </c>
    </row>
    <row r="869" spans="65:235" x14ac:dyDescent="0.25">
      <c r="BM869" s="281">
        <f>$AZ$52+0.2*(seat_pitch)*($AY$52*n_SA+$AW$6&lt;pax_e)</f>
        <v>26.102</v>
      </c>
      <c r="BN869" s="281">
        <f>$AX$6</f>
        <v>-1.31</v>
      </c>
      <c r="BO869" s="281">
        <f t="shared" si="142"/>
        <v>8.291520000000002</v>
      </c>
      <c r="HY869" s="281">
        <f>$HX$11+0.2*(bus_pitch*(n_rows_b&gt;0))*($HW$11*n_SA_b+$HU$10&lt;pax_b)</f>
        <v>6.5</v>
      </c>
      <c r="HZ869" s="281">
        <f>$HV$10</f>
        <v>-1.84</v>
      </c>
      <c r="IA869" s="281">
        <f t="shared" si="143"/>
        <v>-11.310479999999998</v>
      </c>
    </row>
    <row r="870" spans="65:235" x14ac:dyDescent="0.25">
      <c r="BM870" s="281">
        <f>$AZ$52+(seat_pitch)</f>
        <v>26.75</v>
      </c>
      <c r="BN870" s="281">
        <f>$AX$6</f>
        <v>-1.31</v>
      </c>
      <c r="BO870" s="281">
        <f t="shared" si="142"/>
        <v>8.9395200000000017</v>
      </c>
      <c r="HY870" s="281">
        <f>$HX$11+(bus_pitch*(n_rows_b&gt;0))</f>
        <v>6.5</v>
      </c>
      <c r="HZ870" s="281">
        <f>$HV$10</f>
        <v>-1.84</v>
      </c>
      <c r="IA870" s="281">
        <f t="shared" si="143"/>
        <v>-11.310479999999998</v>
      </c>
    </row>
    <row r="871" spans="65:235" x14ac:dyDescent="0.25">
      <c r="BM871" s="281">
        <f>$AZ$53+0.2*(seat_pitch)*($AY$53*n_SA+$AW$6&lt;pax_e)</f>
        <v>26.102</v>
      </c>
      <c r="BN871" s="281">
        <f>$AX$6</f>
        <v>-1.31</v>
      </c>
      <c r="BO871" s="281">
        <f t="shared" si="142"/>
        <v>8.291520000000002</v>
      </c>
      <c r="HY871" s="281">
        <f>$HX$12+0.2*(bus_pitch*(n_rows_b&gt;0))*($HW$12*n_SA_b+$HU$10&lt;pax_b)</f>
        <v>6.5</v>
      </c>
      <c r="HZ871" s="281">
        <f>$HV$10</f>
        <v>-1.84</v>
      </c>
      <c r="IA871" s="281">
        <f t="shared" si="143"/>
        <v>-11.310479999999998</v>
      </c>
    </row>
    <row r="872" spans="65:235" x14ac:dyDescent="0.25">
      <c r="BM872" s="281">
        <f>$AZ$53+0.2*(seat_pitch)*($AY$53*n_SA+$AW$6&lt;pax_e)</f>
        <v>26.102</v>
      </c>
      <c r="BN872" s="281">
        <f>$AX$6+seat_w*($AY$53*n_SA+$AW$6&lt;pax_e)</f>
        <v>-0.78</v>
      </c>
      <c r="BO872" s="281">
        <f t="shared" si="142"/>
        <v>8.291520000000002</v>
      </c>
      <c r="HY872" s="281">
        <f>$HX$12+0.2*(bus_pitch*(n_rows_b&gt;0))*($HW$12*n_SA_b+$HU$10&lt;pax_b)</f>
        <v>6.5</v>
      </c>
      <c r="HZ872" s="281">
        <f>$HV$10+seat_w_b*($HW$12*n_SA_b+$HU$10&lt;pax_b)</f>
        <v>-1.84</v>
      </c>
      <c r="IA872" s="281">
        <f t="shared" si="143"/>
        <v>-11.310479999999998</v>
      </c>
    </row>
    <row r="873" spans="65:235" x14ac:dyDescent="0.25">
      <c r="BM873" s="281">
        <f>$AZ$53</f>
        <v>25.94</v>
      </c>
      <c r="BN873" s="281">
        <f>$AX$6+seat_w*($AY$53*n_SA+$AW$6&lt;pax_e)</f>
        <v>-0.78</v>
      </c>
      <c r="BO873" s="281">
        <f t="shared" si="142"/>
        <v>8.129520000000003</v>
      </c>
      <c r="HY873" s="281">
        <f>$HX$12</f>
        <v>6.5</v>
      </c>
      <c r="HZ873" s="281">
        <f>$HV$10+seat_w_b*($HW$12*n_SA_b+$HU$10&lt;pax_b)</f>
        <v>-1.84</v>
      </c>
      <c r="IA873" s="281">
        <f t="shared" si="143"/>
        <v>-11.310479999999998</v>
      </c>
    </row>
    <row r="874" spans="65:235" x14ac:dyDescent="0.25">
      <c r="BM874" s="281">
        <f>$AZ$53+1*(seat_pitch)*($AY$53*n_SA+$AW$6&lt;pax_e)</f>
        <v>26.75</v>
      </c>
      <c r="BN874" s="281">
        <f>$AX$6+seat_w*($AY$53*n_SA+$AW$6&lt;pax_e)</f>
        <v>-0.78</v>
      </c>
      <c r="BO874" s="281">
        <f t="shared" si="142"/>
        <v>8.9395200000000017</v>
      </c>
      <c r="HY874" s="281">
        <f>$HX$12+1*(bus_pitch*(n_rows_b&gt;0))*($HW$12*n_SA_b+$HU$10&lt;pax_b)</f>
        <v>6.5</v>
      </c>
      <c r="HZ874" s="281">
        <f>$HV$10+seat_w_b*($HW$12*n_SA_b+$HU$10&lt;pax_b)</f>
        <v>-1.84</v>
      </c>
      <c r="IA874" s="281">
        <f t="shared" si="143"/>
        <v>-11.310479999999998</v>
      </c>
    </row>
    <row r="875" spans="65:235" x14ac:dyDescent="0.25">
      <c r="BM875" s="281">
        <f>$AZ$53+0.8*(seat_pitch)*($AY$53*n_SA+$AW$6&lt;pax_e)</f>
        <v>26.588000000000001</v>
      </c>
      <c r="BN875" s="281">
        <f>$AX$6+seat_w*($AY$53*n_SA+$AW$6&lt;pax_e)</f>
        <v>-0.78</v>
      </c>
      <c r="BO875" s="281">
        <f t="shared" si="142"/>
        <v>8.7775200000000027</v>
      </c>
      <c r="HY875" s="281">
        <f>$HX$12+0.8*(bus_pitch*(n_rows_b&gt;0))*($HW$12*n_SA_b+$HU$10&lt;pax_b)</f>
        <v>6.5</v>
      </c>
      <c r="HZ875" s="281">
        <f>$HV$10+seat_w_b*($HW$12*n_SA_b+$HU$10&lt;pax_b)</f>
        <v>-1.84</v>
      </c>
      <c r="IA875" s="281">
        <f t="shared" si="143"/>
        <v>-11.310479999999998</v>
      </c>
    </row>
    <row r="876" spans="65:235" x14ac:dyDescent="0.25">
      <c r="BM876" s="281">
        <f>$AZ$53+0.8*(seat_pitch)*($AY$53*n_SA+$AW$6&lt;pax_e)</f>
        <v>26.588000000000001</v>
      </c>
      <c r="BN876" s="281">
        <f>$AX$6</f>
        <v>-1.31</v>
      </c>
      <c r="BO876" s="281">
        <f t="shared" si="142"/>
        <v>8.7775200000000027</v>
      </c>
      <c r="HY876" s="281">
        <f>$HX$12+0.8*(bus_pitch*(n_rows_b&gt;0))*($HW$12*n_SA_b+$HU$10&lt;pax_b)</f>
        <v>6.5</v>
      </c>
      <c r="HZ876" s="281">
        <f>$HV$10</f>
        <v>-1.84</v>
      </c>
      <c r="IA876" s="281">
        <f t="shared" si="143"/>
        <v>-11.310479999999998</v>
      </c>
    </row>
    <row r="877" spans="65:235" x14ac:dyDescent="0.25">
      <c r="BM877" s="281">
        <f>$AZ$53+0.2*(seat_pitch)*($AY$53*n_SA+$AW$6&lt;pax_e)</f>
        <v>26.102</v>
      </c>
      <c r="BN877" s="281">
        <f>$AX$6</f>
        <v>-1.31</v>
      </c>
      <c r="BO877" s="281">
        <f t="shared" si="142"/>
        <v>8.291520000000002</v>
      </c>
      <c r="HY877" s="281">
        <f>$HX$12+0.2*(bus_pitch*(n_rows_b&gt;0))*($HW$12*n_SA_b+$HU$10&lt;pax_b)</f>
        <v>6.5</v>
      </c>
      <c r="HZ877" s="281">
        <f>$HV$10</f>
        <v>-1.84</v>
      </c>
      <c r="IA877" s="281">
        <f t="shared" si="143"/>
        <v>-11.310479999999998</v>
      </c>
    </row>
    <row r="878" spans="65:235" x14ac:dyDescent="0.25">
      <c r="BM878" s="281">
        <f>$AZ$53+(seat_pitch)</f>
        <v>26.75</v>
      </c>
      <c r="BN878" s="281">
        <f>$AX$6</f>
        <v>-1.31</v>
      </c>
      <c r="BO878" s="281">
        <f t="shared" si="142"/>
        <v>8.9395200000000017</v>
      </c>
      <c r="HY878" s="281">
        <f>$HX$12+(bus_pitch*(n_rows_b&gt;0))</f>
        <v>6.5</v>
      </c>
      <c r="HZ878" s="281">
        <f>$HV$10</f>
        <v>-1.84</v>
      </c>
      <c r="IA878" s="281">
        <f t="shared" si="143"/>
        <v>-11.310479999999998</v>
      </c>
    </row>
    <row r="879" spans="65:235" x14ac:dyDescent="0.25">
      <c r="BM879" s="281">
        <f>$AZ$54+0.2*(seat_pitch)*($AY$54*n_SA+$AW$6&lt;pax_e)</f>
        <v>26.102</v>
      </c>
      <c r="BN879" s="281">
        <f>$AX$6</f>
        <v>-1.31</v>
      </c>
      <c r="BO879" s="281">
        <f t="shared" si="142"/>
        <v>8.291520000000002</v>
      </c>
      <c r="HY879" s="281">
        <f>$HX$13+0.2*(bus_pitch*(n_rows_b&gt;0))*($HW$13*n_SA_b+$HU$10&lt;pax_b)</f>
        <v>6.5</v>
      </c>
      <c r="HZ879" s="281">
        <f>$HV$10</f>
        <v>-1.84</v>
      </c>
      <c r="IA879" s="281">
        <f t="shared" si="143"/>
        <v>-11.310479999999998</v>
      </c>
    </row>
    <row r="880" spans="65:235" x14ac:dyDescent="0.25">
      <c r="BM880" s="281">
        <f>$AZ$54+0.2*(seat_pitch)*($AY$54*n_SA+$AW$6&lt;pax_e)</f>
        <v>26.102</v>
      </c>
      <c r="BN880" s="281">
        <f>$AX$6+seat_w*($AY$54*n_SA+$AW$6&lt;pax_e)</f>
        <v>-0.78</v>
      </c>
      <c r="BO880" s="281">
        <f t="shared" si="142"/>
        <v>8.291520000000002</v>
      </c>
      <c r="HY880" s="281">
        <f>$HX$13+0.2*(bus_pitch*(n_rows_b&gt;0))*($HW$13*n_SA_b+$HU$10&lt;pax_b)</f>
        <v>6.5</v>
      </c>
      <c r="HZ880" s="281">
        <f>$HV$10+seat_w_b*($HW$13*n_SA_b+$HU$10&lt;pax_b)</f>
        <v>-1.84</v>
      </c>
      <c r="IA880" s="281">
        <f t="shared" si="143"/>
        <v>-11.310479999999998</v>
      </c>
    </row>
    <row r="881" spans="65:235" x14ac:dyDescent="0.25">
      <c r="BM881" s="281">
        <f>$AZ$54</f>
        <v>25.94</v>
      </c>
      <c r="BN881" s="281">
        <f>$AX$6+seat_w*($AY$54*n_SA+$AW$6&lt;pax_e)</f>
        <v>-0.78</v>
      </c>
      <c r="BO881" s="281">
        <f t="shared" si="142"/>
        <v>8.129520000000003</v>
      </c>
      <c r="HY881" s="281">
        <f>$HX$13</f>
        <v>6.5</v>
      </c>
      <c r="HZ881" s="281">
        <f>$HV$10+seat_w_b*($HW$13*n_SA_b+$HU$10&lt;pax_b)</f>
        <v>-1.84</v>
      </c>
      <c r="IA881" s="281">
        <f t="shared" si="143"/>
        <v>-11.310479999999998</v>
      </c>
    </row>
    <row r="882" spans="65:235" x14ac:dyDescent="0.25">
      <c r="BM882" s="281">
        <f>$AZ$54+1*(seat_pitch)*($AY$54*n_SA+$AW$6&lt;pax_e)</f>
        <v>26.75</v>
      </c>
      <c r="BN882" s="281">
        <f>$AX$6+seat_w*($AY$54*n_SA+$AW$6&lt;pax_e)</f>
        <v>-0.78</v>
      </c>
      <c r="BO882" s="281">
        <f t="shared" si="142"/>
        <v>8.9395200000000017</v>
      </c>
      <c r="HY882" s="281">
        <f>$HX$13+1*(bus_pitch*(n_rows_b&gt;0))*($HW$13*n_SA_b+$HU$10&lt;pax_b)</f>
        <v>6.5</v>
      </c>
      <c r="HZ882" s="281">
        <f>$HV$10+seat_w_b*($HW$13*n_SA_b+$HU$10&lt;pax_b)</f>
        <v>-1.84</v>
      </c>
      <c r="IA882" s="281">
        <f t="shared" si="143"/>
        <v>-11.310479999999998</v>
      </c>
    </row>
    <row r="883" spans="65:235" x14ac:dyDescent="0.25">
      <c r="BM883" s="281">
        <f>$AZ$54+0.8*(seat_pitch)*($AY$54*n_SA+$AW$6&lt;pax_e)</f>
        <v>26.588000000000001</v>
      </c>
      <c r="BN883" s="281">
        <f>$AX$6+seat_w*($AY$54*n_SA+$AW$6&lt;pax_e)</f>
        <v>-0.78</v>
      </c>
      <c r="BO883" s="281">
        <f t="shared" si="142"/>
        <v>8.7775200000000027</v>
      </c>
      <c r="HY883" s="281">
        <f>$HX$13+0.8*(bus_pitch*(n_rows_b&gt;0))*($HW$13*n_SA_b+$HU$10&lt;pax_b)</f>
        <v>6.5</v>
      </c>
      <c r="HZ883" s="281">
        <f>$HV$10+seat_w_b*($HW$13*n_SA_b+$HU$10&lt;pax_b)</f>
        <v>-1.84</v>
      </c>
      <c r="IA883" s="281">
        <f t="shared" si="143"/>
        <v>-11.310479999999998</v>
      </c>
    </row>
    <row r="884" spans="65:235" x14ac:dyDescent="0.25">
      <c r="BM884" s="281">
        <f>$AZ$54+0.8*(seat_pitch)*($AY$54*n_SA+$AW$6&lt;pax_e)</f>
        <v>26.588000000000001</v>
      </c>
      <c r="BN884" s="281">
        <f>$AX$6</f>
        <v>-1.31</v>
      </c>
      <c r="BO884" s="281">
        <f t="shared" si="142"/>
        <v>8.7775200000000027</v>
      </c>
      <c r="HY884" s="281">
        <f>$HX$13+0.8*(bus_pitch*(n_rows_b&gt;0))*($HW$13*n_SA_b+$HU$10&lt;pax_b)</f>
        <v>6.5</v>
      </c>
      <c r="HZ884" s="281">
        <f>$HV$10</f>
        <v>-1.84</v>
      </c>
      <c r="IA884" s="281">
        <f t="shared" si="143"/>
        <v>-11.310479999999998</v>
      </c>
    </row>
    <row r="885" spans="65:235" x14ac:dyDescent="0.25">
      <c r="BM885" s="281">
        <f>$AZ$54+0.2*(seat_pitch)*($AY$54*n_SA+$AW$6&lt;pax_e)</f>
        <v>26.102</v>
      </c>
      <c r="BN885" s="281">
        <f>$AX$6</f>
        <v>-1.31</v>
      </c>
      <c r="BO885" s="281">
        <f t="shared" si="142"/>
        <v>8.291520000000002</v>
      </c>
      <c r="HY885" s="281">
        <f>$HX$13+0.2*(bus_pitch*(n_rows_b&gt;0))*($HW$13*n_SA_b+$HU$10&lt;pax_b)</f>
        <v>6.5</v>
      </c>
      <c r="HZ885" s="281">
        <f>$HV$10</f>
        <v>-1.84</v>
      </c>
      <c r="IA885" s="281">
        <f t="shared" si="143"/>
        <v>-11.310479999999998</v>
      </c>
    </row>
    <row r="886" spans="65:235" x14ac:dyDescent="0.25">
      <c r="BM886" s="281">
        <f>$AZ$54+(seat_pitch)</f>
        <v>26.75</v>
      </c>
      <c r="BN886" s="281">
        <f>$AX$6</f>
        <v>-1.31</v>
      </c>
      <c r="BO886" s="281">
        <f t="shared" si="142"/>
        <v>8.9395200000000017</v>
      </c>
      <c r="HY886" s="281">
        <f>$HX$13+(bus_pitch*(n_rows_b&gt;0))</f>
        <v>6.5</v>
      </c>
      <c r="HZ886" s="281">
        <f>$HV$10</f>
        <v>-1.84</v>
      </c>
      <c r="IA886" s="281">
        <f t="shared" si="143"/>
        <v>-11.310479999999998</v>
      </c>
    </row>
    <row r="887" spans="65:235" x14ac:dyDescent="0.25">
      <c r="BM887" s="281">
        <f>$AZ$55+0.2*(seat_pitch)*($AY$55*n_SA+$AW$6&lt;pax_e)</f>
        <v>26.102</v>
      </c>
      <c r="BN887" s="281">
        <f>$AX$6</f>
        <v>-1.31</v>
      </c>
      <c r="BO887" s="281">
        <f t="shared" si="142"/>
        <v>8.291520000000002</v>
      </c>
      <c r="HY887" s="281">
        <f>$HX$14+0.2*(bus_pitch*(n_rows_b&gt;0))*($HW$14*n_SA_b+$HU$10&lt;pax_b)</f>
        <v>6.5</v>
      </c>
      <c r="HZ887" s="281">
        <f>$HV$10</f>
        <v>-1.84</v>
      </c>
      <c r="IA887" s="281">
        <f t="shared" si="143"/>
        <v>-11.310479999999998</v>
      </c>
    </row>
    <row r="888" spans="65:235" x14ac:dyDescent="0.25">
      <c r="BM888" s="281">
        <f>$AZ$55+0.2*(seat_pitch)*($AY$55*n_SA+$AW$6&lt;pax_e)</f>
        <v>26.102</v>
      </c>
      <c r="BN888" s="281">
        <f>$AX$6+seat_w*($AY$55*n_SA+$AW$6&lt;pax_e)</f>
        <v>-0.78</v>
      </c>
      <c r="BO888" s="281">
        <f t="shared" si="142"/>
        <v>8.291520000000002</v>
      </c>
      <c r="HY888" s="281">
        <f>$HX$14+0.2*(bus_pitch*(n_rows_b&gt;0))*($HW$14*n_SA_b+$HU$10&lt;pax_b)</f>
        <v>6.5</v>
      </c>
      <c r="HZ888" s="281">
        <f>$HV$10+seat_w_b*($HW$14*n_SA_b+$HU$10&lt;pax_b)</f>
        <v>-1.84</v>
      </c>
      <c r="IA888" s="281">
        <f t="shared" si="143"/>
        <v>-11.310479999999998</v>
      </c>
    </row>
    <row r="889" spans="65:235" x14ac:dyDescent="0.25">
      <c r="BM889" s="281">
        <f>$AZ$55</f>
        <v>25.94</v>
      </c>
      <c r="BN889" s="281">
        <f>$AX$6+seat_w*($AY$55*n_SA+$AW$6&lt;pax_e)</f>
        <v>-0.78</v>
      </c>
      <c r="BO889" s="281">
        <f t="shared" si="142"/>
        <v>8.129520000000003</v>
      </c>
      <c r="HY889" s="281">
        <f>$HX$14</f>
        <v>6.5</v>
      </c>
      <c r="HZ889" s="281">
        <f>$HV$10+seat_w_b*($HW$14*n_SA_b+$HU$10&lt;pax_b)</f>
        <v>-1.84</v>
      </c>
      <c r="IA889" s="281">
        <f t="shared" si="143"/>
        <v>-11.310479999999998</v>
      </c>
    </row>
    <row r="890" spans="65:235" x14ac:dyDescent="0.25">
      <c r="BM890" s="281">
        <f>$AZ$55+1*(seat_pitch)*($AY$55*n_SA+$AW$6&lt;pax_e)</f>
        <v>26.75</v>
      </c>
      <c r="BN890" s="281">
        <f>$AX$6+seat_w*($AY$55*n_SA+$AW$6&lt;pax_e)</f>
        <v>-0.78</v>
      </c>
      <c r="BO890" s="281">
        <f t="shared" si="142"/>
        <v>8.9395200000000017</v>
      </c>
      <c r="HY890" s="281">
        <f>$HX$14+1*(bus_pitch*(n_rows_b&gt;0))*($HW$14*n_SA_b+$HU$10&lt;pax_b)</f>
        <v>6.5</v>
      </c>
      <c r="HZ890" s="281">
        <f>$HV$10+seat_w_b*($HW$14*n_SA_b+$HU$10&lt;pax_b)</f>
        <v>-1.84</v>
      </c>
      <c r="IA890" s="281">
        <f t="shared" si="143"/>
        <v>-11.310479999999998</v>
      </c>
    </row>
    <row r="891" spans="65:235" x14ac:dyDescent="0.25">
      <c r="BM891" s="281">
        <f>$AZ$55+0.8*(seat_pitch)*($AY$55*n_SA+$AW$6&lt;pax_e)</f>
        <v>26.588000000000001</v>
      </c>
      <c r="BN891" s="281">
        <f>$AX$6+seat_w*($AY$55*n_SA+$AW$6&lt;pax_e)</f>
        <v>-0.78</v>
      </c>
      <c r="BO891" s="281">
        <f t="shared" si="142"/>
        <v>8.7775200000000027</v>
      </c>
      <c r="HY891" s="281">
        <f>$HX$14+0.8*(bus_pitch*(n_rows_b&gt;0))*($HW$14*n_SA_b+$HU$10&lt;pax_b)</f>
        <v>6.5</v>
      </c>
      <c r="HZ891" s="281">
        <f>$HV$10+seat_w_b*($HW$14*n_SA_b+$HU$10&lt;pax_b)</f>
        <v>-1.84</v>
      </c>
      <c r="IA891" s="281">
        <f t="shared" si="143"/>
        <v>-11.310479999999998</v>
      </c>
    </row>
    <row r="892" spans="65:235" x14ac:dyDescent="0.25">
      <c r="BM892" s="281">
        <f>$AZ$55+0.8*(seat_pitch)*($AY$55*n_SA+$AW$6&lt;pax_e)</f>
        <v>26.588000000000001</v>
      </c>
      <c r="BN892" s="281">
        <f>$AX$6</f>
        <v>-1.31</v>
      </c>
      <c r="BO892" s="281">
        <f t="shared" si="142"/>
        <v>8.7775200000000027</v>
      </c>
      <c r="HY892" s="281">
        <f>$HX$14+0.8*(bus_pitch*(n_rows_b&gt;0))*($HW$14*n_SA_b+$HU$10&lt;pax_b)</f>
        <v>6.5</v>
      </c>
      <c r="HZ892" s="281">
        <f>$HV$10</f>
        <v>-1.84</v>
      </c>
      <c r="IA892" s="281">
        <f t="shared" si="143"/>
        <v>-11.310479999999998</v>
      </c>
    </row>
    <row r="893" spans="65:235" x14ac:dyDescent="0.25">
      <c r="BM893" s="281">
        <f>$AZ$55+0.2*(seat_pitch)*($AY$55*n_SA+$AW$6&lt;pax_e)</f>
        <v>26.102</v>
      </c>
      <c r="BN893" s="281">
        <f>$AX$6</f>
        <v>-1.31</v>
      </c>
      <c r="BO893" s="281">
        <f t="shared" si="142"/>
        <v>8.291520000000002</v>
      </c>
      <c r="HY893" s="281">
        <f>$HX$14+0.2*(bus_pitch*(n_rows_b&gt;0))*($HW$14*n_SA_b+$HU$10&lt;pax_b)</f>
        <v>6.5</v>
      </c>
      <c r="HZ893" s="281">
        <f>$HV$10</f>
        <v>-1.84</v>
      </c>
      <c r="IA893" s="281">
        <f t="shared" si="143"/>
        <v>-11.310479999999998</v>
      </c>
    </row>
    <row r="894" spans="65:235" x14ac:dyDescent="0.25">
      <c r="BM894" s="281">
        <f>$AZ$55+(seat_pitch)</f>
        <v>26.75</v>
      </c>
      <c r="BN894" s="281">
        <f>$AX$6</f>
        <v>-1.31</v>
      </c>
      <c r="BO894" s="281">
        <f t="shared" si="142"/>
        <v>8.9395200000000017</v>
      </c>
      <c r="HY894" s="281">
        <f>$HX$14+(bus_pitch*(n_rows_b&gt;0))</f>
        <v>6.5</v>
      </c>
      <c r="HZ894" s="281">
        <f>$HV$10</f>
        <v>-1.84</v>
      </c>
      <c r="IA894" s="281">
        <f t="shared" si="143"/>
        <v>-11.310479999999998</v>
      </c>
    </row>
    <row r="895" spans="65:235" x14ac:dyDescent="0.25">
      <c r="BM895" s="281">
        <f>$AZ$56+0.2*(seat_pitch)*($AY$56*n_SA+$AW$6&lt;pax_e)</f>
        <v>26.102</v>
      </c>
      <c r="BN895" s="281">
        <f>$AX$6</f>
        <v>-1.31</v>
      </c>
      <c r="BO895" s="281">
        <f t="shared" si="142"/>
        <v>8.291520000000002</v>
      </c>
      <c r="HY895" s="281">
        <f>$HX$15+0.2*(bus_pitch*(n_rows_b&gt;0))*($HW$15*n_SA_b+$HU$10&lt;pax_b)</f>
        <v>6.5</v>
      </c>
      <c r="HZ895" s="281">
        <f>$HV$10</f>
        <v>-1.84</v>
      </c>
      <c r="IA895" s="281">
        <f t="shared" si="143"/>
        <v>-11.310479999999998</v>
      </c>
    </row>
    <row r="896" spans="65:235" x14ac:dyDescent="0.25">
      <c r="BM896" s="281">
        <f>$AZ$56+0.2*(seat_pitch)*($AY$56*n_SA+$AW$6&lt;pax_e)</f>
        <v>26.102</v>
      </c>
      <c r="BN896" s="281">
        <f>$AX$6+seat_w*($AY$56*n_SA+$AW$6&lt;pax_e)</f>
        <v>-0.78</v>
      </c>
      <c r="BO896" s="281">
        <f t="shared" si="142"/>
        <v>8.291520000000002</v>
      </c>
      <c r="HY896" s="281">
        <f>$HX$15+0.2*(bus_pitch*(n_rows_b&gt;0))*($HW$15*n_SA_b+$HU$10&lt;pax_b)</f>
        <v>6.5</v>
      </c>
      <c r="HZ896" s="281">
        <f>$HV$10+seat_w_b*($HW$15*n_SA_b+$HU$10&lt;pax_b)</f>
        <v>-1.84</v>
      </c>
      <c r="IA896" s="281">
        <f t="shared" si="143"/>
        <v>-11.310479999999998</v>
      </c>
    </row>
    <row r="897" spans="65:235" x14ac:dyDescent="0.25">
      <c r="BM897" s="281">
        <f>$AZ$56</f>
        <v>25.94</v>
      </c>
      <c r="BN897" s="281">
        <f>$AX$6+seat_w*($AY$56*n_SA+$AW$6&lt;pax_e)</f>
        <v>-0.78</v>
      </c>
      <c r="BO897" s="281">
        <f t="shared" si="142"/>
        <v>8.129520000000003</v>
      </c>
      <c r="HY897" s="281">
        <f>$HX$15</f>
        <v>6.5</v>
      </c>
      <c r="HZ897" s="281">
        <f>$HV$10+seat_w_b*($HW$15*n_SA_b+$HU$10&lt;pax_b)</f>
        <v>-1.84</v>
      </c>
      <c r="IA897" s="281">
        <f t="shared" si="143"/>
        <v>-11.310479999999998</v>
      </c>
    </row>
    <row r="898" spans="65:235" x14ac:dyDescent="0.25">
      <c r="BM898" s="281">
        <f>$AZ$56+1*(seat_pitch)*($AY$56*n_SA+$AW$6&lt;pax_e)</f>
        <v>26.75</v>
      </c>
      <c r="BN898" s="281">
        <f>$AX$6+seat_w*($AY$56*n_SA+$AW$6&lt;pax_e)</f>
        <v>-0.78</v>
      </c>
      <c r="BO898" s="281">
        <f t="shared" si="142"/>
        <v>8.9395200000000017</v>
      </c>
      <c r="HY898" s="281">
        <f>$HX$15+1*(bus_pitch*(n_rows_b&gt;0))*($HW$15*n_SA_b+$HU$10&lt;pax_b)</f>
        <v>6.5</v>
      </c>
      <c r="HZ898" s="281">
        <f>$HV$10+seat_w_b*($HW$15*n_SA_b+$HU$10&lt;pax_b)</f>
        <v>-1.84</v>
      </c>
      <c r="IA898" s="281">
        <f t="shared" si="143"/>
        <v>-11.310479999999998</v>
      </c>
    </row>
    <row r="899" spans="65:235" x14ac:dyDescent="0.25">
      <c r="BM899" s="281">
        <f>$AZ$56+0.8*(seat_pitch)*($AY$56*n_SA+$AW$6&lt;pax_e)</f>
        <v>26.588000000000001</v>
      </c>
      <c r="BN899" s="281">
        <f>$AX$6+seat_w*($AY$56*n_SA+$AW$6&lt;pax_e)</f>
        <v>-0.78</v>
      </c>
      <c r="BO899" s="281">
        <f t="shared" si="142"/>
        <v>8.7775200000000027</v>
      </c>
      <c r="HY899" s="281">
        <f>$HX$15+0.8*(bus_pitch*(n_rows_b&gt;0))*($HW$15*n_SA_b+$HU$10&lt;pax_b)</f>
        <v>6.5</v>
      </c>
      <c r="HZ899" s="281">
        <f>$HV$10+seat_w_b*($HW$15*n_SA_b+$HU$10&lt;pax_b)</f>
        <v>-1.84</v>
      </c>
      <c r="IA899" s="281">
        <f t="shared" si="143"/>
        <v>-11.310479999999998</v>
      </c>
    </row>
    <row r="900" spans="65:235" x14ac:dyDescent="0.25">
      <c r="BM900" s="281">
        <f>$AZ$56+0.8*(seat_pitch)*($AY$56*n_SA+$AW$6&lt;pax_e)</f>
        <v>26.588000000000001</v>
      </c>
      <c r="BN900" s="281">
        <f>$AX$6</f>
        <v>-1.31</v>
      </c>
      <c r="BO900" s="281">
        <f t="shared" si="142"/>
        <v>8.7775200000000027</v>
      </c>
      <c r="HY900" s="281">
        <f>$HX$15+0.8*(bus_pitch*(n_rows_b&gt;0))*($HW$15*n_SA_b+$HU$10&lt;pax_b)</f>
        <v>6.5</v>
      </c>
      <c r="HZ900" s="281">
        <f>$HV$10</f>
        <v>-1.84</v>
      </c>
      <c r="IA900" s="281">
        <f t="shared" si="143"/>
        <v>-11.310479999999998</v>
      </c>
    </row>
    <row r="901" spans="65:235" x14ac:dyDescent="0.25">
      <c r="BM901" s="281">
        <f>$AZ$56+0.2*(seat_pitch)*($AY$56*n_SA+$AW$6&lt;pax_e)</f>
        <v>26.102</v>
      </c>
      <c r="BN901" s="281">
        <f>$AX$6</f>
        <v>-1.31</v>
      </c>
      <c r="BO901" s="281">
        <f t="shared" ref="BO901:BO964" si="144">BM901-L_fus/2</f>
        <v>8.291520000000002</v>
      </c>
      <c r="HY901" s="281">
        <f>$HX$15+0.2*(bus_pitch*(n_rows_b&gt;0))*($HW$15*n_SA_b+$HU$10&lt;pax_b)</f>
        <v>6.5</v>
      </c>
      <c r="HZ901" s="281">
        <f>$HV$10</f>
        <v>-1.84</v>
      </c>
      <c r="IA901" s="281">
        <f t="shared" ref="IA901:IA964" si="145">HY901-L_fus/2</f>
        <v>-11.310479999999998</v>
      </c>
    </row>
    <row r="902" spans="65:235" x14ac:dyDescent="0.25">
      <c r="BM902" s="281">
        <f>$AZ$56+(seat_pitch)</f>
        <v>26.75</v>
      </c>
      <c r="BN902" s="281">
        <f>$AX$6</f>
        <v>-1.31</v>
      </c>
      <c r="BO902" s="281">
        <f t="shared" si="144"/>
        <v>8.9395200000000017</v>
      </c>
      <c r="HY902" s="281">
        <f>$HX$15+(bus_pitch*(n_rows_b&gt;0))</f>
        <v>6.5</v>
      </c>
      <c r="HZ902" s="281">
        <f>$HV$10</f>
        <v>-1.84</v>
      </c>
      <c r="IA902" s="281">
        <f t="shared" si="145"/>
        <v>-11.310479999999998</v>
      </c>
    </row>
    <row r="903" spans="65:235" x14ac:dyDescent="0.25">
      <c r="BM903" s="281">
        <f>$AZ$57+0.2*(seat_pitch)*($AY$57*n_SA+$AW$6&lt;pax_e)</f>
        <v>26.102</v>
      </c>
      <c r="BN903" s="281">
        <f>$AX$6</f>
        <v>-1.31</v>
      </c>
      <c r="BO903" s="281">
        <f t="shared" si="144"/>
        <v>8.291520000000002</v>
      </c>
      <c r="HY903" s="281">
        <f>$HX$16+0.2*(bus_pitch*(n_rows_b&gt;0))*($HW$16*n_SA_b+$HU$10&lt;pax_b)</f>
        <v>6.5</v>
      </c>
      <c r="HZ903" s="281">
        <f>$HV$10</f>
        <v>-1.84</v>
      </c>
      <c r="IA903" s="281">
        <f t="shared" si="145"/>
        <v>-11.310479999999998</v>
      </c>
    </row>
    <row r="904" spans="65:235" x14ac:dyDescent="0.25">
      <c r="BM904" s="281">
        <f>$AZ$57+0.2*(seat_pitch)*($AY$57*n_SA+$AW$6&lt;pax_e)</f>
        <v>26.102</v>
      </c>
      <c r="BN904" s="281">
        <f>$AX$6+seat_w*($AY$57*n_SA+$AW$6&lt;pax_e)</f>
        <v>-0.78</v>
      </c>
      <c r="BO904" s="281">
        <f t="shared" si="144"/>
        <v>8.291520000000002</v>
      </c>
      <c r="HY904" s="281">
        <f>$HX$16+0.2*(bus_pitch*(n_rows_b&gt;0))*($HW$16*n_SA_b+$HU$10&lt;pax_b)</f>
        <v>6.5</v>
      </c>
      <c r="HZ904" s="281">
        <f>$HV$10+seat_w_b*($HW$16*n_SA_b+$HU$10&lt;pax_b)</f>
        <v>-1.84</v>
      </c>
      <c r="IA904" s="281">
        <f t="shared" si="145"/>
        <v>-11.310479999999998</v>
      </c>
    </row>
    <row r="905" spans="65:235" x14ac:dyDescent="0.25">
      <c r="BM905" s="281">
        <f>$AZ$57</f>
        <v>25.94</v>
      </c>
      <c r="BN905" s="281">
        <f>$AX$6+seat_w*($AY$57*n_SA+$AW$6&lt;pax_e)</f>
        <v>-0.78</v>
      </c>
      <c r="BO905" s="281">
        <f t="shared" si="144"/>
        <v>8.129520000000003</v>
      </c>
      <c r="HY905" s="281">
        <f>$HX$16</f>
        <v>6.5</v>
      </c>
      <c r="HZ905" s="281">
        <f>$HV$10+seat_w_b*($HW$16*n_SA_b+$HU$10&lt;pax_b)</f>
        <v>-1.84</v>
      </c>
      <c r="IA905" s="281">
        <f t="shared" si="145"/>
        <v>-11.310479999999998</v>
      </c>
    </row>
    <row r="906" spans="65:235" x14ac:dyDescent="0.25">
      <c r="BM906" s="281">
        <f>$AZ$57+1*(seat_pitch)*($AY$57*n_SA+$AW$6&lt;pax_e)</f>
        <v>26.75</v>
      </c>
      <c r="BN906" s="281">
        <f>$AX$6+seat_w*($AY$57*n_SA+$AW$6&lt;pax_e)</f>
        <v>-0.78</v>
      </c>
      <c r="BO906" s="281">
        <f t="shared" si="144"/>
        <v>8.9395200000000017</v>
      </c>
      <c r="HY906" s="281">
        <f>$HX$16+1*(bus_pitch*(n_rows_b&gt;0))*($HW$16*n_SA_b+$HU$10&lt;pax_b)</f>
        <v>6.5</v>
      </c>
      <c r="HZ906" s="281">
        <f>$HV$10+seat_w_b*($HW$16*n_SA_b+$HU$10&lt;pax_b)</f>
        <v>-1.84</v>
      </c>
      <c r="IA906" s="281">
        <f t="shared" si="145"/>
        <v>-11.310479999999998</v>
      </c>
    </row>
    <row r="907" spans="65:235" x14ac:dyDescent="0.25">
      <c r="BM907" s="281">
        <f>$AZ$57+0.8*(seat_pitch)*($AY$57*n_SA+$AW$6&lt;pax_e)</f>
        <v>26.588000000000001</v>
      </c>
      <c r="BN907" s="281">
        <f>$AX$6+seat_w*($AY$57*n_SA+$AW$6&lt;pax_e)</f>
        <v>-0.78</v>
      </c>
      <c r="BO907" s="281">
        <f t="shared" si="144"/>
        <v>8.7775200000000027</v>
      </c>
      <c r="HY907" s="281">
        <f>$HX$16+0.8*(bus_pitch*(n_rows_b&gt;0))*($HW$16*n_SA_b+$HU$10&lt;pax_b)</f>
        <v>6.5</v>
      </c>
      <c r="HZ907" s="281">
        <f>$HV$10+seat_w_b*($HW$16*n_SA_b+$HU$10&lt;pax_b)</f>
        <v>-1.84</v>
      </c>
      <c r="IA907" s="281">
        <f t="shared" si="145"/>
        <v>-11.310479999999998</v>
      </c>
    </row>
    <row r="908" spans="65:235" x14ac:dyDescent="0.25">
      <c r="BM908" s="281">
        <f>$AZ$57+0.8*(seat_pitch)*($AY$57*n_SA+$AW$6&lt;pax_e)</f>
        <v>26.588000000000001</v>
      </c>
      <c r="BN908" s="281">
        <f>$AX$6</f>
        <v>-1.31</v>
      </c>
      <c r="BO908" s="281">
        <f t="shared" si="144"/>
        <v>8.7775200000000027</v>
      </c>
      <c r="HY908" s="281">
        <f>$HX$16+0.8*(bus_pitch*(n_rows_b&gt;0))*($HW$16*n_SA_b+$HU$10&lt;pax_b)</f>
        <v>6.5</v>
      </c>
      <c r="HZ908" s="281">
        <f>$HV$10</f>
        <v>-1.84</v>
      </c>
      <c r="IA908" s="281">
        <f t="shared" si="145"/>
        <v>-11.310479999999998</v>
      </c>
    </row>
    <row r="909" spans="65:235" x14ac:dyDescent="0.25">
      <c r="BM909" s="281">
        <f>$AZ$57+0.2*(seat_pitch)*($AY$57*n_SA+$AW$6&lt;pax_e)</f>
        <v>26.102</v>
      </c>
      <c r="BN909" s="281">
        <f>$AX$6</f>
        <v>-1.31</v>
      </c>
      <c r="BO909" s="281">
        <f t="shared" si="144"/>
        <v>8.291520000000002</v>
      </c>
      <c r="HY909" s="281">
        <f>$HX$16+0.2*(bus_pitch*(n_rows_b&gt;0))*($HW$16*n_SA_b+$HU$10&lt;pax_b)</f>
        <v>6.5</v>
      </c>
      <c r="HZ909" s="281">
        <f>$HV$10</f>
        <v>-1.84</v>
      </c>
      <c r="IA909" s="281">
        <f t="shared" si="145"/>
        <v>-11.310479999999998</v>
      </c>
    </row>
    <row r="910" spans="65:235" x14ac:dyDescent="0.25">
      <c r="BM910" s="281">
        <f>$AZ$57+(seat_pitch)</f>
        <v>26.75</v>
      </c>
      <c r="BN910" s="281">
        <f>$AX$6</f>
        <v>-1.31</v>
      </c>
      <c r="BO910" s="281">
        <f t="shared" si="144"/>
        <v>8.9395200000000017</v>
      </c>
      <c r="HY910" s="281">
        <f>$HX$16+(bus_pitch*(n_rows_b&gt;0))</f>
        <v>6.5</v>
      </c>
      <c r="HZ910" s="281">
        <f>$HV$10</f>
        <v>-1.84</v>
      </c>
      <c r="IA910" s="281">
        <f t="shared" si="145"/>
        <v>-11.310479999999998</v>
      </c>
    </row>
    <row r="911" spans="65:235" x14ac:dyDescent="0.25">
      <c r="BM911" s="281">
        <f>$AZ$58+0.2*(seat_pitch)*($AY$58*n_SA+$AW$6&lt;pax_e)</f>
        <v>26.102</v>
      </c>
      <c r="BN911" s="281">
        <f>$AX$6</f>
        <v>-1.31</v>
      </c>
      <c r="BO911" s="281">
        <f t="shared" si="144"/>
        <v>8.291520000000002</v>
      </c>
      <c r="HY911" s="281">
        <f>$HX$17+0.2*(bus_pitch*(n_rows_b&gt;0))*($HW$17*n_SA_b+$HU$10&lt;pax_b)</f>
        <v>6.5</v>
      </c>
      <c r="HZ911" s="281">
        <f>$HV$10</f>
        <v>-1.84</v>
      </c>
      <c r="IA911" s="281">
        <f t="shared" si="145"/>
        <v>-11.310479999999998</v>
      </c>
    </row>
    <row r="912" spans="65:235" x14ac:dyDescent="0.25">
      <c r="BM912" s="281">
        <f>$AZ$58+0.2*(seat_pitch)*($AY$58*n_SA+$AW$6&lt;pax_e)</f>
        <v>26.102</v>
      </c>
      <c r="BN912" s="281">
        <f>$AX$6+seat_w*($AY$58*n_SA+$AW$6&lt;pax_e)</f>
        <v>-0.78</v>
      </c>
      <c r="BO912" s="281">
        <f t="shared" si="144"/>
        <v>8.291520000000002</v>
      </c>
      <c r="HY912" s="281">
        <f>$HX$17+0.2*(bus_pitch*(n_rows_b&gt;0))*($HW$17*n_SA_b+$HU$10&lt;pax_b)</f>
        <v>6.5</v>
      </c>
      <c r="HZ912" s="281">
        <f>$HV$10+seat_w_b*($HW$17*n_SA_b+$HU$10&lt;pax_b)</f>
        <v>-1.84</v>
      </c>
      <c r="IA912" s="281">
        <f t="shared" si="145"/>
        <v>-11.310479999999998</v>
      </c>
    </row>
    <row r="913" spans="65:235" x14ac:dyDescent="0.25">
      <c r="BM913" s="281">
        <f>$AZ$58</f>
        <v>25.94</v>
      </c>
      <c r="BN913" s="281">
        <f>$AX$6+seat_w*($AY$58*n_SA+$AW$6&lt;pax_e)</f>
        <v>-0.78</v>
      </c>
      <c r="BO913" s="281">
        <f t="shared" si="144"/>
        <v>8.129520000000003</v>
      </c>
      <c r="HY913" s="281">
        <f>$HX$17</f>
        <v>6.5</v>
      </c>
      <c r="HZ913" s="281">
        <f>$HV$10+seat_w_b*($HW$17*n_SA_b+$HU$10&lt;pax_b)</f>
        <v>-1.84</v>
      </c>
      <c r="IA913" s="281">
        <f t="shared" si="145"/>
        <v>-11.310479999999998</v>
      </c>
    </row>
    <row r="914" spans="65:235" x14ac:dyDescent="0.25">
      <c r="BM914" s="281">
        <f>$AZ$58+1*(seat_pitch)*($AY$58*n_SA+$AW$6&lt;pax_e)</f>
        <v>26.75</v>
      </c>
      <c r="BN914" s="281">
        <f>$AX$6+seat_w*($AY$58*n_SA+$AW$6&lt;pax_e)</f>
        <v>-0.78</v>
      </c>
      <c r="BO914" s="281">
        <f t="shared" si="144"/>
        <v>8.9395200000000017</v>
      </c>
      <c r="HY914" s="281">
        <f>$HX$17+1*(bus_pitch*(n_rows_b&gt;0))*($HW$17*n_SA_b+$HU$10&lt;pax_b)</f>
        <v>6.5</v>
      </c>
      <c r="HZ914" s="281">
        <f>$HV$10+seat_w_b*($HW$17*n_SA_b+$HU$10&lt;pax_b)</f>
        <v>-1.84</v>
      </c>
      <c r="IA914" s="281">
        <f t="shared" si="145"/>
        <v>-11.310479999999998</v>
      </c>
    </row>
    <row r="915" spans="65:235" x14ac:dyDescent="0.25">
      <c r="BM915" s="281">
        <f>$AZ$58+0.8*(seat_pitch)*($AY$58*n_SA+$AW$6&lt;pax_e)</f>
        <v>26.588000000000001</v>
      </c>
      <c r="BN915" s="281">
        <f>$AX$6+seat_w*($AY$58*n_SA+$AW$6&lt;pax_e)</f>
        <v>-0.78</v>
      </c>
      <c r="BO915" s="281">
        <f t="shared" si="144"/>
        <v>8.7775200000000027</v>
      </c>
      <c r="HY915" s="281">
        <f>$HX$17+0.8*(bus_pitch*(n_rows_b&gt;0))*($HW$17*n_SA_b+$HU$10&lt;pax_b)</f>
        <v>6.5</v>
      </c>
      <c r="HZ915" s="281">
        <f>$HV$10+seat_w_b*($HW$17*n_SA_b+$HU$10&lt;pax_b)</f>
        <v>-1.84</v>
      </c>
      <c r="IA915" s="281">
        <f t="shared" si="145"/>
        <v>-11.310479999999998</v>
      </c>
    </row>
    <row r="916" spans="65:235" x14ac:dyDescent="0.25">
      <c r="BM916" s="281">
        <f>$AZ$58+0.8*(seat_pitch)*($AY$58*n_SA+$AW$6&lt;pax_e)</f>
        <v>26.588000000000001</v>
      </c>
      <c r="BN916" s="281">
        <f>$AX$6</f>
        <v>-1.31</v>
      </c>
      <c r="BO916" s="281">
        <f t="shared" si="144"/>
        <v>8.7775200000000027</v>
      </c>
      <c r="HY916" s="281">
        <f>$HX$17+0.8*(bus_pitch*(n_rows_b&gt;0))*($HW$17*n_SA_b+$HU$10&lt;pax_b)</f>
        <v>6.5</v>
      </c>
      <c r="HZ916" s="281">
        <f>$HV$10</f>
        <v>-1.84</v>
      </c>
      <c r="IA916" s="281">
        <f t="shared" si="145"/>
        <v>-11.310479999999998</v>
      </c>
    </row>
    <row r="917" spans="65:235" x14ac:dyDescent="0.25">
      <c r="BM917" s="281">
        <f>$AZ$58+0.2*(seat_pitch)*($AY$58*n_SA+$AW$6&lt;pax_e)</f>
        <v>26.102</v>
      </c>
      <c r="BN917" s="281">
        <f>$AX$6</f>
        <v>-1.31</v>
      </c>
      <c r="BO917" s="281">
        <f t="shared" si="144"/>
        <v>8.291520000000002</v>
      </c>
      <c r="HY917" s="281">
        <f>$HX$17+0.2*(bus_pitch*(n_rows_b&gt;0))*($HW$17*n_SA_b+$HU$10&lt;pax_b)</f>
        <v>6.5</v>
      </c>
      <c r="HZ917" s="281">
        <f>$HV$10</f>
        <v>-1.84</v>
      </c>
      <c r="IA917" s="281">
        <f t="shared" si="145"/>
        <v>-11.310479999999998</v>
      </c>
    </row>
    <row r="918" spans="65:235" x14ac:dyDescent="0.25">
      <c r="BM918" s="281">
        <f>$AZ$58+(seat_pitch)</f>
        <v>26.75</v>
      </c>
      <c r="BN918" s="281">
        <f>$AX$6</f>
        <v>-1.31</v>
      </c>
      <c r="BO918" s="281">
        <f t="shared" si="144"/>
        <v>8.9395200000000017</v>
      </c>
      <c r="HY918" s="281">
        <f>$HX$17+(bus_pitch*(n_rows_b&gt;0))</f>
        <v>6.5</v>
      </c>
      <c r="HZ918" s="281">
        <f>$HV$10</f>
        <v>-1.84</v>
      </c>
      <c r="IA918" s="281">
        <f t="shared" si="145"/>
        <v>-11.310479999999998</v>
      </c>
    </row>
    <row r="919" spans="65:235" x14ac:dyDescent="0.25">
      <c r="BM919" s="281">
        <f>$AZ$59+0.2*(seat_pitch)*($AY$59*n_SA+$AW$6&lt;pax_e)</f>
        <v>26.102</v>
      </c>
      <c r="BN919" s="281">
        <f>$AX$6</f>
        <v>-1.31</v>
      </c>
      <c r="BO919" s="281">
        <f t="shared" si="144"/>
        <v>8.291520000000002</v>
      </c>
      <c r="HY919" s="281">
        <f>$HX$18+0.2*(bus_pitch*(n_rows_b&gt;0))*($HW$18*n_SA_b+$HU$10&lt;pax_b)</f>
        <v>6.5</v>
      </c>
      <c r="HZ919" s="281">
        <f>$HV$10</f>
        <v>-1.84</v>
      </c>
      <c r="IA919" s="281">
        <f t="shared" si="145"/>
        <v>-11.310479999999998</v>
      </c>
    </row>
    <row r="920" spans="65:235" x14ac:dyDescent="0.25">
      <c r="BM920" s="281">
        <f>$AZ$59+0.2*(seat_pitch)*($AY$59*n_SA+$AW$6&lt;pax_e)</f>
        <v>26.102</v>
      </c>
      <c r="BN920" s="281">
        <f>$AX$6+seat_w*($AY$59*n_SA+$AW$6&lt;pax_e)</f>
        <v>-0.78</v>
      </c>
      <c r="BO920" s="281">
        <f t="shared" si="144"/>
        <v>8.291520000000002</v>
      </c>
      <c r="HY920" s="281">
        <f>$HX$18+0.2*(bus_pitch*(n_rows_b&gt;0))*($HW$18*n_SA_b+$HU$10&lt;pax_b)</f>
        <v>6.5</v>
      </c>
      <c r="HZ920" s="281">
        <f>$HV$10+seat_w_b*($HW$18*n_SA_b+$HU$10&lt;pax_b)</f>
        <v>-1.84</v>
      </c>
      <c r="IA920" s="281">
        <f t="shared" si="145"/>
        <v>-11.310479999999998</v>
      </c>
    </row>
    <row r="921" spans="65:235" x14ac:dyDescent="0.25">
      <c r="BM921" s="281">
        <f>$AZ$59</f>
        <v>25.94</v>
      </c>
      <c r="BN921" s="281">
        <f>$AX$6+seat_w*($AY$59*n_SA+$AW$6&lt;pax_e)</f>
        <v>-0.78</v>
      </c>
      <c r="BO921" s="281">
        <f t="shared" si="144"/>
        <v>8.129520000000003</v>
      </c>
      <c r="HY921" s="281">
        <f>$HX$18</f>
        <v>6.5</v>
      </c>
      <c r="HZ921" s="281">
        <f>$HV$10+seat_w_b*($HW$18*n_SA_b+$HU$10&lt;pax_b)</f>
        <v>-1.84</v>
      </c>
      <c r="IA921" s="281">
        <f t="shared" si="145"/>
        <v>-11.310479999999998</v>
      </c>
    </row>
    <row r="922" spans="65:235" x14ac:dyDescent="0.25">
      <c r="BM922" s="281">
        <f>$AZ$59+1*(seat_pitch)*($AY$59*n_SA+$AW$6&lt;pax_e)</f>
        <v>26.75</v>
      </c>
      <c r="BN922" s="281">
        <f>$AX$6+seat_w*($AY$59*n_SA+$AW$6&lt;pax_e)</f>
        <v>-0.78</v>
      </c>
      <c r="BO922" s="281">
        <f t="shared" si="144"/>
        <v>8.9395200000000017</v>
      </c>
      <c r="HY922" s="281">
        <f>$HX$18+1*(bus_pitch*(n_rows_b&gt;0))*($HW$18*n_SA_b+$HU$10&lt;pax_b)</f>
        <v>6.5</v>
      </c>
      <c r="HZ922" s="281">
        <f>$HV$10+seat_w_b*($HW$18*n_SA_b+$HU$10&lt;pax_b)</f>
        <v>-1.84</v>
      </c>
      <c r="IA922" s="281">
        <f t="shared" si="145"/>
        <v>-11.310479999999998</v>
      </c>
    </row>
    <row r="923" spans="65:235" x14ac:dyDescent="0.25">
      <c r="BM923" s="281">
        <f>$AZ$59+0.8*(seat_pitch)*($AY$59*n_SA+$AW$6&lt;pax_e)</f>
        <v>26.588000000000001</v>
      </c>
      <c r="BN923" s="281">
        <f>$AX$6+seat_w*($AY$59*n_SA+$AW$6&lt;pax_e)</f>
        <v>-0.78</v>
      </c>
      <c r="BO923" s="281">
        <f t="shared" si="144"/>
        <v>8.7775200000000027</v>
      </c>
      <c r="HY923" s="281">
        <f>$HX$18+0.8*(bus_pitch*(n_rows_b&gt;0))*($HW$18*n_SA_b+$HU$10&lt;pax_b)</f>
        <v>6.5</v>
      </c>
      <c r="HZ923" s="281">
        <f>$HV$10+seat_w_b*($HW$18*n_SA_b+$HU$10&lt;pax_b)</f>
        <v>-1.84</v>
      </c>
      <c r="IA923" s="281">
        <f t="shared" si="145"/>
        <v>-11.310479999999998</v>
      </c>
    </row>
    <row r="924" spans="65:235" x14ac:dyDescent="0.25">
      <c r="BM924" s="281">
        <f>$AZ$59+0.8*(seat_pitch)*($AY$59*n_SA+$AW$6&lt;pax_e)</f>
        <v>26.588000000000001</v>
      </c>
      <c r="BN924" s="281">
        <f>$AX$6</f>
        <v>-1.31</v>
      </c>
      <c r="BO924" s="281">
        <f t="shared" si="144"/>
        <v>8.7775200000000027</v>
      </c>
      <c r="HY924" s="281">
        <f>$HX$18+0.8*(bus_pitch*(n_rows_b&gt;0))*($HW$18*n_SA_b+$HU$10&lt;pax_b)</f>
        <v>6.5</v>
      </c>
      <c r="HZ924" s="281">
        <f>$HV$10</f>
        <v>-1.84</v>
      </c>
      <c r="IA924" s="281">
        <f t="shared" si="145"/>
        <v>-11.310479999999998</v>
      </c>
    </row>
    <row r="925" spans="65:235" x14ac:dyDescent="0.25">
      <c r="BM925" s="281">
        <f>$AZ$59+0.2*(seat_pitch)*($AY$59*n_SA+$AW$6&lt;pax_e)</f>
        <v>26.102</v>
      </c>
      <c r="BN925" s="281">
        <f>$AX$6</f>
        <v>-1.31</v>
      </c>
      <c r="BO925" s="281">
        <f t="shared" si="144"/>
        <v>8.291520000000002</v>
      </c>
      <c r="HY925" s="281">
        <f>$HX$18+0.2*(bus_pitch*(n_rows_b&gt;0))*($HW$18*n_SA_b+$HU$10&lt;pax_b)</f>
        <v>6.5</v>
      </c>
      <c r="HZ925" s="281">
        <f>$HV$10</f>
        <v>-1.84</v>
      </c>
      <c r="IA925" s="281">
        <f t="shared" si="145"/>
        <v>-11.310479999999998</v>
      </c>
    </row>
    <row r="926" spans="65:235" x14ac:dyDescent="0.25">
      <c r="BM926" s="281">
        <f>$AZ$59+(seat_pitch)</f>
        <v>26.75</v>
      </c>
      <c r="BN926" s="281">
        <f>$AX$6</f>
        <v>-1.31</v>
      </c>
      <c r="BO926" s="281">
        <f t="shared" si="144"/>
        <v>8.9395200000000017</v>
      </c>
      <c r="HY926" s="281">
        <f>$HX$18+(bus_pitch*(n_rows_b&gt;0))</f>
        <v>6.5</v>
      </c>
      <c r="HZ926" s="281">
        <f>$HV$10</f>
        <v>-1.84</v>
      </c>
      <c r="IA926" s="281">
        <f t="shared" si="145"/>
        <v>-11.310479999999998</v>
      </c>
    </row>
    <row r="927" spans="65:235" x14ac:dyDescent="0.25">
      <c r="BM927" s="281">
        <f>$AZ$60+0.2*(seat_pitch)*($AY$60*n_SA+$AW$6&lt;pax_e)</f>
        <v>26.102</v>
      </c>
      <c r="BN927" s="281">
        <f>$AX$6</f>
        <v>-1.31</v>
      </c>
      <c r="BO927" s="281">
        <f t="shared" si="144"/>
        <v>8.291520000000002</v>
      </c>
      <c r="HY927" s="281">
        <f>$HX$19+0.2*(bus_pitch*(n_rows_b&gt;0))*($HW$19*n_SA_b+$HU$10&lt;pax_b)</f>
        <v>6.5</v>
      </c>
      <c r="HZ927" s="281">
        <f>$HV$10</f>
        <v>-1.84</v>
      </c>
      <c r="IA927" s="281">
        <f t="shared" si="145"/>
        <v>-11.310479999999998</v>
      </c>
    </row>
    <row r="928" spans="65:235" x14ac:dyDescent="0.25">
      <c r="BM928" s="281">
        <f>$AZ$60+0.2*(seat_pitch)*($AY$60*n_SA+$AW$6&lt;pax_e)</f>
        <v>26.102</v>
      </c>
      <c r="BN928" s="281">
        <f>$AX$6+seat_w*($AY$60*n_SA+$AW$6&lt;pax_e)</f>
        <v>-0.78</v>
      </c>
      <c r="BO928" s="281">
        <f t="shared" si="144"/>
        <v>8.291520000000002</v>
      </c>
      <c r="HY928" s="281">
        <f>$HX$19+0.2*(bus_pitch*(n_rows_b&gt;0))*($HW$19*n_SA_b+$HU$10&lt;pax_b)</f>
        <v>6.5</v>
      </c>
      <c r="HZ928" s="281">
        <f>$HV$10+seat_w_b*($HW$19*n_SA_b+$HU$10&lt;pax_b)</f>
        <v>-1.84</v>
      </c>
      <c r="IA928" s="281">
        <f t="shared" si="145"/>
        <v>-11.310479999999998</v>
      </c>
    </row>
    <row r="929" spans="65:235" x14ac:dyDescent="0.25">
      <c r="BM929" s="281">
        <f>$AZ$60</f>
        <v>25.94</v>
      </c>
      <c r="BN929" s="281">
        <f>$AX$6+seat_w*($AY$60*n_SA+$AW$6&lt;pax_e)</f>
        <v>-0.78</v>
      </c>
      <c r="BO929" s="281">
        <f t="shared" si="144"/>
        <v>8.129520000000003</v>
      </c>
      <c r="HY929" s="281">
        <f>$HX$19</f>
        <v>6.5</v>
      </c>
      <c r="HZ929" s="281">
        <f>$HV$10+seat_w_b*($HW$19*n_SA_b+$HU$10&lt;pax_b)</f>
        <v>-1.84</v>
      </c>
      <c r="IA929" s="281">
        <f t="shared" si="145"/>
        <v>-11.310479999999998</v>
      </c>
    </row>
    <row r="930" spans="65:235" x14ac:dyDescent="0.25">
      <c r="BM930" s="281">
        <f>$AZ$60+1*(seat_pitch)*($AY$60*n_SA+$AW$6&lt;pax_e)</f>
        <v>26.75</v>
      </c>
      <c r="BN930" s="281">
        <f>$AX$6+seat_w*($AY$60*n_SA+$AW$6&lt;pax_e)</f>
        <v>-0.78</v>
      </c>
      <c r="BO930" s="281">
        <f t="shared" si="144"/>
        <v>8.9395200000000017</v>
      </c>
      <c r="HY930" s="281">
        <f>$HX$19+1*(bus_pitch*(n_rows_b&gt;0))*($HW$19*n_SA_b+$HU$10&lt;pax_b)</f>
        <v>6.5</v>
      </c>
      <c r="HZ930" s="281">
        <f>$HV$10+seat_w_b*($HW$19*n_SA_b+$HU$10&lt;pax_b)</f>
        <v>-1.84</v>
      </c>
      <c r="IA930" s="281">
        <f t="shared" si="145"/>
        <v>-11.310479999999998</v>
      </c>
    </row>
    <row r="931" spans="65:235" x14ac:dyDescent="0.25">
      <c r="BM931" s="281">
        <f>$AZ$60+0.8*(seat_pitch)*($AY$60*n_SA+$AW$6&lt;pax_e)</f>
        <v>26.588000000000001</v>
      </c>
      <c r="BN931" s="281">
        <f>$AX$6+seat_w*($AY$60*n_SA+$AW$6&lt;pax_e)</f>
        <v>-0.78</v>
      </c>
      <c r="BO931" s="281">
        <f t="shared" si="144"/>
        <v>8.7775200000000027</v>
      </c>
      <c r="HY931" s="281">
        <f>$HX$19+0.8*(bus_pitch*(n_rows_b&gt;0))*($HW$19*n_SA_b+$HU$10&lt;pax_b)</f>
        <v>6.5</v>
      </c>
      <c r="HZ931" s="281">
        <f>$HV$10+seat_w_b*($HW$19*n_SA_b+$HU$10&lt;pax_b)</f>
        <v>-1.84</v>
      </c>
      <c r="IA931" s="281">
        <f t="shared" si="145"/>
        <v>-11.310479999999998</v>
      </c>
    </row>
    <row r="932" spans="65:235" x14ac:dyDescent="0.25">
      <c r="BM932" s="281">
        <f>$AZ$60+0.8*(seat_pitch)*($AY$60*n_SA+$AW$6&lt;pax_e)</f>
        <v>26.588000000000001</v>
      </c>
      <c r="BN932" s="281">
        <f>$AX$6</f>
        <v>-1.31</v>
      </c>
      <c r="BO932" s="281">
        <f t="shared" si="144"/>
        <v>8.7775200000000027</v>
      </c>
      <c r="HY932" s="281">
        <f>$HX$19+0.8*(bus_pitch*(n_rows_b&gt;0))*($HW$19*n_SA_b+$HU$10&lt;pax_b)</f>
        <v>6.5</v>
      </c>
      <c r="HZ932" s="281">
        <f>$HV$10</f>
        <v>-1.84</v>
      </c>
      <c r="IA932" s="281">
        <f t="shared" si="145"/>
        <v>-11.310479999999998</v>
      </c>
    </row>
    <row r="933" spans="65:235" x14ac:dyDescent="0.25">
      <c r="BM933" s="281">
        <f>$AZ$60+0.2*(seat_pitch)*($AY$60*n_SA+$AW$6&lt;pax_e)</f>
        <v>26.102</v>
      </c>
      <c r="BN933" s="281">
        <f>$AX$6</f>
        <v>-1.31</v>
      </c>
      <c r="BO933" s="281">
        <f t="shared" si="144"/>
        <v>8.291520000000002</v>
      </c>
      <c r="HY933" s="281">
        <f>$HX$19+0.2*(bus_pitch*(n_rows_b&gt;0))*($HW$19*n_SA_b+$HU$10&lt;pax_b)</f>
        <v>6.5</v>
      </c>
      <c r="HZ933" s="281">
        <f>$HV$10</f>
        <v>-1.84</v>
      </c>
      <c r="IA933" s="281">
        <f t="shared" si="145"/>
        <v>-11.310479999999998</v>
      </c>
    </row>
    <row r="934" spans="65:235" x14ac:dyDescent="0.25">
      <c r="BM934" s="281">
        <f>$AZ$60+(seat_pitch)</f>
        <v>26.75</v>
      </c>
      <c r="BN934" s="281">
        <f>$AX$6</f>
        <v>-1.31</v>
      </c>
      <c r="BO934" s="281">
        <f t="shared" si="144"/>
        <v>8.9395200000000017</v>
      </c>
      <c r="HY934" s="281">
        <f>$HX$19+(bus_pitch*(n_rows_b&gt;0))</f>
        <v>6.5</v>
      </c>
      <c r="HZ934" s="281">
        <f>$HV$10</f>
        <v>-1.84</v>
      </c>
      <c r="IA934" s="281">
        <f t="shared" si="145"/>
        <v>-11.310479999999998</v>
      </c>
    </row>
    <row r="935" spans="65:235" x14ac:dyDescent="0.25">
      <c r="BM935" s="281">
        <f>$AZ$61+0.2*(seat_pitch)*($AY$61*n_SA+$AW$6&lt;pax_e)</f>
        <v>26.102</v>
      </c>
      <c r="BN935" s="281">
        <f>$AX$6</f>
        <v>-1.31</v>
      </c>
      <c r="BO935" s="281">
        <f t="shared" si="144"/>
        <v>8.291520000000002</v>
      </c>
      <c r="HY935" s="281">
        <f>$HX$20+0.2*(bus_pitch*(n_rows_b&gt;0))*($HW$20*n_SA_b+$HU$10&lt;pax_b)</f>
        <v>6.5</v>
      </c>
      <c r="HZ935" s="281">
        <f>$HV$10</f>
        <v>-1.84</v>
      </c>
      <c r="IA935" s="281">
        <f t="shared" si="145"/>
        <v>-11.310479999999998</v>
      </c>
    </row>
    <row r="936" spans="65:235" x14ac:dyDescent="0.25">
      <c r="BM936" s="281">
        <f>$AZ$61+0.2*(seat_pitch)*($AY$61*n_SA+$AW$6&lt;pax_e)</f>
        <v>26.102</v>
      </c>
      <c r="BN936" s="281">
        <f>$AX$6+seat_w*($AY$61*n_SA+$AW$6&lt;pax_e)</f>
        <v>-0.78</v>
      </c>
      <c r="BO936" s="281">
        <f t="shared" si="144"/>
        <v>8.291520000000002</v>
      </c>
      <c r="HY936" s="281">
        <f>$HX$20+0.2*(bus_pitch*(n_rows_b&gt;0))*($HW$20*n_SA_b+$HU$10&lt;pax_b)</f>
        <v>6.5</v>
      </c>
      <c r="HZ936" s="281">
        <f>$HV$10+seat_w_b*($HW$20*n_SA_b+$HU$10&lt;pax_b)</f>
        <v>-1.84</v>
      </c>
      <c r="IA936" s="281">
        <f t="shared" si="145"/>
        <v>-11.310479999999998</v>
      </c>
    </row>
    <row r="937" spans="65:235" x14ac:dyDescent="0.25">
      <c r="BM937" s="281">
        <f>$AZ$61</f>
        <v>25.94</v>
      </c>
      <c r="BN937" s="281">
        <f>$AX$6+seat_w*($AY$61*n_SA+$AW$6&lt;pax_e)</f>
        <v>-0.78</v>
      </c>
      <c r="BO937" s="281">
        <f t="shared" si="144"/>
        <v>8.129520000000003</v>
      </c>
      <c r="HY937" s="281">
        <f>$HX$20</f>
        <v>6.5</v>
      </c>
      <c r="HZ937" s="281">
        <f>$HV$10+seat_w_b*($HW$20*n_SA_b+$HU$10&lt;pax_b)</f>
        <v>-1.84</v>
      </c>
      <c r="IA937" s="281">
        <f t="shared" si="145"/>
        <v>-11.310479999999998</v>
      </c>
    </row>
    <row r="938" spans="65:235" x14ac:dyDescent="0.25">
      <c r="BM938" s="281">
        <f>$AZ$61+1*(seat_pitch)*($AY$61*n_SA+$AW$6&lt;pax_e)</f>
        <v>26.75</v>
      </c>
      <c r="BN938" s="281">
        <f>$AX$6+seat_w*($AY$61*n_SA+$AW$6&lt;pax_e)</f>
        <v>-0.78</v>
      </c>
      <c r="BO938" s="281">
        <f t="shared" si="144"/>
        <v>8.9395200000000017</v>
      </c>
      <c r="HY938" s="281">
        <f>$HX$20+1*(bus_pitch*(n_rows_b&gt;0))*($HW$20*n_SA_b+$HU$10&lt;pax_b)</f>
        <v>6.5</v>
      </c>
      <c r="HZ938" s="281">
        <f>$HV$10+seat_w_b*($HW$20*n_SA_b+$HU$10&lt;pax_b)</f>
        <v>-1.84</v>
      </c>
      <c r="IA938" s="281">
        <f t="shared" si="145"/>
        <v>-11.310479999999998</v>
      </c>
    </row>
    <row r="939" spans="65:235" x14ac:dyDescent="0.25">
      <c r="BM939" s="281">
        <f>$AZ$61+0.8*(seat_pitch)*($AY$61*n_SA+$AW$6&lt;pax_e)</f>
        <v>26.588000000000001</v>
      </c>
      <c r="BN939" s="281">
        <f>$AX$6+seat_w*($AY$61*n_SA+$AW$6&lt;pax_e)</f>
        <v>-0.78</v>
      </c>
      <c r="BO939" s="281">
        <f t="shared" si="144"/>
        <v>8.7775200000000027</v>
      </c>
      <c r="HY939" s="281">
        <f>$HX$20+0.8*(bus_pitch*(n_rows_b&gt;0))*($HW$20*n_SA_b+$HU$10&lt;pax_b)</f>
        <v>6.5</v>
      </c>
      <c r="HZ939" s="281">
        <f>$HV$10+seat_w_b*($HW$20*n_SA_b+$HU$10&lt;pax_b)</f>
        <v>-1.84</v>
      </c>
      <c r="IA939" s="281">
        <f t="shared" si="145"/>
        <v>-11.310479999999998</v>
      </c>
    </row>
    <row r="940" spans="65:235" x14ac:dyDescent="0.25">
      <c r="BM940" s="281">
        <f>$AZ$61+0.8*(seat_pitch)*($AY$61*n_SA+$AW$6&lt;pax_e)</f>
        <v>26.588000000000001</v>
      </c>
      <c r="BN940" s="281">
        <f>$AX$6</f>
        <v>-1.31</v>
      </c>
      <c r="BO940" s="281">
        <f t="shared" si="144"/>
        <v>8.7775200000000027</v>
      </c>
      <c r="HY940" s="281">
        <f>$HX$20+0.8*(bus_pitch*(n_rows_b&gt;0))*($HW$20*n_SA_b+$HU$10&lt;pax_b)</f>
        <v>6.5</v>
      </c>
      <c r="HZ940" s="281">
        <f>$HV$10</f>
        <v>-1.84</v>
      </c>
      <c r="IA940" s="281">
        <f t="shared" si="145"/>
        <v>-11.310479999999998</v>
      </c>
    </row>
    <row r="941" spans="65:235" x14ac:dyDescent="0.25">
      <c r="BM941" s="281">
        <f>$AZ$61+0.2*(seat_pitch)*($AY$61*n_SA+$AW$6&lt;pax_e)</f>
        <v>26.102</v>
      </c>
      <c r="BN941" s="281">
        <f>$AX$6</f>
        <v>-1.31</v>
      </c>
      <c r="BO941" s="281">
        <f t="shared" si="144"/>
        <v>8.291520000000002</v>
      </c>
      <c r="HY941" s="281">
        <f>$HX$20+0.2*(bus_pitch*(n_rows_b&gt;0))*($HW$20*n_SA_b+$HU$10&lt;pax_b)</f>
        <v>6.5</v>
      </c>
      <c r="HZ941" s="281">
        <f>$HV$10</f>
        <v>-1.84</v>
      </c>
      <c r="IA941" s="281">
        <f t="shared" si="145"/>
        <v>-11.310479999999998</v>
      </c>
    </row>
    <row r="942" spans="65:235" x14ac:dyDescent="0.25">
      <c r="BM942" s="281">
        <f>$AZ$61+(seat_pitch)</f>
        <v>26.75</v>
      </c>
      <c r="BN942" s="281">
        <f>$AX$6</f>
        <v>-1.31</v>
      </c>
      <c r="BO942" s="281">
        <f t="shared" si="144"/>
        <v>8.9395200000000017</v>
      </c>
      <c r="HY942" s="281">
        <f>$HX$20+(bus_pitch*(n_rows_b&gt;0))</f>
        <v>6.5</v>
      </c>
      <c r="HZ942" s="281">
        <f>$HV$10</f>
        <v>-1.84</v>
      </c>
      <c r="IA942" s="281">
        <f t="shared" si="145"/>
        <v>-11.310479999999998</v>
      </c>
    </row>
    <row r="943" spans="65:235" x14ac:dyDescent="0.25">
      <c r="BM943" s="281">
        <f>$AZ$62+0.2*(seat_pitch)*($AY$62*n_SA+$AW$6&lt;pax_e)</f>
        <v>26.102</v>
      </c>
      <c r="BN943" s="281">
        <f>$AX$6</f>
        <v>-1.31</v>
      </c>
      <c r="BO943" s="281">
        <f t="shared" si="144"/>
        <v>8.291520000000002</v>
      </c>
      <c r="HY943" s="281">
        <f>$HX$21+0.2*(bus_pitch*(n_rows_b&gt;0))*($HW$21*n_SA_b+$HU$10&lt;pax_b)</f>
        <v>6.5</v>
      </c>
      <c r="HZ943" s="281">
        <f>$HV$10</f>
        <v>-1.84</v>
      </c>
      <c r="IA943" s="281">
        <f t="shared" si="145"/>
        <v>-11.310479999999998</v>
      </c>
    </row>
    <row r="944" spans="65:235" x14ac:dyDescent="0.25">
      <c r="BM944" s="281">
        <f>$AZ$62+0.2*(seat_pitch)*($AY$62*n_SA+$AW$6&lt;pax_e)</f>
        <v>26.102</v>
      </c>
      <c r="BN944" s="281">
        <f>$AX$6+seat_w*($AY$62*n_SA+$AW$6&lt;pax_e)</f>
        <v>-0.78</v>
      </c>
      <c r="BO944" s="281">
        <f t="shared" si="144"/>
        <v>8.291520000000002</v>
      </c>
      <c r="HY944" s="281">
        <f>$HX$21+0.2*(bus_pitch*(n_rows_b&gt;0))*($HW$21*n_SA_b+$HU$10&lt;pax_b)</f>
        <v>6.5</v>
      </c>
      <c r="HZ944" s="281">
        <f>$HV$10+seat_w_b*($HW$21*n_SA_b+$HU$10&lt;pax_b)</f>
        <v>-1.84</v>
      </c>
      <c r="IA944" s="281">
        <f t="shared" si="145"/>
        <v>-11.310479999999998</v>
      </c>
    </row>
    <row r="945" spans="65:235" x14ac:dyDescent="0.25">
      <c r="BM945" s="281">
        <f>$AZ$62</f>
        <v>25.94</v>
      </c>
      <c r="BN945" s="281">
        <f>$AX$6+seat_w*($AY$62*n_SA+$AW$6&lt;pax_e)</f>
        <v>-0.78</v>
      </c>
      <c r="BO945" s="281">
        <f t="shared" si="144"/>
        <v>8.129520000000003</v>
      </c>
      <c r="HY945" s="281">
        <f>$HX$21</f>
        <v>6.5</v>
      </c>
      <c r="HZ945" s="281">
        <f>$HV$10+seat_w_b*($HW$21*n_SA_b+$HU$10&lt;pax_b)</f>
        <v>-1.84</v>
      </c>
      <c r="IA945" s="281">
        <f t="shared" si="145"/>
        <v>-11.310479999999998</v>
      </c>
    </row>
    <row r="946" spans="65:235" x14ac:dyDescent="0.25">
      <c r="BM946" s="281">
        <f>$AZ$62+1*(seat_pitch)*($AY$62*n_SA+$AW$6&lt;pax_e)</f>
        <v>26.75</v>
      </c>
      <c r="BN946" s="281">
        <f>$AX$6+seat_w*($AY$62*n_SA+$AW$6&lt;pax_e)</f>
        <v>-0.78</v>
      </c>
      <c r="BO946" s="281">
        <f t="shared" si="144"/>
        <v>8.9395200000000017</v>
      </c>
      <c r="HY946" s="281">
        <f>$HX$21+1*(bus_pitch*(n_rows_b&gt;0))*($HW$21*n_SA_b+$HU$10&lt;pax_b)</f>
        <v>6.5</v>
      </c>
      <c r="HZ946" s="281">
        <f>$HV$10+seat_w_b*($HW$21*n_SA_b+$HU$10&lt;pax_b)</f>
        <v>-1.84</v>
      </c>
      <c r="IA946" s="281">
        <f t="shared" si="145"/>
        <v>-11.310479999999998</v>
      </c>
    </row>
    <row r="947" spans="65:235" x14ac:dyDescent="0.25">
      <c r="BM947" s="281">
        <f>$AZ$62+0.8*(seat_pitch)*($AY$62*n_SA+$AW$6&lt;pax_e)</f>
        <v>26.588000000000001</v>
      </c>
      <c r="BN947" s="281">
        <f>$AX$6+seat_w*($AY$62*n_SA+$AW$6&lt;pax_e)</f>
        <v>-0.78</v>
      </c>
      <c r="BO947" s="281">
        <f t="shared" si="144"/>
        <v>8.7775200000000027</v>
      </c>
      <c r="HY947" s="281">
        <f>$HX$21+0.8*(bus_pitch*(n_rows_b&gt;0))*($HW$21*n_SA_b+$HU$10&lt;pax_b)</f>
        <v>6.5</v>
      </c>
      <c r="HZ947" s="281">
        <f>$HV$10+seat_w_b*($HW$21*n_SA_b+$HU$10&lt;pax_b)</f>
        <v>-1.84</v>
      </c>
      <c r="IA947" s="281">
        <f t="shared" si="145"/>
        <v>-11.310479999999998</v>
      </c>
    </row>
    <row r="948" spans="65:235" x14ac:dyDescent="0.25">
      <c r="BM948" s="281">
        <f>$AZ$62+0.8*(seat_pitch)*($AY$62*n_SA+$AW$6&lt;pax_e)</f>
        <v>26.588000000000001</v>
      </c>
      <c r="BN948" s="281">
        <f>$AX$6</f>
        <v>-1.31</v>
      </c>
      <c r="BO948" s="281">
        <f t="shared" si="144"/>
        <v>8.7775200000000027</v>
      </c>
      <c r="HY948" s="281">
        <f>$HX$21+0.8*(bus_pitch*(n_rows_b&gt;0))*($HW$21*n_SA_b+$HU$10&lt;pax_b)</f>
        <v>6.5</v>
      </c>
      <c r="HZ948" s="281">
        <f>$HV$10</f>
        <v>-1.84</v>
      </c>
      <c r="IA948" s="281">
        <f t="shared" si="145"/>
        <v>-11.310479999999998</v>
      </c>
    </row>
    <row r="949" spans="65:235" x14ac:dyDescent="0.25">
      <c r="BM949" s="281">
        <f>$AZ$62+0.2*(seat_pitch)*($AY$62*n_SA+$AW$6&lt;pax_e)</f>
        <v>26.102</v>
      </c>
      <c r="BN949" s="281">
        <f>$AX$6</f>
        <v>-1.31</v>
      </c>
      <c r="BO949" s="281">
        <f t="shared" si="144"/>
        <v>8.291520000000002</v>
      </c>
      <c r="HY949" s="281">
        <f>$HX$21+0.2*(bus_pitch*(n_rows_b&gt;0))*($HW$21*n_SA_b+$HU$10&lt;pax_b)</f>
        <v>6.5</v>
      </c>
      <c r="HZ949" s="281">
        <f>$HV$10</f>
        <v>-1.84</v>
      </c>
      <c r="IA949" s="281">
        <f t="shared" si="145"/>
        <v>-11.310479999999998</v>
      </c>
    </row>
    <row r="950" spans="65:235" x14ac:dyDescent="0.25">
      <c r="BM950" s="281">
        <f>$AZ$62+(seat_pitch)</f>
        <v>26.75</v>
      </c>
      <c r="BN950" s="281">
        <f>$AX$6</f>
        <v>-1.31</v>
      </c>
      <c r="BO950" s="281">
        <f t="shared" si="144"/>
        <v>8.9395200000000017</v>
      </c>
      <c r="HY950" s="281">
        <f>$HX$21+(bus_pitch*(n_rows_b&gt;0))</f>
        <v>6.5</v>
      </c>
      <c r="HZ950" s="281">
        <f>$HV$10</f>
        <v>-1.84</v>
      </c>
      <c r="IA950" s="281">
        <f t="shared" si="145"/>
        <v>-11.310479999999998</v>
      </c>
    </row>
    <row r="951" spans="65:235" x14ac:dyDescent="0.25">
      <c r="BM951" s="281">
        <f>$AZ$63+0.2*(seat_pitch)*($AY$63*n_SA+$AW$6&lt;pax_e)</f>
        <v>26.102</v>
      </c>
      <c r="BN951" s="281">
        <f>$AX$6</f>
        <v>-1.31</v>
      </c>
      <c r="BO951" s="281">
        <f t="shared" si="144"/>
        <v>8.291520000000002</v>
      </c>
      <c r="HY951" s="281">
        <f>$HX$22+0.2*(bus_pitch*(n_rows_b&gt;0))*($HW$22*n_SA_b+$HU$10&lt;pax_b)</f>
        <v>6.5</v>
      </c>
      <c r="HZ951" s="281">
        <f>$HV$10</f>
        <v>-1.84</v>
      </c>
      <c r="IA951" s="281">
        <f t="shared" si="145"/>
        <v>-11.310479999999998</v>
      </c>
    </row>
    <row r="952" spans="65:235" x14ac:dyDescent="0.25">
      <c r="BM952" s="281">
        <f>$AZ$63+0.2*(seat_pitch)*($AY$63*n_SA+$AW$6&lt;pax_e)</f>
        <v>26.102</v>
      </c>
      <c r="BN952" s="281">
        <f>$AX$6+seat_w*($AY$63*n_SA+$AW$6&lt;pax_e)</f>
        <v>-0.78</v>
      </c>
      <c r="BO952" s="281">
        <f t="shared" si="144"/>
        <v>8.291520000000002</v>
      </c>
      <c r="HY952" s="281">
        <f>$HX$22+0.2*(bus_pitch*(n_rows_b&gt;0))*($HW$22*n_SA_b+$HU$10&lt;pax_b)</f>
        <v>6.5</v>
      </c>
      <c r="HZ952" s="281">
        <f>$HV$10+seat_w_b*($HW$22*n_SA_b+$HU$10&lt;pax_b)</f>
        <v>-1.84</v>
      </c>
      <c r="IA952" s="281">
        <f t="shared" si="145"/>
        <v>-11.310479999999998</v>
      </c>
    </row>
    <row r="953" spans="65:235" x14ac:dyDescent="0.25">
      <c r="BM953" s="281">
        <f>$AZ$63</f>
        <v>25.94</v>
      </c>
      <c r="BN953" s="281">
        <f>$AX$6+seat_w*($AY$63*n_SA+$AW$6&lt;pax_e)</f>
        <v>-0.78</v>
      </c>
      <c r="BO953" s="281">
        <f t="shared" si="144"/>
        <v>8.129520000000003</v>
      </c>
      <c r="HY953" s="281">
        <f>$HX$22</f>
        <v>6.5</v>
      </c>
      <c r="HZ953" s="281">
        <f>$HV$10+seat_w_b*($HW$22*n_SA_b+$HU$10&lt;pax_b)</f>
        <v>-1.84</v>
      </c>
      <c r="IA953" s="281">
        <f t="shared" si="145"/>
        <v>-11.310479999999998</v>
      </c>
    </row>
    <row r="954" spans="65:235" x14ac:dyDescent="0.25">
      <c r="BM954" s="281">
        <f>$AZ$63+1*(seat_pitch)*($AY$63*n_SA+$AW$6&lt;pax_e)</f>
        <v>26.75</v>
      </c>
      <c r="BN954" s="281">
        <f>$AX$6+seat_w*($AY$63*n_SA+$AW$6&lt;pax_e)</f>
        <v>-0.78</v>
      </c>
      <c r="BO954" s="281">
        <f t="shared" si="144"/>
        <v>8.9395200000000017</v>
      </c>
      <c r="HY954" s="281">
        <f>$HX$22+1*(bus_pitch*(n_rows_b&gt;0))*($HW$22*n_SA_b+$HU$10&lt;pax_b)</f>
        <v>6.5</v>
      </c>
      <c r="HZ954" s="281">
        <f>$HV$10+seat_w_b*($HW$22*n_SA_b+$HU$10&lt;pax_b)</f>
        <v>-1.84</v>
      </c>
      <c r="IA954" s="281">
        <f t="shared" si="145"/>
        <v>-11.310479999999998</v>
      </c>
    </row>
    <row r="955" spans="65:235" x14ac:dyDescent="0.25">
      <c r="BM955" s="281">
        <f>$AZ$63+0.8*(seat_pitch)*($AY$63*n_SA+$AW$6&lt;pax_e)</f>
        <v>26.588000000000001</v>
      </c>
      <c r="BN955" s="281">
        <f>$AX$6+seat_w*($AY$63*n_SA+$AW$6&lt;pax_e)</f>
        <v>-0.78</v>
      </c>
      <c r="BO955" s="281">
        <f t="shared" si="144"/>
        <v>8.7775200000000027</v>
      </c>
      <c r="HY955" s="281">
        <f>$HX$22+0.8*(bus_pitch*(n_rows_b&gt;0))*($HW$22*n_SA_b+$HU$10&lt;pax_b)</f>
        <v>6.5</v>
      </c>
      <c r="HZ955" s="281">
        <f>$HV$10+seat_w_b*($HW$22*n_SA_b+$HU$10&lt;pax_b)</f>
        <v>-1.84</v>
      </c>
      <c r="IA955" s="281">
        <f t="shared" si="145"/>
        <v>-11.310479999999998</v>
      </c>
    </row>
    <row r="956" spans="65:235" x14ac:dyDescent="0.25">
      <c r="BM956" s="281">
        <f>$AZ$63+0.8*(seat_pitch)*($AY$63*n_SA+$AW$6&lt;pax_e)</f>
        <v>26.588000000000001</v>
      </c>
      <c r="BN956" s="281">
        <f>$AX$6</f>
        <v>-1.31</v>
      </c>
      <c r="BO956" s="281">
        <f t="shared" si="144"/>
        <v>8.7775200000000027</v>
      </c>
      <c r="HY956" s="281">
        <f>$HX$22+0.8*(bus_pitch*(n_rows_b&gt;0))*($HW$22*n_SA_b+$HU$10&lt;pax_b)</f>
        <v>6.5</v>
      </c>
      <c r="HZ956" s="281">
        <f>$HV$10</f>
        <v>-1.84</v>
      </c>
      <c r="IA956" s="281">
        <f t="shared" si="145"/>
        <v>-11.310479999999998</v>
      </c>
    </row>
    <row r="957" spans="65:235" x14ac:dyDescent="0.25">
      <c r="BM957" s="281">
        <f>$AZ$63+0.2*(seat_pitch)*($AY$63*n_SA+$AW$6&lt;pax_e)</f>
        <v>26.102</v>
      </c>
      <c r="BN957" s="281">
        <f>$AX$6</f>
        <v>-1.31</v>
      </c>
      <c r="BO957" s="281">
        <f t="shared" si="144"/>
        <v>8.291520000000002</v>
      </c>
      <c r="HY957" s="281">
        <f>$HX$22+0.2*(bus_pitch*(n_rows_b&gt;0))*($HW$22*n_SA_b+$HU$10&lt;pax_b)</f>
        <v>6.5</v>
      </c>
      <c r="HZ957" s="281">
        <f>$HV$10</f>
        <v>-1.84</v>
      </c>
      <c r="IA957" s="281">
        <f t="shared" si="145"/>
        <v>-11.310479999999998</v>
      </c>
    </row>
    <row r="958" spans="65:235" x14ac:dyDescent="0.25">
      <c r="BM958" s="281">
        <f>$AZ$63+(seat_pitch)</f>
        <v>26.75</v>
      </c>
      <c r="BN958" s="281">
        <f>$AX$6</f>
        <v>-1.31</v>
      </c>
      <c r="BO958" s="281">
        <f t="shared" si="144"/>
        <v>8.9395200000000017</v>
      </c>
      <c r="HY958" s="281">
        <f>$HX$22+(bus_pitch*(n_rows_b&gt;0))</f>
        <v>6.5</v>
      </c>
      <c r="HZ958" s="281">
        <f>$HV$10</f>
        <v>-1.84</v>
      </c>
      <c r="IA958" s="281">
        <f t="shared" si="145"/>
        <v>-11.310479999999998</v>
      </c>
    </row>
    <row r="959" spans="65:235" x14ac:dyDescent="0.25">
      <c r="BM959" s="281">
        <f>$AZ$64+0.2*(seat_pitch)*($AY$64*n_SA+$AW$6&lt;pax_e)</f>
        <v>26.102</v>
      </c>
      <c r="BN959" s="281">
        <f>$AX$6</f>
        <v>-1.31</v>
      </c>
      <c r="BO959" s="281">
        <f t="shared" si="144"/>
        <v>8.291520000000002</v>
      </c>
      <c r="HY959" s="281">
        <f>$HX$23+0.2*(bus_pitch*(n_rows_b&gt;0))*($HW$23*n_SA_b+$HU$10&lt;pax_b)</f>
        <v>6.5</v>
      </c>
      <c r="HZ959" s="281">
        <f>$HV$10</f>
        <v>-1.84</v>
      </c>
      <c r="IA959" s="281">
        <f t="shared" si="145"/>
        <v>-11.310479999999998</v>
      </c>
    </row>
    <row r="960" spans="65:235" x14ac:dyDescent="0.25">
      <c r="BM960" s="281">
        <f>$AZ$64+0.2*(seat_pitch)*($AY$64*n_SA+$AW$6&lt;pax_e)</f>
        <v>26.102</v>
      </c>
      <c r="BN960" s="281">
        <f>$AX$6+seat_w*($AY$64*n_SA+$AW$6&lt;pax_e)</f>
        <v>-0.78</v>
      </c>
      <c r="BO960" s="281">
        <f t="shared" si="144"/>
        <v>8.291520000000002</v>
      </c>
      <c r="HY960" s="281">
        <f>$HX$23+0.2*(bus_pitch*(n_rows_b&gt;0))*($HW$23*n_SA_b+$HU$10&lt;pax_b)</f>
        <v>6.5</v>
      </c>
      <c r="HZ960" s="281">
        <f>$HV$10+seat_w_b*($HW$23*n_SA_b+$HU$10&lt;pax_b)</f>
        <v>-1.84</v>
      </c>
      <c r="IA960" s="281">
        <f t="shared" si="145"/>
        <v>-11.310479999999998</v>
      </c>
    </row>
    <row r="961" spans="65:235" x14ac:dyDescent="0.25">
      <c r="BM961" s="281">
        <f>$AZ$64</f>
        <v>25.94</v>
      </c>
      <c r="BN961" s="281">
        <f>$AX$6+seat_w*($AY$64*n_SA+$AW$6&lt;pax_e)</f>
        <v>-0.78</v>
      </c>
      <c r="BO961" s="281">
        <f t="shared" si="144"/>
        <v>8.129520000000003</v>
      </c>
      <c r="HY961" s="281">
        <f>$HX$23</f>
        <v>6.5</v>
      </c>
      <c r="HZ961" s="281">
        <f>$HV$10+seat_w_b*($HW$23*n_SA_b+$HU$10&lt;pax_b)</f>
        <v>-1.84</v>
      </c>
      <c r="IA961" s="281">
        <f t="shared" si="145"/>
        <v>-11.310479999999998</v>
      </c>
    </row>
    <row r="962" spans="65:235" x14ac:dyDescent="0.25">
      <c r="BM962" s="281">
        <f>$AZ$64+1*(seat_pitch)*($AY$64*n_SA+$AW$6&lt;pax_e)</f>
        <v>26.75</v>
      </c>
      <c r="BN962" s="281">
        <f>$AX$6+seat_w*($AY$64*n_SA+$AW$6&lt;pax_e)</f>
        <v>-0.78</v>
      </c>
      <c r="BO962" s="281">
        <f t="shared" si="144"/>
        <v>8.9395200000000017</v>
      </c>
      <c r="HY962" s="281">
        <f>$HX$23+1*(bus_pitch*(n_rows_b&gt;0))*($HW$23*n_SA_b+$HU$10&lt;pax_b)</f>
        <v>6.5</v>
      </c>
      <c r="HZ962" s="281">
        <f>$HV$10+seat_w_b*($HW$23*n_SA_b+$HU$10&lt;pax_b)</f>
        <v>-1.84</v>
      </c>
      <c r="IA962" s="281">
        <f t="shared" si="145"/>
        <v>-11.310479999999998</v>
      </c>
    </row>
    <row r="963" spans="65:235" x14ac:dyDescent="0.25">
      <c r="BM963" s="281">
        <f>$AZ$64+0.8*(seat_pitch)*($AY$64*n_SA+$AW$6&lt;pax_e)</f>
        <v>26.588000000000001</v>
      </c>
      <c r="BN963" s="281">
        <f>$AX$6+seat_w*($AY$64*n_SA+$AW$6&lt;pax_e)</f>
        <v>-0.78</v>
      </c>
      <c r="BO963" s="281">
        <f t="shared" si="144"/>
        <v>8.7775200000000027</v>
      </c>
      <c r="HY963" s="281">
        <f>$HX$23+0.8*(bus_pitch*(n_rows_b&gt;0))*($HW$23*n_SA_b+$HU$10&lt;pax_b)</f>
        <v>6.5</v>
      </c>
      <c r="HZ963" s="281">
        <f>$HV$10+seat_w_b*($HW$23*n_SA_b+$HU$10&lt;pax_b)</f>
        <v>-1.84</v>
      </c>
      <c r="IA963" s="281">
        <f t="shared" si="145"/>
        <v>-11.310479999999998</v>
      </c>
    </row>
    <row r="964" spans="65:235" x14ac:dyDescent="0.25">
      <c r="BM964" s="281">
        <f>$AZ$64+0.8*(seat_pitch)*($AY$64*n_SA+$AW$6&lt;pax_e)</f>
        <v>26.588000000000001</v>
      </c>
      <c r="BN964" s="281">
        <f>$AX$6</f>
        <v>-1.31</v>
      </c>
      <c r="BO964" s="281">
        <f t="shared" si="144"/>
        <v>8.7775200000000027</v>
      </c>
      <c r="HY964" s="281">
        <f>$HX$23+0.8*(bus_pitch*(n_rows_b&gt;0))*($HW$23*n_SA_b+$HU$10&lt;pax_b)</f>
        <v>6.5</v>
      </c>
      <c r="HZ964" s="281">
        <f>$HV$10</f>
        <v>-1.84</v>
      </c>
      <c r="IA964" s="281">
        <f t="shared" si="145"/>
        <v>-11.310479999999998</v>
      </c>
    </row>
    <row r="965" spans="65:235" x14ac:dyDescent="0.25">
      <c r="BM965" s="281">
        <f>$AZ$64+0.2*(seat_pitch)*($AY$64*n_SA+$AW$6&lt;pax_e)</f>
        <v>26.102</v>
      </c>
      <c r="BN965" s="281">
        <f>$AX$6</f>
        <v>-1.31</v>
      </c>
      <c r="BO965" s="281">
        <f t="shared" ref="BO965:BO1028" si="146">BM965-L_fus/2</f>
        <v>8.291520000000002</v>
      </c>
      <c r="HY965" s="281">
        <f>$HX$23+0.2*(bus_pitch*(n_rows_b&gt;0))*($HW$23*n_SA_b+$HU$10&lt;pax_b)</f>
        <v>6.5</v>
      </c>
      <c r="HZ965" s="281">
        <f>$HV$10</f>
        <v>-1.84</v>
      </c>
      <c r="IA965" s="281">
        <f t="shared" ref="IA965:IA1028" si="147">HY965-L_fus/2</f>
        <v>-11.310479999999998</v>
      </c>
    </row>
    <row r="966" spans="65:235" x14ac:dyDescent="0.25">
      <c r="BM966" s="281">
        <f>$AZ$64+(seat_pitch)</f>
        <v>26.75</v>
      </c>
      <c r="BN966" s="281">
        <f>$AX$6</f>
        <v>-1.31</v>
      </c>
      <c r="BO966" s="281">
        <f t="shared" si="146"/>
        <v>8.9395200000000017</v>
      </c>
      <c r="HY966" s="281">
        <f>$HX$23+(bus_pitch*(n_rows_b&gt;0))</f>
        <v>6.5</v>
      </c>
      <c r="HZ966" s="281">
        <f>$HV$10</f>
        <v>-1.84</v>
      </c>
      <c r="IA966" s="281">
        <f t="shared" si="147"/>
        <v>-11.310479999999998</v>
      </c>
    </row>
    <row r="967" spans="65:235" x14ac:dyDescent="0.25">
      <c r="BM967" s="281">
        <f>x_seat_end</f>
        <v>26.75</v>
      </c>
      <c r="BN967" s="281">
        <f>$AX$7</f>
        <v>-0.78</v>
      </c>
      <c r="BO967" s="281">
        <f t="shared" si="146"/>
        <v>8.9395200000000017</v>
      </c>
      <c r="HY967" s="281">
        <f>$HX$24+0.2*(bus_pitch*(n_rows_b&gt;0))*($HW$24*n_SA_b+$HU$10&lt;pax_b)</f>
        <v>6.5</v>
      </c>
      <c r="HZ967" s="281">
        <f>$HV$10</f>
        <v>-1.84</v>
      </c>
      <c r="IA967" s="281">
        <f t="shared" si="147"/>
        <v>-11.310479999999998</v>
      </c>
    </row>
    <row r="968" spans="65:235" x14ac:dyDescent="0.25">
      <c r="BM968" s="281">
        <f>x_eco0</f>
        <v>6.5</v>
      </c>
      <c r="BN968" s="281">
        <f>$AX$7</f>
        <v>-0.78</v>
      </c>
      <c r="BO968" s="281">
        <f t="shared" si="146"/>
        <v>-11.310479999999998</v>
      </c>
      <c r="HY968" s="281">
        <f>$HX$24+0.2*(bus_pitch*(n_rows_b&gt;0))*($HW$24*n_SA_b+$HU$10&lt;pax_b)</f>
        <v>6.5</v>
      </c>
      <c r="HZ968" s="281">
        <f>$HV$10+seat_w_b*($HW$24*n_SA_b+$HU$10&lt;pax_b)</f>
        <v>-1.84</v>
      </c>
      <c r="IA968" s="281">
        <f t="shared" si="147"/>
        <v>-11.310479999999998</v>
      </c>
    </row>
    <row r="969" spans="65:235" x14ac:dyDescent="0.25">
      <c r="BM969" s="281">
        <f>$AZ$5+0.2*(seat_pitch)*($AY$5*n_SA+$AW$7&lt;pax_e)</f>
        <v>6.6619999999999999</v>
      </c>
      <c r="BN969" s="281">
        <f>$AX$7</f>
        <v>-0.78</v>
      </c>
      <c r="BO969" s="281">
        <f t="shared" si="146"/>
        <v>-11.148479999999999</v>
      </c>
      <c r="HY969" s="281">
        <f>$HX$24</f>
        <v>6.5</v>
      </c>
      <c r="HZ969" s="281">
        <f>$HV$10+seat_w_b*($HW$24*n_SA_b+$HU$10&lt;pax_b)</f>
        <v>-1.84</v>
      </c>
      <c r="IA969" s="281">
        <f t="shared" si="147"/>
        <v>-11.310479999999998</v>
      </c>
    </row>
    <row r="970" spans="65:235" x14ac:dyDescent="0.25">
      <c r="BM970" s="281">
        <f>$AZ$5+0.2*(seat_pitch)*($AY$5*n_SA+$AW$7&lt;pax_e)</f>
        <v>6.6619999999999999</v>
      </c>
      <c r="BN970" s="281">
        <f>$AX$7+seat_w*($AY$5*n_SA+$AW$7&lt;pax_e)</f>
        <v>-0.25</v>
      </c>
      <c r="BO970" s="281">
        <f t="shared" si="146"/>
        <v>-11.148479999999999</v>
      </c>
      <c r="HY970" s="281">
        <f>$HX$24+1*(bus_pitch*(n_rows_b&gt;0))*($HW$24*n_SA_b+$HU$10&lt;pax_b)</f>
        <v>6.5</v>
      </c>
      <c r="HZ970" s="281">
        <f>$HV$10+seat_w_b*($HW$24*n_SA_b+$HU$10&lt;pax_b)</f>
        <v>-1.84</v>
      </c>
      <c r="IA970" s="281">
        <f t="shared" si="147"/>
        <v>-11.310479999999998</v>
      </c>
    </row>
    <row r="971" spans="65:235" x14ac:dyDescent="0.25">
      <c r="BM971" s="281">
        <f>$AZ$5</f>
        <v>6.5</v>
      </c>
      <c r="BN971" s="281">
        <f>$AX$7+seat_w*($AY$5*n_SA+$AW$7&lt;pax_e)</f>
        <v>-0.25</v>
      </c>
      <c r="BO971" s="281">
        <f t="shared" si="146"/>
        <v>-11.310479999999998</v>
      </c>
      <c r="HY971" s="281">
        <f>$HX$24+0.8*(bus_pitch*(n_rows_b&gt;0))*($HW$24*n_SA_b+$HU$10&lt;pax_b)</f>
        <v>6.5</v>
      </c>
      <c r="HZ971" s="281">
        <f>$HV$10+seat_w_b*($HW$24*n_SA_b+$HU$10&lt;pax_b)</f>
        <v>-1.84</v>
      </c>
      <c r="IA971" s="281">
        <f t="shared" si="147"/>
        <v>-11.310479999999998</v>
      </c>
    </row>
    <row r="972" spans="65:235" x14ac:dyDescent="0.25">
      <c r="BM972" s="281">
        <f>$AZ$5+1*(seat_pitch)*($AY$5*n_SA+$AW$7&lt;pax_e)</f>
        <v>7.3100000000000005</v>
      </c>
      <c r="BN972" s="281">
        <f>$AX$7+seat_w*($AY$5*n_SA+$AW$7&lt;pax_e)</f>
        <v>-0.25</v>
      </c>
      <c r="BO972" s="281">
        <f t="shared" si="146"/>
        <v>-10.500479999999998</v>
      </c>
      <c r="HY972" s="281">
        <f>$HX$24+0.8*(bus_pitch*(n_rows_b&gt;0))*($HW$24*n_SA_b+$HU$10&lt;pax_b)</f>
        <v>6.5</v>
      </c>
      <c r="HZ972" s="281">
        <f>$HV$10</f>
        <v>-1.84</v>
      </c>
      <c r="IA972" s="281">
        <f t="shared" si="147"/>
        <v>-11.310479999999998</v>
      </c>
    </row>
    <row r="973" spans="65:235" x14ac:dyDescent="0.25">
      <c r="BM973" s="281">
        <f>$AZ$5+0.8*(seat_pitch)*($AY$5*n_SA+$AW$7&lt;pax_e)</f>
        <v>7.1479999999999997</v>
      </c>
      <c r="BN973" s="281">
        <f>$AX$7+seat_w*($AY$5*n_SA+$AW$7&lt;pax_e)</f>
        <v>-0.25</v>
      </c>
      <c r="BO973" s="281">
        <f t="shared" si="146"/>
        <v>-10.662479999999999</v>
      </c>
      <c r="HY973" s="281">
        <f>$HX$24+0.2*(bus_pitch*(n_rows_b&gt;0))*($HW$24*n_SA_b+$HU$10&lt;pax_b)</f>
        <v>6.5</v>
      </c>
      <c r="HZ973" s="281">
        <f>$HV$10</f>
        <v>-1.84</v>
      </c>
      <c r="IA973" s="281">
        <f t="shared" si="147"/>
        <v>-11.310479999999998</v>
      </c>
    </row>
    <row r="974" spans="65:235" x14ac:dyDescent="0.25">
      <c r="BM974" s="281">
        <f>$AZ$5+0.8*(seat_pitch)*($AY$5*n_SA+$AW$7&lt;pax_e)</f>
        <v>7.1479999999999997</v>
      </c>
      <c r="BN974" s="281">
        <f>$AX$7</f>
        <v>-0.78</v>
      </c>
      <c r="BO974" s="281">
        <f t="shared" si="146"/>
        <v>-10.662479999999999</v>
      </c>
      <c r="HY974" s="281">
        <f>$HX$24+(bus_pitch*(n_rows_b&gt;0))</f>
        <v>6.5</v>
      </c>
      <c r="HZ974" s="281">
        <f>$HV$10</f>
        <v>-1.84</v>
      </c>
      <c r="IA974" s="281">
        <f t="shared" si="147"/>
        <v>-11.310479999999998</v>
      </c>
    </row>
    <row r="975" spans="65:235" x14ac:dyDescent="0.25">
      <c r="BM975" s="281">
        <f>$AZ$5+0.2*(seat_pitch)*($AY$5*n_SA+$AW$7&lt;pax_e)</f>
        <v>6.6619999999999999</v>
      </c>
      <c r="BN975" s="281">
        <f>$AX$7</f>
        <v>-0.78</v>
      </c>
      <c r="BO975" s="281">
        <f t="shared" si="146"/>
        <v>-11.148479999999999</v>
      </c>
      <c r="HY975" s="281">
        <f>x_eco0</f>
        <v>6.5</v>
      </c>
      <c r="HZ975" s="281">
        <f>$HV$11</f>
        <v>-1.84</v>
      </c>
      <c r="IA975" s="281">
        <f t="shared" si="147"/>
        <v>-11.310479999999998</v>
      </c>
    </row>
    <row r="976" spans="65:235" x14ac:dyDescent="0.25">
      <c r="BM976" s="281">
        <f>$AZ$5+(seat_pitch)</f>
        <v>7.3100000000000005</v>
      </c>
      <c r="BN976" s="281">
        <f>$AX$7</f>
        <v>-0.78</v>
      </c>
      <c r="BO976" s="281">
        <f t="shared" si="146"/>
        <v>-10.500479999999998</v>
      </c>
      <c r="HY976" s="281">
        <f>x_seat0</f>
        <v>6.5</v>
      </c>
      <c r="HZ976" s="281">
        <f>$HV$11</f>
        <v>-1.84</v>
      </c>
      <c r="IA976" s="281">
        <f t="shared" si="147"/>
        <v>-11.310479999999998</v>
      </c>
    </row>
    <row r="977" spans="65:235" x14ac:dyDescent="0.25">
      <c r="BM977" s="281">
        <f>$AZ$6+0.2*(seat_pitch)*($AY$6*n_SA+$AW$7&lt;pax_e)</f>
        <v>7.4720000000000004</v>
      </c>
      <c r="BN977" s="281">
        <f>$AX$7</f>
        <v>-0.78</v>
      </c>
      <c r="BO977" s="281">
        <f t="shared" si="146"/>
        <v>-10.338479999999997</v>
      </c>
      <c r="HY977" s="281">
        <f>$HX$5+0.2*(bus_pitch*(n_rows_b&gt;0))*($HW$5*n_SA_b+$HU$11&lt;pax_b)</f>
        <v>6.5</v>
      </c>
      <c r="HZ977" s="281">
        <f>$HV$11</f>
        <v>-1.84</v>
      </c>
      <c r="IA977" s="281">
        <f t="shared" si="147"/>
        <v>-11.310479999999998</v>
      </c>
    </row>
    <row r="978" spans="65:235" x14ac:dyDescent="0.25">
      <c r="BM978" s="281">
        <f>$AZ$6+0.2*(seat_pitch)*($AY$6*n_SA+$AW$7&lt;pax_e)</f>
        <v>7.4720000000000004</v>
      </c>
      <c r="BN978" s="281">
        <f>$AX$7+seat_w*($AY$6*n_SA+$AW$7&lt;pax_e)</f>
        <v>-0.25</v>
      </c>
      <c r="BO978" s="281">
        <f t="shared" si="146"/>
        <v>-10.338479999999997</v>
      </c>
      <c r="HY978" s="281">
        <f>$HX$5+0.2*(bus_pitch*(n_rows_b&gt;0))*($HW$5*n_SA_b+$HU$11&lt;pax_b)</f>
        <v>6.5</v>
      </c>
      <c r="HZ978" s="281">
        <f>$HV$11+seat_w_b*($HW$5*n_SA_b+$HU$11&lt;pax_b)</f>
        <v>-1.84</v>
      </c>
      <c r="IA978" s="281">
        <f t="shared" si="147"/>
        <v>-11.310479999999998</v>
      </c>
    </row>
    <row r="979" spans="65:235" x14ac:dyDescent="0.25">
      <c r="BM979" s="281">
        <f>$AZ$6</f>
        <v>7.3100000000000005</v>
      </c>
      <c r="BN979" s="281">
        <f>$AX$7+seat_w*($AY$6*n_SA+$AW$7&lt;pax_e)</f>
        <v>-0.25</v>
      </c>
      <c r="BO979" s="281">
        <f t="shared" si="146"/>
        <v>-10.500479999999998</v>
      </c>
      <c r="HY979" s="281">
        <f>$HX$5</f>
        <v>6.5</v>
      </c>
      <c r="HZ979" s="281">
        <f>$HV$11+seat_w_b*($HW$5*n_SA_b+$HU$11&lt;pax_b)</f>
        <v>-1.84</v>
      </c>
      <c r="IA979" s="281">
        <f t="shared" si="147"/>
        <v>-11.310479999999998</v>
      </c>
    </row>
    <row r="980" spans="65:235" x14ac:dyDescent="0.25">
      <c r="BM980" s="281">
        <f>$AZ$6+1*(seat_pitch)*($AY$6*n_SA+$AW$7&lt;pax_e)</f>
        <v>8.120000000000001</v>
      </c>
      <c r="BN980" s="281">
        <f>$AX$7+seat_w*($AY$6*n_SA+$AW$7&lt;pax_e)</f>
        <v>-0.25</v>
      </c>
      <c r="BO980" s="281">
        <f t="shared" si="146"/>
        <v>-9.6904799999999973</v>
      </c>
      <c r="HY980" s="281">
        <f>$HX$5+1*(bus_pitch*(n_rows_b&gt;0))*($HW$5*n_SA_b+$HU$11&lt;pax_b)</f>
        <v>6.5</v>
      </c>
      <c r="HZ980" s="281">
        <f>$HV$11+seat_w_b*($HW$5*n_SA_b+$HU$11&lt;pax_b)</f>
        <v>-1.84</v>
      </c>
      <c r="IA980" s="281">
        <f t="shared" si="147"/>
        <v>-11.310479999999998</v>
      </c>
    </row>
    <row r="981" spans="65:235" x14ac:dyDescent="0.25">
      <c r="BM981" s="281">
        <f>$AZ$6+0.8*(seat_pitch)*($AY$6*n_SA+$AW$7&lt;pax_e)</f>
        <v>7.9580000000000002</v>
      </c>
      <c r="BN981" s="281">
        <f>$AX$7+seat_w*($AY$6*n_SA+$AW$7&lt;pax_e)</f>
        <v>-0.25</v>
      </c>
      <c r="BO981" s="281">
        <f t="shared" si="146"/>
        <v>-9.8524799999999981</v>
      </c>
      <c r="HY981" s="281">
        <f>$HX$5+0.8*(bus_pitch*(n_rows_b&gt;0))*($HW$5*n_SA_b+$HU$11&lt;pax_b)</f>
        <v>6.5</v>
      </c>
      <c r="HZ981" s="281">
        <f>$HV$11+seat_w_b*($HW$5*n_SA_b+$HU$11&lt;pax_b)</f>
        <v>-1.84</v>
      </c>
      <c r="IA981" s="281">
        <f t="shared" si="147"/>
        <v>-11.310479999999998</v>
      </c>
    </row>
    <row r="982" spans="65:235" x14ac:dyDescent="0.25">
      <c r="BM982" s="281">
        <f>$AZ$6+0.8*(seat_pitch)*($AY$6*n_SA+$AW$7&lt;pax_e)</f>
        <v>7.9580000000000002</v>
      </c>
      <c r="BN982" s="281">
        <f>$AX$7</f>
        <v>-0.78</v>
      </c>
      <c r="BO982" s="281">
        <f t="shared" si="146"/>
        <v>-9.8524799999999981</v>
      </c>
      <c r="HY982" s="281">
        <f>$HX$5+0.8*(bus_pitch*(n_rows_b&gt;0))*($HW$5*n_SA_b+$HU$11&lt;pax_b)</f>
        <v>6.5</v>
      </c>
      <c r="HZ982" s="281">
        <f>$HV$11</f>
        <v>-1.84</v>
      </c>
      <c r="IA982" s="281">
        <f t="shared" si="147"/>
        <v>-11.310479999999998</v>
      </c>
    </row>
    <row r="983" spans="65:235" x14ac:dyDescent="0.25">
      <c r="BM983" s="281">
        <f>$AZ$6+0.2*(seat_pitch)*($AY$6*n_SA+$AW$7&lt;pax_e)</f>
        <v>7.4720000000000004</v>
      </c>
      <c r="BN983" s="281">
        <f>$AX$7</f>
        <v>-0.78</v>
      </c>
      <c r="BO983" s="281">
        <f t="shared" si="146"/>
        <v>-10.338479999999997</v>
      </c>
      <c r="HY983" s="281">
        <f>$HX$5+0.2*(bus_pitch*(n_rows_b&gt;0))*($HW$5*n_SA_b+$HU$11&lt;pax_b)</f>
        <v>6.5</v>
      </c>
      <c r="HZ983" s="281">
        <f>$HV$11</f>
        <v>-1.84</v>
      </c>
      <c r="IA983" s="281">
        <f t="shared" si="147"/>
        <v>-11.310479999999998</v>
      </c>
    </row>
    <row r="984" spans="65:235" x14ac:dyDescent="0.25">
      <c r="BM984" s="281">
        <f>$AZ$6+(seat_pitch)</f>
        <v>8.120000000000001</v>
      </c>
      <c r="BN984" s="281">
        <f>$AX$7</f>
        <v>-0.78</v>
      </c>
      <c r="BO984" s="281">
        <f t="shared" si="146"/>
        <v>-9.6904799999999973</v>
      </c>
      <c r="HY984" s="281">
        <f>$HX$5+(bus_pitch*(n_rows_b&gt;0))</f>
        <v>6.5</v>
      </c>
      <c r="HZ984" s="281">
        <f>$HV$11</f>
        <v>-1.84</v>
      </c>
      <c r="IA984" s="281">
        <f t="shared" si="147"/>
        <v>-11.310479999999998</v>
      </c>
    </row>
    <row r="985" spans="65:235" x14ac:dyDescent="0.25">
      <c r="BM985" s="281">
        <f>$AZ$7+0.2*(seat_pitch)*($AY$7*n_SA+$AW$7&lt;pax_e)</f>
        <v>8.2820000000000018</v>
      </c>
      <c r="BN985" s="281">
        <f>$AX$7</f>
        <v>-0.78</v>
      </c>
      <c r="BO985" s="281">
        <f t="shared" si="146"/>
        <v>-9.5284799999999965</v>
      </c>
      <c r="HY985" s="281">
        <f>$HX$6+0.2*(bus_pitch*(n_rows_b&gt;0))*($HW$6*n_SA_b+$HU$11&lt;pax_b)</f>
        <v>6.5</v>
      </c>
      <c r="HZ985" s="281">
        <f>$HV$11</f>
        <v>-1.84</v>
      </c>
      <c r="IA985" s="281">
        <f t="shared" si="147"/>
        <v>-11.310479999999998</v>
      </c>
    </row>
    <row r="986" spans="65:235" x14ac:dyDescent="0.25">
      <c r="BM986" s="281">
        <f>$AZ$7+0.2*(seat_pitch)*($AY$7*n_SA+$AW$7&lt;pax_e)</f>
        <v>8.2820000000000018</v>
      </c>
      <c r="BN986" s="281">
        <f>$AX$7+seat_w*($AY$7*n_SA+$AW$7&lt;pax_e)</f>
        <v>-0.25</v>
      </c>
      <c r="BO986" s="281">
        <f t="shared" si="146"/>
        <v>-9.5284799999999965</v>
      </c>
      <c r="HY986" s="281">
        <f>$HX$6+0.2*(bus_pitch*(n_rows_b&gt;0))*($HW$6*n_SA_b+$HU$11&lt;pax_b)</f>
        <v>6.5</v>
      </c>
      <c r="HZ986" s="281">
        <f>$HV$11+seat_w_b*($HW$6*n_SA_b+$HU$11&lt;pax_b)</f>
        <v>-1.84</v>
      </c>
      <c r="IA986" s="281">
        <f t="shared" si="147"/>
        <v>-11.310479999999998</v>
      </c>
    </row>
    <row r="987" spans="65:235" x14ac:dyDescent="0.25">
      <c r="BM987" s="281">
        <f>$AZ$7</f>
        <v>8.120000000000001</v>
      </c>
      <c r="BN987" s="281">
        <f>$AX$7+seat_w*($AY$7*n_SA+$AW$7&lt;pax_e)</f>
        <v>-0.25</v>
      </c>
      <c r="BO987" s="281">
        <f t="shared" si="146"/>
        <v>-9.6904799999999973</v>
      </c>
      <c r="HY987" s="281">
        <f>$HX$6</f>
        <v>6.5</v>
      </c>
      <c r="HZ987" s="281">
        <f>$HV$11+seat_w_b*($HW$6*n_SA_b+$HU$11&lt;pax_b)</f>
        <v>-1.84</v>
      </c>
      <c r="IA987" s="281">
        <f t="shared" si="147"/>
        <v>-11.310479999999998</v>
      </c>
    </row>
    <row r="988" spans="65:235" x14ac:dyDescent="0.25">
      <c r="BM988" s="281">
        <f>$AZ$7+1*(seat_pitch)*($AY$7*n_SA+$AW$7&lt;pax_e)</f>
        <v>8.9300000000000015</v>
      </c>
      <c r="BN988" s="281">
        <f>$AX$7+seat_w*($AY$7*n_SA+$AW$7&lt;pax_e)</f>
        <v>-0.25</v>
      </c>
      <c r="BO988" s="281">
        <f t="shared" si="146"/>
        <v>-8.8804799999999968</v>
      </c>
      <c r="HY988" s="281">
        <f>$HX$6+1*(bus_pitch*(n_rows_b&gt;0))*($HW$6*n_SA_b+$HU$11&lt;pax_b)</f>
        <v>6.5</v>
      </c>
      <c r="HZ988" s="281">
        <f>$HV$11+seat_w_b*($HW$6*n_SA_b+$HU$11&lt;pax_b)</f>
        <v>-1.84</v>
      </c>
      <c r="IA988" s="281">
        <f t="shared" si="147"/>
        <v>-11.310479999999998</v>
      </c>
    </row>
    <row r="989" spans="65:235" x14ac:dyDescent="0.25">
      <c r="BM989" s="281">
        <f>$AZ$7+0.8*(seat_pitch)*($AY$7*n_SA+$AW$7&lt;pax_e)</f>
        <v>8.7680000000000007</v>
      </c>
      <c r="BN989" s="281">
        <f>$AX$7+seat_w*($AY$7*n_SA+$AW$7&lt;pax_e)</f>
        <v>-0.25</v>
      </c>
      <c r="BO989" s="281">
        <f t="shared" si="146"/>
        <v>-9.0424799999999976</v>
      </c>
      <c r="HY989" s="281">
        <f>$HX$6+0.8*(bus_pitch*(n_rows_b&gt;0))*($HW$6*n_SA_b+$HU$11&lt;pax_b)</f>
        <v>6.5</v>
      </c>
      <c r="HZ989" s="281">
        <f>$HV$11+seat_w_b*($HW$6*n_SA_b+$HU$11&lt;pax_b)</f>
        <v>-1.84</v>
      </c>
      <c r="IA989" s="281">
        <f t="shared" si="147"/>
        <v>-11.310479999999998</v>
      </c>
    </row>
    <row r="990" spans="65:235" x14ac:dyDescent="0.25">
      <c r="BM990" s="281">
        <f>$AZ$7+0.8*(seat_pitch)*($AY$7*n_SA+$AW$7&lt;pax_e)</f>
        <v>8.7680000000000007</v>
      </c>
      <c r="BN990" s="281">
        <f>$AX$7</f>
        <v>-0.78</v>
      </c>
      <c r="BO990" s="281">
        <f t="shared" si="146"/>
        <v>-9.0424799999999976</v>
      </c>
      <c r="HY990" s="281">
        <f>$HX$6+0.8*(bus_pitch*(n_rows_b&gt;0))*($HW$6*n_SA_b+$HU$11&lt;pax_b)</f>
        <v>6.5</v>
      </c>
      <c r="HZ990" s="281">
        <f>$HV$11</f>
        <v>-1.84</v>
      </c>
      <c r="IA990" s="281">
        <f t="shared" si="147"/>
        <v>-11.310479999999998</v>
      </c>
    </row>
    <row r="991" spans="65:235" x14ac:dyDescent="0.25">
      <c r="BM991" s="281">
        <f>$AZ$7+0.2*(seat_pitch)*($AY$7*n_SA+$AW$7&lt;pax_e)</f>
        <v>8.2820000000000018</v>
      </c>
      <c r="BN991" s="281">
        <f>$AX$7</f>
        <v>-0.78</v>
      </c>
      <c r="BO991" s="281">
        <f t="shared" si="146"/>
        <v>-9.5284799999999965</v>
      </c>
      <c r="HY991" s="281">
        <f>$HX$6+0.2*(bus_pitch*(n_rows_b&gt;0))*($HW$6*n_SA_b+$HU$11&lt;pax_b)</f>
        <v>6.5</v>
      </c>
      <c r="HZ991" s="281">
        <f>$HV$11</f>
        <v>-1.84</v>
      </c>
      <c r="IA991" s="281">
        <f t="shared" si="147"/>
        <v>-11.310479999999998</v>
      </c>
    </row>
    <row r="992" spans="65:235" x14ac:dyDescent="0.25">
      <c r="BM992" s="281">
        <f>$AZ$7+(seat_pitch)</f>
        <v>8.9300000000000015</v>
      </c>
      <c r="BN992" s="281">
        <f>$AX$7</f>
        <v>-0.78</v>
      </c>
      <c r="BO992" s="281">
        <f t="shared" si="146"/>
        <v>-8.8804799999999968</v>
      </c>
      <c r="HY992" s="281">
        <f>$HX$6+(bus_pitch*(n_rows_b&gt;0))</f>
        <v>6.5</v>
      </c>
      <c r="HZ992" s="281">
        <f>$HV$11</f>
        <v>-1.84</v>
      </c>
      <c r="IA992" s="281">
        <f t="shared" si="147"/>
        <v>-11.310479999999998</v>
      </c>
    </row>
    <row r="993" spans="65:235" x14ac:dyDescent="0.25">
      <c r="BM993" s="281">
        <f>$AZ$8+0.2*(seat_pitch)*($AY$8*n_SA+$AW$7&lt;pax_e)</f>
        <v>9.0920000000000005</v>
      </c>
      <c r="BN993" s="281">
        <f>$AX$7</f>
        <v>-0.78</v>
      </c>
      <c r="BO993" s="281">
        <f t="shared" si="146"/>
        <v>-8.7184799999999978</v>
      </c>
      <c r="HY993" s="281">
        <f>$HX$7+0.2*(bus_pitch*(n_rows_b&gt;0))*($HW$7*n_SA_b+$HU$11&lt;pax_b)</f>
        <v>6.5</v>
      </c>
      <c r="HZ993" s="281">
        <f>$HV$11</f>
        <v>-1.84</v>
      </c>
      <c r="IA993" s="281">
        <f t="shared" si="147"/>
        <v>-11.310479999999998</v>
      </c>
    </row>
    <row r="994" spans="65:235" x14ac:dyDescent="0.25">
      <c r="BM994" s="281">
        <f>$AZ$8+0.2*(seat_pitch)*($AY$8*n_SA+$AW$7&lt;pax_e)</f>
        <v>9.0920000000000005</v>
      </c>
      <c r="BN994" s="281">
        <f>$AX$7+seat_w*($AY$8*n_SA+$AW$7&lt;pax_e)</f>
        <v>-0.25</v>
      </c>
      <c r="BO994" s="281">
        <f t="shared" si="146"/>
        <v>-8.7184799999999978</v>
      </c>
      <c r="HY994" s="281">
        <f>$HX$7+0.2*(bus_pitch*(n_rows_b&gt;0))*($HW$7*n_SA_b+$HU$11&lt;pax_b)</f>
        <v>6.5</v>
      </c>
      <c r="HZ994" s="281">
        <f>$HV$11+seat_w_b*($HW$7*n_SA_b+$HU$11&lt;pax_b)</f>
        <v>-1.84</v>
      </c>
      <c r="IA994" s="281">
        <f t="shared" si="147"/>
        <v>-11.310479999999998</v>
      </c>
    </row>
    <row r="995" spans="65:235" x14ac:dyDescent="0.25">
      <c r="BM995" s="281">
        <f>$AZ$8</f>
        <v>8.93</v>
      </c>
      <c r="BN995" s="281">
        <f>$AX$7+seat_w*($AY$8*n_SA+$AW$7&lt;pax_e)</f>
        <v>-0.25</v>
      </c>
      <c r="BO995" s="281">
        <f t="shared" si="146"/>
        <v>-8.8804799999999986</v>
      </c>
      <c r="HY995" s="281">
        <f>$HX$7</f>
        <v>6.5</v>
      </c>
      <c r="HZ995" s="281">
        <f>$HV$11+seat_w_b*($HW$7*n_SA_b+$HU$11&lt;pax_b)</f>
        <v>-1.84</v>
      </c>
      <c r="IA995" s="281">
        <f t="shared" si="147"/>
        <v>-11.310479999999998</v>
      </c>
    </row>
    <row r="996" spans="65:235" x14ac:dyDescent="0.25">
      <c r="BM996" s="281">
        <f>$AZ$8+1*(seat_pitch)*($AY$8*n_SA+$AW$7&lt;pax_e)</f>
        <v>9.74</v>
      </c>
      <c r="BN996" s="281">
        <f>$AX$7+seat_w*($AY$8*n_SA+$AW$7&lt;pax_e)</f>
        <v>-0.25</v>
      </c>
      <c r="BO996" s="281">
        <f t="shared" si="146"/>
        <v>-8.0704799999999981</v>
      </c>
      <c r="HY996" s="281">
        <f>$HX$7+1*(bus_pitch*(n_rows_b&gt;0))*($HW$7*n_SA_b+$HU$11&lt;pax_b)</f>
        <v>6.5</v>
      </c>
      <c r="HZ996" s="281">
        <f>$HV$11+seat_w_b*($HW$7*n_SA_b+$HU$11&lt;pax_b)</f>
        <v>-1.84</v>
      </c>
      <c r="IA996" s="281">
        <f t="shared" si="147"/>
        <v>-11.310479999999998</v>
      </c>
    </row>
    <row r="997" spans="65:235" x14ac:dyDescent="0.25">
      <c r="BM997" s="281">
        <f>$AZ$8+0.8*(seat_pitch)*($AY$8*n_SA+$AW$7&lt;pax_e)</f>
        <v>9.5779999999999994</v>
      </c>
      <c r="BN997" s="281">
        <f>$AX$7+seat_w*($AY$8*n_SA+$AW$7&lt;pax_e)</f>
        <v>-0.25</v>
      </c>
      <c r="BO997" s="281">
        <f t="shared" si="146"/>
        <v>-8.2324799999999989</v>
      </c>
      <c r="HY997" s="281">
        <f>$HX$7+0.8*(bus_pitch*(n_rows_b&gt;0))*($HW$7*n_SA_b+$HU$11&lt;pax_b)</f>
        <v>6.5</v>
      </c>
      <c r="HZ997" s="281">
        <f>$HV$11+seat_w_b*($HW$7*n_SA_b+$HU$11&lt;pax_b)</f>
        <v>-1.84</v>
      </c>
      <c r="IA997" s="281">
        <f t="shared" si="147"/>
        <v>-11.310479999999998</v>
      </c>
    </row>
    <row r="998" spans="65:235" x14ac:dyDescent="0.25">
      <c r="BM998" s="281">
        <f>$AZ$8+0.8*(seat_pitch)*($AY$8*n_SA+$AW$7&lt;pax_e)</f>
        <v>9.5779999999999994</v>
      </c>
      <c r="BN998" s="281">
        <f>$AX$7</f>
        <v>-0.78</v>
      </c>
      <c r="BO998" s="281">
        <f t="shared" si="146"/>
        <v>-8.2324799999999989</v>
      </c>
      <c r="HY998" s="281">
        <f>$HX$7+0.8*(bus_pitch*(n_rows_b&gt;0))*($HW$7*n_SA_b+$HU$11&lt;pax_b)</f>
        <v>6.5</v>
      </c>
      <c r="HZ998" s="281">
        <f>$HV$11</f>
        <v>-1.84</v>
      </c>
      <c r="IA998" s="281">
        <f t="shared" si="147"/>
        <v>-11.310479999999998</v>
      </c>
    </row>
    <row r="999" spans="65:235" x14ac:dyDescent="0.25">
      <c r="BM999" s="281">
        <f>$AZ$8+0.2*(seat_pitch)*($AY$8*n_SA+$AW$7&lt;pax_e)</f>
        <v>9.0920000000000005</v>
      </c>
      <c r="BN999" s="281">
        <f>$AX$7</f>
        <v>-0.78</v>
      </c>
      <c r="BO999" s="281">
        <f t="shared" si="146"/>
        <v>-8.7184799999999978</v>
      </c>
      <c r="HY999" s="281">
        <f>$HX$7+0.2*(bus_pitch*(n_rows_b&gt;0))*($HW$7*n_SA_b+$HU$11&lt;pax_b)</f>
        <v>6.5</v>
      </c>
      <c r="HZ999" s="281">
        <f>$HV$11</f>
        <v>-1.84</v>
      </c>
      <c r="IA999" s="281">
        <f t="shared" si="147"/>
        <v>-11.310479999999998</v>
      </c>
    </row>
    <row r="1000" spans="65:235" x14ac:dyDescent="0.25">
      <c r="BM1000" s="281">
        <f>$AZ$8+(seat_pitch)</f>
        <v>9.74</v>
      </c>
      <c r="BN1000" s="281">
        <f>$AX$7</f>
        <v>-0.78</v>
      </c>
      <c r="BO1000" s="281">
        <f t="shared" si="146"/>
        <v>-8.0704799999999981</v>
      </c>
      <c r="HY1000" s="281">
        <f>$HX$7+(bus_pitch*(n_rows_b&gt;0))</f>
        <v>6.5</v>
      </c>
      <c r="HZ1000" s="281">
        <f>$HV$11</f>
        <v>-1.84</v>
      </c>
      <c r="IA1000" s="281">
        <f t="shared" si="147"/>
        <v>-11.310479999999998</v>
      </c>
    </row>
    <row r="1001" spans="65:235" x14ac:dyDescent="0.25">
      <c r="BM1001" s="281">
        <f>$AZ$9+0.2*(seat_pitch)*($AY$9*n_SA+$AW$7&lt;pax_e)</f>
        <v>9.902000000000001</v>
      </c>
      <c r="BN1001" s="281">
        <f>$AX$7</f>
        <v>-0.78</v>
      </c>
      <c r="BO1001" s="281">
        <f t="shared" si="146"/>
        <v>-7.9084799999999973</v>
      </c>
      <c r="HY1001" s="281">
        <f>$HX$8+0.2*(bus_pitch*(n_rows_b&gt;0))*($HW$8*n_SA_b+$HU$11&lt;pax_b)</f>
        <v>6.5</v>
      </c>
      <c r="HZ1001" s="281">
        <f>$HV$11</f>
        <v>-1.84</v>
      </c>
      <c r="IA1001" s="281">
        <f t="shared" si="147"/>
        <v>-11.310479999999998</v>
      </c>
    </row>
    <row r="1002" spans="65:235" x14ac:dyDescent="0.25">
      <c r="BM1002" s="281">
        <f>$AZ$9+0.2*(seat_pitch)*($AY$9*n_SA+$AW$7&lt;pax_e)</f>
        <v>9.902000000000001</v>
      </c>
      <c r="BN1002" s="281">
        <f>$AX$7+seat_w*($AY$9*n_SA+$AW$7&lt;pax_e)</f>
        <v>-0.25</v>
      </c>
      <c r="BO1002" s="281">
        <f t="shared" si="146"/>
        <v>-7.9084799999999973</v>
      </c>
      <c r="HY1002" s="281">
        <f>$HX$8+0.2*(bus_pitch*(n_rows_b&gt;0))*($HW$8*n_SA_b+$HU$11&lt;pax_b)</f>
        <v>6.5</v>
      </c>
      <c r="HZ1002" s="281">
        <f>$HV$11+seat_w_b*($HW$8*n_SA_b+$HU$11&lt;pax_b)</f>
        <v>-1.84</v>
      </c>
      <c r="IA1002" s="281">
        <f t="shared" si="147"/>
        <v>-11.310479999999998</v>
      </c>
    </row>
    <row r="1003" spans="65:235" x14ac:dyDescent="0.25">
      <c r="BM1003" s="281">
        <f>$AZ$9</f>
        <v>9.74</v>
      </c>
      <c r="BN1003" s="281">
        <f>$AX$7+seat_w*($AY$9*n_SA+$AW$7&lt;pax_e)</f>
        <v>-0.25</v>
      </c>
      <c r="BO1003" s="281">
        <f t="shared" si="146"/>
        <v>-8.0704799999999981</v>
      </c>
      <c r="HY1003" s="281">
        <f>$HX$8</f>
        <v>6.5</v>
      </c>
      <c r="HZ1003" s="281">
        <f>$HV$11+seat_w_b*($HW$8*n_SA_b+$HU$11&lt;pax_b)</f>
        <v>-1.84</v>
      </c>
      <c r="IA1003" s="281">
        <f t="shared" si="147"/>
        <v>-11.310479999999998</v>
      </c>
    </row>
    <row r="1004" spans="65:235" x14ac:dyDescent="0.25">
      <c r="BM1004" s="281">
        <f>$AZ$9+1*(seat_pitch)*($AY$9*n_SA+$AW$7&lt;pax_e)</f>
        <v>10.55</v>
      </c>
      <c r="BN1004" s="281">
        <f>$AX$7+seat_w*($AY$9*n_SA+$AW$7&lt;pax_e)</f>
        <v>-0.25</v>
      </c>
      <c r="BO1004" s="281">
        <f t="shared" si="146"/>
        <v>-7.2604799999999976</v>
      </c>
      <c r="HY1004" s="281">
        <f>$HX$8+1*(bus_pitch*(n_rows_b&gt;0))*($HW$8*n_SA_b+$HU$11&lt;pax_b)</f>
        <v>6.5</v>
      </c>
      <c r="HZ1004" s="281">
        <f>$HV$11+seat_w_b*($HW$8*n_SA_b+$HU$11&lt;pax_b)</f>
        <v>-1.84</v>
      </c>
      <c r="IA1004" s="281">
        <f t="shared" si="147"/>
        <v>-11.310479999999998</v>
      </c>
    </row>
    <row r="1005" spans="65:235" x14ac:dyDescent="0.25">
      <c r="BM1005" s="281">
        <f>$AZ$9+0.8*(seat_pitch)*($AY$9*n_SA+$AW$7&lt;pax_e)</f>
        <v>10.388</v>
      </c>
      <c r="BN1005" s="281">
        <f>$AX$7+seat_w*($AY$9*n_SA+$AW$7&lt;pax_e)</f>
        <v>-0.25</v>
      </c>
      <c r="BO1005" s="281">
        <f t="shared" si="146"/>
        <v>-7.4224799999999984</v>
      </c>
      <c r="HY1005" s="281">
        <f>$HX$8+0.8*(bus_pitch*(n_rows_b&gt;0))*($HW$8*n_SA_b+$HU$11&lt;pax_b)</f>
        <v>6.5</v>
      </c>
      <c r="HZ1005" s="281">
        <f>$HV$11+seat_w_b*($HW$8*n_SA_b+$HU$11&lt;pax_b)</f>
        <v>-1.84</v>
      </c>
      <c r="IA1005" s="281">
        <f t="shared" si="147"/>
        <v>-11.310479999999998</v>
      </c>
    </row>
    <row r="1006" spans="65:235" x14ac:dyDescent="0.25">
      <c r="BM1006" s="281">
        <f>$AZ$9+0.8*(seat_pitch)*($AY$9*n_SA+$AW$7&lt;pax_e)</f>
        <v>10.388</v>
      </c>
      <c r="BN1006" s="281">
        <f>$AX$7</f>
        <v>-0.78</v>
      </c>
      <c r="BO1006" s="281">
        <f t="shared" si="146"/>
        <v>-7.4224799999999984</v>
      </c>
      <c r="HY1006" s="281">
        <f>$HX$8+0.8*(bus_pitch*(n_rows_b&gt;0))*($HW$8*n_SA_b+$HU$11&lt;pax_b)</f>
        <v>6.5</v>
      </c>
      <c r="HZ1006" s="281">
        <f>$HV$11</f>
        <v>-1.84</v>
      </c>
      <c r="IA1006" s="281">
        <f t="shared" si="147"/>
        <v>-11.310479999999998</v>
      </c>
    </row>
    <row r="1007" spans="65:235" x14ac:dyDescent="0.25">
      <c r="BM1007" s="281">
        <f>$AZ$9+0.2*(seat_pitch)*($AY$9*n_SA+$AW$7&lt;pax_e)</f>
        <v>9.902000000000001</v>
      </c>
      <c r="BN1007" s="281">
        <f>$AX$7</f>
        <v>-0.78</v>
      </c>
      <c r="BO1007" s="281">
        <f t="shared" si="146"/>
        <v>-7.9084799999999973</v>
      </c>
      <c r="HY1007" s="281">
        <f>$HX$8+0.2*(bus_pitch*(n_rows_b&gt;0))*($HW$8*n_SA_b+$HU$11&lt;pax_b)</f>
        <v>6.5</v>
      </c>
      <c r="HZ1007" s="281">
        <f>$HV$11</f>
        <v>-1.84</v>
      </c>
      <c r="IA1007" s="281">
        <f t="shared" si="147"/>
        <v>-11.310479999999998</v>
      </c>
    </row>
    <row r="1008" spans="65:235" x14ac:dyDescent="0.25">
      <c r="BM1008" s="281">
        <f>$AZ$9+(seat_pitch)</f>
        <v>10.55</v>
      </c>
      <c r="BN1008" s="281">
        <f>$AX$7</f>
        <v>-0.78</v>
      </c>
      <c r="BO1008" s="281">
        <f t="shared" si="146"/>
        <v>-7.2604799999999976</v>
      </c>
      <c r="HY1008" s="281">
        <f>$HX$8+(bus_pitch*(n_rows_b&gt;0))</f>
        <v>6.5</v>
      </c>
      <c r="HZ1008" s="281">
        <f>$HV$11</f>
        <v>-1.84</v>
      </c>
      <c r="IA1008" s="281">
        <f t="shared" si="147"/>
        <v>-11.310479999999998</v>
      </c>
    </row>
    <row r="1009" spans="65:235" x14ac:dyDescent="0.25">
      <c r="BM1009" s="281">
        <f>$AZ$10+0.2*(seat_pitch)*($AY$10*n_SA+$AW$7&lt;pax_e)</f>
        <v>10.712000000000002</v>
      </c>
      <c r="BN1009" s="281">
        <f>$AX$7</f>
        <v>-0.78</v>
      </c>
      <c r="BO1009" s="281">
        <f t="shared" si="146"/>
        <v>-7.0984799999999968</v>
      </c>
      <c r="HY1009" s="281">
        <f>$HX$9+0.2*(bus_pitch*(n_rows_b&gt;0))*($HW$9*n_SA_b+$HU$11&lt;pax_b)</f>
        <v>6.5</v>
      </c>
      <c r="HZ1009" s="281">
        <f>$HV$11</f>
        <v>-1.84</v>
      </c>
      <c r="IA1009" s="281">
        <f t="shared" si="147"/>
        <v>-11.310479999999998</v>
      </c>
    </row>
    <row r="1010" spans="65:235" x14ac:dyDescent="0.25">
      <c r="BM1010" s="281">
        <f>$AZ$10+0.2*(seat_pitch)*($AY$10*n_SA+$AW$7&lt;pax_e)</f>
        <v>10.712000000000002</v>
      </c>
      <c r="BN1010" s="281">
        <f>$AX$7+seat_w*($AY$10*n_SA+$AW$7&lt;pax_e)</f>
        <v>-0.25</v>
      </c>
      <c r="BO1010" s="281">
        <f t="shared" si="146"/>
        <v>-7.0984799999999968</v>
      </c>
      <c r="HY1010" s="281">
        <f>$HX$9+0.2*(bus_pitch*(n_rows_b&gt;0))*($HW$9*n_SA_b+$HU$11&lt;pax_b)</f>
        <v>6.5</v>
      </c>
      <c r="HZ1010" s="281">
        <f>$HV$11+seat_w_b*($HW$9*n_SA_b+$HU$11&lt;pax_b)</f>
        <v>-1.84</v>
      </c>
      <c r="IA1010" s="281">
        <f t="shared" si="147"/>
        <v>-11.310479999999998</v>
      </c>
    </row>
    <row r="1011" spans="65:235" x14ac:dyDescent="0.25">
      <c r="BM1011" s="281">
        <f>$AZ$10</f>
        <v>10.55</v>
      </c>
      <c r="BN1011" s="281">
        <f>$AX$7+seat_w*($AY$10*n_SA+$AW$7&lt;pax_e)</f>
        <v>-0.25</v>
      </c>
      <c r="BO1011" s="281">
        <f t="shared" si="146"/>
        <v>-7.2604799999999976</v>
      </c>
      <c r="HY1011" s="281">
        <f>$HX$9</f>
        <v>6.5</v>
      </c>
      <c r="HZ1011" s="281">
        <f>$HV$11+seat_w_b*($HW$9*n_SA_b+$HU$11&lt;pax_b)</f>
        <v>-1.84</v>
      </c>
      <c r="IA1011" s="281">
        <f t="shared" si="147"/>
        <v>-11.310479999999998</v>
      </c>
    </row>
    <row r="1012" spans="65:235" x14ac:dyDescent="0.25">
      <c r="BM1012" s="281">
        <f>$AZ$10+1*(seat_pitch)*($AY$10*n_SA+$AW$7&lt;pax_e)</f>
        <v>11.360000000000001</v>
      </c>
      <c r="BN1012" s="281">
        <f>$AX$7+seat_w*($AY$10*n_SA+$AW$7&lt;pax_e)</f>
        <v>-0.25</v>
      </c>
      <c r="BO1012" s="281">
        <f t="shared" si="146"/>
        <v>-6.4504799999999971</v>
      </c>
      <c r="HY1012" s="281">
        <f>$HX$9+1*(bus_pitch*(n_rows_b&gt;0))*($HW$9*n_SA_b+$HU$11&lt;pax_b)</f>
        <v>6.5</v>
      </c>
      <c r="HZ1012" s="281">
        <f>$HV$11+seat_w_b*($HW$9*n_SA_b+$HU$11&lt;pax_b)</f>
        <v>-1.84</v>
      </c>
      <c r="IA1012" s="281">
        <f t="shared" si="147"/>
        <v>-11.310479999999998</v>
      </c>
    </row>
    <row r="1013" spans="65:235" x14ac:dyDescent="0.25">
      <c r="BM1013" s="281">
        <f>$AZ$10+0.8*(seat_pitch)*($AY$10*n_SA+$AW$7&lt;pax_e)</f>
        <v>11.198</v>
      </c>
      <c r="BN1013" s="281">
        <f>$AX$7+seat_w*($AY$10*n_SA+$AW$7&lt;pax_e)</f>
        <v>-0.25</v>
      </c>
      <c r="BO1013" s="281">
        <f t="shared" si="146"/>
        <v>-6.6124799999999979</v>
      </c>
      <c r="HY1013" s="281">
        <f>$HX$9+0.8*(bus_pitch*(n_rows_b&gt;0))*($HW$9*n_SA_b+$HU$11&lt;pax_b)</f>
        <v>6.5</v>
      </c>
      <c r="HZ1013" s="281">
        <f>$HV$11+seat_w_b*($HW$9*n_SA_b+$HU$11&lt;pax_b)</f>
        <v>-1.84</v>
      </c>
      <c r="IA1013" s="281">
        <f t="shared" si="147"/>
        <v>-11.310479999999998</v>
      </c>
    </row>
    <row r="1014" spans="65:235" x14ac:dyDescent="0.25">
      <c r="BM1014" s="281">
        <f>$AZ$10+0.8*(seat_pitch)*($AY$10*n_SA+$AW$7&lt;pax_e)</f>
        <v>11.198</v>
      </c>
      <c r="BN1014" s="281">
        <f>$AX$7</f>
        <v>-0.78</v>
      </c>
      <c r="BO1014" s="281">
        <f t="shared" si="146"/>
        <v>-6.6124799999999979</v>
      </c>
      <c r="HY1014" s="281">
        <f>$HX$9+0.8*(bus_pitch*(n_rows_b&gt;0))*($HW$9*n_SA_b+$HU$11&lt;pax_b)</f>
        <v>6.5</v>
      </c>
      <c r="HZ1014" s="281">
        <f>$HV$11</f>
        <v>-1.84</v>
      </c>
      <c r="IA1014" s="281">
        <f t="shared" si="147"/>
        <v>-11.310479999999998</v>
      </c>
    </row>
    <row r="1015" spans="65:235" x14ac:dyDescent="0.25">
      <c r="BM1015" s="281">
        <f>$AZ$10+0.2*(seat_pitch)*($AY$10*n_SA+$AW$7&lt;pax_e)</f>
        <v>10.712000000000002</v>
      </c>
      <c r="BN1015" s="281">
        <f>$AX$7</f>
        <v>-0.78</v>
      </c>
      <c r="BO1015" s="281">
        <f t="shared" si="146"/>
        <v>-7.0984799999999968</v>
      </c>
      <c r="HY1015" s="281">
        <f>$HX$9+0.2*(bus_pitch*(n_rows_b&gt;0))*($HW$9*n_SA_b+$HU$11&lt;pax_b)</f>
        <v>6.5</v>
      </c>
      <c r="HZ1015" s="281">
        <f>$HV$11</f>
        <v>-1.84</v>
      </c>
      <c r="IA1015" s="281">
        <f t="shared" si="147"/>
        <v>-11.310479999999998</v>
      </c>
    </row>
    <row r="1016" spans="65:235" x14ac:dyDescent="0.25">
      <c r="BM1016" s="281">
        <f>$AZ$10+(seat_pitch)</f>
        <v>11.360000000000001</v>
      </c>
      <c r="BN1016" s="281">
        <f>$AX$7</f>
        <v>-0.78</v>
      </c>
      <c r="BO1016" s="281">
        <f t="shared" si="146"/>
        <v>-6.4504799999999971</v>
      </c>
      <c r="HY1016" s="281">
        <f>$HX$9+(bus_pitch*(n_rows_b&gt;0))</f>
        <v>6.5</v>
      </c>
      <c r="HZ1016" s="281">
        <f>$HV$11</f>
        <v>-1.84</v>
      </c>
      <c r="IA1016" s="281">
        <f t="shared" si="147"/>
        <v>-11.310479999999998</v>
      </c>
    </row>
    <row r="1017" spans="65:235" x14ac:dyDescent="0.25">
      <c r="BM1017" s="281">
        <f>$AZ$11+0.2*(seat_pitch)*($AY$11*n_SA+$AW$7&lt;pax_e)</f>
        <v>11.522</v>
      </c>
      <c r="BN1017" s="281">
        <f>$AX$7</f>
        <v>-0.78</v>
      </c>
      <c r="BO1017" s="281">
        <f t="shared" si="146"/>
        <v>-6.2884799999999981</v>
      </c>
      <c r="HY1017" s="281">
        <f>$HX$10+0.2*(bus_pitch*(n_rows_b&gt;0))*($HW$10*n_SA_b+$HU$11&lt;pax_b)</f>
        <v>6.5</v>
      </c>
      <c r="HZ1017" s="281">
        <f>$HV$11</f>
        <v>-1.84</v>
      </c>
      <c r="IA1017" s="281">
        <f t="shared" si="147"/>
        <v>-11.310479999999998</v>
      </c>
    </row>
    <row r="1018" spans="65:235" x14ac:dyDescent="0.25">
      <c r="BM1018" s="281">
        <f>$AZ$11+0.2*(seat_pitch)*($AY$11*n_SA+$AW$7&lt;pax_e)</f>
        <v>11.522</v>
      </c>
      <c r="BN1018" s="281">
        <f>$AX$7+seat_w*($AY$11*n_SA+$AW$7&lt;pax_e)</f>
        <v>-0.25</v>
      </c>
      <c r="BO1018" s="281">
        <f t="shared" si="146"/>
        <v>-6.2884799999999981</v>
      </c>
      <c r="HY1018" s="281">
        <f>$HX$10+0.2*(bus_pitch*(n_rows_b&gt;0))*($HW$10*n_SA_b+$HU$11&lt;pax_b)</f>
        <v>6.5</v>
      </c>
      <c r="HZ1018" s="281">
        <f>$HV$11+seat_w_b*($HW$10*n_SA_b+$HU$11&lt;pax_b)</f>
        <v>-1.84</v>
      </c>
      <c r="IA1018" s="281">
        <f t="shared" si="147"/>
        <v>-11.310479999999998</v>
      </c>
    </row>
    <row r="1019" spans="65:235" x14ac:dyDescent="0.25">
      <c r="BM1019" s="281">
        <f>$AZ$11</f>
        <v>11.36</v>
      </c>
      <c r="BN1019" s="281">
        <f>$AX$7+seat_w*($AY$11*n_SA+$AW$7&lt;pax_e)</f>
        <v>-0.25</v>
      </c>
      <c r="BO1019" s="281">
        <f t="shared" si="146"/>
        <v>-6.4504799999999989</v>
      </c>
      <c r="HY1019" s="281">
        <f>$HX$10</f>
        <v>6.5</v>
      </c>
      <c r="HZ1019" s="281">
        <f>$HV$11+seat_w_b*($HW$10*n_SA_b+$HU$11&lt;pax_b)</f>
        <v>-1.84</v>
      </c>
      <c r="IA1019" s="281">
        <f t="shared" si="147"/>
        <v>-11.310479999999998</v>
      </c>
    </row>
    <row r="1020" spans="65:235" x14ac:dyDescent="0.25">
      <c r="BM1020" s="281">
        <f>$AZ$11+1*(seat_pitch)*($AY$11*n_SA+$AW$7&lt;pax_e)</f>
        <v>12.17</v>
      </c>
      <c r="BN1020" s="281">
        <f>$AX$7+seat_w*($AY$11*n_SA+$AW$7&lt;pax_e)</f>
        <v>-0.25</v>
      </c>
      <c r="BO1020" s="281">
        <f t="shared" si="146"/>
        <v>-5.6404799999999984</v>
      </c>
      <c r="HY1020" s="281">
        <f>$HX$10+1*(bus_pitch*(n_rows_b&gt;0))*($HW$10*n_SA_b+$HU$11&lt;pax_b)</f>
        <v>6.5</v>
      </c>
      <c r="HZ1020" s="281">
        <f>$HV$11+seat_w_b*($HW$10*n_SA_b+$HU$11&lt;pax_b)</f>
        <v>-1.84</v>
      </c>
      <c r="IA1020" s="281">
        <f t="shared" si="147"/>
        <v>-11.310479999999998</v>
      </c>
    </row>
    <row r="1021" spans="65:235" x14ac:dyDescent="0.25">
      <c r="BM1021" s="281">
        <f>$AZ$11+0.8*(seat_pitch)*($AY$11*n_SA+$AW$7&lt;pax_e)</f>
        <v>12.007999999999999</v>
      </c>
      <c r="BN1021" s="281">
        <f>$AX$7+seat_w*($AY$11*n_SA+$AW$7&lt;pax_e)</f>
        <v>-0.25</v>
      </c>
      <c r="BO1021" s="281">
        <f t="shared" si="146"/>
        <v>-5.8024799999999992</v>
      </c>
      <c r="HY1021" s="281">
        <f>$HX$10+0.8*(bus_pitch*(n_rows_b&gt;0))*($HW$10*n_SA_b+$HU$11&lt;pax_b)</f>
        <v>6.5</v>
      </c>
      <c r="HZ1021" s="281">
        <f>$HV$11+seat_w_b*($HW$10*n_SA_b+$HU$11&lt;pax_b)</f>
        <v>-1.84</v>
      </c>
      <c r="IA1021" s="281">
        <f t="shared" si="147"/>
        <v>-11.310479999999998</v>
      </c>
    </row>
    <row r="1022" spans="65:235" x14ac:dyDescent="0.25">
      <c r="BM1022" s="281">
        <f>$AZ$11+0.8*(seat_pitch)*($AY$11*n_SA+$AW$7&lt;pax_e)</f>
        <v>12.007999999999999</v>
      </c>
      <c r="BN1022" s="281">
        <f>$AX$7</f>
        <v>-0.78</v>
      </c>
      <c r="BO1022" s="281">
        <f t="shared" si="146"/>
        <v>-5.8024799999999992</v>
      </c>
      <c r="HY1022" s="281">
        <f>$HX$10+0.8*(bus_pitch*(n_rows_b&gt;0))*($HW$10*n_SA_b+$HU$11&lt;pax_b)</f>
        <v>6.5</v>
      </c>
      <c r="HZ1022" s="281">
        <f>$HV$11</f>
        <v>-1.84</v>
      </c>
      <c r="IA1022" s="281">
        <f t="shared" si="147"/>
        <v>-11.310479999999998</v>
      </c>
    </row>
    <row r="1023" spans="65:235" x14ac:dyDescent="0.25">
      <c r="BM1023" s="281">
        <f>$AZ$11+0.2*(seat_pitch)*($AY$11*n_SA+$AW$7&lt;pax_e)</f>
        <v>11.522</v>
      </c>
      <c r="BN1023" s="281">
        <f>$AX$7</f>
        <v>-0.78</v>
      </c>
      <c r="BO1023" s="281">
        <f t="shared" si="146"/>
        <v>-6.2884799999999981</v>
      </c>
      <c r="HY1023" s="281">
        <f>$HX$10+0.2*(bus_pitch*(n_rows_b&gt;0))*($HW$10*n_SA_b+$HU$11&lt;pax_b)</f>
        <v>6.5</v>
      </c>
      <c r="HZ1023" s="281">
        <f>$HV$11</f>
        <v>-1.84</v>
      </c>
      <c r="IA1023" s="281">
        <f t="shared" si="147"/>
        <v>-11.310479999999998</v>
      </c>
    </row>
    <row r="1024" spans="65:235" x14ac:dyDescent="0.25">
      <c r="BM1024" s="281">
        <f>$AZ$11+(seat_pitch)</f>
        <v>12.17</v>
      </c>
      <c r="BN1024" s="281">
        <f>$AX$7</f>
        <v>-0.78</v>
      </c>
      <c r="BO1024" s="281">
        <f t="shared" si="146"/>
        <v>-5.6404799999999984</v>
      </c>
      <c r="HY1024" s="281">
        <f>$HX$10+(bus_pitch*(n_rows_b&gt;0))</f>
        <v>6.5</v>
      </c>
      <c r="HZ1024" s="281">
        <f>$HV$11</f>
        <v>-1.84</v>
      </c>
      <c r="IA1024" s="281">
        <f t="shared" si="147"/>
        <v>-11.310479999999998</v>
      </c>
    </row>
    <row r="1025" spans="65:235" x14ac:dyDescent="0.25">
      <c r="BM1025" s="281">
        <f>$AZ$12+0.2*(seat_pitch)*($AY$12*n_SA+$AW$7&lt;pax_e)</f>
        <v>12.332000000000001</v>
      </c>
      <c r="BN1025" s="281">
        <f>$AX$7</f>
        <v>-0.78</v>
      </c>
      <c r="BO1025" s="281">
        <f t="shared" si="146"/>
        <v>-5.4784799999999976</v>
      </c>
      <c r="HY1025" s="281">
        <f>$HX$11+0.2*(bus_pitch*(n_rows_b&gt;0))*($HW$11*n_SA_b+$HU$11&lt;pax_b)</f>
        <v>6.5</v>
      </c>
      <c r="HZ1025" s="281">
        <f>$HV$11</f>
        <v>-1.84</v>
      </c>
      <c r="IA1025" s="281">
        <f t="shared" si="147"/>
        <v>-11.310479999999998</v>
      </c>
    </row>
    <row r="1026" spans="65:235" x14ac:dyDescent="0.25">
      <c r="BM1026" s="281">
        <f>$AZ$12+0.2*(seat_pitch)*($AY$12*n_SA+$AW$7&lt;pax_e)</f>
        <v>12.332000000000001</v>
      </c>
      <c r="BN1026" s="281">
        <f>$AX$7+seat_w*($AY$12*n_SA+$AW$7&lt;pax_e)</f>
        <v>-0.25</v>
      </c>
      <c r="BO1026" s="281">
        <f t="shared" si="146"/>
        <v>-5.4784799999999976</v>
      </c>
      <c r="HY1026" s="281">
        <f>$HX$11+0.2*(bus_pitch*(n_rows_b&gt;0))*($HW$11*n_SA_b+$HU$11&lt;pax_b)</f>
        <v>6.5</v>
      </c>
      <c r="HZ1026" s="281">
        <f>$HV$11+seat_w_b*($HW$11*n_SA_b+$HU$11&lt;pax_b)</f>
        <v>-1.84</v>
      </c>
      <c r="IA1026" s="281">
        <f t="shared" si="147"/>
        <v>-11.310479999999998</v>
      </c>
    </row>
    <row r="1027" spans="65:235" x14ac:dyDescent="0.25">
      <c r="BM1027" s="281">
        <f>$AZ$12</f>
        <v>12.17</v>
      </c>
      <c r="BN1027" s="281">
        <f>$AX$7+seat_w*($AY$12*n_SA+$AW$7&lt;pax_e)</f>
        <v>-0.25</v>
      </c>
      <c r="BO1027" s="281">
        <f t="shared" si="146"/>
        <v>-5.6404799999999984</v>
      </c>
      <c r="HY1027" s="281">
        <f>$HX$11</f>
        <v>6.5</v>
      </c>
      <c r="HZ1027" s="281">
        <f>$HV$11+seat_w_b*($HW$11*n_SA_b+$HU$11&lt;pax_b)</f>
        <v>-1.84</v>
      </c>
      <c r="IA1027" s="281">
        <f t="shared" si="147"/>
        <v>-11.310479999999998</v>
      </c>
    </row>
    <row r="1028" spans="65:235" x14ac:dyDescent="0.25">
      <c r="BM1028" s="281">
        <f>$AZ$12+1*(seat_pitch)*($AY$12*n_SA+$AW$7&lt;pax_e)</f>
        <v>12.98</v>
      </c>
      <c r="BN1028" s="281">
        <f>$AX$7+seat_w*($AY$12*n_SA+$AW$7&lt;pax_e)</f>
        <v>-0.25</v>
      </c>
      <c r="BO1028" s="281">
        <f t="shared" si="146"/>
        <v>-4.8304799999999979</v>
      </c>
      <c r="HY1028" s="281">
        <f>$HX$11+1*(bus_pitch*(n_rows_b&gt;0))*($HW$11*n_SA_b+$HU$11&lt;pax_b)</f>
        <v>6.5</v>
      </c>
      <c r="HZ1028" s="281">
        <f>$HV$11+seat_w_b*($HW$11*n_SA_b+$HU$11&lt;pax_b)</f>
        <v>-1.84</v>
      </c>
      <c r="IA1028" s="281">
        <f t="shared" si="147"/>
        <v>-11.310479999999998</v>
      </c>
    </row>
    <row r="1029" spans="65:235" x14ac:dyDescent="0.25">
      <c r="BM1029" s="281">
        <f>$AZ$12+0.8*(seat_pitch)*($AY$12*n_SA+$AW$7&lt;pax_e)</f>
        <v>12.818</v>
      </c>
      <c r="BN1029" s="281">
        <f>$AX$7+seat_w*($AY$12*n_SA+$AW$7&lt;pax_e)</f>
        <v>-0.25</v>
      </c>
      <c r="BO1029" s="281">
        <f t="shared" ref="BO1029:BO1092" si="148">BM1029-L_fus/2</f>
        <v>-4.9924799999999987</v>
      </c>
      <c r="HY1029" s="281">
        <f>$HX$11+0.8*(bus_pitch*(n_rows_b&gt;0))*($HW$11*n_SA_b+$HU$11&lt;pax_b)</f>
        <v>6.5</v>
      </c>
      <c r="HZ1029" s="281">
        <f>$HV$11+seat_w_b*($HW$11*n_SA_b+$HU$11&lt;pax_b)</f>
        <v>-1.84</v>
      </c>
      <c r="IA1029" s="281">
        <f t="shared" ref="IA1029:IA1092" si="149">HY1029-L_fus/2</f>
        <v>-11.310479999999998</v>
      </c>
    </row>
    <row r="1030" spans="65:235" x14ac:dyDescent="0.25">
      <c r="BM1030" s="281">
        <f>$AZ$12+0.8*(seat_pitch)*($AY$12*n_SA+$AW$7&lt;pax_e)</f>
        <v>12.818</v>
      </c>
      <c r="BN1030" s="281">
        <f>$AX$7</f>
        <v>-0.78</v>
      </c>
      <c r="BO1030" s="281">
        <f t="shared" si="148"/>
        <v>-4.9924799999999987</v>
      </c>
      <c r="HY1030" s="281">
        <f>$HX$11+0.8*(bus_pitch*(n_rows_b&gt;0))*($HW$11*n_SA_b+$HU$11&lt;pax_b)</f>
        <v>6.5</v>
      </c>
      <c r="HZ1030" s="281">
        <f>$HV$11</f>
        <v>-1.84</v>
      </c>
      <c r="IA1030" s="281">
        <f t="shared" si="149"/>
        <v>-11.310479999999998</v>
      </c>
    </row>
    <row r="1031" spans="65:235" x14ac:dyDescent="0.25">
      <c r="BM1031" s="281">
        <f>$AZ$12+0.2*(seat_pitch)*($AY$12*n_SA+$AW$7&lt;pax_e)</f>
        <v>12.332000000000001</v>
      </c>
      <c r="BN1031" s="281">
        <f>$AX$7</f>
        <v>-0.78</v>
      </c>
      <c r="BO1031" s="281">
        <f t="shared" si="148"/>
        <v>-5.4784799999999976</v>
      </c>
      <c r="HY1031" s="281">
        <f>$HX$11+0.2*(bus_pitch*(n_rows_b&gt;0))*($HW$11*n_SA_b+$HU$11&lt;pax_b)</f>
        <v>6.5</v>
      </c>
      <c r="HZ1031" s="281">
        <f>$HV$11</f>
        <v>-1.84</v>
      </c>
      <c r="IA1031" s="281">
        <f t="shared" si="149"/>
        <v>-11.310479999999998</v>
      </c>
    </row>
    <row r="1032" spans="65:235" x14ac:dyDescent="0.25">
      <c r="BM1032" s="281">
        <f>$AZ$12+(seat_pitch)</f>
        <v>12.98</v>
      </c>
      <c r="BN1032" s="281">
        <f>$AX$7</f>
        <v>-0.78</v>
      </c>
      <c r="BO1032" s="281">
        <f t="shared" si="148"/>
        <v>-4.8304799999999979</v>
      </c>
      <c r="HY1032" s="281">
        <f>$HX$11+(bus_pitch*(n_rows_b&gt;0))</f>
        <v>6.5</v>
      </c>
      <c r="HZ1032" s="281">
        <f>$HV$11</f>
        <v>-1.84</v>
      </c>
      <c r="IA1032" s="281">
        <f t="shared" si="149"/>
        <v>-11.310479999999998</v>
      </c>
    </row>
    <row r="1033" spans="65:235" x14ac:dyDescent="0.25">
      <c r="BM1033" s="281">
        <f>$AZ$13+0.2*(seat_pitch)*($AY$13*n_SA+$AW$7&lt;pax_e)</f>
        <v>13.142000000000001</v>
      </c>
      <c r="BN1033" s="281">
        <f>$AX$7</f>
        <v>-0.78</v>
      </c>
      <c r="BO1033" s="281">
        <f t="shared" si="148"/>
        <v>-4.6684799999999971</v>
      </c>
      <c r="HY1033" s="281">
        <f>$HX$12+0.2*(bus_pitch*(n_rows_b&gt;0))*($HW$12*n_SA_b+$HU$11&lt;pax_b)</f>
        <v>6.5</v>
      </c>
      <c r="HZ1033" s="281">
        <f>$HV$11</f>
        <v>-1.84</v>
      </c>
      <c r="IA1033" s="281">
        <f t="shared" si="149"/>
        <v>-11.310479999999998</v>
      </c>
    </row>
    <row r="1034" spans="65:235" x14ac:dyDescent="0.25">
      <c r="BM1034" s="281">
        <f>$AZ$13+0.2*(seat_pitch)*($AY$13*n_SA+$AW$7&lt;pax_e)</f>
        <v>13.142000000000001</v>
      </c>
      <c r="BN1034" s="281">
        <f>$AX$7+seat_w*($AY$13*n_SA+$AW$7&lt;pax_e)</f>
        <v>-0.25</v>
      </c>
      <c r="BO1034" s="281">
        <f t="shared" si="148"/>
        <v>-4.6684799999999971</v>
      </c>
      <c r="HY1034" s="281">
        <f>$HX$12+0.2*(bus_pitch*(n_rows_b&gt;0))*($HW$12*n_SA_b+$HU$11&lt;pax_b)</f>
        <v>6.5</v>
      </c>
      <c r="HZ1034" s="281">
        <f>$HV$11+seat_w_b*($HW$12*n_SA_b+$HU$11&lt;pax_b)</f>
        <v>-1.84</v>
      </c>
      <c r="IA1034" s="281">
        <f t="shared" si="149"/>
        <v>-11.310479999999998</v>
      </c>
    </row>
    <row r="1035" spans="65:235" x14ac:dyDescent="0.25">
      <c r="BM1035" s="281">
        <f>$AZ$13</f>
        <v>12.98</v>
      </c>
      <c r="BN1035" s="281">
        <f>$AX$7+seat_w*($AY$13*n_SA+$AW$7&lt;pax_e)</f>
        <v>-0.25</v>
      </c>
      <c r="BO1035" s="281">
        <f t="shared" si="148"/>
        <v>-4.8304799999999979</v>
      </c>
      <c r="HY1035" s="281">
        <f>$HX$12</f>
        <v>6.5</v>
      </c>
      <c r="HZ1035" s="281">
        <f>$HV$11+seat_w_b*($HW$12*n_SA_b+$HU$11&lt;pax_b)</f>
        <v>-1.84</v>
      </c>
      <c r="IA1035" s="281">
        <f t="shared" si="149"/>
        <v>-11.310479999999998</v>
      </c>
    </row>
    <row r="1036" spans="65:235" x14ac:dyDescent="0.25">
      <c r="BM1036" s="281">
        <f>$AZ$13+1*(seat_pitch)*($AY$13*n_SA+$AW$7&lt;pax_e)</f>
        <v>13.790000000000001</v>
      </c>
      <c r="BN1036" s="281">
        <f>$AX$7+seat_w*($AY$13*n_SA+$AW$7&lt;pax_e)</f>
        <v>-0.25</v>
      </c>
      <c r="BO1036" s="281">
        <f t="shared" si="148"/>
        <v>-4.0204799999999974</v>
      </c>
      <c r="HY1036" s="281">
        <f>$HX$12+1*(bus_pitch*(n_rows_b&gt;0))*($HW$12*n_SA_b+$HU$11&lt;pax_b)</f>
        <v>6.5</v>
      </c>
      <c r="HZ1036" s="281">
        <f>$HV$11+seat_w_b*($HW$12*n_SA_b+$HU$11&lt;pax_b)</f>
        <v>-1.84</v>
      </c>
      <c r="IA1036" s="281">
        <f t="shared" si="149"/>
        <v>-11.310479999999998</v>
      </c>
    </row>
    <row r="1037" spans="65:235" x14ac:dyDescent="0.25">
      <c r="BM1037" s="281">
        <f>$AZ$13+0.8*(seat_pitch)*($AY$13*n_SA+$AW$7&lt;pax_e)</f>
        <v>13.628</v>
      </c>
      <c r="BN1037" s="281">
        <f>$AX$7+seat_w*($AY$13*n_SA+$AW$7&lt;pax_e)</f>
        <v>-0.25</v>
      </c>
      <c r="BO1037" s="281">
        <f t="shared" si="148"/>
        <v>-4.1824799999999982</v>
      </c>
      <c r="HY1037" s="281">
        <f>$HX$12+0.8*(bus_pitch*(n_rows_b&gt;0))*($HW$12*n_SA_b+$HU$11&lt;pax_b)</f>
        <v>6.5</v>
      </c>
      <c r="HZ1037" s="281">
        <f>$HV$11+seat_w_b*($HW$12*n_SA_b+$HU$11&lt;pax_b)</f>
        <v>-1.84</v>
      </c>
      <c r="IA1037" s="281">
        <f t="shared" si="149"/>
        <v>-11.310479999999998</v>
      </c>
    </row>
    <row r="1038" spans="65:235" x14ac:dyDescent="0.25">
      <c r="BM1038" s="281">
        <f>$AZ$13+0.8*(seat_pitch)*($AY$13*n_SA+$AW$7&lt;pax_e)</f>
        <v>13.628</v>
      </c>
      <c r="BN1038" s="281">
        <f>$AX$7</f>
        <v>-0.78</v>
      </c>
      <c r="BO1038" s="281">
        <f t="shared" si="148"/>
        <v>-4.1824799999999982</v>
      </c>
      <c r="HY1038" s="281">
        <f>$HX$12+0.8*(bus_pitch*(n_rows_b&gt;0))*($HW$12*n_SA_b+$HU$11&lt;pax_b)</f>
        <v>6.5</v>
      </c>
      <c r="HZ1038" s="281">
        <f>$HV$11</f>
        <v>-1.84</v>
      </c>
      <c r="IA1038" s="281">
        <f t="shared" si="149"/>
        <v>-11.310479999999998</v>
      </c>
    </row>
    <row r="1039" spans="65:235" x14ac:dyDescent="0.25">
      <c r="BM1039" s="281">
        <f>$AZ$13+0.2*(seat_pitch)*($AY$13*n_SA+$AW$7&lt;pax_e)</f>
        <v>13.142000000000001</v>
      </c>
      <c r="BN1039" s="281">
        <f>$AX$7</f>
        <v>-0.78</v>
      </c>
      <c r="BO1039" s="281">
        <f t="shared" si="148"/>
        <v>-4.6684799999999971</v>
      </c>
      <c r="HY1039" s="281">
        <f>$HX$12+0.2*(bus_pitch*(n_rows_b&gt;0))*($HW$12*n_SA_b+$HU$11&lt;pax_b)</f>
        <v>6.5</v>
      </c>
      <c r="HZ1039" s="281">
        <f>$HV$11</f>
        <v>-1.84</v>
      </c>
      <c r="IA1039" s="281">
        <f t="shared" si="149"/>
        <v>-11.310479999999998</v>
      </c>
    </row>
    <row r="1040" spans="65:235" x14ac:dyDescent="0.25">
      <c r="BM1040" s="281">
        <f>$AZ$13+(seat_pitch)</f>
        <v>13.790000000000001</v>
      </c>
      <c r="BN1040" s="281">
        <f>$AX$7</f>
        <v>-0.78</v>
      </c>
      <c r="BO1040" s="281">
        <f t="shared" si="148"/>
        <v>-4.0204799999999974</v>
      </c>
      <c r="HY1040" s="281">
        <f>$HX$12+(bus_pitch*(n_rows_b&gt;0))</f>
        <v>6.5</v>
      </c>
      <c r="HZ1040" s="281">
        <f>$HV$11</f>
        <v>-1.84</v>
      </c>
      <c r="IA1040" s="281">
        <f t="shared" si="149"/>
        <v>-11.310479999999998</v>
      </c>
    </row>
    <row r="1041" spans="65:235" x14ac:dyDescent="0.25">
      <c r="BM1041" s="281">
        <f>$AZ$14+0.2*(seat_pitch)*($AY$14*n_SA+$AW$7&lt;pax_e)</f>
        <v>13.952000000000002</v>
      </c>
      <c r="BN1041" s="281">
        <f>$AX$7</f>
        <v>-0.78</v>
      </c>
      <c r="BO1041" s="281">
        <f t="shared" si="148"/>
        <v>-3.8584799999999966</v>
      </c>
      <c r="HY1041" s="281">
        <f>$HX$13+0.2*(bus_pitch*(n_rows_b&gt;0))*($HW$13*n_SA_b+$HU$11&lt;pax_b)</f>
        <v>6.5</v>
      </c>
      <c r="HZ1041" s="281">
        <f>$HV$11</f>
        <v>-1.84</v>
      </c>
      <c r="IA1041" s="281">
        <f t="shared" si="149"/>
        <v>-11.310479999999998</v>
      </c>
    </row>
    <row r="1042" spans="65:235" x14ac:dyDescent="0.25">
      <c r="BM1042" s="281">
        <f>$AZ$14+0.2*(seat_pitch)*($AY$14*n_SA+$AW$7&lt;pax_e)</f>
        <v>13.952000000000002</v>
      </c>
      <c r="BN1042" s="281">
        <f>$AX$7+seat_w*($AY$14*n_SA+$AW$7&lt;pax_e)</f>
        <v>-0.25</v>
      </c>
      <c r="BO1042" s="281">
        <f t="shared" si="148"/>
        <v>-3.8584799999999966</v>
      </c>
      <c r="HY1042" s="281">
        <f>$HX$13+0.2*(bus_pitch*(n_rows_b&gt;0))*($HW$13*n_SA_b+$HU$11&lt;pax_b)</f>
        <v>6.5</v>
      </c>
      <c r="HZ1042" s="281">
        <f>$HV$11+seat_w_b*($HW$13*n_SA_b+$HU$11&lt;pax_b)</f>
        <v>-1.84</v>
      </c>
      <c r="IA1042" s="281">
        <f t="shared" si="149"/>
        <v>-11.310479999999998</v>
      </c>
    </row>
    <row r="1043" spans="65:235" x14ac:dyDescent="0.25">
      <c r="BM1043" s="281">
        <f>$AZ$14</f>
        <v>13.790000000000001</v>
      </c>
      <c r="BN1043" s="281">
        <f>$AX$7+seat_w*($AY$14*n_SA+$AW$7&lt;pax_e)</f>
        <v>-0.25</v>
      </c>
      <c r="BO1043" s="281">
        <f t="shared" si="148"/>
        <v>-4.0204799999999974</v>
      </c>
      <c r="HY1043" s="281">
        <f>$HX$13</f>
        <v>6.5</v>
      </c>
      <c r="HZ1043" s="281">
        <f>$HV$11+seat_w_b*($HW$13*n_SA_b+$HU$11&lt;pax_b)</f>
        <v>-1.84</v>
      </c>
      <c r="IA1043" s="281">
        <f t="shared" si="149"/>
        <v>-11.310479999999998</v>
      </c>
    </row>
    <row r="1044" spans="65:235" x14ac:dyDescent="0.25">
      <c r="BM1044" s="281">
        <f>$AZ$14+1*(seat_pitch)*($AY$14*n_SA+$AW$7&lt;pax_e)</f>
        <v>14.600000000000001</v>
      </c>
      <c r="BN1044" s="281">
        <f>$AX$7+seat_w*($AY$14*n_SA+$AW$7&lt;pax_e)</f>
        <v>-0.25</v>
      </c>
      <c r="BO1044" s="281">
        <f t="shared" si="148"/>
        <v>-3.2104799999999969</v>
      </c>
      <c r="HY1044" s="281">
        <f>$HX$13+1*(bus_pitch*(n_rows_b&gt;0))*($HW$13*n_SA_b+$HU$11&lt;pax_b)</f>
        <v>6.5</v>
      </c>
      <c r="HZ1044" s="281">
        <f>$HV$11+seat_w_b*($HW$13*n_SA_b+$HU$11&lt;pax_b)</f>
        <v>-1.84</v>
      </c>
      <c r="IA1044" s="281">
        <f t="shared" si="149"/>
        <v>-11.310479999999998</v>
      </c>
    </row>
    <row r="1045" spans="65:235" x14ac:dyDescent="0.25">
      <c r="BM1045" s="281">
        <f>$AZ$14+0.8*(seat_pitch)*($AY$14*n_SA+$AW$7&lt;pax_e)</f>
        <v>14.438000000000001</v>
      </c>
      <c r="BN1045" s="281">
        <f>$AX$7+seat_w*($AY$14*n_SA+$AW$7&lt;pax_e)</f>
        <v>-0.25</v>
      </c>
      <c r="BO1045" s="281">
        <f t="shared" si="148"/>
        <v>-3.3724799999999977</v>
      </c>
      <c r="HY1045" s="281">
        <f>$HX$13+0.8*(bus_pitch*(n_rows_b&gt;0))*($HW$13*n_SA_b+$HU$11&lt;pax_b)</f>
        <v>6.5</v>
      </c>
      <c r="HZ1045" s="281">
        <f>$HV$11+seat_w_b*($HW$13*n_SA_b+$HU$11&lt;pax_b)</f>
        <v>-1.84</v>
      </c>
      <c r="IA1045" s="281">
        <f t="shared" si="149"/>
        <v>-11.310479999999998</v>
      </c>
    </row>
    <row r="1046" spans="65:235" x14ac:dyDescent="0.25">
      <c r="BM1046" s="281">
        <f>$AZ$14+0.8*(seat_pitch)*($AY$14*n_SA+$AW$7&lt;pax_e)</f>
        <v>14.438000000000001</v>
      </c>
      <c r="BN1046" s="281">
        <f>$AX$7</f>
        <v>-0.78</v>
      </c>
      <c r="BO1046" s="281">
        <f t="shared" si="148"/>
        <v>-3.3724799999999977</v>
      </c>
      <c r="HY1046" s="281">
        <f>$HX$13+0.8*(bus_pitch*(n_rows_b&gt;0))*($HW$13*n_SA_b+$HU$11&lt;pax_b)</f>
        <v>6.5</v>
      </c>
      <c r="HZ1046" s="281">
        <f>$HV$11</f>
        <v>-1.84</v>
      </c>
      <c r="IA1046" s="281">
        <f t="shared" si="149"/>
        <v>-11.310479999999998</v>
      </c>
    </row>
    <row r="1047" spans="65:235" x14ac:dyDescent="0.25">
      <c r="BM1047" s="281">
        <f>$AZ$14+0.2*(seat_pitch)*($AY$14*n_SA+$AW$7&lt;pax_e)</f>
        <v>13.952000000000002</v>
      </c>
      <c r="BN1047" s="281">
        <f>$AX$7</f>
        <v>-0.78</v>
      </c>
      <c r="BO1047" s="281">
        <f t="shared" si="148"/>
        <v>-3.8584799999999966</v>
      </c>
      <c r="HY1047" s="281">
        <f>$HX$13+0.2*(bus_pitch*(n_rows_b&gt;0))*($HW$13*n_SA_b+$HU$11&lt;pax_b)</f>
        <v>6.5</v>
      </c>
      <c r="HZ1047" s="281">
        <f>$HV$11</f>
        <v>-1.84</v>
      </c>
      <c r="IA1047" s="281">
        <f t="shared" si="149"/>
        <v>-11.310479999999998</v>
      </c>
    </row>
    <row r="1048" spans="65:235" x14ac:dyDescent="0.25">
      <c r="BM1048" s="281">
        <f>$AZ$14+(seat_pitch)</f>
        <v>14.600000000000001</v>
      </c>
      <c r="BN1048" s="281">
        <f>$AX$7</f>
        <v>-0.78</v>
      </c>
      <c r="BO1048" s="281">
        <f t="shared" si="148"/>
        <v>-3.2104799999999969</v>
      </c>
      <c r="HY1048" s="281">
        <f>$HX$13+(bus_pitch*(n_rows_b&gt;0))</f>
        <v>6.5</v>
      </c>
      <c r="HZ1048" s="281">
        <f>$HV$11</f>
        <v>-1.84</v>
      </c>
      <c r="IA1048" s="281">
        <f t="shared" si="149"/>
        <v>-11.310479999999998</v>
      </c>
    </row>
    <row r="1049" spans="65:235" x14ac:dyDescent="0.25">
      <c r="BM1049" s="281">
        <f>$AZ$15+0.2*(seat_pitch)*($AY$15*n_SA+$AW$7&lt;pax_e)</f>
        <v>14.762000000000002</v>
      </c>
      <c r="BN1049" s="281">
        <f>$AX$7</f>
        <v>-0.78</v>
      </c>
      <c r="BO1049" s="281">
        <f t="shared" si="148"/>
        <v>-3.0484799999999961</v>
      </c>
      <c r="HY1049" s="281">
        <f>$HX$14+0.2*(bus_pitch*(n_rows_b&gt;0))*($HW$14*n_SA_b+$HU$11&lt;pax_b)</f>
        <v>6.5</v>
      </c>
      <c r="HZ1049" s="281">
        <f>$HV$11</f>
        <v>-1.84</v>
      </c>
      <c r="IA1049" s="281">
        <f t="shared" si="149"/>
        <v>-11.310479999999998</v>
      </c>
    </row>
    <row r="1050" spans="65:235" x14ac:dyDescent="0.25">
      <c r="BM1050" s="281">
        <f>$AZ$15+0.2*(seat_pitch)*($AY$15*n_SA+$AW$7&lt;pax_e)</f>
        <v>14.762000000000002</v>
      </c>
      <c r="BN1050" s="281">
        <f>$AX$7+seat_w*($AY$15*n_SA+$AW$7&lt;pax_e)</f>
        <v>-0.25</v>
      </c>
      <c r="BO1050" s="281">
        <f t="shared" si="148"/>
        <v>-3.0484799999999961</v>
      </c>
      <c r="HY1050" s="281">
        <f>$HX$14+0.2*(bus_pitch*(n_rows_b&gt;0))*($HW$14*n_SA_b+$HU$11&lt;pax_b)</f>
        <v>6.5</v>
      </c>
      <c r="HZ1050" s="281">
        <f>$HV$11+seat_w_b*($HW$14*n_SA_b+$HU$11&lt;pax_b)</f>
        <v>-1.84</v>
      </c>
      <c r="IA1050" s="281">
        <f t="shared" si="149"/>
        <v>-11.310479999999998</v>
      </c>
    </row>
    <row r="1051" spans="65:235" x14ac:dyDescent="0.25">
      <c r="BM1051" s="281">
        <f>$AZ$15</f>
        <v>14.600000000000001</v>
      </c>
      <c r="BN1051" s="281">
        <f>$AX$7+seat_w*($AY$15*n_SA+$AW$7&lt;pax_e)</f>
        <v>-0.25</v>
      </c>
      <c r="BO1051" s="281">
        <f t="shared" si="148"/>
        <v>-3.2104799999999969</v>
      </c>
      <c r="HY1051" s="281">
        <f>$HX$14</f>
        <v>6.5</v>
      </c>
      <c r="HZ1051" s="281">
        <f>$HV$11+seat_w_b*($HW$14*n_SA_b+$HU$11&lt;pax_b)</f>
        <v>-1.84</v>
      </c>
      <c r="IA1051" s="281">
        <f t="shared" si="149"/>
        <v>-11.310479999999998</v>
      </c>
    </row>
    <row r="1052" spans="65:235" x14ac:dyDescent="0.25">
      <c r="BM1052" s="281">
        <f>$AZ$15+1*(seat_pitch)*($AY$15*n_SA+$AW$7&lt;pax_e)</f>
        <v>15.410000000000002</v>
      </c>
      <c r="BN1052" s="281">
        <f>$AX$7+seat_w*($AY$15*n_SA+$AW$7&lt;pax_e)</f>
        <v>-0.25</v>
      </c>
      <c r="BO1052" s="281">
        <f t="shared" si="148"/>
        <v>-2.4004799999999964</v>
      </c>
      <c r="HY1052" s="281">
        <f>$HX$14+1*(bus_pitch*(n_rows_b&gt;0))*($HW$14*n_SA_b+$HU$11&lt;pax_b)</f>
        <v>6.5</v>
      </c>
      <c r="HZ1052" s="281">
        <f>$HV$11+seat_w_b*($HW$14*n_SA_b+$HU$11&lt;pax_b)</f>
        <v>-1.84</v>
      </c>
      <c r="IA1052" s="281">
        <f t="shared" si="149"/>
        <v>-11.310479999999998</v>
      </c>
    </row>
    <row r="1053" spans="65:235" x14ac:dyDescent="0.25">
      <c r="BM1053" s="281">
        <f>$AZ$15+0.8*(seat_pitch)*($AY$15*n_SA+$AW$7&lt;pax_e)</f>
        <v>15.248000000000001</v>
      </c>
      <c r="BN1053" s="281">
        <f>$AX$7+seat_w*($AY$15*n_SA+$AW$7&lt;pax_e)</f>
        <v>-0.25</v>
      </c>
      <c r="BO1053" s="281">
        <f t="shared" si="148"/>
        <v>-2.5624799999999972</v>
      </c>
      <c r="HY1053" s="281">
        <f>$HX$14+0.8*(bus_pitch*(n_rows_b&gt;0))*($HW$14*n_SA_b+$HU$11&lt;pax_b)</f>
        <v>6.5</v>
      </c>
      <c r="HZ1053" s="281">
        <f>$HV$11+seat_w_b*($HW$14*n_SA_b+$HU$11&lt;pax_b)</f>
        <v>-1.84</v>
      </c>
      <c r="IA1053" s="281">
        <f t="shared" si="149"/>
        <v>-11.310479999999998</v>
      </c>
    </row>
    <row r="1054" spans="65:235" x14ac:dyDescent="0.25">
      <c r="BM1054" s="281">
        <f>$AZ$15+0.8*(seat_pitch)*($AY$15*n_SA+$AW$7&lt;pax_e)</f>
        <v>15.248000000000001</v>
      </c>
      <c r="BN1054" s="281">
        <f>$AX$7</f>
        <v>-0.78</v>
      </c>
      <c r="BO1054" s="281">
        <f t="shared" si="148"/>
        <v>-2.5624799999999972</v>
      </c>
      <c r="HY1054" s="281">
        <f>$HX$14+0.8*(bus_pitch*(n_rows_b&gt;0))*($HW$14*n_SA_b+$HU$11&lt;pax_b)</f>
        <v>6.5</v>
      </c>
      <c r="HZ1054" s="281">
        <f>$HV$11</f>
        <v>-1.84</v>
      </c>
      <c r="IA1054" s="281">
        <f t="shared" si="149"/>
        <v>-11.310479999999998</v>
      </c>
    </row>
    <row r="1055" spans="65:235" x14ac:dyDescent="0.25">
      <c r="BM1055" s="281">
        <f>$AZ$15+0.2*(seat_pitch)*($AY$15*n_SA+$AW$7&lt;pax_e)</f>
        <v>14.762000000000002</v>
      </c>
      <c r="BN1055" s="281">
        <f>$AX$7</f>
        <v>-0.78</v>
      </c>
      <c r="BO1055" s="281">
        <f t="shared" si="148"/>
        <v>-3.0484799999999961</v>
      </c>
      <c r="HY1055" s="281">
        <f>$HX$14+0.2*(bus_pitch*(n_rows_b&gt;0))*($HW$14*n_SA_b+$HU$11&lt;pax_b)</f>
        <v>6.5</v>
      </c>
      <c r="HZ1055" s="281">
        <f>$HV$11</f>
        <v>-1.84</v>
      </c>
      <c r="IA1055" s="281">
        <f t="shared" si="149"/>
        <v>-11.310479999999998</v>
      </c>
    </row>
    <row r="1056" spans="65:235" x14ac:dyDescent="0.25">
      <c r="BM1056" s="281">
        <f>$AZ$15+(seat_pitch)</f>
        <v>15.410000000000002</v>
      </c>
      <c r="BN1056" s="281">
        <f>$AX$7</f>
        <v>-0.78</v>
      </c>
      <c r="BO1056" s="281">
        <f t="shared" si="148"/>
        <v>-2.4004799999999964</v>
      </c>
      <c r="HY1056" s="281">
        <f>$HX$14+(bus_pitch*(n_rows_b&gt;0))</f>
        <v>6.5</v>
      </c>
      <c r="HZ1056" s="281">
        <f>$HV$11</f>
        <v>-1.84</v>
      </c>
      <c r="IA1056" s="281">
        <f t="shared" si="149"/>
        <v>-11.310479999999998</v>
      </c>
    </row>
    <row r="1057" spans="65:235" x14ac:dyDescent="0.25">
      <c r="BM1057" s="281">
        <f>$AZ$16+0.2*(seat_pitch)*($AY$16*n_SA+$AW$7&lt;pax_e)</f>
        <v>15.572000000000001</v>
      </c>
      <c r="BN1057" s="281">
        <f>$AX$7</f>
        <v>-0.78</v>
      </c>
      <c r="BO1057" s="281">
        <f t="shared" si="148"/>
        <v>-2.2384799999999974</v>
      </c>
      <c r="HY1057" s="281">
        <f>$HX$15+0.2*(bus_pitch*(n_rows_b&gt;0))*($HW$15*n_SA_b+$HU$11&lt;pax_b)</f>
        <v>6.5</v>
      </c>
      <c r="HZ1057" s="281">
        <f>$HV$11</f>
        <v>-1.84</v>
      </c>
      <c r="IA1057" s="281">
        <f t="shared" si="149"/>
        <v>-11.310479999999998</v>
      </c>
    </row>
    <row r="1058" spans="65:235" x14ac:dyDescent="0.25">
      <c r="BM1058" s="281">
        <f>$AZ$16+0.2*(seat_pitch)*($AY$16*n_SA+$AW$7&lt;pax_e)</f>
        <v>15.572000000000001</v>
      </c>
      <c r="BN1058" s="281">
        <f>$AX$7+seat_w*($AY$16*n_SA+$AW$7&lt;pax_e)</f>
        <v>-0.25</v>
      </c>
      <c r="BO1058" s="281">
        <f t="shared" si="148"/>
        <v>-2.2384799999999974</v>
      </c>
      <c r="HY1058" s="281">
        <f>$HX$15+0.2*(bus_pitch*(n_rows_b&gt;0))*($HW$15*n_SA_b+$HU$11&lt;pax_b)</f>
        <v>6.5</v>
      </c>
      <c r="HZ1058" s="281">
        <f>$HV$11+seat_w_b*($HW$15*n_SA_b+$HU$11&lt;pax_b)</f>
        <v>-1.84</v>
      </c>
      <c r="IA1058" s="281">
        <f t="shared" si="149"/>
        <v>-11.310479999999998</v>
      </c>
    </row>
    <row r="1059" spans="65:235" x14ac:dyDescent="0.25">
      <c r="BM1059" s="281">
        <f>$AZ$16</f>
        <v>15.41</v>
      </c>
      <c r="BN1059" s="281">
        <f>$AX$7+seat_w*($AY$16*n_SA+$AW$7&lt;pax_e)</f>
        <v>-0.25</v>
      </c>
      <c r="BO1059" s="281">
        <f t="shared" si="148"/>
        <v>-2.4004799999999982</v>
      </c>
      <c r="HY1059" s="281">
        <f>$HX$15</f>
        <v>6.5</v>
      </c>
      <c r="HZ1059" s="281">
        <f>$HV$11+seat_w_b*($HW$15*n_SA_b+$HU$11&lt;pax_b)</f>
        <v>-1.84</v>
      </c>
      <c r="IA1059" s="281">
        <f t="shared" si="149"/>
        <v>-11.310479999999998</v>
      </c>
    </row>
    <row r="1060" spans="65:235" x14ac:dyDescent="0.25">
      <c r="BM1060" s="281">
        <f>$AZ$16+1*(seat_pitch)*($AY$16*n_SA+$AW$7&lt;pax_e)</f>
        <v>16.22</v>
      </c>
      <c r="BN1060" s="281">
        <f>$AX$7+seat_w*($AY$16*n_SA+$AW$7&lt;pax_e)</f>
        <v>-0.25</v>
      </c>
      <c r="BO1060" s="281">
        <f t="shared" si="148"/>
        <v>-1.5904799999999994</v>
      </c>
      <c r="HY1060" s="281">
        <f>$HX$15+1*(bus_pitch*(n_rows_b&gt;0))*($HW$15*n_SA_b+$HU$11&lt;pax_b)</f>
        <v>6.5</v>
      </c>
      <c r="HZ1060" s="281">
        <f>$HV$11+seat_w_b*($HW$15*n_SA_b+$HU$11&lt;pax_b)</f>
        <v>-1.84</v>
      </c>
      <c r="IA1060" s="281">
        <f t="shared" si="149"/>
        <v>-11.310479999999998</v>
      </c>
    </row>
    <row r="1061" spans="65:235" x14ac:dyDescent="0.25">
      <c r="BM1061" s="281">
        <f>$AZ$16+0.8*(seat_pitch)*($AY$16*n_SA+$AW$7&lt;pax_e)</f>
        <v>16.058</v>
      </c>
      <c r="BN1061" s="281">
        <f>$AX$7+seat_w*($AY$16*n_SA+$AW$7&lt;pax_e)</f>
        <v>-0.25</v>
      </c>
      <c r="BO1061" s="281">
        <f t="shared" si="148"/>
        <v>-1.7524799999999985</v>
      </c>
      <c r="HY1061" s="281">
        <f>$HX$15+0.8*(bus_pitch*(n_rows_b&gt;0))*($HW$15*n_SA_b+$HU$11&lt;pax_b)</f>
        <v>6.5</v>
      </c>
      <c r="HZ1061" s="281">
        <f>$HV$11+seat_w_b*($HW$15*n_SA_b+$HU$11&lt;pax_b)</f>
        <v>-1.84</v>
      </c>
      <c r="IA1061" s="281">
        <f t="shared" si="149"/>
        <v>-11.310479999999998</v>
      </c>
    </row>
    <row r="1062" spans="65:235" x14ac:dyDescent="0.25">
      <c r="BM1062" s="281">
        <f>$AZ$16+0.8*(seat_pitch)*($AY$16*n_SA+$AW$7&lt;pax_e)</f>
        <v>16.058</v>
      </c>
      <c r="BN1062" s="281">
        <f>$AX$7</f>
        <v>-0.78</v>
      </c>
      <c r="BO1062" s="281">
        <f t="shared" si="148"/>
        <v>-1.7524799999999985</v>
      </c>
      <c r="HY1062" s="281">
        <f>$HX$15+0.8*(bus_pitch*(n_rows_b&gt;0))*($HW$15*n_SA_b+$HU$11&lt;pax_b)</f>
        <v>6.5</v>
      </c>
      <c r="HZ1062" s="281">
        <f>$HV$11</f>
        <v>-1.84</v>
      </c>
      <c r="IA1062" s="281">
        <f t="shared" si="149"/>
        <v>-11.310479999999998</v>
      </c>
    </row>
    <row r="1063" spans="65:235" x14ac:dyDescent="0.25">
      <c r="BM1063" s="281">
        <f>$AZ$16+0.2*(seat_pitch)*($AY$16*n_SA+$AW$7&lt;pax_e)</f>
        <v>15.572000000000001</v>
      </c>
      <c r="BN1063" s="281">
        <f>$AX$7</f>
        <v>-0.78</v>
      </c>
      <c r="BO1063" s="281">
        <f t="shared" si="148"/>
        <v>-2.2384799999999974</v>
      </c>
      <c r="HY1063" s="281">
        <f>$HX$15+0.2*(bus_pitch*(n_rows_b&gt;0))*($HW$15*n_SA_b+$HU$11&lt;pax_b)</f>
        <v>6.5</v>
      </c>
      <c r="HZ1063" s="281">
        <f>$HV$11</f>
        <v>-1.84</v>
      </c>
      <c r="IA1063" s="281">
        <f t="shared" si="149"/>
        <v>-11.310479999999998</v>
      </c>
    </row>
    <row r="1064" spans="65:235" x14ac:dyDescent="0.25">
      <c r="BM1064" s="281">
        <f>$AZ$16+(seat_pitch)</f>
        <v>16.22</v>
      </c>
      <c r="BN1064" s="281">
        <f>$AX$7</f>
        <v>-0.78</v>
      </c>
      <c r="BO1064" s="281">
        <f t="shared" si="148"/>
        <v>-1.5904799999999994</v>
      </c>
      <c r="HY1064" s="281">
        <f>$HX$15+(bus_pitch*(n_rows_b&gt;0))</f>
        <v>6.5</v>
      </c>
      <c r="HZ1064" s="281">
        <f>$HV$11</f>
        <v>-1.84</v>
      </c>
      <c r="IA1064" s="281">
        <f t="shared" si="149"/>
        <v>-11.310479999999998</v>
      </c>
    </row>
    <row r="1065" spans="65:235" x14ac:dyDescent="0.25">
      <c r="BM1065" s="281">
        <f>$AZ$17+0.2*(seat_pitch)*($AY$17*n_SA+$AW$7&lt;pax_e)</f>
        <v>16.381999999999998</v>
      </c>
      <c r="BN1065" s="281">
        <f>$AX$7</f>
        <v>-0.78</v>
      </c>
      <c r="BO1065" s="281">
        <f t="shared" si="148"/>
        <v>-1.4284800000000004</v>
      </c>
      <c r="HY1065" s="281">
        <f>$HX$16+0.2*(bus_pitch*(n_rows_b&gt;0))*($HW$16*n_SA_b+$HU$11&lt;pax_b)</f>
        <v>6.5</v>
      </c>
      <c r="HZ1065" s="281">
        <f>$HV$11</f>
        <v>-1.84</v>
      </c>
      <c r="IA1065" s="281">
        <f t="shared" si="149"/>
        <v>-11.310479999999998</v>
      </c>
    </row>
    <row r="1066" spans="65:235" x14ac:dyDescent="0.25">
      <c r="BM1066" s="281">
        <f>$AZ$17+0.2*(seat_pitch)*($AY$17*n_SA+$AW$7&lt;pax_e)</f>
        <v>16.381999999999998</v>
      </c>
      <c r="BN1066" s="281">
        <f>$AX$7+seat_w*($AY$17*n_SA+$AW$7&lt;pax_e)</f>
        <v>-0.25</v>
      </c>
      <c r="BO1066" s="281">
        <f t="shared" si="148"/>
        <v>-1.4284800000000004</v>
      </c>
      <c r="HY1066" s="281">
        <f>$HX$16+0.2*(bus_pitch*(n_rows_b&gt;0))*($HW$16*n_SA_b+$HU$11&lt;pax_b)</f>
        <v>6.5</v>
      </c>
      <c r="HZ1066" s="281">
        <f>$HV$11+seat_w_b*($HW$16*n_SA_b+$HU$11&lt;pax_b)</f>
        <v>-1.84</v>
      </c>
      <c r="IA1066" s="281">
        <f t="shared" si="149"/>
        <v>-11.310479999999998</v>
      </c>
    </row>
    <row r="1067" spans="65:235" x14ac:dyDescent="0.25">
      <c r="BM1067" s="281">
        <f>$AZ$17</f>
        <v>16.22</v>
      </c>
      <c r="BN1067" s="281">
        <f>$AX$7+seat_w*($AY$17*n_SA+$AW$7&lt;pax_e)</f>
        <v>-0.25</v>
      </c>
      <c r="BO1067" s="281">
        <f t="shared" si="148"/>
        <v>-1.5904799999999994</v>
      </c>
      <c r="HY1067" s="281">
        <f>$HX$16</f>
        <v>6.5</v>
      </c>
      <c r="HZ1067" s="281">
        <f>$HV$11+seat_w_b*($HW$16*n_SA_b+$HU$11&lt;pax_b)</f>
        <v>-1.84</v>
      </c>
      <c r="IA1067" s="281">
        <f t="shared" si="149"/>
        <v>-11.310479999999998</v>
      </c>
    </row>
    <row r="1068" spans="65:235" x14ac:dyDescent="0.25">
      <c r="BM1068" s="281">
        <f>$AZ$17+1*(seat_pitch)*($AY$17*n_SA+$AW$7&lt;pax_e)</f>
        <v>17.029999999999998</v>
      </c>
      <c r="BN1068" s="281">
        <f>$AX$7+seat_w*($AY$17*n_SA+$AW$7&lt;pax_e)</f>
        <v>-0.25</v>
      </c>
      <c r="BO1068" s="281">
        <f t="shared" si="148"/>
        <v>-0.78048000000000073</v>
      </c>
      <c r="HY1068" s="281">
        <f>$HX$16+1*(bus_pitch*(n_rows_b&gt;0))*($HW$16*n_SA_b+$HU$11&lt;pax_b)</f>
        <v>6.5</v>
      </c>
      <c r="HZ1068" s="281">
        <f>$HV$11+seat_w_b*($HW$16*n_SA_b+$HU$11&lt;pax_b)</f>
        <v>-1.84</v>
      </c>
      <c r="IA1068" s="281">
        <f t="shared" si="149"/>
        <v>-11.310479999999998</v>
      </c>
    </row>
    <row r="1069" spans="65:235" x14ac:dyDescent="0.25">
      <c r="BM1069" s="281">
        <f>$AZ$17+0.8*(seat_pitch)*($AY$17*n_SA+$AW$7&lt;pax_e)</f>
        <v>16.867999999999999</v>
      </c>
      <c r="BN1069" s="281">
        <f>$AX$7+seat_w*($AY$17*n_SA+$AW$7&lt;pax_e)</f>
        <v>-0.25</v>
      </c>
      <c r="BO1069" s="281">
        <f t="shared" si="148"/>
        <v>-0.94247999999999976</v>
      </c>
      <c r="HY1069" s="281">
        <f>$HX$16+0.8*(bus_pitch*(n_rows_b&gt;0))*($HW$16*n_SA_b+$HU$11&lt;pax_b)</f>
        <v>6.5</v>
      </c>
      <c r="HZ1069" s="281">
        <f>$HV$11+seat_w_b*($HW$16*n_SA_b+$HU$11&lt;pax_b)</f>
        <v>-1.84</v>
      </c>
      <c r="IA1069" s="281">
        <f t="shared" si="149"/>
        <v>-11.310479999999998</v>
      </c>
    </row>
    <row r="1070" spans="65:235" x14ac:dyDescent="0.25">
      <c r="BM1070" s="281">
        <f>$AZ$17+0.8*(seat_pitch)*($AY$17*n_SA+$AW$7&lt;pax_e)</f>
        <v>16.867999999999999</v>
      </c>
      <c r="BN1070" s="281">
        <f>$AX$7</f>
        <v>-0.78</v>
      </c>
      <c r="BO1070" s="281">
        <f t="shared" si="148"/>
        <v>-0.94247999999999976</v>
      </c>
      <c r="HY1070" s="281">
        <f>$HX$16+0.8*(bus_pitch*(n_rows_b&gt;0))*($HW$16*n_SA_b+$HU$11&lt;pax_b)</f>
        <v>6.5</v>
      </c>
      <c r="HZ1070" s="281">
        <f>$HV$11</f>
        <v>-1.84</v>
      </c>
      <c r="IA1070" s="281">
        <f t="shared" si="149"/>
        <v>-11.310479999999998</v>
      </c>
    </row>
    <row r="1071" spans="65:235" x14ac:dyDescent="0.25">
      <c r="BM1071" s="281">
        <f>$AZ$17+0.2*(seat_pitch)*($AY$17*n_SA+$AW$7&lt;pax_e)</f>
        <v>16.381999999999998</v>
      </c>
      <c r="BN1071" s="281">
        <f>$AX$7</f>
        <v>-0.78</v>
      </c>
      <c r="BO1071" s="281">
        <f t="shared" si="148"/>
        <v>-1.4284800000000004</v>
      </c>
      <c r="HY1071" s="281">
        <f>$HX$16+0.2*(bus_pitch*(n_rows_b&gt;0))*($HW$16*n_SA_b+$HU$11&lt;pax_b)</f>
        <v>6.5</v>
      </c>
      <c r="HZ1071" s="281">
        <f>$HV$11</f>
        <v>-1.84</v>
      </c>
      <c r="IA1071" s="281">
        <f t="shared" si="149"/>
        <v>-11.310479999999998</v>
      </c>
    </row>
    <row r="1072" spans="65:235" x14ac:dyDescent="0.25">
      <c r="BM1072" s="281">
        <f>$AZ$17+(seat_pitch)</f>
        <v>17.029999999999998</v>
      </c>
      <c r="BN1072" s="281">
        <f>$AX$7</f>
        <v>-0.78</v>
      </c>
      <c r="BO1072" s="281">
        <f t="shared" si="148"/>
        <v>-0.78048000000000073</v>
      </c>
      <c r="HY1072" s="281">
        <f>$HX$16+(bus_pitch*(n_rows_b&gt;0))</f>
        <v>6.5</v>
      </c>
      <c r="HZ1072" s="281">
        <f>$HV$11</f>
        <v>-1.84</v>
      </c>
      <c r="IA1072" s="281">
        <f t="shared" si="149"/>
        <v>-11.310479999999998</v>
      </c>
    </row>
    <row r="1073" spans="65:235" x14ac:dyDescent="0.25">
      <c r="BM1073" s="281">
        <f>$AZ$18+0.2*(seat_pitch)*($AY$18*n_SA+$AW$7&lt;pax_e)</f>
        <v>17.192</v>
      </c>
      <c r="BN1073" s="281">
        <f>$AX$7</f>
        <v>-0.78</v>
      </c>
      <c r="BO1073" s="281">
        <f t="shared" si="148"/>
        <v>-0.61847999999999814</v>
      </c>
      <c r="HY1073" s="281">
        <f>$HX$17+0.2*(bus_pitch*(n_rows_b&gt;0))*($HW$17*n_SA_b+$HU$11&lt;pax_b)</f>
        <v>6.5</v>
      </c>
      <c r="HZ1073" s="281">
        <f>$HV$11</f>
        <v>-1.84</v>
      </c>
      <c r="IA1073" s="281">
        <f t="shared" si="149"/>
        <v>-11.310479999999998</v>
      </c>
    </row>
    <row r="1074" spans="65:235" x14ac:dyDescent="0.25">
      <c r="BM1074" s="281">
        <f>$AZ$18+0.2*(seat_pitch)*($AY$18*n_SA+$AW$7&lt;pax_e)</f>
        <v>17.192</v>
      </c>
      <c r="BN1074" s="281">
        <f>$AX$7+seat_w*($AY$18*n_SA+$AW$7&lt;pax_e)</f>
        <v>-0.25</v>
      </c>
      <c r="BO1074" s="281">
        <f t="shared" si="148"/>
        <v>-0.61847999999999814</v>
      </c>
      <c r="HY1074" s="281">
        <f>$HX$17+0.2*(bus_pitch*(n_rows_b&gt;0))*($HW$17*n_SA_b+$HU$11&lt;pax_b)</f>
        <v>6.5</v>
      </c>
      <c r="HZ1074" s="281">
        <f>$HV$11+seat_w_b*($HW$17*n_SA_b+$HU$11&lt;pax_b)</f>
        <v>-1.84</v>
      </c>
      <c r="IA1074" s="281">
        <f t="shared" si="149"/>
        <v>-11.310479999999998</v>
      </c>
    </row>
    <row r="1075" spans="65:235" x14ac:dyDescent="0.25">
      <c r="BM1075" s="281">
        <f>$AZ$18</f>
        <v>17.03</v>
      </c>
      <c r="BN1075" s="281">
        <f>$AX$7+seat_w*($AY$18*n_SA+$AW$7&lt;pax_e)</f>
        <v>-0.25</v>
      </c>
      <c r="BO1075" s="281">
        <f t="shared" si="148"/>
        <v>-0.78047999999999718</v>
      </c>
      <c r="HY1075" s="281">
        <f>$HX$17</f>
        <v>6.5</v>
      </c>
      <c r="HZ1075" s="281">
        <f>$HV$11+seat_w_b*($HW$17*n_SA_b+$HU$11&lt;pax_b)</f>
        <v>-1.84</v>
      </c>
      <c r="IA1075" s="281">
        <f t="shared" si="149"/>
        <v>-11.310479999999998</v>
      </c>
    </row>
    <row r="1076" spans="65:235" x14ac:dyDescent="0.25">
      <c r="BM1076" s="281">
        <f>$AZ$18+1*(seat_pitch)*($AY$18*n_SA+$AW$7&lt;pax_e)</f>
        <v>17.84</v>
      </c>
      <c r="BN1076" s="281">
        <f>$AX$7+seat_w*($AY$18*n_SA+$AW$7&lt;pax_e)</f>
        <v>-0.25</v>
      </c>
      <c r="BO1076" s="281">
        <f t="shared" si="148"/>
        <v>2.9520000000001545E-2</v>
      </c>
      <c r="HY1076" s="281">
        <f>$HX$17+1*(bus_pitch*(n_rows_b&gt;0))*($HW$17*n_SA_b+$HU$11&lt;pax_b)</f>
        <v>6.5</v>
      </c>
      <c r="HZ1076" s="281">
        <f>$HV$11+seat_w_b*($HW$17*n_SA_b+$HU$11&lt;pax_b)</f>
        <v>-1.84</v>
      </c>
      <c r="IA1076" s="281">
        <f t="shared" si="149"/>
        <v>-11.310479999999998</v>
      </c>
    </row>
    <row r="1077" spans="65:235" x14ac:dyDescent="0.25">
      <c r="BM1077" s="281">
        <f>$AZ$18+0.8*(seat_pitch)*($AY$18*n_SA+$AW$7&lt;pax_e)</f>
        <v>17.678000000000001</v>
      </c>
      <c r="BN1077" s="281">
        <f>$AX$7+seat_w*($AY$18*n_SA+$AW$7&lt;pax_e)</f>
        <v>-0.25</v>
      </c>
      <c r="BO1077" s="281">
        <f t="shared" si="148"/>
        <v>-0.13247999999999749</v>
      </c>
      <c r="HY1077" s="281">
        <f>$HX$17+0.8*(bus_pitch*(n_rows_b&gt;0))*($HW$17*n_SA_b+$HU$11&lt;pax_b)</f>
        <v>6.5</v>
      </c>
      <c r="HZ1077" s="281">
        <f>$HV$11+seat_w_b*($HW$17*n_SA_b+$HU$11&lt;pax_b)</f>
        <v>-1.84</v>
      </c>
      <c r="IA1077" s="281">
        <f t="shared" si="149"/>
        <v>-11.310479999999998</v>
      </c>
    </row>
    <row r="1078" spans="65:235" x14ac:dyDescent="0.25">
      <c r="BM1078" s="281">
        <f>$AZ$18+0.8*(seat_pitch)*($AY$18*n_SA+$AW$7&lt;pax_e)</f>
        <v>17.678000000000001</v>
      </c>
      <c r="BN1078" s="281">
        <f>$AX$7</f>
        <v>-0.78</v>
      </c>
      <c r="BO1078" s="281">
        <f t="shared" si="148"/>
        <v>-0.13247999999999749</v>
      </c>
      <c r="HY1078" s="281">
        <f>$HX$17+0.8*(bus_pitch*(n_rows_b&gt;0))*($HW$17*n_SA_b+$HU$11&lt;pax_b)</f>
        <v>6.5</v>
      </c>
      <c r="HZ1078" s="281">
        <f>$HV$11</f>
        <v>-1.84</v>
      </c>
      <c r="IA1078" s="281">
        <f t="shared" si="149"/>
        <v>-11.310479999999998</v>
      </c>
    </row>
    <row r="1079" spans="65:235" x14ac:dyDescent="0.25">
      <c r="BM1079" s="281">
        <f>$AZ$18+0.2*(seat_pitch)*($AY$18*n_SA+$AW$7&lt;pax_e)</f>
        <v>17.192</v>
      </c>
      <c r="BN1079" s="281">
        <f>$AX$7</f>
        <v>-0.78</v>
      </c>
      <c r="BO1079" s="281">
        <f t="shared" si="148"/>
        <v>-0.61847999999999814</v>
      </c>
      <c r="HY1079" s="281">
        <f>$HX$17+0.2*(bus_pitch*(n_rows_b&gt;0))*($HW$17*n_SA_b+$HU$11&lt;pax_b)</f>
        <v>6.5</v>
      </c>
      <c r="HZ1079" s="281">
        <f>$HV$11</f>
        <v>-1.84</v>
      </c>
      <c r="IA1079" s="281">
        <f t="shared" si="149"/>
        <v>-11.310479999999998</v>
      </c>
    </row>
    <row r="1080" spans="65:235" x14ac:dyDescent="0.25">
      <c r="BM1080" s="281">
        <f>$AZ$18+(seat_pitch)</f>
        <v>17.84</v>
      </c>
      <c r="BN1080" s="281">
        <f>$AX$7</f>
        <v>-0.78</v>
      </c>
      <c r="BO1080" s="281">
        <f t="shared" si="148"/>
        <v>2.9520000000001545E-2</v>
      </c>
      <c r="HY1080" s="281">
        <f>$HX$17+(bus_pitch*(n_rows_b&gt;0))</f>
        <v>6.5</v>
      </c>
      <c r="HZ1080" s="281">
        <f>$HV$11</f>
        <v>-1.84</v>
      </c>
      <c r="IA1080" s="281">
        <f t="shared" si="149"/>
        <v>-11.310479999999998</v>
      </c>
    </row>
    <row r="1081" spans="65:235" x14ac:dyDescent="0.25">
      <c r="BM1081" s="281">
        <f>$AZ$19+0.2*(seat_pitch)*($AY$19*n_SA+$AW$7&lt;pax_e)</f>
        <v>18.001999999999999</v>
      </c>
      <c r="BN1081" s="281">
        <f>$AX$7</f>
        <v>-0.78</v>
      </c>
      <c r="BO1081" s="281">
        <f t="shared" si="148"/>
        <v>0.19152000000000058</v>
      </c>
      <c r="HY1081" s="281">
        <f>$HX$18+0.2*(bus_pitch*(n_rows_b&gt;0))*($HW$18*n_SA_b+$HU$11&lt;pax_b)</f>
        <v>6.5</v>
      </c>
      <c r="HZ1081" s="281">
        <f>$HV$11</f>
        <v>-1.84</v>
      </c>
      <c r="IA1081" s="281">
        <f t="shared" si="149"/>
        <v>-11.310479999999998</v>
      </c>
    </row>
    <row r="1082" spans="65:235" x14ac:dyDescent="0.25">
      <c r="BM1082" s="281">
        <f>$AZ$19+0.2*(seat_pitch)*($AY$19*n_SA+$AW$7&lt;pax_e)</f>
        <v>18.001999999999999</v>
      </c>
      <c r="BN1082" s="281">
        <f>$AX$7+seat_w*($AY$19*n_SA+$AW$7&lt;pax_e)</f>
        <v>-0.25</v>
      </c>
      <c r="BO1082" s="281">
        <f t="shared" si="148"/>
        <v>0.19152000000000058</v>
      </c>
      <c r="HY1082" s="281">
        <f>$HX$18+0.2*(bus_pitch*(n_rows_b&gt;0))*($HW$18*n_SA_b+$HU$11&lt;pax_b)</f>
        <v>6.5</v>
      </c>
      <c r="HZ1082" s="281">
        <f>$HV$11+seat_w_b*($HW$18*n_SA_b+$HU$11&lt;pax_b)</f>
        <v>-1.84</v>
      </c>
      <c r="IA1082" s="281">
        <f t="shared" si="149"/>
        <v>-11.310479999999998</v>
      </c>
    </row>
    <row r="1083" spans="65:235" x14ac:dyDescent="0.25">
      <c r="BM1083" s="281">
        <f>$AZ$19</f>
        <v>17.84</v>
      </c>
      <c r="BN1083" s="281">
        <f>$AX$7+seat_w*($AY$19*n_SA+$AW$7&lt;pax_e)</f>
        <v>-0.25</v>
      </c>
      <c r="BO1083" s="281">
        <f t="shared" si="148"/>
        <v>2.9520000000001545E-2</v>
      </c>
      <c r="HY1083" s="281">
        <f>$HX$18</f>
        <v>6.5</v>
      </c>
      <c r="HZ1083" s="281">
        <f>$HV$11+seat_w_b*($HW$18*n_SA_b+$HU$11&lt;pax_b)</f>
        <v>-1.84</v>
      </c>
      <c r="IA1083" s="281">
        <f t="shared" si="149"/>
        <v>-11.310479999999998</v>
      </c>
    </row>
    <row r="1084" spans="65:235" x14ac:dyDescent="0.25">
      <c r="BM1084" s="281">
        <f>$AZ$19+1*(seat_pitch)*($AY$19*n_SA+$AW$7&lt;pax_e)</f>
        <v>18.649999999999999</v>
      </c>
      <c r="BN1084" s="281">
        <f>$AX$7+seat_w*($AY$19*n_SA+$AW$7&lt;pax_e)</f>
        <v>-0.25</v>
      </c>
      <c r="BO1084" s="281">
        <f t="shared" si="148"/>
        <v>0.83952000000000027</v>
      </c>
      <c r="HY1084" s="281">
        <f>$HX$18+1*(bus_pitch*(n_rows_b&gt;0))*($HW$18*n_SA_b+$HU$11&lt;pax_b)</f>
        <v>6.5</v>
      </c>
      <c r="HZ1084" s="281">
        <f>$HV$11+seat_w_b*($HW$18*n_SA_b+$HU$11&lt;pax_b)</f>
        <v>-1.84</v>
      </c>
      <c r="IA1084" s="281">
        <f t="shared" si="149"/>
        <v>-11.310479999999998</v>
      </c>
    </row>
    <row r="1085" spans="65:235" x14ac:dyDescent="0.25">
      <c r="BM1085" s="281">
        <f>$AZ$19+0.8*(seat_pitch)*($AY$19*n_SA+$AW$7&lt;pax_e)</f>
        <v>18.488</v>
      </c>
      <c r="BN1085" s="281">
        <f>$AX$7+seat_w*($AY$19*n_SA+$AW$7&lt;pax_e)</f>
        <v>-0.25</v>
      </c>
      <c r="BO1085" s="281">
        <f t="shared" si="148"/>
        <v>0.67752000000000123</v>
      </c>
      <c r="HY1085" s="281">
        <f>$HX$18+0.8*(bus_pitch*(n_rows_b&gt;0))*($HW$18*n_SA_b+$HU$11&lt;pax_b)</f>
        <v>6.5</v>
      </c>
      <c r="HZ1085" s="281">
        <f>$HV$11+seat_w_b*($HW$18*n_SA_b+$HU$11&lt;pax_b)</f>
        <v>-1.84</v>
      </c>
      <c r="IA1085" s="281">
        <f t="shared" si="149"/>
        <v>-11.310479999999998</v>
      </c>
    </row>
    <row r="1086" spans="65:235" x14ac:dyDescent="0.25">
      <c r="BM1086" s="281">
        <f>$AZ$19+0.8*(seat_pitch)*($AY$19*n_SA+$AW$7&lt;pax_e)</f>
        <v>18.488</v>
      </c>
      <c r="BN1086" s="281">
        <f>$AX$7</f>
        <v>-0.78</v>
      </c>
      <c r="BO1086" s="281">
        <f t="shared" si="148"/>
        <v>0.67752000000000123</v>
      </c>
      <c r="HY1086" s="281">
        <f>$HX$18+0.8*(bus_pitch*(n_rows_b&gt;0))*($HW$18*n_SA_b+$HU$11&lt;pax_b)</f>
        <v>6.5</v>
      </c>
      <c r="HZ1086" s="281">
        <f>$HV$11</f>
        <v>-1.84</v>
      </c>
      <c r="IA1086" s="281">
        <f t="shared" si="149"/>
        <v>-11.310479999999998</v>
      </c>
    </row>
    <row r="1087" spans="65:235" x14ac:dyDescent="0.25">
      <c r="BM1087" s="281">
        <f>$AZ$19+0.2*(seat_pitch)*($AY$19*n_SA+$AW$7&lt;pax_e)</f>
        <v>18.001999999999999</v>
      </c>
      <c r="BN1087" s="281">
        <f>$AX$7</f>
        <v>-0.78</v>
      </c>
      <c r="BO1087" s="281">
        <f t="shared" si="148"/>
        <v>0.19152000000000058</v>
      </c>
      <c r="HY1087" s="281">
        <f>$HX$18+0.2*(bus_pitch*(n_rows_b&gt;0))*($HW$18*n_SA_b+$HU$11&lt;pax_b)</f>
        <v>6.5</v>
      </c>
      <c r="HZ1087" s="281">
        <f>$HV$11</f>
        <v>-1.84</v>
      </c>
      <c r="IA1087" s="281">
        <f t="shared" si="149"/>
        <v>-11.310479999999998</v>
      </c>
    </row>
    <row r="1088" spans="65:235" x14ac:dyDescent="0.25">
      <c r="BM1088" s="281">
        <f>$AZ$19+(seat_pitch)</f>
        <v>18.649999999999999</v>
      </c>
      <c r="BN1088" s="281">
        <f>$AX$7</f>
        <v>-0.78</v>
      </c>
      <c r="BO1088" s="281">
        <f t="shared" si="148"/>
        <v>0.83952000000000027</v>
      </c>
      <c r="HY1088" s="281">
        <f>$HX$18+(bus_pitch*(n_rows_b&gt;0))</f>
        <v>6.5</v>
      </c>
      <c r="HZ1088" s="281">
        <f>$HV$11</f>
        <v>-1.84</v>
      </c>
      <c r="IA1088" s="281">
        <f t="shared" si="149"/>
        <v>-11.310479999999998</v>
      </c>
    </row>
    <row r="1089" spans="65:235" x14ac:dyDescent="0.25">
      <c r="BM1089" s="281">
        <f>$AZ$20+0.2*(seat_pitch)*($AY$20*n_SA+$AW$7&lt;pax_e)</f>
        <v>18.811999999999998</v>
      </c>
      <c r="BN1089" s="281">
        <f>$AX$7</f>
        <v>-0.78</v>
      </c>
      <c r="BO1089" s="281">
        <f t="shared" si="148"/>
        <v>1.0015199999999993</v>
      </c>
      <c r="HY1089" s="281">
        <f>$HX$19+0.2*(bus_pitch*(n_rows_b&gt;0))*($HW$19*n_SA_b+$HU$11&lt;pax_b)</f>
        <v>6.5</v>
      </c>
      <c r="HZ1089" s="281">
        <f>$HV$11</f>
        <v>-1.84</v>
      </c>
      <c r="IA1089" s="281">
        <f t="shared" si="149"/>
        <v>-11.310479999999998</v>
      </c>
    </row>
    <row r="1090" spans="65:235" x14ac:dyDescent="0.25">
      <c r="BM1090" s="281">
        <f>$AZ$20+0.2*(seat_pitch)*($AY$20*n_SA+$AW$7&lt;pax_e)</f>
        <v>18.811999999999998</v>
      </c>
      <c r="BN1090" s="281">
        <f>$AX$7+seat_w*($AY$20*n_SA+$AW$7&lt;pax_e)</f>
        <v>-0.25</v>
      </c>
      <c r="BO1090" s="281">
        <f t="shared" si="148"/>
        <v>1.0015199999999993</v>
      </c>
      <c r="HY1090" s="281">
        <f>$HX$19+0.2*(bus_pitch*(n_rows_b&gt;0))*($HW$19*n_SA_b+$HU$11&lt;pax_b)</f>
        <v>6.5</v>
      </c>
      <c r="HZ1090" s="281">
        <f>$HV$11+seat_w_b*($HW$19*n_SA_b+$HU$11&lt;pax_b)</f>
        <v>-1.84</v>
      </c>
      <c r="IA1090" s="281">
        <f t="shared" si="149"/>
        <v>-11.310479999999998</v>
      </c>
    </row>
    <row r="1091" spans="65:235" x14ac:dyDescent="0.25">
      <c r="BM1091" s="281">
        <f>$AZ$20</f>
        <v>18.649999999999999</v>
      </c>
      <c r="BN1091" s="281">
        <f>$AX$7+seat_w*($AY$20*n_SA+$AW$7&lt;pax_e)</f>
        <v>-0.25</v>
      </c>
      <c r="BO1091" s="281">
        <f t="shared" si="148"/>
        <v>0.83952000000000027</v>
      </c>
      <c r="HY1091" s="281">
        <f>$HX$19</f>
        <v>6.5</v>
      </c>
      <c r="HZ1091" s="281">
        <f>$HV$11+seat_w_b*($HW$19*n_SA_b+$HU$11&lt;pax_b)</f>
        <v>-1.84</v>
      </c>
      <c r="IA1091" s="281">
        <f t="shared" si="149"/>
        <v>-11.310479999999998</v>
      </c>
    </row>
    <row r="1092" spans="65:235" x14ac:dyDescent="0.25">
      <c r="BM1092" s="281">
        <f>$AZ$20+1*(seat_pitch)*($AY$20*n_SA+$AW$7&lt;pax_e)</f>
        <v>19.459999999999997</v>
      </c>
      <c r="BN1092" s="281">
        <f>$AX$7+seat_w*($AY$20*n_SA+$AW$7&lt;pax_e)</f>
        <v>-0.25</v>
      </c>
      <c r="BO1092" s="281">
        <f t="shared" si="148"/>
        <v>1.649519999999999</v>
      </c>
      <c r="HY1092" s="281">
        <f>$HX$19+1*(bus_pitch*(n_rows_b&gt;0))*($HW$19*n_SA_b+$HU$11&lt;pax_b)</f>
        <v>6.5</v>
      </c>
      <c r="HZ1092" s="281">
        <f>$HV$11+seat_w_b*($HW$19*n_SA_b+$HU$11&lt;pax_b)</f>
        <v>-1.84</v>
      </c>
      <c r="IA1092" s="281">
        <f t="shared" si="149"/>
        <v>-11.310479999999998</v>
      </c>
    </row>
    <row r="1093" spans="65:235" x14ac:dyDescent="0.25">
      <c r="BM1093" s="281">
        <f>$AZ$20+0.8*(seat_pitch)*($AY$20*n_SA+$AW$7&lt;pax_e)</f>
        <v>19.297999999999998</v>
      </c>
      <c r="BN1093" s="281">
        <f>$AX$7+seat_w*($AY$20*n_SA+$AW$7&lt;pax_e)</f>
        <v>-0.25</v>
      </c>
      <c r="BO1093" s="281">
        <f t="shared" ref="BO1093:BO1156" si="150">BM1093-L_fus/2</f>
        <v>1.48752</v>
      </c>
      <c r="HY1093" s="281">
        <f>$HX$19+0.8*(bus_pitch*(n_rows_b&gt;0))*($HW$19*n_SA_b+$HU$11&lt;pax_b)</f>
        <v>6.5</v>
      </c>
      <c r="HZ1093" s="281">
        <f>$HV$11+seat_w_b*($HW$19*n_SA_b+$HU$11&lt;pax_b)</f>
        <v>-1.84</v>
      </c>
      <c r="IA1093" s="281">
        <f t="shared" ref="IA1093:IA1136" si="151">HY1093-L_fus/2</f>
        <v>-11.310479999999998</v>
      </c>
    </row>
    <row r="1094" spans="65:235" x14ac:dyDescent="0.25">
      <c r="BM1094" s="281">
        <f>$AZ$20+0.8*(seat_pitch)*($AY$20*n_SA+$AW$7&lt;pax_e)</f>
        <v>19.297999999999998</v>
      </c>
      <c r="BN1094" s="281">
        <f>$AX$7</f>
        <v>-0.78</v>
      </c>
      <c r="BO1094" s="281">
        <f t="shared" si="150"/>
        <v>1.48752</v>
      </c>
      <c r="HY1094" s="281">
        <f>$HX$19+0.8*(bus_pitch*(n_rows_b&gt;0))*($HW$19*n_SA_b+$HU$11&lt;pax_b)</f>
        <v>6.5</v>
      </c>
      <c r="HZ1094" s="281">
        <f>$HV$11</f>
        <v>-1.84</v>
      </c>
      <c r="IA1094" s="281">
        <f t="shared" si="151"/>
        <v>-11.310479999999998</v>
      </c>
    </row>
    <row r="1095" spans="65:235" x14ac:dyDescent="0.25">
      <c r="BM1095" s="281">
        <f>$AZ$20+0.2*(seat_pitch)*($AY$20*n_SA+$AW$7&lt;pax_e)</f>
        <v>18.811999999999998</v>
      </c>
      <c r="BN1095" s="281">
        <f>$AX$7</f>
        <v>-0.78</v>
      </c>
      <c r="BO1095" s="281">
        <f t="shared" si="150"/>
        <v>1.0015199999999993</v>
      </c>
      <c r="HY1095" s="281">
        <f>$HX$19+0.2*(bus_pitch*(n_rows_b&gt;0))*($HW$19*n_SA_b+$HU$11&lt;pax_b)</f>
        <v>6.5</v>
      </c>
      <c r="HZ1095" s="281">
        <f>$HV$11</f>
        <v>-1.84</v>
      </c>
      <c r="IA1095" s="281">
        <f t="shared" si="151"/>
        <v>-11.310479999999998</v>
      </c>
    </row>
    <row r="1096" spans="65:235" x14ac:dyDescent="0.25">
      <c r="BM1096" s="281">
        <f>$AZ$20+(seat_pitch)</f>
        <v>19.459999999999997</v>
      </c>
      <c r="BN1096" s="281">
        <f>$AX$7</f>
        <v>-0.78</v>
      </c>
      <c r="BO1096" s="281">
        <f t="shared" si="150"/>
        <v>1.649519999999999</v>
      </c>
      <c r="HY1096" s="281">
        <f>$HX$19+(bus_pitch*(n_rows_b&gt;0))</f>
        <v>6.5</v>
      </c>
      <c r="HZ1096" s="281">
        <f>$HV$11</f>
        <v>-1.84</v>
      </c>
      <c r="IA1096" s="281">
        <f t="shared" si="151"/>
        <v>-11.310479999999998</v>
      </c>
    </row>
    <row r="1097" spans="65:235" x14ac:dyDescent="0.25">
      <c r="BM1097" s="281">
        <f>$AZ$21+0.2*(seat_pitch)*($AY$21*n_SA+$AW$7&lt;pax_e)</f>
        <v>19.622</v>
      </c>
      <c r="BN1097" s="281">
        <f>$AX$7</f>
        <v>-0.78</v>
      </c>
      <c r="BO1097" s="281">
        <f t="shared" si="150"/>
        <v>1.8115200000000016</v>
      </c>
      <c r="HY1097" s="281">
        <f>$HX$20+0.2*(bus_pitch*(n_rows_b&gt;0))*($HW$20*n_SA_b+$HU$11&lt;pax_b)</f>
        <v>6.5</v>
      </c>
      <c r="HZ1097" s="281">
        <f>$HV$11</f>
        <v>-1.84</v>
      </c>
      <c r="IA1097" s="281">
        <f t="shared" si="151"/>
        <v>-11.310479999999998</v>
      </c>
    </row>
    <row r="1098" spans="65:235" x14ac:dyDescent="0.25">
      <c r="BM1098" s="281">
        <f>$AZ$21+0.2*(seat_pitch)*($AY$21*n_SA+$AW$7&lt;pax_e)</f>
        <v>19.622</v>
      </c>
      <c r="BN1098" s="281">
        <f>$AX$7+seat_w*($AY$21*n_SA+$AW$7&lt;pax_e)</f>
        <v>-0.25</v>
      </c>
      <c r="BO1098" s="281">
        <f t="shared" si="150"/>
        <v>1.8115200000000016</v>
      </c>
      <c r="HY1098" s="281">
        <f>$HX$20+0.2*(bus_pitch*(n_rows_b&gt;0))*($HW$20*n_SA_b+$HU$11&lt;pax_b)</f>
        <v>6.5</v>
      </c>
      <c r="HZ1098" s="281">
        <f>$HV$11+seat_w_b*($HW$20*n_SA_b+$HU$11&lt;pax_b)</f>
        <v>-1.84</v>
      </c>
      <c r="IA1098" s="281">
        <f t="shared" si="151"/>
        <v>-11.310479999999998</v>
      </c>
    </row>
    <row r="1099" spans="65:235" x14ac:dyDescent="0.25">
      <c r="BM1099" s="281">
        <f>$AZ$21</f>
        <v>19.46</v>
      </c>
      <c r="BN1099" s="281">
        <f>$AX$7+seat_w*($AY$21*n_SA+$AW$7&lt;pax_e)</f>
        <v>-0.25</v>
      </c>
      <c r="BO1099" s="281">
        <f t="shared" si="150"/>
        <v>1.6495200000000025</v>
      </c>
      <c r="HY1099" s="281">
        <f>$HX$20</f>
        <v>6.5</v>
      </c>
      <c r="HZ1099" s="281">
        <f>$HV$11+seat_w_b*($HW$20*n_SA_b+$HU$11&lt;pax_b)</f>
        <v>-1.84</v>
      </c>
      <c r="IA1099" s="281">
        <f t="shared" si="151"/>
        <v>-11.310479999999998</v>
      </c>
    </row>
    <row r="1100" spans="65:235" x14ac:dyDescent="0.25">
      <c r="BM1100" s="281">
        <f>$AZ$21+1*(seat_pitch)*($AY$21*n_SA+$AW$7&lt;pax_e)</f>
        <v>20.27</v>
      </c>
      <c r="BN1100" s="281">
        <f>$AX$7+seat_w*($AY$21*n_SA+$AW$7&lt;pax_e)</f>
        <v>-0.25</v>
      </c>
      <c r="BO1100" s="281">
        <f t="shared" si="150"/>
        <v>2.4595200000000013</v>
      </c>
      <c r="HY1100" s="281">
        <f>$HX$20+1*(bus_pitch*(n_rows_b&gt;0))*($HW$20*n_SA_b+$HU$11&lt;pax_b)</f>
        <v>6.5</v>
      </c>
      <c r="HZ1100" s="281">
        <f>$HV$11+seat_w_b*($HW$20*n_SA_b+$HU$11&lt;pax_b)</f>
        <v>-1.84</v>
      </c>
      <c r="IA1100" s="281">
        <f t="shared" si="151"/>
        <v>-11.310479999999998</v>
      </c>
    </row>
    <row r="1101" spans="65:235" x14ac:dyDescent="0.25">
      <c r="BM1101" s="281">
        <f>$AZ$21+0.8*(seat_pitch)*($AY$21*n_SA+$AW$7&lt;pax_e)</f>
        <v>20.108000000000001</v>
      </c>
      <c r="BN1101" s="281">
        <f>$AX$7+seat_w*($AY$21*n_SA+$AW$7&lt;pax_e)</f>
        <v>-0.25</v>
      </c>
      <c r="BO1101" s="281">
        <f t="shared" si="150"/>
        <v>2.2975200000000022</v>
      </c>
      <c r="HY1101" s="281">
        <f>$HX$20+0.8*(bus_pitch*(n_rows_b&gt;0))*($HW$20*n_SA_b+$HU$11&lt;pax_b)</f>
        <v>6.5</v>
      </c>
      <c r="HZ1101" s="281">
        <f>$HV$11+seat_w_b*($HW$20*n_SA_b+$HU$11&lt;pax_b)</f>
        <v>-1.84</v>
      </c>
      <c r="IA1101" s="281">
        <f t="shared" si="151"/>
        <v>-11.310479999999998</v>
      </c>
    </row>
    <row r="1102" spans="65:235" x14ac:dyDescent="0.25">
      <c r="BM1102" s="281">
        <f>$AZ$21+0.8*(seat_pitch)*($AY$21*n_SA+$AW$7&lt;pax_e)</f>
        <v>20.108000000000001</v>
      </c>
      <c r="BN1102" s="281">
        <f>$AX$7</f>
        <v>-0.78</v>
      </c>
      <c r="BO1102" s="281">
        <f t="shared" si="150"/>
        <v>2.2975200000000022</v>
      </c>
      <c r="HY1102" s="281">
        <f>$HX$20+0.8*(bus_pitch*(n_rows_b&gt;0))*($HW$20*n_SA_b+$HU$11&lt;pax_b)</f>
        <v>6.5</v>
      </c>
      <c r="HZ1102" s="281">
        <f>$HV$11</f>
        <v>-1.84</v>
      </c>
      <c r="IA1102" s="281">
        <f t="shared" si="151"/>
        <v>-11.310479999999998</v>
      </c>
    </row>
    <row r="1103" spans="65:235" x14ac:dyDescent="0.25">
      <c r="BM1103" s="281">
        <f>$AZ$21+0.2*(seat_pitch)*($AY$21*n_SA+$AW$7&lt;pax_e)</f>
        <v>19.622</v>
      </c>
      <c r="BN1103" s="281">
        <f>$AX$7</f>
        <v>-0.78</v>
      </c>
      <c r="BO1103" s="281">
        <f t="shared" si="150"/>
        <v>1.8115200000000016</v>
      </c>
      <c r="HY1103" s="281">
        <f>$HX$20+0.2*(bus_pitch*(n_rows_b&gt;0))*($HW$20*n_SA_b+$HU$11&lt;pax_b)</f>
        <v>6.5</v>
      </c>
      <c r="HZ1103" s="281">
        <f>$HV$11</f>
        <v>-1.84</v>
      </c>
      <c r="IA1103" s="281">
        <f t="shared" si="151"/>
        <v>-11.310479999999998</v>
      </c>
    </row>
    <row r="1104" spans="65:235" x14ac:dyDescent="0.25">
      <c r="BM1104" s="281">
        <f>$AZ$21+(seat_pitch)</f>
        <v>20.27</v>
      </c>
      <c r="BN1104" s="281">
        <f>$AX$7</f>
        <v>-0.78</v>
      </c>
      <c r="BO1104" s="281">
        <f t="shared" si="150"/>
        <v>2.4595200000000013</v>
      </c>
      <c r="HY1104" s="281">
        <f>$HX$20+(bus_pitch*(n_rows_b&gt;0))</f>
        <v>6.5</v>
      </c>
      <c r="HZ1104" s="281">
        <f>$HV$11</f>
        <v>-1.84</v>
      </c>
      <c r="IA1104" s="281">
        <f t="shared" si="151"/>
        <v>-11.310479999999998</v>
      </c>
    </row>
    <row r="1105" spans="65:235" x14ac:dyDescent="0.25">
      <c r="BM1105" s="281">
        <f>$AZ$22+0.2*(seat_pitch)*($AY$22*n_SA+$AW$7&lt;pax_e)</f>
        <v>20.432000000000002</v>
      </c>
      <c r="BN1105" s="281">
        <f>$AX$7</f>
        <v>-0.78</v>
      </c>
      <c r="BO1105" s="281">
        <f t="shared" si="150"/>
        <v>2.6215200000000038</v>
      </c>
      <c r="HY1105" s="281">
        <f>$HX$21+0.2*(bus_pitch*(n_rows_b&gt;0))*($HW$21*n_SA_b+$HU$11&lt;pax_b)</f>
        <v>6.5</v>
      </c>
      <c r="HZ1105" s="281">
        <f>$HV$11</f>
        <v>-1.84</v>
      </c>
      <c r="IA1105" s="281">
        <f t="shared" si="151"/>
        <v>-11.310479999999998</v>
      </c>
    </row>
    <row r="1106" spans="65:235" x14ac:dyDescent="0.25">
      <c r="BM1106" s="281">
        <f>$AZ$22+0.2*(seat_pitch)*($AY$22*n_SA+$AW$7&lt;pax_e)</f>
        <v>20.432000000000002</v>
      </c>
      <c r="BN1106" s="281">
        <f>$AX$7+seat_w*($AY$22*n_SA+$AW$7&lt;pax_e)</f>
        <v>-0.25</v>
      </c>
      <c r="BO1106" s="281">
        <f t="shared" si="150"/>
        <v>2.6215200000000038</v>
      </c>
      <c r="HY1106" s="281">
        <f>$HX$21+0.2*(bus_pitch*(n_rows_b&gt;0))*($HW$21*n_SA_b+$HU$11&lt;pax_b)</f>
        <v>6.5</v>
      </c>
      <c r="HZ1106" s="281">
        <f>$HV$11+seat_w_b*($HW$21*n_SA_b+$HU$11&lt;pax_b)</f>
        <v>-1.84</v>
      </c>
      <c r="IA1106" s="281">
        <f t="shared" si="151"/>
        <v>-11.310479999999998</v>
      </c>
    </row>
    <row r="1107" spans="65:235" x14ac:dyDescent="0.25">
      <c r="BM1107" s="281">
        <f>$AZ$22</f>
        <v>20.270000000000003</v>
      </c>
      <c r="BN1107" s="281">
        <f>$AX$7+seat_w*($AY$22*n_SA+$AW$7&lt;pax_e)</f>
        <v>-0.25</v>
      </c>
      <c r="BO1107" s="281">
        <f t="shared" si="150"/>
        <v>2.4595200000000048</v>
      </c>
      <c r="HY1107" s="281">
        <f>$HX$21</f>
        <v>6.5</v>
      </c>
      <c r="HZ1107" s="281">
        <f>$HV$11+seat_w_b*($HW$21*n_SA_b+$HU$11&lt;pax_b)</f>
        <v>-1.84</v>
      </c>
      <c r="IA1107" s="281">
        <f t="shared" si="151"/>
        <v>-11.310479999999998</v>
      </c>
    </row>
    <row r="1108" spans="65:235" x14ac:dyDescent="0.25">
      <c r="BM1108" s="281">
        <f>$AZ$22+1*(seat_pitch)*($AY$22*n_SA+$AW$7&lt;pax_e)</f>
        <v>21.080000000000002</v>
      </c>
      <c r="BN1108" s="281">
        <f>$AX$7+seat_w*($AY$22*n_SA+$AW$7&lt;pax_e)</f>
        <v>-0.25</v>
      </c>
      <c r="BO1108" s="281">
        <f t="shared" si="150"/>
        <v>3.2695200000000035</v>
      </c>
      <c r="HY1108" s="281">
        <f>$HX$21+1*(bus_pitch*(n_rows_b&gt;0))*($HW$21*n_SA_b+$HU$11&lt;pax_b)</f>
        <v>6.5</v>
      </c>
      <c r="HZ1108" s="281">
        <f>$HV$11+seat_w_b*($HW$21*n_SA_b+$HU$11&lt;pax_b)</f>
        <v>-1.84</v>
      </c>
      <c r="IA1108" s="281">
        <f t="shared" si="151"/>
        <v>-11.310479999999998</v>
      </c>
    </row>
    <row r="1109" spans="65:235" x14ac:dyDescent="0.25">
      <c r="BM1109" s="281">
        <f>$AZ$22+0.8*(seat_pitch)*($AY$22*n_SA+$AW$7&lt;pax_e)</f>
        <v>20.918000000000003</v>
      </c>
      <c r="BN1109" s="281">
        <f>$AX$7+seat_w*($AY$22*n_SA+$AW$7&lt;pax_e)</f>
        <v>-0.25</v>
      </c>
      <c r="BO1109" s="281">
        <f t="shared" si="150"/>
        <v>3.1075200000000045</v>
      </c>
      <c r="HY1109" s="281">
        <f>$HX$21+0.8*(bus_pitch*(n_rows_b&gt;0))*($HW$21*n_SA_b+$HU$11&lt;pax_b)</f>
        <v>6.5</v>
      </c>
      <c r="HZ1109" s="281">
        <f>$HV$11+seat_w_b*($HW$21*n_SA_b+$HU$11&lt;pax_b)</f>
        <v>-1.84</v>
      </c>
      <c r="IA1109" s="281">
        <f t="shared" si="151"/>
        <v>-11.310479999999998</v>
      </c>
    </row>
    <row r="1110" spans="65:235" x14ac:dyDescent="0.25">
      <c r="BM1110" s="281">
        <f>$AZ$22+0.8*(seat_pitch)*($AY$22*n_SA+$AW$7&lt;pax_e)</f>
        <v>20.918000000000003</v>
      </c>
      <c r="BN1110" s="281">
        <f>$AX$7</f>
        <v>-0.78</v>
      </c>
      <c r="BO1110" s="281">
        <f t="shared" si="150"/>
        <v>3.1075200000000045</v>
      </c>
      <c r="HY1110" s="281">
        <f>$HX$21+0.8*(bus_pitch*(n_rows_b&gt;0))*($HW$21*n_SA_b+$HU$11&lt;pax_b)</f>
        <v>6.5</v>
      </c>
      <c r="HZ1110" s="281">
        <f>$HV$11</f>
        <v>-1.84</v>
      </c>
      <c r="IA1110" s="281">
        <f t="shared" si="151"/>
        <v>-11.310479999999998</v>
      </c>
    </row>
    <row r="1111" spans="65:235" x14ac:dyDescent="0.25">
      <c r="BM1111" s="281">
        <f>$AZ$22+0.2*(seat_pitch)*($AY$22*n_SA+$AW$7&lt;pax_e)</f>
        <v>20.432000000000002</v>
      </c>
      <c r="BN1111" s="281">
        <f>$AX$7</f>
        <v>-0.78</v>
      </c>
      <c r="BO1111" s="281">
        <f t="shared" si="150"/>
        <v>2.6215200000000038</v>
      </c>
      <c r="HY1111" s="281">
        <f>$HX$21+0.2*(bus_pitch*(n_rows_b&gt;0))*($HW$21*n_SA_b+$HU$11&lt;pax_b)</f>
        <v>6.5</v>
      </c>
      <c r="HZ1111" s="281">
        <f>$HV$11</f>
        <v>-1.84</v>
      </c>
      <c r="IA1111" s="281">
        <f t="shared" si="151"/>
        <v>-11.310479999999998</v>
      </c>
    </row>
    <row r="1112" spans="65:235" x14ac:dyDescent="0.25">
      <c r="BM1112" s="281">
        <f>$AZ$22+(seat_pitch)</f>
        <v>21.080000000000002</v>
      </c>
      <c r="BN1112" s="281">
        <f>$AX$7</f>
        <v>-0.78</v>
      </c>
      <c r="BO1112" s="281">
        <f t="shared" si="150"/>
        <v>3.2695200000000035</v>
      </c>
      <c r="HY1112" s="281">
        <f>$HX$21+(bus_pitch*(n_rows_b&gt;0))</f>
        <v>6.5</v>
      </c>
      <c r="HZ1112" s="281">
        <f>$HV$11</f>
        <v>-1.84</v>
      </c>
      <c r="IA1112" s="281">
        <f t="shared" si="151"/>
        <v>-11.310479999999998</v>
      </c>
    </row>
    <row r="1113" spans="65:235" x14ac:dyDescent="0.25">
      <c r="BM1113" s="281">
        <f>$AZ$23+0.2*(seat_pitch)*($AY$23*n_SA+$AW$7&lt;pax_e)</f>
        <v>21.242000000000001</v>
      </c>
      <c r="BN1113" s="281">
        <f>$AX$7</f>
        <v>-0.78</v>
      </c>
      <c r="BO1113" s="281">
        <f t="shared" si="150"/>
        <v>3.4315200000000026</v>
      </c>
      <c r="HY1113" s="281">
        <f>$HX$22+0.2*(bus_pitch*(n_rows_b&gt;0))*($HW$22*n_SA_b+$HU$11&lt;pax_b)</f>
        <v>6.5</v>
      </c>
      <c r="HZ1113" s="281">
        <f>$HV$11</f>
        <v>-1.84</v>
      </c>
      <c r="IA1113" s="281">
        <f t="shared" si="151"/>
        <v>-11.310479999999998</v>
      </c>
    </row>
    <row r="1114" spans="65:235" x14ac:dyDescent="0.25">
      <c r="BM1114" s="281">
        <f>$AZ$23+0.2*(seat_pitch)*($AY$23*n_SA+$AW$7&lt;pax_e)</f>
        <v>21.242000000000001</v>
      </c>
      <c r="BN1114" s="281">
        <f>$AX$7+seat_w*($AY$23*n_SA+$AW$7&lt;pax_e)</f>
        <v>-0.25</v>
      </c>
      <c r="BO1114" s="281">
        <f t="shared" si="150"/>
        <v>3.4315200000000026</v>
      </c>
      <c r="HY1114" s="281">
        <f>$HX$22+0.2*(bus_pitch*(n_rows_b&gt;0))*($HW$22*n_SA_b+$HU$11&lt;pax_b)</f>
        <v>6.5</v>
      </c>
      <c r="HZ1114" s="281">
        <f>$HV$11+seat_w_b*($HW$22*n_SA_b+$HU$11&lt;pax_b)</f>
        <v>-1.84</v>
      </c>
      <c r="IA1114" s="281">
        <f t="shared" si="151"/>
        <v>-11.310479999999998</v>
      </c>
    </row>
    <row r="1115" spans="65:235" x14ac:dyDescent="0.25">
      <c r="BM1115" s="281">
        <f>$AZ$23</f>
        <v>21.080000000000002</v>
      </c>
      <c r="BN1115" s="281">
        <f>$AX$7+seat_w*($AY$23*n_SA+$AW$7&lt;pax_e)</f>
        <v>-0.25</v>
      </c>
      <c r="BO1115" s="281">
        <f t="shared" si="150"/>
        <v>3.2695200000000035</v>
      </c>
      <c r="HY1115" s="281">
        <f>$HX$22</f>
        <v>6.5</v>
      </c>
      <c r="HZ1115" s="281">
        <f>$HV$11+seat_w_b*($HW$22*n_SA_b+$HU$11&lt;pax_b)</f>
        <v>-1.84</v>
      </c>
      <c r="IA1115" s="281">
        <f t="shared" si="151"/>
        <v>-11.310479999999998</v>
      </c>
    </row>
    <row r="1116" spans="65:235" x14ac:dyDescent="0.25">
      <c r="BM1116" s="281">
        <f>$AZ$23+1*(seat_pitch)*($AY$23*n_SA+$AW$7&lt;pax_e)</f>
        <v>21.89</v>
      </c>
      <c r="BN1116" s="281">
        <f>$AX$7+seat_w*($AY$23*n_SA+$AW$7&lt;pax_e)</f>
        <v>-0.25</v>
      </c>
      <c r="BO1116" s="281">
        <f t="shared" si="150"/>
        <v>4.0795200000000023</v>
      </c>
      <c r="HY1116" s="281">
        <f>$HX$22+1*(bus_pitch*(n_rows_b&gt;0))*($HW$22*n_SA_b+$HU$11&lt;pax_b)</f>
        <v>6.5</v>
      </c>
      <c r="HZ1116" s="281">
        <f>$HV$11+seat_w_b*($HW$22*n_SA_b+$HU$11&lt;pax_b)</f>
        <v>-1.84</v>
      </c>
      <c r="IA1116" s="281">
        <f t="shared" si="151"/>
        <v>-11.310479999999998</v>
      </c>
    </row>
    <row r="1117" spans="65:235" x14ac:dyDescent="0.25">
      <c r="BM1117" s="281">
        <f>$AZ$23+0.8*(seat_pitch)*($AY$23*n_SA+$AW$7&lt;pax_e)</f>
        <v>21.728000000000002</v>
      </c>
      <c r="BN1117" s="281">
        <f>$AX$7+seat_w*($AY$23*n_SA+$AW$7&lt;pax_e)</f>
        <v>-0.25</v>
      </c>
      <c r="BO1117" s="281">
        <f t="shared" si="150"/>
        <v>3.9175200000000032</v>
      </c>
      <c r="HY1117" s="281">
        <f>$HX$22+0.8*(bus_pitch*(n_rows_b&gt;0))*($HW$22*n_SA_b+$HU$11&lt;pax_b)</f>
        <v>6.5</v>
      </c>
      <c r="HZ1117" s="281">
        <f>$HV$11+seat_w_b*($HW$22*n_SA_b+$HU$11&lt;pax_b)</f>
        <v>-1.84</v>
      </c>
      <c r="IA1117" s="281">
        <f t="shared" si="151"/>
        <v>-11.310479999999998</v>
      </c>
    </row>
    <row r="1118" spans="65:235" x14ac:dyDescent="0.25">
      <c r="BM1118" s="281">
        <f>$AZ$23+0.8*(seat_pitch)*($AY$23*n_SA+$AW$7&lt;pax_e)</f>
        <v>21.728000000000002</v>
      </c>
      <c r="BN1118" s="281">
        <f>$AX$7</f>
        <v>-0.78</v>
      </c>
      <c r="BO1118" s="281">
        <f t="shared" si="150"/>
        <v>3.9175200000000032</v>
      </c>
      <c r="HY1118" s="281">
        <f>$HX$22+0.8*(bus_pitch*(n_rows_b&gt;0))*($HW$22*n_SA_b+$HU$11&lt;pax_b)</f>
        <v>6.5</v>
      </c>
      <c r="HZ1118" s="281">
        <f>$HV$11</f>
        <v>-1.84</v>
      </c>
      <c r="IA1118" s="281">
        <f t="shared" si="151"/>
        <v>-11.310479999999998</v>
      </c>
    </row>
    <row r="1119" spans="65:235" x14ac:dyDescent="0.25">
      <c r="BM1119" s="281">
        <f>$AZ$23+0.2*(seat_pitch)*($AY$23*n_SA+$AW$7&lt;pax_e)</f>
        <v>21.242000000000001</v>
      </c>
      <c r="BN1119" s="281">
        <f>$AX$7</f>
        <v>-0.78</v>
      </c>
      <c r="BO1119" s="281">
        <f t="shared" si="150"/>
        <v>3.4315200000000026</v>
      </c>
      <c r="HY1119" s="281">
        <f>$HX$22+0.2*(bus_pitch*(n_rows_b&gt;0))*($HW$22*n_SA_b+$HU$11&lt;pax_b)</f>
        <v>6.5</v>
      </c>
      <c r="HZ1119" s="281">
        <f>$HV$11</f>
        <v>-1.84</v>
      </c>
      <c r="IA1119" s="281">
        <f t="shared" si="151"/>
        <v>-11.310479999999998</v>
      </c>
    </row>
    <row r="1120" spans="65:235" x14ac:dyDescent="0.25">
      <c r="BM1120" s="281">
        <f>$AZ$23+(seat_pitch)</f>
        <v>21.89</v>
      </c>
      <c r="BN1120" s="281">
        <f>$AX$7</f>
        <v>-0.78</v>
      </c>
      <c r="BO1120" s="281">
        <f t="shared" si="150"/>
        <v>4.0795200000000023</v>
      </c>
      <c r="HY1120" s="281">
        <f>$HX$22+(bus_pitch*(n_rows_b&gt;0))</f>
        <v>6.5</v>
      </c>
      <c r="HZ1120" s="281">
        <f>$HV$11</f>
        <v>-1.84</v>
      </c>
      <c r="IA1120" s="281">
        <f t="shared" si="151"/>
        <v>-11.310479999999998</v>
      </c>
    </row>
    <row r="1121" spans="65:235" x14ac:dyDescent="0.25">
      <c r="BM1121" s="281">
        <f>$AZ$24+0.2*(seat_pitch)*($AY$24*n_SA+$AW$7&lt;pax_e)</f>
        <v>22.052</v>
      </c>
      <c r="BN1121" s="281">
        <f>$AX$7</f>
        <v>-0.78</v>
      </c>
      <c r="BO1121" s="281">
        <f t="shared" si="150"/>
        <v>4.2415200000000013</v>
      </c>
      <c r="HY1121" s="281">
        <f>$HX$23+0.2*(bus_pitch*(n_rows_b&gt;0))*($HW$23*n_SA_b+$HU$11&lt;pax_b)</f>
        <v>6.5</v>
      </c>
      <c r="HZ1121" s="281">
        <f>$HV$11</f>
        <v>-1.84</v>
      </c>
      <c r="IA1121" s="281">
        <f t="shared" si="151"/>
        <v>-11.310479999999998</v>
      </c>
    </row>
    <row r="1122" spans="65:235" x14ac:dyDescent="0.25">
      <c r="BM1122" s="281">
        <f>$AZ$24+0.2*(seat_pitch)*($AY$24*n_SA+$AW$7&lt;pax_e)</f>
        <v>22.052</v>
      </c>
      <c r="BN1122" s="281">
        <f>$AX$7+seat_w*($AY$24*n_SA+$AW$7&lt;pax_e)</f>
        <v>-0.25</v>
      </c>
      <c r="BO1122" s="281">
        <f t="shared" si="150"/>
        <v>4.2415200000000013</v>
      </c>
      <c r="HY1122" s="281">
        <f>$HX$23+0.2*(bus_pitch*(n_rows_b&gt;0))*($HW$23*n_SA_b+$HU$11&lt;pax_b)</f>
        <v>6.5</v>
      </c>
      <c r="HZ1122" s="281">
        <f>$HV$11+seat_w_b*($HW$23*n_SA_b+$HU$11&lt;pax_b)</f>
        <v>-1.84</v>
      </c>
      <c r="IA1122" s="281">
        <f t="shared" si="151"/>
        <v>-11.310479999999998</v>
      </c>
    </row>
    <row r="1123" spans="65:235" x14ac:dyDescent="0.25">
      <c r="BM1123" s="281">
        <f>$AZ$24</f>
        <v>21.89</v>
      </c>
      <c r="BN1123" s="281">
        <f>$AX$7+seat_w*($AY$24*n_SA+$AW$7&lt;pax_e)</f>
        <v>-0.25</v>
      </c>
      <c r="BO1123" s="281">
        <f t="shared" si="150"/>
        <v>4.0795200000000023</v>
      </c>
      <c r="HY1123" s="281">
        <f>$HX$23</f>
        <v>6.5</v>
      </c>
      <c r="HZ1123" s="281">
        <f>$HV$11+seat_w_b*($HW$23*n_SA_b+$HU$11&lt;pax_b)</f>
        <v>-1.84</v>
      </c>
      <c r="IA1123" s="281">
        <f t="shared" si="151"/>
        <v>-11.310479999999998</v>
      </c>
    </row>
    <row r="1124" spans="65:235" x14ac:dyDescent="0.25">
      <c r="BM1124" s="281">
        <f>$AZ$24+1*(seat_pitch)*($AY$24*n_SA+$AW$7&lt;pax_e)</f>
        <v>22.7</v>
      </c>
      <c r="BN1124" s="281">
        <f>$AX$7+seat_w*($AY$24*n_SA+$AW$7&lt;pax_e)</f>
        <v>-0.25</v>
      </c>
      <c r="BO1124" s="281">
        <f t="shared" si="150"/>
        <v>4.889520000000001</v>
      </c>
      <c r="HY1124" s="281">
        <f>$HX$23+1*(bus_pitch*(n_rows_b&gt;0))*($HW$23*n_SA_b+$HU$11&lt;pax_b)</f>
        <v>6.5</v>
      </c>
      <c r="HZ1124" s="281">
        <f>$HV$11+seat_w_b*($HW$23*n_SA_b+$HU$11&lt;pax_b)</f>
        <v>-1.84</v>
      </c>
      <c r="IA1124" s="281">
        <f t="shared" si="151"/>
        <v>-11.310479999999998</v>
      </c>
    </row>
    <row r="1125" spans="65:235" x14ac:dyDescent="0.25">
      <c r="BM1125" s="281">
        <f>$AZ$24+0.8*(seat_pitch)*($AY$24*n_SA+$AW$7&lt;pax_e)</f>
        <v>22.538</v>
      </c>
      <c r="BN1125" s="281">
        <f>$AX$7+seat_w*($AY$24*n_SA+$AW$7&lt;pax_e)</f>
        <v>-0.25</v>
      </c>
      <c r="BO1125" s="281">
        <f t="shared" si="150"/>
        <v>4.7275200000000019</v>
      </c>
      <c r="HY1125" s="281">
        <f>$HX$23+0.8*(bus_pitch*(n_rows_b&gt;0))*($HW$23*n_SA_b+$HU$11&lt;pax_b)</f>
        <v>6.5</v>
      </c>
      <c r="HZ1125" s="281">
        <f>$HV$11+seat_w_b*($HW$23*n_SA_b+$HU$11&lt;pax_b)</f>
        <v>-1.84</v>
      </c>
      <c r="IA1125" s="281">
        <f t="shared" si="151"/>
        <v>-11.310479999999998</v>
      </c>
    </row>
    <row r="1126" spans="65:235" x14ac:dyDescent="0.25">
      <c r="BM1126" s="281">
        <f>$AZ$24+0.8*(seat_pitch)*($AY$24*n_SA+$AW$7&lt;pax_e)</f>
        <v>22.538</v>
      </c>
      <c r="BN1126" s="281">
        <f>$AX$7</f>
        <v>-0.78</v>
      </c>
      <c r="BO1126" s="281">
        <f t="shared" si="150"/>
        <v>4.7275200000000019</v>
      </c>
      <c r="HY1126" s="281">
        <f>$HX$23+0.8*(bus_pitch*(n_rows_b&gt;0))*($HW$23*n_SA_b+$HU$11&lt;pax_b)</f>
        <v>6.5</v>
      </c>
      <c r="HZ1126" s="281">
        <f>$HV$11</f>
        <v>-1.84</v>
      </c>
      <c r="IA1126" s="281">
        <f t="shared" si="151"/>
        <v>-11.310479999999998</v>
      </c>
    </row>
    <row r="1127" spans="65:235" x14ac:dyDescent="0.25">
      <c r="BM1127" s="281">
        <f>$AZ$24+0.2*(seat_pitch)*($AY$24*n_SA+$AW$7&lt;pax_e)</f>
        <v>22.052</v>
      </c>
      <c r="BN1127" s="281">
        <f>$AX$7</f>
        <v>-0.78</v>
      </c>
      <c r="BO1127" s="281">
        <f t="shared" si="150"/>
        <v>4.2415200000000013</v>
      </c>
      <c r="HY1127" s="281">
        <f>$HX$23+0.2*(bus_pitch*(n_rows_b&gt;0))*($HW$23*n_SA_b+$HU$11&lt;pax_b)</f>
        <v>6.5</v>
      </c>
      <c r="HZ1127" s="281">
        <f>$HV$11</f>
        <v>-1.84</v>
      </c>
      <c r="IA1127" s="281">
        <f t="shared" si="151"/>
        <v>-11.310479999999998</v>
      </c>
    </row>
    <row r="1128" spans="65:235" x14ac:dyDescent="0.25">
      <c r="BM1128" s="281">
        <f>$AZ$24+(seat_pitch)</f>
        <v>22.7</v>
      </c>
      <c r="BN1128" s="281">
        <f>$AX$7</f>
        <v>-0.78</v>
      </c>
      <c r="BO1128" s="281">
        <f t="shared" si="150"/>
        <v>4.889520000000001</v>
      </c>
      <c r="HY1128" s="281">
        <f>$HX$23+(bus_pitch*(n_rows_b&gt;0))</f>
        <v>6.5</v>
      </c>
      <c r="HZ1128" s="281">
        <f>$HV$11</f>
        <v>-1.84</v>
      </c>
      <c r="IA1128" s="281">
        <f t="shared" si="151"/>
        <v>-11.310479999999998</v>
      </c>
    </row>
    <row r="1129" spans="65:235" x14ac:dyDescent="0.25">
      <c r="BM1129" s="281">
        <f>$AZ$25+0.2*(seat_pitch)*($AY$25*n_SA+$AW$7&lt;pax_e)</f>
        <v>22.862000000000002</v>
      </c>
      <c r="BN1129" s="281">
        <f>$AX$7</f>
        <v>-0.78</v>
      </c>
      <c r="BO1129" s="281">
        <f t="shared" si="150"/>
        <v>5.0515200000000036</v>
      </c>
      <c r="HY1129" s="281">
        <f>$HX$24+0.2*(bus_pitch*(n_rows_b&gt;0))*($HW$24*n_SA_b+$HU$11&lt;pax_b)</f>
        <v>6.5</v>
      </c>
      <c r="HZ1129" s="281">
        <f>$HV$11</f>
        <v>-1.84</v>
      </c>
      <c r="IA1129" s="281">
        <f t="shared" si="151"/>
        <v>-11.310479999999998</v>
      </c>
    </row>
    <row r="1130" spans="65:235" x14ac:dyDescent="0.25">
      <c r="BM1130" s="281">
        <f>$AZ$25+0.2*(seat_pitch)*($AY$25*n_SA+$AW$7&lt;pax_e)</f>
        <v>22.862000000000002</v>
      </c>
      <c r="BN1130" s="281">
        <f>$AX$7+seat_w*($AY$25*n_SA+$AW$7&lt;pax_e)</f>
        <v>-0.25</v>
      </c>
      <c r="BO1130" s="281">
        <f t="shared" si="150"/>
        <v>5.0515200000000036</v>
      </c>
      <c r="HY1130" s="281">
        <f>$HX$24+0.2*(bus_pitch*(n_rows_b&gt;0))*($HW$24*n_SA_b+$HU$11&lt;pax_b)</f>
        <v>6.5</v>
      </c>
      <c r="HZ1130" s="281">
        <f>$HV$11+seat_w_b*($HW$24*n_SA_b+$HU$11&lt;pax_b)</f>
        <v>-1.84</v>
      </c>
      <c r="IA1130" s="281">
        <f t="shared" si="151"/>
        <v>-11.310479999999998</v>
      </c>
    </row>
    <row r="1131" spans="65:235" x14ac:dyDescent="0.25">
      <c r="BM1131" s="281">
        <f>$AZ$25</f>
        <v>22.700000000000003</v>
      </c>
      <c r="BN1131" s="281">
        <f>$AX$7+seat_w*($AY$25*n_SA+$AW$7&lt;pax_e)</f>
        <v>-0.25</v>
      </c>
      <c r="BO1131" s="281">
        <f t="shared" si="150"/>
        <v>4.8895200000000045</v>
      </c>
      <c r="HY1131" s="281">
        <f>$HX$24</f>
        <v>6.5</v>
      </c>
      <c r="HZ1131" s="281">
        <f>$HV$11+seat_w_b*($HW$24*n_SA_b+$HU$11&lt;pax_b)</f>
        <v>-1.84</v>
      </c>
      <c r="IA1131" s="281">
        <f t="shared" si="151"/>
        <v>-11.310479999999998</v>
      </c>
    </row>
    <row r="1132" spans="65:235" x14ac:dyDescent="0.25">
      <c r="BM1132" s="281">
        <f>$AZ$25+1*(seat_pitch)*($AY$25*n_SA+$AW$7&lt;pax_e)</f>
        <v>23.51</v>
      </c>
      <c r="BN1132" s="281">
        <f>$AX$7+seat_w*($AY$25*n_SA+$AW$7&lt;pax_e)</f>
        <v>-0.25</v>
      </c>
      <c r="BO1132" s="281">
        <f t="shared" si="150"/>
        <v>5.6995200000000033</v>
      </c>
      <c r="HY1132" s="281">
        <f>$HX$24+1*(bus_pitch*(n_rows_b&gt;0))*($HW$24*n_SA_b+$HU$11&lt;pax_b)</f>
        <v>6.5</v>
      </c>
      <c r="HZ1132" s="281">
        <f>$HV$11+seat_w_b*($HW$24*n_SA_b+$HU$11&lt;pax_b)</f>
        <v>-1.84</v>
      </c>
      <c r="IA1132" s="281">
        <f t="shared" si="151"/>
        <v>-11.310479999999998</v>
      </c>
    </row>
    <row r="1133" spans="65:235" x14ac:dyDescent="0.25">
      <c r="BM1133" s="281">
        <f>$AZ$25+0.8*(seat_pitch)*($AY$25*n_SA+$AW$7&lt;pax_e)</f>
        <v>23.348000000000003</v>
      </c>
      <c r="BN1133" s="281">
        <f>$AX$7+seat_w*($AY$25*n_SA+$AW$7&lt;pax_e)</f>
        <v>-0.25</v>
      </c>
      <c r="BO1133" s="281">
        <f t="shared" si="150"/>
        <v>5.5375200000000042</v>
      </c>
      <c r="HY1133" s="281">
        <f>$HX$24+0.8*(bus_pitch*(n_rows_b&gt;0))*($HW$24*n_SA_b+$HU$11&lt;pax_b)</f>
        <v>6.5</v>
      </c>
      <c r="HZ1133" s="281">
        <f>$HV$11+seat_w_b*($HW$24*n_SA_b+$HU$11&lt;pax_b)</f>
        <v>-1.84</v>
      </c>
      <c r="IA1133" s="281">
        <f t="shared" si="151"/>
        <v>-11.310479999999998</v>
      </c>
    </row>
    <row r="1134" spans="65:235" x14ac:dyDescent="0.25">
      <c r="BM1134" s="281">
        <f>$AZ$25+0.8*(seat_pitch)*($AY$25*n_SA+$AW$7&lt;pax_e)</f>
        <v>23.348000000000003</v>
      </c>
      <c r="BN1134" s="281">
        <f>$AX$7</f>
        <v>-0.78</v>
      </c>
      <c r="BO1134" s="281">
        <f t="shared" si="150"/>
        <v>5.5375200000000042</v>
      </c>
      <c r="HY1134" s="281">
        <f>$HX$24+0.8*(bus_pitch*(n_rows_b&gt;0))*($HW$24*n_SA_b+$HU$11&lt;pax_b)</f>
        <v>6.5</v>
      </c>
      <c r="HZ1134" s="281">
        <f>$HV$11</f>
        <v>-1.84</v>
      </c>
      <c r="IA1134" s="281">
        <f t="shared" si="151"/>
        <v>-11.310479999999998</v>
      </c>
    </row>
    <row r="1135" spans="65:235" x14ac:dyDescent="0.25">
      <c r="BM1135" s="281">
        <f>$AZ$25+0.2*(seat_pitch)*($AY$25*n_SA+$AW$7&lt;pax_e)</f>
        <v>22.862000000000002</v>
      </c>
      <c r="BN1135" s="281">
        <f>$AX$7</f>
        <v>-0.78</v>
      </c>
      <c r="BO1135" s="281">
        <f t="shared" si="150"/>
        <v>5.0515200000000036</v>
      </c>
      <c r="HY1135" s="281">
        <f>$HX$24+0.2*(bus_pitch*(n_rows_b&gt;0))*($HW$24*n_SA_b+$HU$11&lt;pax_b)</f>
        <v>6.5</v>
      </c>
      <c r="HZ1135" s="281">
        <f>$HV$11</f>
        <v>-1.84</v>
      </c>
      <c r="IA1135" s="281">
        <f t="shared" si="151"/>
        <v>-11.310479999999998</v>
      </c>
    </row>
    <row r="1136" spans="65:235" x14ac:dyDescent="0.25">
      <c r="BM1136" s="281">
        <f>$AZ$25+(seat_pitch)</f>
        <v>23.51</v>
      </c>
      <c r="BN1136" s="281">
        <f>$AX$7</f>
        <v>-0.78</v>
      </c>
      <c r="BO1136" s="281">
        <f t="shared" si="150"/>
        <v>5.6995200000000033</v>
      </c>
      <c r="HY1136" s="281">
        <f>$HX$24+(bus_pitch*(n_rows_b&gt;0))</f>
        <v>6.5</v>
      </c>
      <c r="HZ1136" s="281">
        <f>$HV$11</f>
        <v>-1.84</v>
      </c>
      <c r="IA1136" s="281">
        <f t="shared" si="151"/>
        <v>-11.310479999999998</v>
      </c>
    </row>
    <row r="1137" spans="65:67" x14ac:dyDescent="0.25">
      <c r="BM1137" s="281">
        <f>$AZ$26+0.2*(seat_pitch)*($AY$26*n_SA+$AW$7&lt;pax_e)</f>
        <v>23.672000000000001</v>
      </c>
      <c r="BN1137" s="281">
        <f>$AX$7</f>
        <v>-0.78</v>
      </c>
      <c r="BO1137" s="281">
        <f t="shared" si="150"/>
        <v>5.8615200000000023</v>
      </c>
    </row>
    <row r="1138" spans="65:67" x14ac:dyDescent="0.25">
      <c r="BM1138" s="281">
        <f>$AZ$26+0.2*(seat_pitch)*($AY$26*n_SA+$AW$7&lt;pax_e)</f>
        <v>23.672000000000001</v>
      </c>
      <c r="BN1138" s="281">
        <f>$AX$7+seat_w*($AY$26*n_SA+$AW$7&lt;pax_e)</f>
        <v>-0.25</v>
      </c>
      <c r="BO1138" s="281">
        <f t="shared" si="150"/>
        <v>5.8615200000000023</v>
      </c>
    </row>
    <row r="1139" spans="65:67" x14ac:dyDescent="0.25">
      <c r="BM1139" s="281">
        <f>$AZ$26</f>
        <v>23.51</v>
      </c>
      <c r="BN1139" s="281">
        <f>$AX$7+seat_w*($AY$26*n_SA+$AW$7&lt;pax_e)</f>
        <v>-0.25</v>
      </c>
      <c r="BO1139" s="281">
        <f t="shared" si="150"/>
        <v>5.6995200000000033</v>
      </c>
    </row>
    <row r="1140" spans="65:67" x14ac:dyDescent="0.25">
      <c r="BM1140" s="281">
        <f>$AZ$26+1*(seat_pitch)*($AY$26*n_SA+$AW$7&lt;pax_e)</f>
        <v>24.32</v>
      </c>
      <c r="BN1140" s="281">
        <f>$AX$7+seat_w*($AY$26*n_SA+$AW$7&lt;pax_e)</f>
        <v>-0.25</v>
      </c>
      <c r="BO1140" s="281">
        <f t="shared" si="150"/>
        <v>6.509520000000002</v>
      </c>
    </row>
    <row r="1141" spans="65:67" x14ac:dyDescent="0.25">
      <c r="BM1141" s="281">
        <f>$AZ$26+0.8*(seat_pitch)*($AY$26*n_SA+$AW$7&lt;pax_e)</f>
        <v>24.158000000000001</v>
      </c>
      <c r="BN1141" s="281">
        <f>$AX$7+seat_w*($AY$26*n_SA+$AW$7&lt;pax_e)</f>
        <v>-0.25</v>
      </c>
      <c r="BO1141" s="281">
        <f t="shared" si="150"/>
        <v>6.3475200000000029</v>
      </c>
    </row>
    <row r="1142" spans="65:67" x14ac:dyDescent="0.25">
      <c r="BM1142" s="281">
        <f>$AZ$26+0.8*(seat_pitch)*($AY$26*n_SA+$AW$7&lt;pax_e)</f>
        <v>24.158000000000001</v>
      </c>
      <c r="BN1142" s="281">
        <f>$AX$7</f>
        <v>-0.78</v>
      </c>
      <c r="BO1142" s="281">
        <f t="shared" si="150"/>
        <v>6.3475200000000029</v>
      </c>
    </row>
    <row r="1143" spans="65:67" x14ac:dyDescent="0.25">
      <c r="BM1143" s="281">
        <f>$AZ$26+0.2*(seat_pitch)*($AY$26*n_SA+$AW$7&lt;pax_e)</f>
        <v>23.672000000000001</v>
      </c>
      <c r="BN1143" s="281">
        <f>$AX$7</f>
        <v>-0.78</v>
      </c>
      <c r="BO1143" s="281">
        <f t="shared" si="150"/>
        <v>5.8615200000000023</v>
      </c>
    </row>
    <row r="1144" spans="65:67" x14ac:dyDescent="0.25">
      <c r="BM1144" s="281">
        <f>$AZ$26+(seat_pitch)</f>
        <v>24.32</v>
      </c>
      <c r="BN1144" s="281">
        <f>$AX$7</f>
        <v>-0.78</v>
      </c>
      <c r="BO1144" s="281">
        <f t="shared" si="150"/>
        <v>6.509520000000002</v>
      </c>
    </row>
    <row r="1145" spans="65:67" x14ac:dyDescent="0.25">
      <c r="BM1145" s="281">
        <f>$AZ$27+0.2*(seat_pitch)*($AY$27*n_SA+$AW$7&lt;pax_e)</f>
        <v>24.481999999999999</v>
      </c>
      <c r="BN1145" s="281">
        <f>$AX$7</f>
        <v>-0.78</v>
      </c>
      <c r="BO1145" s="281">
        <f t="shared" si="150"/>
        <v>6.671520000000001</v>
      </c>
    </row>
    <row r="1146" spans="65:67" x14ac:dyDescent="0.25">
      <c r="BM1146" s="281">
        <f>$AZ$27+0.2*(seat_pitch)*($AY$27*n_SA+$AW$7&lt;pax_e)</f>
        <v>24.481999999999999</v>
      </c>
      <c r="BN1146" s="281">
        <f>$AX$7+seat_w*($AY$27*n_SA+$AW$7&lt;pax_e)</f>
        <v>-0.25</v>
      </c>
      <c r="BO1146" s="281">
        <f t="shared" si="150"/>
        <v>6.671520000000001</v>
      </c>
    </row>
    <row r="1147" spans="65:67" x14ac:dyDescent="0.25">
      <c r="BM1147" s="281">
        <f>$AZ$27</f>
        <v>24.32</v>
      </c>
      <c r="BN1147" s="281">
        <f>$AX$7+seat_w*($AY$27*n_SA+$AW$7&lt;pax_e)</f>
        <v>-0.25</v>
      </c>
      <c r="BO1147" s="281">
        <f t="shared" si="150"/>
        <v>6.509520000000002</v>
      </c>
    </row>
    <row r="1148" spans="65:67" x14ac:dyDescent="0.25">
      <c r="BM1148" s="281">
        <f>$AZ$27+1*(seat_pitch)*($AY$27*n_SA+$AW$7&lt;pax_e)</f>
        <v>25.13</v>
      </c>
      <c r="BN1148" s="281">
        <f>$AX$7+seat_w*($AY$27*n_SA+$AW$7&lt;pax_e)</f>
        <v>-0.25</v>
      </c>
      <c r="BO1148" s="281">
        <f t="shared" si="150"/>
        <v>7.3195200000000007</v>
      </c>
    </row>
    <row r="1149" spans="65:67" x14ac:dyDescent="0.25">
      <c r="BM1149" s="281">
        <f>$AZ$27+0.8*(seat_pitch)*($AY$27*n_SA+$AW$7&lt;pax_e)</f>
        <v>24.968</v>
      </c>
      <c r="BN1149" s="281">
        <f>$AX$7+seat_w*($AY$27*n_SA+$AW$7&lt;pax_e)</f>
        <v>-0.25</v>
      </c>
      <c r="BO1149" s="281">
        <f t="shared" si="150"/>
        <v>7.1575200000000017</v>
      </c>
    </row>
    <row r="1150" spans="65:67" x14ac:dyDescent="0.25">
      <c r="BM1150" s="281">
        <f>$AZ$27+0.8*(seat_pitch)*($AY$27*n_SA+$AW$7&lt;pax_e)</f>
        <v>24.968</v>
      </c>
      <c r="BN1150" s="281">
        <f>$AX$7</f>
        <v>-0.78</v>
      </c>
      <c r="BO1150" s="281">
        <f t="shared" si="150"/>
        <v>7.1575200000000017</v>
      </c>
    </row>
    <row r="1151" spans="65:67" x14ac:dyDescent="0.25">
      <c r="BM1151" s="281">
        <f>$AZ$27+0.2*(seat_pitch)*($AY$27*n_SA+$AW$7&lt;pax_e)</f>
        <v>24.481999999999999</v>
      </c>
      <c r="BN1151" s="281">
        <f>$AX$7</f>
        <v>-0.78</v>
      </c>
      <c r="BO1151" s="281">
        <f t="shared" si="150"/>
        <v>6.671520000000001</v>
      </c>
    </row>
    <row r="1152" spans="65:67" x14ac:dyDescent="0.25">
      <c r="BM1152" s="281">
        <f>$AZ$27+(seat_pitch)</f>
        <v>25.13</v>
      </c>
      <c r="BN1152" s="281">
        <f>$AX$7</f>
        <v>-0.78</v>
      </c>
      <c r="BO1152" s="281">
        <f t="shared" si="150"/>
        <v>7.3195200000000007</v>
      </c>
    </row>
    <row r="1153" spans="65:67" x14ac:dyDescent="0.25">
      <c r="BM1153" s="281">
        <f>$AZ$28+0.2*(seat_pitch)*($AY$28*n_SA+$AW$7&lt;pax_e)</f>
        <v>25.292000000000002</v>
      </c>
      <c r="BN1153" s="281">
        <f>$AX$7</f>
        <v>-0.78</v>
      </c>
      <c r="BO1153" s="281">
        <f t="shared" si="150"/>
        <v>7.4815200000000033</v>
      </c>
    </row>
    <row r="1154" spans="65:67" x14ac:dyDescent="0.25">
      <c r="BM1154" s="281">
        <f>$AZ$28+0.2*(seat_pitch)*($AY$28*n_SA+$AW$7&lt;pax_e)</f>
        <v>25.292000000000002</v>
      </c>
      <c r="BN1154" s="281">
        <f>$AX$7+seat_w*($AY$28*n_SA+$AW$7&lt;pax_e)</f>
        <v>-0.25</v>
      </c>
      <c r="BO1154" s="281">
        <f t="shared" si="150"/>
        <v>7.4815200000000033</v>
      </c>
    </row>
    <row r="1155" spans="65:67" x14ac:dyDescent="0.25">
      <c r="BM1155" s="281">
        <f>$AZ$28</f>
        <v>25.130000000000003</v>
      </c>
      <c r="BN1155" s="281">
        <f>$AX$7+seat_w*($AY$28*n_SA+$AW$7&lt;pax_e)</f>
        <v>-0.25</v>
      </c>
      <c r="BO1155" s="281">
        <f t="shared" si="150"/>
        <v>7.3195200000000042</v>
      </c>
    </row>
    <row r="1156" spans="65:67" x14ac:dyDescent="0.25">
      <c r="BM1156" s="281">
        <f>$AZ$28+1*(seat_pitch)*($AY$28*n_SA+$AW$7&lt;pax_e)</f>
        <v>25.94</v>
      </c>
      <c r="BN1156" s="281">
        <f>$AX$7+seat_w*($AY$28*n_SA+$AW$7&lt;pax_e)</f>
        <v>-0.25</v>
      </c>
      <c r="BO1156" s="281">
        <f t="shared" si="150"/>
        <v>8.129520000000003</v>
      </c>
    </row>
    <row r="1157" spans="65:67" x14ac:dyDescent="0.25">
      <c r="BM1157" s="281">
        <f>$AZ$28+0.8*(seat_pitch)*($AY$28*n_SA+$AW$7&lt;pax_e)</f>
        <v>25.778000000000002</v>
      </c>
      <c r="BN1157" s="281">
        <f>$AX$7+seat_w*($AY$28*n_SA+$AW$7&lt;pax_e)</f>
        <v>-0.25</v>
      </c>
      <c r="BO1157" s="281">
        <f t="shared" ref="BO1157:BO1220" si="152">BM1157-L_fus/2</f>
        <v>7.9675200000000039</v>
      </c>
    </row>
    <row r="1158" spans="65:67" x14ac:dyDescent="0.25">
      <c r="BM1158" s="281">
        <f>$AZ$28+0.8*(seat_pitch)*($AY$28*n_SA+$AW$7&lt;pax_e)</f>
        <v>25.778000000000002</v>
      </c>
      <c r="BN1158" s="281">
        <f>$AX$7</f>
        <v>-0.78</v>
      </c>
      <c r="BO1158" s="281">
        <f t="shared" si="152"/>
        <v>7.9675200000000039</v>
      </c>
    </row>
    <row r="1159" spans="65:67" x14ac:dyDescent="0.25">
      <c r="BM1159" s="281">
        <f>$AZ$28+0.2*(seat_pitch)*($AY$28*n_SA+$AW$7&lt;pax_e)</f>
        <v>25.292000000000002</v>
      </c>
      <c r="BN1159" s="281">
        <f>$AX$7</f>
        <v>-0.78</v>
      </c>
      <c r="BO1159" s="281">
        <f t="shared" si="152"/>
        <v>7.4815200000000033</v>
      </c>
    </row>
    <row r="1160" spans="65:67" x14ac:dyDescent="0.25">
      <c r="BM1160" s="281">
        <f>$AZ$28+(seat_pitch)</f>
        <v>25.94</v>
      </c>
      <c r="BN1160" s="281">
        <f>$AX$7</f>
        <v>-0.78</v>
      </c>
      <c r="BO1160" s="281">
        <f t="shared" si="152"/>
        <v>8.129520000000003</v>
      </c>
    </row>
    <row r="1161" spans="65:67" x14ac:dyDescent="0.25">
      <c r="BM1161" s="281">
        <f>$AZ$29+0.2*(seat_pitch)*($AY$29*n_SA+$AW$7&lt;pax_e)</f>
        <v>26.102</v>
      </c>
      <c r="BN1161" s="281">
        <f>$AX$7</f>
        <v>-0.78</v>
      </c>
      <c r="BO1161" s="281">
        <f t="shared" si="152"/>
        <v>8.291520000000002</v>
      </c>
    </row>
    <row r="1162" spans="65:67" x14ac:dyDescent="0.25">
      <c r="BM1162" s="281">
        <f>$AZ$29+0.2*(seat_pitch)*($AY$29*n_SA+$AW$7&lt;pax_e)</f>
        <v>26.102</v>
      </c>
      <c r="BN1162" s="281">
        <f>$AX$7+seat_w*($AY$29*n_SA+$AW$7&lt;pax_e)</f>
        <v>-0.25</v>
      </c>
      <c r="BO1162" s="281">
        <f t="shared" si="152"/>
        <v>8.291520000000002</v>
      </c>
    </row>
    <row r="1163" spans="65:67" x14ac:dyDescent="0.25">
      <c r="BM1163" s="281">
        <f>$AZ$29</f>
        <v>25.94</v>
      </c>
      <c r="BN1163" s="281">
        <f>$AX$7+seat_w*($AY$29*n_SA+$AW$7&lt;pax_e)</f>
        <v>-0.25</v>
      </c>
      <c r="BO1163" s="281">
        <f t="shared" si="152"/>
        <v>8.129520000000003</v>
      </c>
    </row>
    <row r="1164" spans="65:67" x14ac:dyDescent="0.25">
      <c r="BM1164" s="281">
        <f>$AZ$29+1*(seat_pitch)*($AY$29*n_SA+$AW$7&lt;pax_e)</f>
        <v>26.75</v>
      </c>
      <c r="BN1164" s="281">
        <f>$AX$7+seat_w*($AY$29*n_SA+$AW$7&lt;pax_e)</f>
        <v>-0.25</v>
      </c>
      <c r="BO1164" s="281">
        <f t="shared" si="152"/>
        <v>8.9395200000000017</v>
      </c>
    </row>
    <row r="1165" spans="65:67" x14ac:dyDescent="0.25">
      <c r="BM1165" s="281">
        <f>$AZ$29+0.8*(seat_pitch)*($AY$29*n_SA+$AW$7&lt;pax_e)</f>
        <v>26.588000000000001</v>
      </c>
      <c r="BN1165" s="281">
        <f>$AX$7+seat_w*($AY$29*n_SA+$AW$7&lt;pax_e)</f>
        <v>-0.25</v>
      </c>
      <c r="BO1165" s="281">
        <f t="shared" si="152"/>
        <v>8.7775200000000027</v>
      </c>
    </row>
    <row r="1166" spans="65:67" x14ac:dyDescent="0.25">
      <c r="BM1166" s="281">
        <f>$AZ$29+0.8*(seat_pitch)*($AY$29*n_SA+$AW$7&lt;pax_e)</f>
        <v>26.588000000000001</v>
      </c>
      <c r="BN1166" s="281">
        <f>$AX$7</f>
        <v>-0.78</v>
      </c>
      <c r="BO1166" s="281">
        <f t="shared" si="152"/>
        <v>8.7775200000000027</v>
      </c>
    </row>
    <row r="1167" spans="65:67" x14ac:dyDescent="0.25">
      <c r="BM1167" s="281">
        <f>$AZ$29+0.2*(seat_pitch)*($AY$29*n_SA+$AW$7&lt;pax_e)</f>
        <v>26.102</v>
      </c>
      <c r="BN1167" s="281">
        <f>$AX$7</f>
        <v>-0.78</v>
      </c>
      <c r="BO1167" s="281">
        <f t="shared" si="152"/>
        <v>8.291520000000002</v>
      </c>
    </row>
    <row r="1168" spans="65:67" x14ac:dyDescent="0.25">
      <c r="BM1168" s="281">
        <f>$AZ$29+(seat_pitch)</f>
        <v>26.75</v>
      </c>
      <c r="BN1168" s="281">
        <f>$AX$7</f>
        <v>-0.78</v>
      </c>
      <c r="BO1168" s="281">
        <f t="shared" si="152"/>
        <v>8.9395200000000017</v>
      </c>
    </row>
    <row r="1169" spans="65:67" x14ac:dyDescent="0.25">
      <c r="BM1169" s="281">
        <f>$AZ$30+0.2*(seat_pitch)*($AY$30*n_SA+$AW$7&lt;pax_e)</f>
        <v>26.102</v>
      </c>
      <c r="BN1169" s="281">
        <f>$AX$7</f>
        <v>-0.78</v>
      </c>
      <c r="BO1169" s="281">
        <f t="shared" si="152"/>
        <v>8.291520000000002</v>
      </c>
    </row>
    <row r="1170" spans="65:67" x14ac:dyDescent="0.25">
      <c r="BM1170" s="281">
        <f>$AZ$30+0.2*(seat_pitch)*($AY$30*n_SA+$AW$7&lt;pax_e)</f>
        <v>26.102</v>
      </c>
      <c r="BN1170" s="281">
        <f>$AX$7+seat_w*($AY$30*n_SA+$AW$7&lt;pax_e)</f>
        <v>-0.25</v>
      </c>
      <c r="BO1170" s="281">
        <f t="shared" si="152"/>
        <v>8.291520000000002</v>
      </c>
    </row>
    <row r="1171" spans="65:67" x14ac:dyDescent="0.25">
      <c r="BM1171" s="281">
        <f>$AZ$30</f>
        <v>25.94</v>
      </c>
      <c r="BN1171" s="281">
        <f>$AX$7+seat_w*($AY$30*n_SA+$AW$7&lt;pax_e)</f>
        <v>-0.25</v>
      </c>
      <c r="BO1171" s="281">
        <f t="shared" si="152"/>
        <v>8.129520000000003</v>
      </c>
    </row>
    <row r="1172" spans="65:67" x14ac:dyDescent="0.25">
      <c r="BM1172" s="281">
        <f>$AZ$30+1*(seat_pitch)*($AY$30*n_SA+$AW$7&lt;pax_e)</f>
        <v>26.75</v>
      </c>
      <c r="BN1172" s="281">
        <f>$AX$7+seat_w*($AY$30*n_SA+$AW$7&lt;pax_e)</f>
        <v>-0.25</v>
      </c>
      <c r="BO1172" s="281">
        <f t="shared" si="152"/>
        <v>8.9395200000000017</v>
      </c>
    </row>
    <row r="1173" spans="65:67" x14ac:dyDescent="0.25">
      <c r="BM1173" s="281">
        <f>$AZ$30+0.8*(seat_pitch)*($AY$30*n_SA+$AW$7&lt;pax_e)</f>
        <v>26.588000000000001</v>
      </c>
      <c r="BN1173" s="281">
        <f>$AX$7+seat_w*($AY$30*n_SA+$AW$7&lt;pax_e)</f>
        <v>-0.25</v>
      </c>
      <c r="BO1173" s="281">
        <f t="shared" si="152"/>
        <v>8.7775200000000027</v>
      </c>
    </row>
    <row r="1174" spans="65:67" x14ac:dyDescent="0.25">
      <c r="BM1174" s="281">
        <f>$AZ$30+0.8*(seat_pitch)*($AY$30*n_SA+$AW$7&lt;pax_e)</f>
        <v>26.588000000000001</v>
      </c>
      <c r="BN1174" s="281">
        <f>$AX$7</f>
        <v>-0.78</v>
      </c>
      <c r="BO1174" s="281">
        <f t="shared" si="152"/>
        <v>8.7775200000000027</v>
      </c>
    </row>
    <row r="1175" spans="65:67" x14ac:dyDescent="0.25">
      <c r="BM1175" s="281">
        <f>$AZ$30+0.2*(seat_pitch)*($AY$30*n_SA+$AW$7&lt;pax_e)</f>
        <v>26.102</v>
      </c>
      <c r="BN1175" s="281">
        <f>$AX$7</f>
        <v>-0.78</v>
      </c>
      <c r="BO1175" s="281">
        <f t="shared" si="152"/>
        <v>8.291520000000002</v>
      </c>
    </row>
    <row r="1176" spans="65:67" x14ac:dyDescent="0.25">
      <c r="BM1176" s="281">
        <f>$AZ$30+(seat_pitch)</f>
        <v>26.75</v>
      </c>
      <c r="BN1176" s="281">
        <f>$AX$7</f>
        <v>-0.78</v>
      </c>
      <c r="BO1176" s="281">
        <f t="shared" si="152"/>
        <v>8.9395200000000017</v>
      </c>
    </row>
    <row r="1177" spans="65:67" x14ac:dyDescent="0.25">
      <c r="BM1177" s="281">
        <f>$AZ$31+0.2*(seat_pitch)*($AY$31*n_SA+$AW$7&lt;pax_e)</f>
        <v>26.102</v>
      </c>
      <c r="BN1177" s="281">
        <f>$AX$7</f>
        <v>-0.78</v>
      </c>
      <c r="BO1177" s="281">
        <f t="shared" si="152"/>
        <v>8.291520000000002</v>
      </c>
    </row>
    <row r="1178" spans="65:67" x14ac:dyDescent="0.25">
      <c r="BM1178" s="281">
        <f>$AZ$31+0.2*(seat_pitch)*($AY$31*n_SA+$AW$7&lt;pax_e)</f>
        <v>26.102</v>
      </c>
      <c r="BN1178" s="281">
        <f>$AX$7+seat_w*($AY$31*n_SA+$AW$7&lt;pax_e)</f>
        <v>-0.25</v>
      </c>
      <c r="BO1178" s="281">
        <f t="shared" si="152"/>
        <v>8.291520000000002</v>
      </c>
    </row>
    <row r="1179" spans="65:67" x14ac:dyDescent="0.25">
      <c r="BM1179" s="281">
        <f>$AZ$31</f>
        <v>25.94</v>
      </c>
      <c r="BN1179" s="281">
        <f>$AX$7+seat_w*($AY$31*n_SA+$AW$7&lt;pax_e)</f>
        <v>-0.25</v>
      </c>
      <c r="BO1179" s="281">
        <f t="shared" si="152"/>
        <v>8.129520000000003</v>
      </c>
    </row>
    <row r="1180" spans="65:67" x14ac:dyDescent="0.25">
      <c r="BM1180" s="281">
        <f>$AZ$31+1*(seat_pitch)*($AY$31*n_SA+$AW$7&lt;pax_e)</f>
        <v>26.75</v>
      </c>
      <c r="BN1180" s="281">
        <f>$AX$7+seat_w*($AY$31*n_SA+$AW$7&lt;pax_e)</f>
        <v>-0.25</v>
      </c>
      <c r="BO1180" s="281">
        <f t="shared" si="152"/>
        <v>8.9395200000000017</v>
      </c>
    </row>
    <row r="1181" spans="65:67" x14ac:dyDescent="0.25">
      <c r="BM1181" s="281">
        <f>$AZ$31+0.8*(seat_pitch)*($AY$31*n_SA+$AW$7&lt;pax_e)</f>
        <v>26.588000000000001</v>
      </c>
      <c r="BN1181" s="281">
        <f>$AX$7+seat_w*($AY$31*n_SA+$AW$7&lt;pax_e)</f>
        <v>-0.25</v>
      </c>
      <c r="BO1181" s="281">
        <f t="shared" si="152"/>
        <v>8.7775200000000027</v>
      </c>
    </row>
    <row r="1182" spans="65:67" x14ac:dyDescent="0.25">
      <c r="BM1182" s="281">
        <f>$AZ$31+0.8*(seat_pitch)*($AY$31*n_SA+$AW$7&lt;pax_e)</f>
        <v>26.588000000000001</v>
      </c>
      <c r="BN1182" s="281">
        <f>$AX$7</f>
        <v>-0.78</v>
      </c>
      <c r="BO1182" s="281">
        <f t="shared" si="152"/>
        <v>8.7775200000000027</v>
      </c>
    </row>
    <row r="1183" spans="65:67" x14ac:dyDescent="0.25">
      <c r="BM1183" s="281">
        <f>$AZ$31+0.2*(seat_pitch)*($AY$31*n_SA+$AW$7&lt;pax_e)</f>
        <v>26.102</v>
      </c>
      <c r="BN1183" s="281">
        <f>$AX$7</f>
        <v>-0.78</v>
      </c>
      <c r="BO1183" s="281">
        <f t="shared" si="152"/>
        <v>8.291520000000002</v>
      </c>
    </row>
    <row r="1184" spans="65:67" x14ac:dyDescent="0.25">
      <c r="BM1184" s="281">
        <f>$AZ$31+(seat_pitch)</f>
        <v>26.75</v>
      </c>
      <c r="BN1184" s="281">
        <f>$AX$7</f>
        <v>-0.78</v>
      </c>
      <c r="BO1184" s="281">
        <f t="shared" si="152"/>
        <v>8.9395200000000017</v>
      </c>
    </row>
    <row r="1185" spans="65:67" x14ac:dyDescent="0.25">
      <c r="BM1185" s="281">
        <f>$AZ$32+0.2*(seat_pitch)*($AY$32*n_SA+$AW$7&lt;pax_e)</f>
        <v>26.102</v>
      </c>
      <c r="BN1185" s="281">
        <f>$AX$7</f>
        <v>-0.78</v>
      </c>
      <c r="BO1185" s="281">
        <f t="shared" si="152"/>
        <v>8.291520000000002</v>
      </c>
    </row>
    <row r="1186" spans="65:67" x14ac:dyDescent="0.25">
      <c r="BM1186" s="281">
        <f>$AZ$32+0.2*(seat_pitch)*($AY$32*n_SA+$AW$7&lt;pax_e)</f>
        <v>26.102</v>
      </c>
      <c r="BN1186" s="281">
        <f>$AX$7+seat_w*($AY$32*n_SA+$AW$7&lt;pax_e)</f>
        <v>-0.25</v>
      </c>
      <c r="BO1186" s="281">
        <f t="shared" si="152"/>
        <v>8.291520000000002</v>
      </c>
    </row>
    <row r="1187" spans="65:67" x14ac:dyDescent="0.25">
      <c r="BM1187" s="281">
        <f>$AZ$32</f>
        <v>25.94</v>
      </c>
      <c r="BN1187" s="281">
        <f>$AX$7+seat_w*($AY$32*n_SA+$AW$7&lt;pax_e)</f>
        <v>-0.25</v>
      </c>
      <c r="BO1187" s="281">
        <f t="shared" si="152"/>
        <v>8.129520000000003</v>
      </c>
    </row>
    <row r="1188" spans="65:67" x14ac:dyDescent="0.25">
      <c r="BM1188" s="281">
        <f>$AZ$32+1*(seat_pitch)*($AY$32*n_SA+$AW$7&lt;pax_e)</f>
        <v>26.75</v>
      </c>
      <c r="BN1188" s="281">
        <f>$AX$7+seat_w*($AY$32*n_SA+$AW$7&lt;pax_e)</f>
        <v>-0.25</v>
      </c>
      <c r="BO1188" s="281">
        <f t="shared" si="152"/>
        <v>8.9395200000000017</v>
      </c>
    </row>
    <row r="1189" spans="65:67" x14ac:dyDescent="0.25">
      <c r="BM1189" s="281">
        <f>$AZ$32+0.8*(seat_pitch)*($AY$32*n_SA+$AW$7&lt;pax_e)</f>
        <v>26.588000000000001</v>
      </c>
      <c r="BN1189" s="281">
        <f>$AX$7+seat_w*($AY$32*n_SA+$AW$7&lt;pax_e)</f>
        <v>-0.25</v>
      </c>
      <c r="BO1189" s="281">
        <f t="shared" si="152"/>
        <v>8.7775200000000027</v>
      </c>
    </row>
    <row r="1190" spans="65:67" x14ac:dyDescent="0.25">
      <c r="BM1190" s="281">
        <f>$AZ$32+0.8*(seat_pitch)*($AY$32*n_SA+$AW$7&lt;pax_e)</f>
        <v>26.588000000000001</v>
      </c>
      <c r="BN1190" s="281">
        <f>$AX$7</f>
        <v>-0.78</v>
      </c>
      <c r="BO1190" s="281">
        <f t="shared" si="152"/>
        <v>8.7775200000000027</v>
      </c>
    </row>
    <row r="1191" spans="65:67" x14ac:dyDescent="0.25">
      <c r="BM1191" s="281">
        <f>$AZ$32+0.2*(seat_pitch)*($AY$32*n_SA+$AW$7&lt;pax_e)</f>
        <v>26.102</v>
      </c>
      <c r="BN1191" s="281">
        <f>$AX$7</f>
        <v>-0.78</v>
      </c>
      <c r="BO1191" s="281">
        <f t="shared" si="152"/>
        <v>8.291520000000002</v>
      </c>
    </row>
    <row r="1192" spans="65:67" x14ac:dyDescent="0.25">
      <c r="BM1192" s="281">
        <f>$AZ$32+(seat_pitch)</f>
        <v>26.75</v>
      </c>
      <c r="BN1192" s="281">
        <f>$AX$7</f>
        <v>-0.78</v>
      </c>
      <c r="BO1192" s="281">
        <f t="shared" si="152"/>
        <v>8.9395200000000017</v>
      </c>
    </row>
    <row r="1193" spans="65:67" x14ac:dyDescent="0.25">
      <c r="BM1193" s="281">
        <f>$AZ$33+0.2*(seat_pitch)*($AY$33*n_SA+$AW$7&lt;pax_e)</f>
        <v>26.102</v>
      </c>
      <c r="BN1193" s="281">
        <f>$AX$7</f>
        <v>-0.78</v>
      </c>
      <c r="BO1193" s="281">
        <f t="shared" si="152"/>
        <v>8.291520000000002</v>
      </c>
    </row>
    <row r="1194" spans="65:67" x14ac:dyDescent="0.25">
      <c r="BM1194" s="281">
        <f>$AZ$33+0.2*(seat_pitch)*($AY$33*n_SA+$AW$7&lt;pax_e)</f>
        <v>26.102</v>
      </c>
      <c r="BN1194" s="281">
        <f>$AX$7+seat_w*($AY$33*n_SA+$AW$7&lt;pax_e)</f>
        <v>-0.25</v>
      </c>
      <c r="BO1194" s="281">
        <f t="shared" si="152"/>
        <v>8.291520000000002</v>
      </c>
    </row>
    <row r="1195" spans="65:67" x14ac:dyDescent="0.25">
      <c r="BM1195" s="281">
        <f>$AZ$33</f>
        <v>25.94</v>
      </c>
      <c r="BN1195" s="281">
        <f>$AX$7+seat_w*($AY$33*n_SA+$AW$7&lt;pax_e)</f>
        <v>-0.25</v>
      </c>
      <c r="BO1195" s="281">
        <f t="shared" si="152"/>
        <v>8.129520000000003</v>
      </c>
    </row>
    <row r="1196" spans="65:67" x14ac:dyDescent="0.25">
      <c r="BM1196" s="281">
        <f>$AZ$33+1*(seat_pitch)*($AY$33*n_SA+$AW$7&lt;pax_e)</f>
        <v>26.75</v>
      </c>
      <c r="BN1196" s="281">
        <f>$AX$7+seat_w*($AY$33*n_SA+$AW$7&lt;pax_e)</f>
        <v>-0.25</v>
      </c>
      <c r="BO1196" s="281">
        <f t="shared" si="152"/>
        <v>8.9395200000000017</v>
      </c>
    </row>
    <row r="1197" spans="65:67" x14ac:dyDescent="0.25">
      <c r="BM1197" s="281">
        <f>$AZ$33+0.8*(seat_pitch)*($AY$33*n_SA+$AW$7&lt;pax_e)</f>
        <v>26.588000000000001</v>
      </c>
      <c r="BN1197" s="281">
        <f>$AX$7+seat_w*($AY$33*n_SA+$AW$7&lt;pax_e)</f>
        <v>-0.25</v>
      </c>
      <c r="BO1197" s="281">
        <f t="shared" si="152"/>
        <v>8.7775200000000027</v>
      </c>
    </row>
    <row r="1198" spans="65:67" x14ac:dyDescent="0.25">
      <c r="BM1198" s="281">
        <f>$AZ$33+0.8*(seat_pitch)*($AY$33*n_SA+$AW$7&lt;pax_e)</f>
        <v>26.588000000000001</v>
      </c>
      <c r="BN1198" s="281">
        <f>$AX$7</f>
        <v>-0.78</v>
      </c>
      <c r="BO1198" s="281">
        <f t="shared" si="152"/>
        <v>8.7775200000000027</v>
      </c>
    </row>
    <row r="1199" spans="65:67" x14ac:dyDescent="0.25">
      <c r="BM1199" s="281">
        <f>$AZ$33+0.2*(seat_pitch)*($AY$33*n_SA+$AW$7&lt;pax_e)</f>
        <v>26.102</v>
      </c>
      <c r="BN1199" s="281">
        <f>$AX$7</f>
        <v>-0.78</v>
      </c>
      <c r="BO1199" s="281">
        <f t="shared" si="152"/>
        <v>8.291520000000002</v>
      </c>
    </row>
    <row r="1200" spans="65:67" x14ac:dyDescent="0.25">
      <c r="BM1200" s="281">
        <f>$AZ$33+(seat_pitch)</f>
        <v>26.75</v>
      </c>
      <c r="BN1200" s="281">
        <f>$AX$7</f>
        <v>-0.78</v>
      </c>
      <c r="BO1200" s="281">
        <f t="shared" si="152"/>
        <v>8.9395200000000017</v>
      </c>
    </row>
    <row r="1201" spans="65:67" x14ac:dyDescent="0.25">
      <c r="BM1201" s="281">
        <f>$AZ$34+0.2*(seat_pitch)*($AY$34*n_SA+$AW$7&lt;pax_e)</f>
        <v>26.102</v>
      </c>
      <c r="BN1201" s="281">
        <f>$AX$7</f>
        <v>-0.78</v>
      </c>
      <c r="BO1201" s="281">
        <f t="shared" si="152"/>
        <v>8.291520000000002</v>
      </c>
    </row>
    <row r="1202" spans="65:67" x14ac:dyDescent="0.25">
      <c r="BM1202" s="281">
        <f>$AZ$34+0.2*(seat_pitch)*($AY$34*n_SA+$AW$7&lt;pax_e)</f>
        <v>26.102</v>
      </c>
      <c r="BN1202" s="281">
        <f>$AX$7+seat_w*($AY$34*n_SA+$AW$7&lt;pax_e)</f>
        <v>-0.25</v>
      </c>
      <c r="BO1202" s="281">
        <f t="shared" si="152"/>
        <v>8.291520000000002</v>
      </c>
    </row>
    <row r="1203" spans="65:67" x14ac:dyDescent="0.25">
      <c r="BM1203" s="281">
        <f>$AZ$34</f>
        <v>25.94</v>
      </c>
      <c r="BN1203" s="281">
        <f>$AX$7+seat_w*($AY$34*n_SA+$AW$7&lt;pax_e)</f>
        <v>-0.25</v>
      </c>
      <c r="BO1203" s="281">
        <f t="shared" si="152"/>
        <v>8.129520000000003</v>
      </c>
    </row>
    <row r="1204" spans="65:67" x14ac:dyDescent="0.25">
      <c r="BM1204" s="281">
        <f>$AZ$34+1*(seat_pitch)*($AY$34*n_SA+$AW$7&lt;pax_e)</f>
        <v>26.75</v>
      </c>
      <c r="BN1204" s="281">
        <f>$AX$7+seat_w*($AY$34*n_SA+$AW$7&lt;pax_e)</f>
        <v>-0.25</v>
      </c>
      <c r="BO1204" s="281">
        <f t="shared" si="152"/>
        <v>8.9395200000000017</v>
      </c>
    </row>
    <row r="1205" spans="65:67" x14ac:dyDescent="0.25">
      <c r="BM1205" s="281">
        <f>$AZ$34+0.8*(seat_pitch)*($AY$34*n_SA+$AW$7&lt;pax_e)</f>
        <v>26.588000000000001</v>
      </c>
      <c r="BN1205" s="281">
        <f>$AX$7+seat_w*($AY$34*n_SA+$AW$7&lt;pax_e)</f>
        <v>-0.25</v>
      </c>
      <c r="BO1205" s="281">
        <f t="shared" si="152"/>
        <v>8.7775200000000027</v>
      </c>
    </row>
    <row r="1206" spans="65:67" x14ac:dyDescent="0.25">
      <c r="BM1206" s="281">
        <f>$AZ$34+0.8*(seat_pitch)*($AY$34*n_SA+$AW$7&lt;pax_e)</f>
        <v>26.588000000000001</v>
      </c>
      <c r="BN1206" s="281">
        <f>$AX$7</f>
        <v>-0.78</v>
      </c>
      <c r="BO1206" s="281">
        <f t="shared" si="152"/>
        <v>8.7775200000000027</v>
      </c>
    </row>
    <row r="1207" spans="65:67" x14ac:dyDescent="0.25">
      <c r="BM1207" s="281">
        <f>$AZ$34+0.2*(seat_pitch)*($AY$34*n_SA+$AW$7&lt;pax_e)</f>
        <v>26.102</v>
      </c>
      <c r="BN1207" s="281">
        <f>$AX$7</f>
        <v>-0.78</v>
      </c>
      <c r="BO1207" s="281">
        <f t="shared" si="152"/>
        <v>8.291520000000002</v>
      </c>
    </row>
    <row r="1208" spans="65:67" x14ac:dyDescent="0.25">
      <c r="BM1208" s="281">
        <f>$AZ$34+(seat_pitch)</f>
        <v>26.75</v>
      </c>
      <c r="BN1208" s="281">
        <f>$AX$7</f>
        <v>-0.78</v>
      </c>
      <c r="BO1208" s="281">
        <f t="shared" si="152"/>
        <v>8.9395200000000017</v>
      </c>
    </row>
    <row r="1209" spans="65:67" x14ac:dyDescent="0.25">
      <c r="BM1209" s="281">
        <f>$AZ$35+0.2*(seat_pitch)*($AY$35*n_SA+$AW$7&lt;pax_e)</f>
        <v>26.102</v>
      </c>
      <c r="BN1209" s="281">
        <f>$AX$7</f>
        <v>-0.78</v>
      </c>
      <c r="BO1209" s="281">
        <f t="shared" si="152"/>
        <v>8.291520000000002</v>
      </c>
    </row>
    <row r="1210" spans="65:67" x14ac:dyDescent="0.25">
      <c r="BM1210" s="281">
        <f>$AZ$35+0.2*(seat_pitch)*($AY$35*n_SA+$AW$7&lt;pax_e)</f>
        <v>26.102</v>
      </c>
      <c r="BN1210" s="281">
        <f>$AX$7+seat_w*($AY$35*n_SA+$AW$7&lt;pax_e)</f>
        <v>-0.25</v>
      </c>
      <c r="BO1210" s="281">
        <f t="shared" si="152"/>
        <v>8.291520000000002</v>
      </c>
    </row>
    <row r="1211" spans="65:67" x14ac:dyDescent="0.25">
      <c r="BM1211" s="281">
        <f>$AZ$35</f>
        <v>25.94</v>
      </c>
      <c r="BN1211" s="281">
        <f>$AX$7+seat_w*($AY$35*n_SA+$AW$7&lt;pax_e)</f>
        <v>-0.25</v>
      </c>
      <c r="BO1211" s="281">
        <f t="shared" si="152"/>
        <v>8.129520000000003</v>
      </c>
    </row>
    <row r="1212" spans="65:67" x14ac:dyDescent="0.25">
      <c r="BM1212" s="281">
        <f>$AZ$35+1*(seat_pitch)*($AY$35*n_SA+$AW$7&lt;pax_e)</f>
        <v>26.75</v>
      </c>
      <c r="BN1212" s="281">
        <f>$AX$7+seat_w*($AY$35*n_SA+$AW$7&lt;pax_e)</f>
        <v>-0.25</v>
      </c>
      <c r="BO1212" s="281">
        <f t="shared" si="152"/>
        <v>8.9395200000000017</v>
      </c>
    </row>
    <row r="1213" spans="65:67" x14ac:dyDescent="0.25">
      <c r="BM1213" s="281">
        <f>$AZ$35+0.8*(seat_pitch)*($AY$35*n_SA+$AW$7&lt;pax_e)</f>
        <v>26.588000000000001</v>
      </c>
      <c r="BN1213" s="281">
        <f>$AX$7+seat_w*($AY$35*n_SA+$AW$7&lt;pax_e)</f>
        <v>-0.25</v>
      </c>
      <c r="BO1213" s="281">
        <f t="shared" si="152"/>
        <v>8.7775200000000027</v>
      </c>
    </row>
    <row r="1214" spans="65:67" x14ac:dyDescent="0.25">
      <c r="BM1214" s="281">
        <f>$AZ$35+0.8*(seat_pitch)*($AY$35*n_SA+$AW$7&lt;pax_e)</f>
        <v>26.588000000000001</v>
      </c>
      <c r="BN1214" s="281">
        <f>$AX$7</f>
        <v>-0.78</v>
      </c>
      <c r="BO1214" s="281">
        <f t="shared" si="152"/>
        <v>8.7775200000000027</v>
      </c>
    </row>
    <row r="1215" spans="65:67" x14ac:dyDescent="0.25">
      <c r="BM1215" s="281">
        <f>$AZ$35+0.2*(seat_pitch)*($AY$35*n_SA+$AW$7&lt;pax_e)</f>
        <v>26.102</v>
      </c>
      <c r="BN1215" s="281">
        <f>$AX$7</f>
        <v>-0.78</v>
      </c>
      <c r="BO1215" s="281">
        <f t="shared" si="152"/>
        <v>8.291520000000002</v>
      </c>
    </row>
    <row r="1216" spans="65:67" x14ac:dyDescent="0.25">
      <c r="BM1216" s="281">
        <f>$AZ$35+(seat_pitch)</f>
        <v>26.75</v>
      </c>
      <c r="BN1216" s="281">
        <f>$AX$7</f>
        <v>-0.78</v>
      </c>
      <c r="BO1216" s="281">
        <f t="shared" si="152"/>
        <v>8.9395200000000017</v>
      </c>
    </row>
    <row r="1217" spans="65:67" x14ac:dyDescent="0.25">
      <c r="BM1217" s="281">
        <f>$AZ$36+0.2*(seat_pitch)*($AY$36*n_SA+$AW$7&lt;pax_e)</f>
        <v>26.102</v>
      </c>
      <c r="BN1217" s="281">
        <f>$AX$7</f>
        <v>-0.78</v>
      </c>
      <c r="BO1217" s="281">
        <f t="shared" si="152"/>
        <v>8.291520000000002</v>
      </c>
    </row>
    <row r="1218" spans="65:67" x14ac:dyDescent="0.25">
      <c r="BM1218" s="281">
        <f>$AZ$36+0.2*(seat_pitch)*($AY$36*n_SA+$AW$7&lt;pax_e)</f>
        <v>26.102</v>
      </c>
      <c r="BN1218" s="281">
        <f>$AX$7+seat_w*($AY$36*n_SA+$AW$7&lt;pax_e)</f>
        <v>-0.25</v>
      </c>
      <c r="BO1218" s="281">
        <f t="shared" si="152"/>
        <v>8.291520000000002</v>
      </c>
    </row>
    <row r="1219" spans="65:67" x14ac:dyDescent="0.25">
      <c r="BM1219" s="281">
        <f>$AZ$36</f>
        <v>25.94</v>
      </c>
      <c r="BN1219" s="281">
        <f>$AX$7+seat_w*($AY$36*n_SA+$AW$7&lt;pax_e)</f>
        <v>-0.25</v>
      </c>
      <c r="BO1219" s="281">
        <f t="shared" si="152"/>
        <v>8.129520000000003</v>
      </c>
    </row>
    <row r="1220" spans="65:67" x14ac:dyDescent="0.25">
      <c r="BM1220" s="281">
        <f>$AZ$36+1*(seat_pitch)*($AY$36*n_SA+$AW$7&lt;pax_e)</f>
        <v>26.75</v>
      </c>
      <c r="BN1220" s="281">
        <f>$AX$7+seat_w*($AY$36*n_SA+$AW$7&lt;pax_e)</f>
        <v>-0.25</v>
      </c>
      <c r="BO1220" s="281">
        <f t="shared" si="152"/>
        <v>8.9395200000000017</v>
      </c>
    </row>
    <row r="1221" spans="65:67" x14ac:dyDescent="0.25">
      <c r="BM1221" s="281">
        <f>$AZ$36+0.8*(seat_pitch)*($AY$36*n_SA+$AW$7&lt;pax_e)</f>
        <v>26.588000000000001</v>
      </c>
      <c r="BN1221" s="281">
        <f>$AX$7+seat_w*($AY$36*n_SA+$AW$7&lt;pax_e)</f>
        <v>-0.25</v>
      </c>
      <c r="BO1221" s="281">
        <f t="shared" ref="BO1221:BO1284" si="153">BM1221-L_fus/2</f>
        <v>8.7775200000000027</v>
      </c>
    </row>
    <row r="1222" spans="65:67" x14ac:dyDescent="0.25">
      <c r="BM1222" s="281">
        <f>$AZ$36+0.8*(seat_pitch)*($AY$36*n_SA+$AW$7&lt;pax_e)</f>
        <v>26.588000000000001</v>
      </c>
      <c r="BN1222" s="281">
        <f>$AX$7</f>
        <v>-0.78</v>
      </c>
      <c r="BO1222" s="281">
        <f t="shared" si="153"/>
        <v>8.7775200000000027</v>
      </c>
    </row>
    <row r="1223" spans="65:67" x14ac:dyDescent="0.25">
      <c r="BM1223" s="281">
        <f>$AZ$36+0.2*(seat_pitch)*($AY$36*n_SA+$AW$7&lt;pax_e)</f>
        <v>26.102</v>
      </c>
      <c r="BN1223" s="281">
        <f>$AX$7</f>
        <v>-0.78</v>
      </c>
      <c r="BO1223" s="281">
        <f t="shared" si="153"/>
        <v>8.291520000000002</v>
      </c>
    </row>
    <row r="1224" spans="65:67" x14ac:dyDescent="0.25">
      <c r="BM1224" s="281">
        <f>$AZ$36+(seat_pitch)</f>
        <v>26.75</v>
      </c>
      <c r="BN1224" s="281">
        <f>$AX$7</f>
        <v>-0.78</v>
      </c>
      <c r="BO1224" s="281">
        <f t="shared" si="153"/>
        <v>8.9395200000000017</v>
      </c>
    </row>
    <row r="1225" spans="65:67" x14ac:dyDescent="0.25">
      <c r="BM1225" s="281">
        <f>$AZ$37+0.2*(seat_pitch)*($AY$37*n_SA+$AW$7&lt;pax_e)</f>
        <v>26.102</v>
      </c>
      <c r="BN1225" s="281">
        <f>$AX$7</f>
        <v>-0.78</v>
      </c>
      <c r="BO1225" s="281">
        <f t="shared" si="153"/>
        <v>8.291520000000002</v>
      </c>
    </row>
    <row r="1226" spans="65:67" x14ac:dyDescent="0.25">
      <c r="BM1226" s="281">
        <f>$AZ$37+0.2*(seat_pitch)*($AY$37*n_SA+$AW$7&lt;pax_e)</f>
        <v>26.102</v>
      </c>
      <c r="BN1226" s="281">
        <f>$AX$7+seat_w*($AY$37*n_SA+$AW$7&lt;pax_e)</f>
        <v>-0.25</v>
      </c>
      <c r="BO1226" s="281">
        <f t="shared" si="153"/>
        <v>8.291520000000002</v>
      </c>
    </row>
    <row r="1227" spans="65:67" x14ac:dyDescent="0.25">
      <c r="BM1227" s="281">
        <f>$AZ$37</f>
        <v>25.94</v>
      </c>
      <c r="BN1227" s="281">
        <f>$AX$7+seat_w*($AY$37*n_SA+$AW$7&lt;pax_e)</f>
        <v>-0.25</v>
      </c>
      <c r="BO1227" s="281">
        <f t="shared" si="153"/>
        <v>8.129520000000003</v>
      </c>
    </row>
    <row r="1228" spans="65:67" x14ac:dyDescent="0.25">
      <c r="BM1228" s="281">
        <f>$AZ$37+1*(seat_pitch)*($AY$37*n_SA+$AW$7&lt;pax_e)</f>
        <v>26.75</v>
      </c>
      <c r="BN1228" s="281">
        <f>$AX$7+seat_w*($AY$37*n_SA+$AW$7&lt;pax_e)</f>
        <v>-0.25</v>
      </c>
      <c r="BO1228" s="281">
        <f t="shared" si="153"/>
        <v>8.9395200000000017</v>
      </c>
    </row>
    <row r="1229" spans="65:67" x14ac:dyDescent="0.25">
      <c r="BM1229" s="281">
        <f>$AZ$37+0.8*(seat_pitch)*($AY$37*n_SA+$AW$7&lt;pax_e)</f>
        <v>26.588000000000001</v>
      </c>
      <c r="BN1229" s="281">
        <f>$AX$7+seat_w*($AY$37*n_SA+$AW$7&lt;pax_e)</f>
        <v>-0.25</v>
      </c>
      <c r="BO1229" s="281">
        <f t="shared" si="153"/>
        <v>8.7775200000000027</v>
      </c>
    </row>
    <row r="1230" spans="65:67" x14ac:dyDescent="0.25">
      <c r="BM1230" s="281">
        <f>$AZ$37+0.8*(seat_pitch)*($AY$37*n_SA+$AW$7&lt;pax_e)</f>
        <v>26.588000000000001</v>
      </c>
      <c r="BN1230" s="281">
        <f>$AX$7</f>
        <v>-0.78</v>
      </c>
      <c r="BO1230" s="281">
        <f t="shared" si="153"/>
        <v>8.7775200000000027</v>
      </c>
    </row>
    <row r="1231" spans="65:67" x14ac:dyDescent="0.25">
      <c r="BM1231" s="281">
        <f>$AZ$37+0.2*(seat_pitch)*($AY$37*n_SA+$AW$7&lt;pax_e)</f>
        <v>26.102</v>
      </c>
      <c r="BN1231" s="281">
        <f>$AX$7</f>
        <v>-0.78</v>
      </c>
      <c r="BO1231" s="281">
        <f t="shared" si="153"/>
        <v>8.291520000000002</v>
      </c>
    </row>
    <row r="1232" spans="65:67" x14ac:dyDescent="0.25">
      <c r="BM1232" s="281">
        <f>$AZ$37+(seat_pitch)</f>
        <v>26.75</v>
      </c>
      <c r="BN1232" s="281">
        <f>$AX$7</f>
        <v>-0.78</v>
      </c>
      <c r="BO1232" s="281">
        <f t="shared" si="153"/>
        <v>8.9395200000000017</v>
      </c>
    </row>
    <row r="1233" spans="65:67" x14ac:dyDescent="0.25">
      <c r="BM1233" s="281">
        <f>$AZ$38+0.2*(seat_pitch)*($AY$38*n_SA+$AW$7&lt;pax_e)</f>
        <v>26.102</v>
      </c>
      <c r="BN1233" s="281">
        <f>$AX$7</f>
        <v>-0.78</v>
      </c>
      <c r="BO1233" s="281">
        <f t="shared" si="153"/>
        <v>8.291520000000002</v>
      </c>
    </row>
    <row r="1234" spans="65:67" x14ac:dyDescent="0.25">
      <c r="BM1234" s="281">
        <f>$AZ$38+0.2*(seat_pitch)*($AY$38*n_SA+$AW$7&lt;pax_e)</f>
        <v>26.102</v>
      </c>
      <c r="BN1234" s="281">
        <f>$AX$7+seat_w*($AY$38*n_SA+$AW$7&lt;pax_e)</f>
        <v>-0.25</v>
      </c>
      <c r="BO1234" s="281">
        <f t="shared" si="153"/>
        <v>8.291520000000002</v>
      </c>
    </row>
    <row r="1235" spans="65:67" x14ac:dyDescent="0.25">
      <c r="BM1235" s="281">
        <f>$AZ$38</f>
        <v>25.94</v>
      </c>
      <c r="BN1235" s="281">
        <f>$AX$7+seat_w*($AY$38*n_SA+$AW$7&lt;pax_e)</f>
        <v>-0.25</v>
      </c>
      <c r="BO1235" s="281">
        <f t="shared" si="153"/>
        <v>8.129520000000003</v>
      </c>
    </row>
    <row r="1236" spans="65:67" x14ac:dyDescent="0.25">
      <c r="BM1236" s="281">
        <f>$AZ$38+1*(seat_pitch)*($AY$38*n_SA+$AW$7&lt;pax_e)</f>
        <v>26.75</v>
      </c>
      <c r="BN1236" s="281">
        <f>$AX$7+seat_w*($AY$38*n_SA+$AW$7&lt;pax_e)</f>
        <v>-0.25</v>
      </c>
      <c r="BO1236" s="281">
        <f t="shared" si="153"/>
        <v>8.9395200000000017</v>
      </c>
    </row>
    <row r="1237" spans="65:67" x14ac:dyDescent="0.25">
      <c r="BM1237" s="281">
        <f>$AZ$38+0.8*(seat_pitch)*($AY$38*n_SA+$AW$7&lt;pax_e)</f>
        <v>26.588000000000001</v>
      </c>
      <c r="BN1237" s="281">
        <f>$AX$7+seat_w*($AY$38*n_SA+$AW$7&lt;pax_e)</f>
        <v>-0.25</v>
      </c>
      <c r="BO1237" s="281">
        <f t="shared" si="153"/>
        <v>8.7775200000000027</v>
      </c>
    </row>
    <row r="1238" spans="65:67" x14ac:dyDescent="0.25">
      <c r="BM1238" s="281">
        <f>$AZ$38+0.8*(seat_pitch)*($AY$38*n_SA+$AW$7&lt;pax_e)</f>
        <v>26.588000000000001</v>
      </c>
      <c r="BN1238" s="281">
        <f>$AX$7</f>
        <v>-0.78</v>
      </c>
      <c r="BO1238" s="281">
        <f t="shared" si="153"/>
        <v>8.7775200000000027</v>
      </c>
    </row>
    <row r="1239" spans="65:67" x14ac:dyDescent="0.25">
      <c r="BM1239" s="281">
        <f>$AZ$38+0.2*(seat_pitch)*($AY$38*n_SA+$AW$7&lt;pax_e)</f>
        <v>26.102</v>
      </c>
      <c r="BN1239" s="281">
        <f>$AX$7</f>
        <v>-0.78</v>
      </c>
      <c r="BO1239" s="281">
        <f t="shared" si="153"/>
        <v>8.291520000000002</v>
      </c>
    </row>
    <row r="1240" spans="65:67" x14ac:dyDescent="0.25">
      <c r="BM1240" s="281">
        <f>$AZ$38+(seat_pitch)</f>
        <v>26.75</v>
      </c>
      <c r="BN1240" s="281">
        <f>$AX$7</f>
        <v>-0.78</v>
      </c>
      <c r="BO1240" s="281">
        <f t="shared" si="153"/>
        <v>8.9395200000000017</v>
      </c>
    </row>
    <row r="1241" spans="65:67" x14ac:dyDescent="0.25">
      <c r="BM1241" s="281">
        <f>$AZ$39+0.2*(seat_pitch)*($AY$39*n_SA+$AW$7&lt;pax_e)</f>
        <v>26.102</v>
      </c>
      <c r="BN1241" s="281">
        <f>$AX$7</f>
        <v>-0.78</v>
      </c>
      <c r="BO1241" s="281">
        <f t="shared" si="153"/>
        <v>8.291520000000002</v>
      </c>
    </row>
    <row r="1242" spans="65:67" x14ac:dyDescent="0.25">
      <c r="BM1242" s="281">
        <f>$AZ$39+0.2*(seat_pitch)*($AY$39*n_SA+$AW$7&lt;pax_e)</f>
        <v>26.102</v>
      </c>
      <c r="BN1242" s="281">
        <f>$AX$7+seat_w*($AY$39*n_SA+$AW$7&lt;pax_e)</f>
        <v>-0.25</v>
      </c>
      <c r="BO1242" s="281">
        <f t="shared" si="153"/>
        <v>8.291520000000002</v>
      </c>
    </row>
    <row r="1243" spans="65:67" x14ac:dyDescent="0.25">
      <c r="BM1243" s="281">
        <f>$AZ$39</f>
        <v>25.94</v>
      </c>
      <c r="BN1243" s="281">
        <f>$AX$7+seat_w*($AY$39*n_SA+$AW$7&lt;pax_e)</f>
        <v>-0.25</v>
      </c>
      <c r="BO1243" s="281">
        <f t="shared" si="153"/>
        <v>8.129520000000003</v>
      </c>
    </row>
    <row r="1244" spans="65:67" x14ac:dyDescent="0.25">
      <c r="BM1244" s="281">
        <f>$AZ$39+1*(seat_pitch)*($AY$39*n_SA+$AW$7&lt;pax_e)</f>
        <v>26.75</v>
      </c>
      <c r="BN1244" s="281">
        <f>$AX$7+seat_w*($AY$39*n_SA+$AW$7&lt;pax_e)</f>
        <v>-0.25</v>
      </c>
      <c r="BO1244" s="281">
        <f t="shared" si="153"/>
        <v>8.9395200000000017</v>
      </c>
    </row>
    <row r="1245" spans="65:67" x14ac:dyDescent="0.25">
      <c r="BM1245" s="281">
        <f>$AZ$39+0.8*(seat_pitch)*($AY$39*n_SA+$AW$7&lt;pax_e)</f>
        <v>26.588000000000001</v>
      </c>
      <c r="BN1245" s="281">
        <f>$AX$7+seat_w*($AY$39*n_SA+$AW$7&lt;pax_e)</f>
        <v>-0.25</v>
      </c>
      <c r="BO1245" s="281">
        <f t="shared" si="153"/>
        <v>8.7775200000000027</v>
      </c>
    </row>
    <row r="1246" spans="65:67" x14ac:dyDescent="0.25">
      <c r="BM1246" s="281">
        <f>$AZ$39+0.8*(seat_pitch)*($AY$39*n_SA+$AW$7&lt;pax_e)</f>
        <v>26.588000000000001</v>
      </c>
      <c r="BN1246" s="281">
        <f>$AX$7</f>
        <v>-0.78</v>
      </c>
      <c r="BO1246" s="281">
        <f t="shared" si="153"/>
        <v>8.7775200000000027</v>
      </c>
    </row>
    <row r="1247" spans="65:67" x14ac:dyDescent="0.25">
      <c r="BM1247" s="281">
        <f>$AZ$39+0.2*(seat_pitch)*($AY$39*n_SA+$AW$7&lt;pax_e)</f>
        <v>26.102</v>
      </c>
      <c r="BN1247" s="281">
        <f>$AX$7</f>
        <v>-0.78</v>
      </c>
      <c r="BO1247" s="281">
        <f t="shared" si="153"/>
        <v>8.291520000000002</v>
      </c>
    </row>
    <row r="1248" spans="65:67" x14ac:dyDescent="0.25">
      <c r="BM1248" s="281">
        <f>$AZ$39+(seat_pitch)</f>
        <v>26.75</v>
      </c>
      <c r="BN1248" s="281">
        <f>$AX$7</f>
        <v>-0.78</v>
      </c>
      <c r="BO1248" s="281">
        <f t="shared" si="153"/>
        <v>8.9395200000000017</v>
      </c>
    </row>
    <row r="1249" spans="65:67" x14ac:dyDescent="0.25">
      <c r="BM1249" s="281">
        <f>$AZ$40+0.2*(seat_pitch)*($AY$40*n_SA+$AW$7&lt;pax_e)</f>
        <v>26.102</v>
      </c>
      <c r="BN1249" s="281">
        <f>$AX$7</f>
        <v>-0.78</v>
      </c>
      <c r="BO1249" s="281">
        <f t="shared" si="153"/>
        <v>8.291520000000002</v>
      </c>
    </row>
    <row r="1250" spans="65:67" x14ac:dyDescent="0.25">
      <c r="BM1250" s="281">
        <f>$AZ$40+0.2*(seat_pitch)*($AY$40*n_SA+$AW$7&lt;pax_e)</f>
        <v>26.102</v>
      </c>
      <c r="BN1250" s="281">
        <f>$AX$7+seat_w*($AY$40*n_SA+$AW$7&lt;pax_e)</f>
        <v>-0.25</v>
      </c>
      <c r="BO1250" s="281">
        <f t="shared" si="153"/>
        <v>8.291520000000002</v>
      </c>
    </row>
    <row r="1251" spans="65:67" x14ac:dyDescent="0.25">
      <c r="BM1251" s="281">
        <f>$AZ$40</f>
        <v>25.94</v>
      </c>
      <c r="BN1251" s="281">
        <f>$AX$7+seat_w*($AY$40*n_SA+$AW$7&lt;pax_e)</f>
        <v>-0.25</v>
      </c>
      <c r="BO1251" s="281">
        <f t="shared" si="153"/>
        <v>8.129520000000003</v>
      </c>
    </row>
    <row r="1252" spans="65:67" x14ac:dyDescent="0.25">
      <c r="BM1252" s="281">
        <f>$AZ$40+1*(seat_pitch)*($AY$40*n_SA+$AW$7&lt;pax_e)</f>
        <v>26.75</v>
      </c>
      <c r="BN1252" s="281">
        <f>$AX$7+seat_w*($AY$40*n_SA+$AW$7&lt;pax_e)</f>
        <v>-0.25</v>
      </c>
      <c r="BO1252" s="281">
        <f t="shared" si="153"/>
        <v>8.9395200000000017</v>
      </c>
    </row>
    <row r="1253" spans="65:67" x14ac:dyDescent="0.25">
      <c r="BM1253" s="281">
        <f>$AZ$40+0.8*(seat_pitch)*($AY$40*n_SA+$AW$7&lt;pax_e)</f>
        <v>26.588000000000001</v>
      </c>
      <c r="BN1253" s="281">
        <f>$AX$7+seat_w*($AY$40*n_SA+$AW$7&lt;pax_e)</f>
        <v>-0.25</v>
      </c>
      <c r="BO1253" s="281">
        <f t="shared" si="153"/>
        <v>8.7775200000000027</v>
      </c>
    </row>
    <row r="1254" spans="65:67" x14ac:dyDescent="0.25">
      <c r="BM1254" s="281">
        <f>$AZ$40+0.8*(seat_pitch)*($AY$40*n_SA+$AW$7&lt;pax_e)</f>
        <v>26.588000000000001</v>
      </c>
      <c r="BN1254" s="281">
        <f>$AX$7</f>
        <v>-0.78</v>
      </c>
      <c r="BO1254" s="281">
        <f t="shared" si="153"/>
        <v>8.7775200000000027</v>
      </c>
    </row>
    <row r="1255" spans="65:67" x14ac:dyDescent="0.25">
      <c r="BM1255" s="281">
        <f>$AZ$40+0.2*(seat_pitch)*($AY$40*n_SA+$AW$7&lt;pax_e)</f>
        <v>26.102</v>
      </c>
      <c r="BN1255" s="281">
        <f>$AX$7</f>
        <v>-0.78</v>
      </c>
      <c r="BO1255" s="281">
        <f t="shared" si="153"/>
        <v>8.291520000000002</v>
      </c>
    </row>
    <row r="1256" spans="65:67" x14ac:dyDescent="0.25">
      <c r="BM1256" s="281">
        <f>$AZ$40+(seat_pitch)</f>
        <v>26.75</v>
      </c>
      <c r="BN1256" s="281">
        <f>$AX$7</f>
        <v>-0.78</v>
      </c>
      <c r="BO1256" s="281">
        <f t="shared" si="153"/>
        <v>8.9395200000000017</v>
      </c>
    </row>
    <row r="1257" spans="65:67" x14ac:dyDescent="0.25">
      <c r="BM1257" s="281">
        <f>$AZ$41+0.2*(seat_pitch)*($AY$41*n_SA+$AW$7&lt;pax_e)</f>
        <v>26.102</v>
      </c>
      <c r="BN1257" s="281">
        <f>$AX$7</f>
        <v>-0.78</v>
      </c>
      <c r="BO1257" s="281">
        <f t="shared" si="153"/>
        <v>8.291520000000002</v>
      </c>
    </row>
    <row r="1258" spans="65:67" x14ac:dyDescent="0.25">
      <c r="BM1258" s="281">
        <f>$AZ$41+0.2*(seat_pitch)*($AY$41*n_SA+$AW$7&lt;pax_e)</f>
        <v>26.102</v>
      </c>
      <c r="BN1258" s="281">
        <f>$AX$7+seat_w*($AY$41*n_SA+$AW$7&lt;pax_e)</f>
        <v>-0.25</v>
      </c>
      <c r="BO1258" s="281">
        <f t="shared" si="153"/>
        <v>8.291520000000002</v>
      </c>
    </row>
    <row r="1259" spans="65:67" x14ac:dyDescent="0.25">
      <c r="BM1259" s="281">
        <f>$AZ$41</f>
        <v>25.94</v>
      </c>
      <c r="BN1259" s="281">
        <f>$AX$7+seat_w*($AY$41*n_SA+$AW$7&lt;pax_e)</f>
        <v>-0.25</v>
      </c>
      <c r="BO1259" s="281">
        <f t="shared" si="153"/>
        <v>8.129520000000003</v>
      </c>
    </row>
    <row r="1260" spans="65:67" x14ac:dyDescent="0.25">
      <c r="BM1260" s="281">
        <f>$AZ$41+1*(seat_pitch)*($AY$41*n_SA+$AW$7&lt;pax_e)</f>
        <v>26.75</v>
      </c>
      <c r="BN1260" s="281">
        <f>$AX$7+seat_w*($AY$41*n_SA+$AW$7&lt;pax_e)</f>
        <v>-0.25</v>
      </c>
      <c r="BO1260" s="281">
        <f t="shared" si="153"/>
        <v>8.9395200000000017</v>
      </c>
    </row>
    <row r="1261" spans="65:67" x14ac:dyDescent="0.25">
      <c r="BM1261" s="281">
        <f>$AZ$41+0.8*(seat_pitch)*($AY$41*n_SA+$AW$7&lt;pax_e)</f>
        <v>26.588000000000001</v>
      </c>
      <c r="BN1261" s="281">
        <f>$AX$7+seat_w*($AY$41*n_SA+$AW$7&lt;pax_e)</f>
        <v>-0.25</v>
      </c>
      <c r="BO1261" s="281">
        <f t="shared" si="153"/>
        <v>8.7775200000000027</v>
      </c>
    </row>
    <row r="1262" spans="65:67" x14ac:dyDescent="0.25">
      <c r="BM1262" s="281">
        <f>$AZ$41+0.8*(seat_pitch)*($AY$41*n_SA+$AW$7&lt;pax_e)</f>
        <v>26.588000000000001</v>
      </c>
      <c r="BN1262" s="281">
        <f>$AX$7</f>
        <v>-0.78</v>
      </c>
      <c r="BO1262" s="281">
        <f t="shared" si="153"/>
        <v>8.7775200000000027</v>
      </c>
    </row>
    <row r="1263" spans="65:67" x14ac:dyDescent="0.25">
      <c r="BM1263" s="281">
        <f>$AZ$41+0.2*(seat_pitch)*($AY$41*n_SA+$AW$7&lt;pax_e)</f>
        <v>26.102</v>
      </c>
      <c r="BN1263" s="281">
        <f>$AX$7</f>
        <v>-0.78</v>
      </c>
      <c r="BO1263" s="281">
        <f t="shared" si="153"/>
        <v>8.291520000000002</v>
      </c>
    </row>
    <row r="1264" spans="65:67" x14ac:dyDescent="0.25">
      <c r="BM1264" s="281">
        <f>$AZ$41+(seat_pitch)</f>
        <v>26.75</v>
      </c>
      <c r="BN1264" s="281">
        <f>$AX$7</f>
        <v>-0.78</v>
      </c>
      <c r="BO1264" s="281">
        <f t="shared" si="153"/>
        <v>8.9395200000000017</v>
      </c>
    </row>
    <row r="1265" spans="65:67" x14ac:dyDescent="0.25">
      <c r="BM1265" s="281">
        <f>$AZ$42+0.2*(seat_pitch)*($AY$42*n_SA+$AW$7&lt;pax_e)</f>
        <v>26.102</v>
      </c>
      <c r="BN1265" s="281">
        <f>$AX$7</f>
        <v>-0.78</v>
      </c>
      <c r="BO1265" s="281">
        <f t="shared" si="153"/>
        <v>8.291520000000002</v>
      </c>
    </row>
    <row r="1266" spans="65:67" x14ac:dyDescent="0.25">
      <c r="BM1266" s="281">
        <f>$AZ$42+0.2*(seat_pitch)*($AY$42*n_SA+$AW$7&lt;pax_e)</f>
        <v>26.102</v>
      </c>
      <c r="BN1266" s="281">
        <f>$AX$7+seat_w*($AY$42*n_SA+$AW$7&lt;pax_e)</f>
        <v>-0.25</v>
      </c>
      <c r="BO1266" s="281">
        <f t="shared" si="153"/>
        <v>8.291520000000002</v>
      </c>
    </row>
    <row r="1267" spans="65:67" x14ac:dyDescent="0.25">
      <c r="BM1267" s="281">
        <f>$AZ$42</f>
        <v>25.94</v>
      </c>
      <c r="BN1267" s="281">
        <f>$AX$7+seat_w*($AY$42*n_SA+$AW$7&lt;pax_e)</f>
        <v>-0.25</v>
      </c>
      <c r="BO1267" s="281">
        <f t="shared" si="153"/>
        <v>8.129520000000003</v>
      </c>
    </row>
    <row r="1268" spans="65:67" x14ac:dyDescent="0.25">
      <c r="BM1268" s="281">
        <f>$AZ$42+1*(seat_pitch)*($AY$42*n_SA+$AW$7&lt;pax_e)</f>
        <v>26.75</v>
      </c>
      <c r="BN1268" s="281">
        <f>$AX$7+seat_w*($AY$42*n_SA+$AW$7&lt;pax_e)</f>
        <v>-0.25</v>
      </c>
      <c r="BO1268" s="281">
        <f t="shared" si="153"/>
        <v>8.9395200000000017</v>
      </c>
    </row>
    <row r="1269" spans="65:67" x14ac:dyDescent="0.25">
      <c r="BM1269" s="281">
        <f>$AZ$42+0.8*(seat_pitch)*($AY$42*n_SA+$AW$7&lt;pax_e)</f>
        <v>26.588000000000001</v>
      </c>
      <c r="BN1269" s="281">
        <f>$AX$7+seat_w*($AY$42*n_SA+$AW$7&lt;pax_e)</f>
        <v>-0.25</v>
      </c>
      <c r="BO1269" s="281">
        <f t="shared" si="153"/>
        <v>8.7775200000000027</v>
      </c>
    </row>
    <row r="1270" spans="65:67" x14ac:dyDescent="0.25">
      <c r="BM1270" s="281">
        <f>$AZ$42+0.8*(seat_pitch)*($AY$42*n_SA+$AW$7&lt;pax_e)</f>
        <v>26.588000000000001</v>
      </c>
      <c r="BN1270" s="281">
        <f>$AX$7</f>
        <v>-0.78</v>
      </c>
      <c r="BO1270" s="281">
        <f t="shared" si="153"/>
        <v>8.7775200000000027</v>
      </c>
    </row>
    <row r="1271" spans="65:67" x14ac:dyDescent="0.25">
      <c r="BM1271" s="281">
        <f>$AZ$42+0.2*(seat_pitch)*($AY$42*n_SA+$AW$7&lt;pax_e)</f>
        <v>26.102</v>
      </c>
      <c r="BN1271" s="281">
        <f>$AX$7</f>
        <v>-0.78</v>
      </c>
      <c r="BO1271" s="281">
        <f t="shared" si="153"/>
        <v>8.291520000000002</v>
      </c>
    </row>
    <row r="1272" spans="65:67" x14ac:dyDescent="0.25">
      <c r="BM1272" s="281">
        <f>$AZ$42+(seat_pitch)</f>
        <v>26.75</v>
      </c>
      <c r="BN1272" s="281">
        <f>$AX$7</f>
        <v>-0.78</v>
      </c>
      <c r="BO1272" s="281">
        <f t="shared" si="153"/>
        <v>8.9395200000000017</v>
      </c>
    </row>
    <row r="1273" spans="65:67" x14ac:dyDescent="0.25">
      <c r="BM1273" s="281">
        <f>$AZ$43+0.2*(seat_pitch)*($AY$43*n_SA+$AW$7&lt;pax_e)</f>
        <v>26.102</v>
      </c>
      <c r="BN1273" s="281">
        <f>$AX$7</f>
        <v>-0.78</v>
      </c>
      <c r="BO1273" s="281">
        <f t="shared" si="153"/>
        <v>8.291520000000002</v>
      </c>
    </row>
    <row r="1274" spans="65:67" x14ac:dyDescent="0.25">
      <c r="BM1274" s="281">
        <f>$AZ$43+0.2*(seat_pitch)*($AY$43*n_SA+$AW$7&lt;pax_e)</f>
        <v>26.102</v>
      </c>
      <c r="BN1274" s="281">
        <f>$AX$7+seat_w*($AY$43*n_SA+$AW$7&lt;pax_e)</f>
        <v>-0.25</v>
      </c>
      <c r="BO1274" s="281">
        <f t="shared" si="153"/>
        <v>8.291520000000002</v>
      </c>
    </row>
    <row r="1275" spans="65:67" x14ac:dyDescent="0.25">
      <c r="BM1275" s="281">
        <f>$AZ$43</f>
        <v>25.94</v>
      </c>
      <c r="BN1275" s="281">
        <f>$AX$7+seat_w*($AY$43*n_SA+$AW$7&lt;pax_e)</f>
        <v>-0.25</v>
      </c>
      <c r="BO1275" s="281">
        <f t="shared" si="153"/>
        <v>8.129520000000003</v>
      </c>
    </row>
    <row r="1276" spans="65:67" x14ac:dyDescent="0.25">
      <c r="BM1276" s="281">
        <f>$AZ$43+1*(seat_pitch)*($AY$43*n_SA+$AW$7&lt;pax_e)</f>
        <v>26.75</v>
      </c>
      <c r="BN1276" s="281">
        <f>$AX$7+seat_w*($AY$43*n_SA+$AW$7&lt;pax_e)</f>
        <v>-0.25</v>
      </c>
      <c r="BO1276" s="281">
        <f t="shared" si="153"/>
        <v>8.9395200000000017</v>
      </c>
    </row>
    <row r="1277" spans="65:67" x14ac:dyDescent="0.25">
      <c r="BM1277" s="281">
        <f>$AZ$43+0.8*(seat_pitch)*($AY$43*n_SA+$AW$7&lt;pax_e)</f>
        <v>26.588000000000001</v>
      </c>
      <c r="BN1277" s="281">
        <f>$AX$7+seat_w*($AY$43*n_SA+$AW$7&lt;pax_e)</f>
        <v>-0.25</v>
      </c>
      <c r="BO1277" s="281">
        <f t="shared" si="153"/>
        <v>8.7775200000000027</v>
      </c>
    </row>
    <row r="1278" spans="65:67" x14ac:dyDescent="0.25">
      <c r="BM1278" s="281">
        <f>$AZ$43+0.8*(seat_pitch)*($AY$43*n_SA+$AW$7&lt;pax_e)</f>
        <v>26.588000000000001</v>
      </c>
      <c r="BN1278" s="281">
        <f>$AX$7</f>
        <v>-0.78</v>
      </c>
      <c r="BO1278" s="281">
        <f t="shared" si="153"/>
        <v>8.7775200000000027</v>
      </c>
    </row>
    <row r="1279" spans="65:67" x14ac:dyDescent="0.25">
      <c r="BM1279" s="281">
        <f>$AZ$43+0.2*(seat_pitch)*($AY$43*n_SA+$AW$7&lt;pax_e)</f>
        <v>26.102</v>
      </c>
      <c r="BN1279" s="281">
        <f>$AX$7</f>
        <v>-0.78</v>
      </c>
      <c r="BO1279" s="281">
        <f t="shared" si="153"/>
        <v>8.291520000000002</v>
      </c>
    </row>
    <row r="1280" spans="65:67" x14ac:dyDescent="0.25">
      <c r="BM1280" s="281">
        <f>$AZ$43+(seat_pitch)</f>
        <v>26.75</v>
      </c>
      <c r="BN1280" s="281">
        <f>$AX$7</f>
        <v>-0.78</v>
      </c>
      <c r="BO1280" s="281">
        <f t="shared" si="153"/>
        <v>8.9395200000000017</v>
      </c>
    </row>
    <row r="1281" spans="65:67" x14ac:dyDescent="0.25">
      <c r="BM1281" s="281">
        <f>$AZ$44+0.2*(seat_pitch)*($AY$44*n_SA+$AW$7&lt;pax_e)</f>
        <v>26.102</v>
      </c>
      <c r="BN1281" s="281">
        <f>$AX$7</f>
        <v>-0.78</v>
      </c>
      <c r="BO1281" s="281">
        <f t="shared" si="153"/>
        <v>8.291520000000002</v>
      </c>
    </row>
    <row r="1282" spans="65:67" x14ac:dyDescent="0.25">
      <c r="BM1282" s="281">
        <f>$AZ$44+0.2*(seat_pitch)*($AY$44*n_SA+$AW$7&lt;pax_e)</f>
        <v>26.102</v>
      </c>
      <c r="BN1282" s="281">
        <f>$AX$7+seat_w*($AY$44*n_SA+$AW$7&lt;pax_e)</f>
        <v>-0.25</v>
      </c>
      <c r="BO1282" s="281">
        <f t="shared" si="153"/>
        <v>8.291520000000002</v>
      </c>
    </row>
    <row r="1283" spans="65:67" x14ac:dyDescent="0.25">
      <c r="BM1283" s="281">
        <f>$AZ$44</f>
        <v>25.94</v>
      </c>
      <c r="BN1283" s="281">
        <f>$AX$7+seat_w*($AY$44*n_SA+$AW$7&lt;pax_e)</f>
        <v>-0.25</v>
      </c>
      <c r="BO1283" s="281">
        <f t="shared" si="153"/>
        <v>8.129520000000003</v>
      </c>
    </row>
    <row r="1284" spans="65:67" x14ac:dyDescent="0.25">
      <c r="BM1284" s="281">
        <f>$AZ$44+1*(seat_pitch)*($AY$44*n_SA+$AW$7&lt;pax_e)</f>
        <v>26.75</v>
      </c>
      <c r="BN1284" s="281">
        <f>$AX$7+seat_w*($AY$44*n_SA+$AW$7&lt;pax_e)</f>
        <v>-0.25</v>
      </c>
      <c r="BO1284" s="281">
        <f t="shared" si="153"/>
        <v>8.9395200000000017</v>
      </c>
    </row>
    <row r="1285" spans="65:67" x14ac:dyDescent="0.25">
      <c r="BM1285" s="281">
        <f>$AZ$44+0.8*(seat_pitch)*($AY$44*n_SA+$AW$7&lt;pax_e)</f>
        <v>26.588000000000001</v>
      </c>
      <c r="BN1285" s="281">
        <f>$AX$7+seat_w*($AY$44*n_SA+$AW$7&lt;pax_e)</f>
        <v>-0.25</v>
      </c>
      <c r="BO1285" s="281">
        <f t="shared" ref="BO1285:BO1348" si="154">BM1285-L_fus/2</f>
        <v>8.7775200000000027</v>
      </c>
    </row>
    <row r="1286" spans="65:67" x14ac:dyDescent="0.25">
      <c r="BM1286" s="281">
        <f>$AZ$44+0.8*(seat_pitch)*($AY$44*n_SA+$AW$7&lt;pax_e)</f>
        <v>26.588000000000001</v>
      </c>
      <c r="BN1286" s="281">
        <f>$AX$7</f>
        <v>-0.78</v>
      </c>
      <c r="BO1286" s="281">
        <f t="shared" si="154"/>
        <v>8.7775200000000027</v>
      </c>
    </row>
    <row r="1287" spans="65:67" x14ac:dyDescent="0.25">
      <c r="BM1287" s="281">
        <f>$AZ$44+0.2*(seat_pitch)*($AY$44*n_SA+$AW$7&lt;pax_e)</f>
        <v>26.102</v>
      </c>
      <c r="BN1287" s="281">
        <f>$AX$7</f>
        <v>-0.78</v>
      </c>
      <c r="BO1287" s="281">
        <f t="shared" si="154"/>
        <v>8.291520000000002</v>
      </c>
    </row>
    <row r="1288" spans="65:67" x14ac:dyDescent="0.25">
      <c r="BM1288" s="281">
        <f>$AZ$44+(seat_pitch)</f>
        <v>26.75</v>
      </c>
      <c r="BN1288" s="281">
        <f>$AX$7</f>
        <v>-0.78</v>
      </c>
      <c r="BO1288" s="281">
        <f t="shared" si="154"/>
        <v>8.9395200000000017</v>
      </c>
    </row>
    <row r="1289" spans="65:67" x14ac:dyDescent="0.25">
      <c r="BM1289" s="281">
        <f>$AZ$45+0.2*(seat_pitch)*($AY$45*n_SA+$AW$7&lt;pax_e)</f>
        <v>26.102</v>
      </c>
      <c r="BN1289" s="281">
        <f>$AX$7</f>
        <v>-0.78</v>
      </c>
      <c r="BO1289" s="281">
        <f t="shared" si="154"/>
        <v>8.291520000000002</v>
      </c>
    </row>
    <row r="1290" spans="65:67" x14ac:dyDescent="0.25">
      <c r="BM1290" s="281">
        <f>$AZ$45+0.2*(seat_pitch)*($AY$45*n_SA+$AW$7&lt;pax_e)</f>
        <v>26.102</v>
      </c>
      <c r="BN1290" s="281">
        <f>$AX$7+seat_w*($AY$45*n_SA+$AW$7&lt;pax_e)</f>
        <v>-0.25</v>
      </c>
      <c r="BO1290" s="281">
        <f t="shared" si="154"/>
        <v>8.291520000000002</v>
      </c>
    </row>
    <row r="1291" spans="65:67" x14ac:dyDescent="0.25">
      <c r="BM1291" s="281">
        <f>$AZ$45</f>
        <v>25.94</v>
      </c>
      <c r="BN1291" s="281">
        <f>$AX$7+seat_w*($AY$45*n_SA+$AW$7&lt;pax_e)</f>
        <v>-0.25</v>
      </c>
      <c r="BO1291" s="281">
        <f t="shared" si="154"/>
        <v>8.129520000000003</v>
      </c>
    </row>
    <row r="1292" spans="65:67" x14ac:dyDescent="0.25">
      <c r="BM1292" s="281">
        <f>$AZ$45+1*(seat_pitch)*($AY$45*n_SA+$AW$7&lt;pax_e)</f>
        <v>26.75</v>
      </c>
      <c r="BN1292" s="281">
        <f>$AX$7+seat_w*($AY$45*n_SA+$AW$7&lt;pax_e)</f>
        <v>-0.25</v>
      </c>
      <c r="BO1292" s="281">
        <f t="shared" si="154"/>
        <v>8.9395200000000017</v>
      </c>
    </row>
    <row r="1293" spans="65:67" x14ac:dyDescent="0.25">
      <c r="BM1293" s="281">
        <f>$AZ$45+0.8*(seat_pitch)*($AY$45*n_SA+$AW$7&lt;pax_e)</f>
        <v>26.588000000000001</v>
      </c>
      <c r="BN1293" s="281">
        <f>$AX$7+seat_w*($AY$45*n_SA+$AW$7&lt;pax_e)</f>
        <v>-0.25</v>
      </c>
      <c r="BO1293" s="281">
        <f t="shared" si="154"/>
        <v>8.7775200000000027</v>
      </c>
    </row>
    <row r="1294" spans="65:67" x14ac:dyDescent="0.25">
      <c r="BM1294" s="281">
        <f>$AZ$45+0.8*(seat_pitch)*($AY$45*n_SA+$AW$7&lt;pax_e)</f>
        <v>26.588000000000001</v>
      </c>
      <c r="BN1294" s="281">
        <f>$AX$7</f>
        <v>-0.78</v>
      </c>
      <c r="BO1294" s="281">
        <f t="shared" si="154"/>
        <v>8.7775200000000027</v>
      </c>
    </row>
    <row r="1295" spans="65:67" x14ac:dyDescent="0.25">
      <c r="BM1295" s="281">
        <f>$AZ$45+0.2*(seat_pitch)*($AY$45*n_SA+$AW$7&lt;pax_e)</f>
        <v>26.102</v>
      </c>
      <c r="BN1295" s="281">
        <f>$AX$7</f>
        <v>-0.78</v>
      </c>
      <c r="BO1295" s="281">
        <f t="shared" si="154"/>
        <v>8.291520000000002</v>
      </c>
    </row>
    <row r="1296" spans="65:67" x14ac:dyDescent="0.25">
      <c r="BM1296" s="281">
        <f>$AZ$45+(seat_pitch)</f>
        <v>26.75</v>
      </c>
      <c r="BN1296" s="281">
        <f>$AX$7</f>
        <v>-0.78</v>
      </c>
      <c r="BO1296" s="281">
        <f t="shared" si="154"/>
        <v>8.9395200000000017</v>
      </c>
    </row>
    <row r="1297" spans="65:67" x14ac:dyDescent="0.25">
      <c r="BM1297" s="281">
        <f>$AZ$46+0.2*(seat_pitch)*($AY$46*n_SA+$AW$7&lt;pax_e)</f>
        <v>26.102</v>
      </c>
      <c r="BN1297" s="281">
        <f>$AX$7</f>
        <v>-0.78</v>
      </c>
      <c r="BO1297" s="281">
        <f t="shared" si="154"/>
        <v>8.291520000000002</v>
      </c>
    </row>
    <row r="1298" spans="65:67" x14ac:dyDescent="0.25">
      <c r="BM1298" s="281">
        <f>$AZ$46+0.2*(seat_pitch)*($AY$46*n_SA+$AW$7&lt;pax_e)</f>
        <v>26.102</v>
      </c>
      <c r="BN1298" s="281">
        <f>$AX$7+seat_w*($AY$46*n_SA+$AW$7&lt;pax_e)</f>
        <v>-0.25</v>
      </c>
      <c r="BO1298" s="281">
        <f t="shared" si="154"/>
        <v>8.291520000000002</v>
      </c>
    </row>
    <row r="1299" spans="65:67" x14ac:dyDescent="0.25">
      <c r="BM1299" s="281">
        <f>$AZ$46</f>
        <v>25.94</v>
      </c>
      <c r="BN1299" s="281">
        <f>$AX$7+seat_w*($AY$46*n_SA+$AW$7&lt;pax_e)</f>
        <v>-0.25</v>
      </c>
      <c r="BO1299" s="281">
        <f t="shared" si="154"/>
        <v>8.129520000000003</v>
      </c>
    </row>
    <row r="1300" spans="65:67" x14ac:dyDescent="0.25">
      <c r="BM1300" s="281">
        <f>$AZ$46+1*(seat_pitch)*($AY$46*n_SA+$AW$7&lt;pax_e)</f>
        <v>26.75</v>
      </c>
      <c r="BN1300" s="281">
        <f>$AX$7+seat_w*($AY$46*n_SA+$AW$7&lt;pax_e)</f>
        <v>-0.25</v>
      </c>
      <c r="BO1300" s="281">
        <f t="shared" si="154"/>
        <v>8.9395200000000017</v>
      </c>
    </row>
    <row r="1301" spans="65:67" x14ac:dyDescent="0.25">
      <c r="BM1301" s="281">
        <f>$AZ$46+0.8*(seat_pitch)*($AY$46*n_SA+$AW$7&lt;pax_e)</f>
        <v>26.588000000000001</v>
      </c>
      <c r="BN1301" s="281">
        <f>$AX$7+seat_w*($AY$46*n_SA+$AW$7&lt;pax_e)</f>
        <v>-0.25</v>
      </c>
      <c r="BO1301" s="281">
        <f t="shared" si="154"/>
        <v>8.7775200000000027</v>
      </c>
    </row>
    <row r="1302" spans="65:67" x14ac:dyDescent="0.25">
      <c r="BM1302" s="281">
        <f>$AZ$46+0.8*(seat_pitch)*($AY$46*n_SA+$AW$7&lt;pax_e)</f>
        <v>26.588000000000001</v>
      </c>
      <c r="BN1302" s="281">
        <f>$AX$7</f>
        <v>-0.78</v>
      </c>
      <c r="BO1302" s="281">
        <f t="shared" si="154"/>
        <v>8.7775200000000027</v>
      </c>
    </row>
    <row r="1303" spans="65:67" x14ac:dyDescent="0.25">
      <c r="BM1303" s="281">
        <f>$AZ$46+0.2*(seat_pitch)*($AY$46*n_SA+$AW$7&lt;pax_e)</f>
        <v>26.102</v>
      </c>
      <c r="BN1303" s="281">
        <f>$AX$7</f>
        <v>-0.78</v>
      </c>
      <c r="BO1303" s="281">
        <f t="shared" si="154"/>
        <v>8.291520000000002</v>
      </c>
    </row>
    <row r="1304" spans="65:67" x14ac:dyDescent="0.25">
      <c r="BM1304" s="281">
        <f>$AZ$46+(seat_pitch)</f>
        <v>26.75</v>
      </c>
      <c r="BN1304" s="281">
        <f>$AX$7</f>
        <v>-0.78</v>
      </c>
      <c r="BO1304" s="281">
        <f t="shared" si="154"/>
        <v>8.9395200000000017</v>
      </c>
    </row>
    <row r="1305" spans="65:67" x14ac:dyDescent="0.25">
      <c r="BM1305" s="281">
        <f>$AZ$47+0.2*(seat_pitch)*($AY$47*n_SA+$AW$7&lt;pax_e)</f>
        <v>26.102</v>
      </c>
      <c r="BN1305" s="281">
        <f>$AX$7</f>
        <v>-0.78</v>
      </c>
      <c r="BO1305" s="281">
        <f t="shared" si="154"/>
        <v>8.291520000000002</v>
      </c>
    </row>
    <row r="1306" spans="65:67" x14ac:dyDescent="0.25">
      <c r="BM1306" s="281">
        <f>$AZ$47+0.2*(seat_pitch)*($AY$47*n_SA+$AW$7&lt;pax_e)</f>
        <v>26.102</v>
      </c>
      <c r="BN1306" s="281">
        <f>$AX$7+seat_w*($AY$47*n_SA+$AW$7&lt;pax_e)</f>
        <v>-0.25</v>
      </c>
      <c r="BO1306" s="281">
        <f t="shared" si="154"/>
        <v>8.291520000000002</v>
      </c>
    </row>
    <row r="1307" spans="65:67" x14ac:dyDescent="0.25">
      <c r="BM1307" s="281">
        <f>$AZ$47</f>
        <v>25.94</v>
      </c>
      <c r="BN1307" s="281">
        <f>$AX$7+seat_w*($AY$47*n_SA+$AW$7&lt;pax_e)</f>
        <v>-0.25</v>
      </c>
      <c r="BO1307" s="281">
        <f t="shared" si="154"/>
        <v>8.129520000000003</v>
      </c>
    </row>
    <row r="1308" spans="65:67" x14ac:dyDescent="0.25">
      <c r="BM1308" s="281">
        <f>$AZ$47+1*(seat_pitch)*($AY$47*n_SA+$AW$7&lt;pax_e)</f>
        <v>26.75</v>
      </c>
      <c r="BN1308" s="281">
        <f>$AX$7+seat_w*($AY$47*n_SA+$AW$7&lt;pax_e)</f>
        <v>-0.25</v>
      </c>
      <c r="BO1308" s="281">
        <f t="shared" si="154"/>
        <v>8.9395200000000017</v>
      </c>
    </row>
    <row r="1309" spans="65:67" x14ac:dyDescent="0.25">
      <c r="BM1309" s="281">
        <f>$AZ$47+0.8*(seat_pitch)*($AY$47*n_SA+$AW$7&lt;pax_e)</f>
        <v>26.588000000000001</v>
      </c>
      <c r="BN1309" s="281">
        <f>$AX$7+seat_w*($AY$47*n_SA+$AW$7&lt;pax_e)</f>
        <v>-0.25</v>
      </c>
      <c r="BO1309" s="281">
        <f t="shared" si="154"/>
        <v>8.7775200000000027</v>
      </c>
    </row>
    <row r="1310" spans="65:67" x14ac:dyDescent="0.25">
      <c r="BM1310" s="281">
        <f>$AZ$47+0.8*(seat_pitch)*($AY$47*n_SA+$AW$7&lt;pax_e)</f>
        <v>26.588000000000001</v>
      </c>
      <c r="BN1310" s="281">
        <f>$AX$7</f>
        <v>-0.78</v>
      </c>
      <c r="BO1310" s="281">
        <f t="shared" si="154"/>
        <v>8.7775200000000027</v>
      </c>
    </row>
    <row r="1311" spans="65:67" x14ac:dyDescent="0.25">
      <c r="BM1311" s="281">
        <f>$AZ$47+0.2*(seat_pitch)*($AY$47*n_SA+$AW$7&lt;pax_e)</f>
        <v>26.102</v>
      </c>
      <c r="BN1311" s="281">
        <f>$AX$7</f>
        <v>-0.78</v>
      </c>
      <c r="BO1311" s="281">
        <f t="shared" si="154"/>
        <v>8.291520000000002</v>
      </c>
    </row>
    <row r="1312" spans="65:67" x14ac:dyDescent="0.25">
      <c r="BM1312" s="281">
        <f>$AZ$47+(seat_pitch)</f>
        <v>26.75</v>
      </c>
      <c r="BN1312" s="281">
        <f>$AX$7</f>
        <v>-0.78</v>
      </c>
      <c r="BO1312" s="281">
        <f t="shared" si="154"/>
        <v>8.9395200000000017</v>
      </c>
    </row>
    <row r="1313" spans="65:67" x14ac:dyDescent="0.25">
      <c r="BM1313" s="281">
        <f>$AZ$48+0.2*(seat_pitch)*($AY$48*n_SA+$AW$7&lt;pax_e)</f>
        <v>26.102</v>
      </c>
      <c r="BN1313" s="281">
        <f>$AX$7</f>
        <v>-0.78</v>
      </c>
      <c r="BO1313" s="281">
        <f t="shared" si="154"/>
        <v>8.291520000000002</v>
      </c>
    </row>
    <row r="1314" spans="65:67" x14ac:dyDescent="0.25">
      <c r="BM1314" s="281">
        <f>$AZ$48+0.2*(seat_pitch)*($AY$48*n_SA+$AW$7&lt;pax_e)</f>
        <v>26.102</v>
      </c>
      <c r="BN1314" s="281">
        <f>$AX$7+seat_w*($AY$48*n_SA+$AW$7&lt;pax_e)</f>
        <v>-0.25</v>
      </c>
      <c r="BO1314" s="281">
        <f t="shared" si="154"/>
        <v>8.291520000000002</v>
      </c>
    </row>
    <row r="1315" spans="65:67" x14ac:dyDescent="0.25">
      <c r="BM1315" s="281">
        <f>$AZ$48</f>
        <v>25.94</v>
      </c>
      <c r="BN1315" s="281">
        <f>$AX$7+seat_w*($AY$48*n_SA+$AW$7&lt;pax_e)</f>
        <v>-0.25</v>
      </c>
      <c r="BO1315" s="281">
        <f t="shared" si="154"/>
        <v>8.129520000000003</v>
      </c>
    </row>
    <row r="1316" spans="65:67" x14ac:dyDescent="0.25">
      <c r="BM1316" s="281">
        <f>$AZ$48+1*(seat_pitch)*($AY$48*n_SA+$AW$7&lt;pax_e)</f>
        <v>26.75</v>
      </c>
      <c r="BN1316" s="281">
        <f>$AX$7+seat_w*($AY$48*n_SA+$AW$7&lt;pax_e)</f>
        <v>-0.25</v>
      </c>
      <c r="BO1316" s="281">
        <f t="shared" si="154"/>
        <v>8.9395200000000017</v>
      </c>
    </row>
    <row r="1317" spans="65:67" x14ac:dyDescent="0.25">
      <c r="BM1317" s="281">
        <f>$AZ$48+0.8*(seat_pitch)*($AY$48*n_SA+$AW$7&lt;pax_e)</f>
        <v>26.588000000000001</v>
      </c>
      <c r="BN1317" s="281">
        <f>$AX$7+seat_w*($AY$48*n_SA+$AW$7&lt;pax_e)</f>
        <v>-0.25</v>
      </c>
      <c r="BO1317" s="281">
        <f t="shared" si="154"/>
        <v>8.7775200000000027</v>
      </c>
    </row>
    <row r="1318" spans="65:67" x14ac:dyDescent="0.25">
      <c r="BM1318" s="281">
        <f>$AZ$48+0.8*(seat_pitch)*($AY$48*n_SA+$AW$7&lt;pax_e)</f>
        <v>26.588000000000001</v>
      </c>
      <c r="BN1318" s="281">
        <f>$AX$7</f>
        <v>-0.78</v>
      </c>
      <c r="BO1318" s="281">
        <f t="shared" si="154"/>
        <v>8.7775200000000027</v>
      </c>
    </row>
    <row r="1319" spans="65:67" x14ac:dyDescent="0.25">
      <c r="BM1319" s="281">
        <f>$AZ$48+0.2*(seat_pitch)*($AY$48*n_SA+$AW$7&lt;pax_e)</f>
        <v>26.102</v>
      </c>
      <c r="BN1319" s="281">
        <f>$AX$7</f>
        <v>-0.78</v>
      </c>
      <c r="BO1319" s="281">
        <f t="shared" si="154"/>
        <v>8.291520000000002</v>
      </c>
    </row>
    <row r="1320" spans="65:67" x14ac:dyDescent="0.25">
      <c r="BM1320" s="281">
        <f>$AZ$48+(seat_pitch)</f>
        <v>26.75</v>
      </c>
      <c r="BN1320" s="281">
        <f>$AX$7</f>
        <v>-0.78</v>
      </c>
      <c r="BO1320" s="281">
        <f t="shared" si="154"/>
        <v>8.9395200000000017</v>
      </c>
    </row>
    <row r="1321" spans="65:67" x14ac:dyDescent="0.25">
      <c r="BM1321" s="281">
        <f>$AZ$49+0.2*(seat_pitch)*($AY$49*n_SA+$AW$7&lt;pax_e)</f>
        <v>26.102</v>
      </c>
      <c r="BN1321" s="281">
        <f>$AX$7</f>
        <v>-0.78</v>
      </c>
      <c r="BO1321" s="281">
        <f t="shared" si="154"/>
        <v>8.291520000000002</v>
      </c>
    </row>
    <row r="1322" spans="65:67" x14ac:dyDescent="0.25">
      <c r="BM1322" s="281">
        <f>$AZ$49+0.2*(seat_pitch)*($AY$49*n_SA+$AW$7&lt;pax_e)</f>
        <v>26.102</v>
      </c>
      <c r="BN1322" s="281">
        <f>$AX$7+seat_w*($AY$49*n_SA+$AW$7&lt;pax_e)</f>
        <v>-0.25</v>
      </c>
      <c r="BO1322" s="281">
        <f t="shared" si="154"/>
        <v>8.291520000000002</v>
      </c>
    </row>
    <row r="1323" spans="65:67" x14ac:dyDescent="0.25">
      <c r="BM1323" s="281">
        <f>$AZ$49</f>
        <v>25.94</v>
      </c>
      <c r="BN1323" s="281">
        <f>$AX$7+seat_w*($AY$49*n_SA+$AW$7&lt;pax_e)</f>
        <v>-0.25</v>
      </c>
      <c r="BO1323" s="281">
        <f t="shared" si="154"/>
        <v>8.129520000000003</v>
      </c>
    </row>
    <row r="1324" spans="65:67" x14ac:dyDescent="0.25">
      <c r="BM1324" s="281">
        <f>$AZ$49+1*(seat_pitch)*($AY$49*n_SA+$AW$7&lt;pax_e)</f>
        <v>26.75</v>
      </c>
      <c r="BN1324" s="281">
        <f>$AX$7+seat_w*($AY$49*n_SA+$AW$7&lt;pax_e)</f>
        <v>-0.25</v>
      </c>
      <c r="BO1324" s="281">
        <f t="shared" si="154"/>
        <v>8.9395200000000017</v>
      </c>
    </row>
    <row r="1325" spans="65:67" x14ac:dyDescent="0.25">
      <c r="BM1325" s="281">
        <f>$AZ$49+0.8*(seat_pitch)*($AY$49*n_SA+$AW$7&lt;pax_e)</f>
        <v>26.588000000000001</v>
      </c>
      <c r="BN1325" s="281">
        <f>$AX$7+seat_w*($AY$49*n_SA+$AW$7&lt;pax_e)</f>
        <v>-0.25</v>
      </c>
      <c r="BO1325" s="281">
        <f t="shared" si="154"/>
        <v>8.7775200000000027</v>
      </c>
    </row>
    <row r="1326" spans="65:67" x14ac:dyDescent="0.25">
      <c r="BM1326" s="281">
        <f>$AZ$49+0.8*(seat_pitch)*($AY$49*n_SA+$AW$7&lt;pax_e)</f>
        <v>26.588000000000001</v>
      </c>
      <c r="BN1326" s="281">
        <f>$AX$7</f>
        <v>-0.78</v>
      </c>
      <c r="BO1326" s="281">
        <f t="shared" si="154"/>
        <v>8.7775200000000027</v>
      </c>
    </row>
    <row r="1327" spans="65:67" x14ac:dyDescent="0.25">
      <c r="BM1327" s="281">
        <f>$AZ$49+0.2*(seat_pitch)*($AY$49*n_SA+$AW$7&lt;pax_e)</f>
        <v>26.102</v>
      </c>
      <c r="BN1327" s="281">
        <f>$AX$7</f>
        <v>-0.78</v>
      </c>
      <c r="BO1327" s="281">
        <f t="shared" si="154"/>
        <v>8.291520000000002</v>
      </c>
    </row>
    <row r="1328" spans="65:67" x14ac:dyDescent="0.25">
      <c r="BM1328" s="281">
        <f>$AZ$49+(seat_pitch)</f>
        <v>26.75</v>
      </c>
      <c r="BN1328" s="281">
        <f>$AX$7</f>
        <v>-0.78</v>
      </c>
      <c r="BO1328" s="281">
        <f t="shared" si="154"/>
        <v>8.9395200000000017</v>
      </c>
    </row>
    <row r="1329" spans="65:67" x14ac:dyDescent="0.25">
      <c r="BM1329" s="281">
        <f>$AZ$50+0.2*(seat_pitch)*($AY$50*n_SA+$AW$7&lt;pax_e)</f>
        <v>26.102</v>
      </c>
      <c r="BN1329" s="281">
        <f>$AX$7</f>
        <v>-0.78</v>
      </c>
      <c r="BO1329" s="281">
        <f t="shared" si="154"/>
        <v>8.291520000000002</v>
      </c>
    </row>
    <row r="1330" spans="65:67" x14ac:dyDescent="0.25">
      <c r="BM1330" s="281">
        <f>$AZ$50+0.2*(seat_pitch)*($AY$50*n_SA+$AW$7&lt;pax_e)</f>
        <v>26.102</v>
      </c>
      <c r="BN1330" s="281">
        <f>$AX$7+seat_w*($AY$50*n_SA+$AW$7&lt;pax_e)</f>
        <v>-0.25</v>
      </c>
      <c r="BO1330" s="281">
        <f t="shared" si="154"/>
        <v>8.291520000000002</v>
      </c>
    </row>
    <row r="1331" spans="65:67" x14ac:dyDescent="0.25">
      <c r="BM1331" s="281">
        <f>$AZ$50</f>
        <v>25.94</v>
      </c>
      <c r="BN1331" s="281">
        <f>$AX$7+seat_w*($AY$50*n_SA+$AW$7&lt;pax_e)</f>
        <v>-0.25</v>
      </c>
      <c r="BO1331" s="281">
        <f t="shared" si="154"/>
        <v>8.129520000000003</v>
      </c>
    </row>
    <row r="1332" spans="65:67" x14ac:dyDescent="0.25">
      <c r="BM1332" s="281">
        <f>$AZ$50+1*(seat_pitch)*($AY$50*n_SA+$AW$7&lt;pax_e)</f>
        <v>26.75</v>
      </c>
      <c r="BN1332" s="281">
        <f>$AX$7+seat_w*($AY$50*n_SA+$AW$7&lt;pax_e)</f>
        <v>-0.25</v>
      </c>
      <c r="BO1332" s="281">
        <f t="shared" si="154"/>
        <v>8.9395200000000017</v>
      </c>
    </row>
    <row r="1333" spans="65:67" x14ac:dyDescent="0.25">
      <c r="BM1333" s="281">
        <f>$AZ$50+0.8*(seat_pitch)*($AY$50*n_SA+$AW$7&lt;pax_e)</f>
        <v>26.588000000000001</v>
      </c>
      <c r="BN1333" s="281">
        <f>$AX$7+seat_w*($AY$50*n_SA+$AW$7&lt;pax_e)</f>
        <v>-0.25</v>
      </c>
      <c r="BO1333" s="281">
        <f t="shared" si="154"/>
        <v>8.7775200000000027</v>
      </c>
    </row>
    <row r="1334" spans="65:67" x14ac:dyDescent="0.25">
      <c r="BM1334" s="281">
        <f>$AZ$50+0.8*(seat_pitch)*($AY$50*n_SA+$AW$7&lt;pax_e)</f>
        <v>26.588000000000001</v>
      </c>
      <c r="BN1334" s="281">
        <f>$AX$7</f>
        <v>-0.78</v>
      </c>
      <c r="BO1334" s="281">
        <f t="shared" si="154"/>
        <v>8.7775200000000027</v>
      </c>
    </row>
    <row r="1335" spans="65:67" x14ac:dyDescent="0.25">
      <c r="BM1335" s="281">
        <f>$AZ$50+0.2*(seat_pitch)*($AY$50*n_SA+$AW$7&lt;pax_e)</f>
        <v>26.102</v>
      </c>
      <c r="BN1335" s="281">
        <f>$AX$7</f>
        <v>-0.78</v>
      </c>
      <c r="BO1335" s="281">
        <f t="shared" si="154"/>
        <v>8.291520000000002</v>
      </c>
    </row>
    <row r="1336" spans="65:67" x14ac:dyDescent="0.25">
      <c r="BM1336" s="281">
        <f>$AZ$50+(seat_pitch)</f>
        <v>26.75</v>
      </c>
      <c r="BN1336" s="281">
        <f>$AX$7</f>
        <v>-0.78</v>
      </c>
      <c r="BO1336" s="281">
        <f t="shared" si="154"/>
        <v>8.9395200000000017</v>
      </c>
    </row>
    <row r="1337" spans="65:67" x14ac:dyDescent="0.25">
      <c r="BM1337" s="281">
        <f>$AZ$51+0.2*(seat_pitch)*($AY$51*n_SA+$AW$7&lt;pax_e)</f>
        <v>26.102</v>
      </c>
      <c r="BN1337" s="281">
        <f>$AX$7</f>
        <v>-0.78</v>
      </c>
      <c r="BO1337" s="281">
        <f t="shared" si="154"/>
        <v>8.291520000000002</v>
      </c>
    </row>
    <row r="1338" spans="65:67" x14ac:dyDescent="0.25">
      <c r="BM1338" s="281">
        <f>$AZ$51+0.2*(seat_pitch)*($AY$51*n_SA+$AW$7&lt;pax_e)</f>
        <v>26.102</v>
      </c>
      <c r="BN1338" s="281">
        <f>$AX$7+seat_w*($AY$51*n_SA+$AW$7&lt;pax_e)</f>
        <v>-0.25</v>
      </c>
      <c r="BO1338" s="281">
        <f t="shared" si="154"/>
        <v>8.291520000000002</v>
      </c>
    </row>
    <row r="1339" spans="65:67" x14ac:dyDescent="0.25">
      <c r="BM1339" s="281">
        <f>$AZ$51</f>
        <v>25.94</v>
      </c>
      <c r="BN1339" s="281">
        <f>$AX$7+seat_w*($AY$51*n_SA+$AW$7&lt;pax_e)</f>
        <v>-0.25</v>
      </c>
      <c r="BO1339" s="281">
        <f t="shared" si="154"/>
        <v>8.129520000000003</v>
      </c>
    </row>
    <row r="1340" spans="65:67" x14ac:dyDescent="0.25">
      <c r="BM1340" s="281">
        <f>$AZ$51+1*(seat_pitch)*($AY$51*n_SA+$AW$7&lt;pax_e)</f>
        <v>26.75</v>
      </c>
      <c r="BN1340" s="281">
        <f>$AX$7+seat_w*($AY$51*n_SA+$AW$7&lt;pax_e)</f>
        <v>-0.25</v>
      </c>
      <c r="BO1340" s="281">
        <f t="shared" si="154"/>
        <v>8.9395200000000017</v>
      </c>
    </row>
    <row r="1341" spans="65:67" x14ac:dyDescent="0.25">
      <c r="BM1341" s="281">
        <f>$AZ$51+0.8*(seat_pitch)*($AY$51*n_SA+$AW$7&lt;pax_e)</f>
        <v>26.588000000000001</v>
      </c>
      <c r="BN1341" s="281">
        <f>$AX$7+seat_w*($AY$51*n_SA+$AW$7&lt;pax_e)</f>
        <v>-0.25</v>
      </c>
      <c r="BO1341" s="281">
        <f t="shared" si="154"/>
        <v>8.7775200000000027</v>
      </c>
    </row>
    <row r="1342" spans="65:67" x14ac:dyDescent="0.25">
      <c r="BM1342" s="281">
        <f>$AZ$51+0.8*(seat_pitch)*($AY$51*n_SA+$AW$7&lt;pax_e)</f>
        <v>26.588000000000001</v>
      </c>
      <c r="BN1342" s="281">
        <f>$AX$7</f>
        <v>-0.78</v>
      </c>
      <c r="BO1342" s="281">
        <f t="shared" si="154"/>
        <v>8.7775200000000027</v>
      </c>
    </row>
    <row r="1343" spans="65:67" x14ac:dyDescent="0.25">
      <c r="BM1343" s="281">
        <f>$AZ$51+0.2*(seat_pitch)*($AY$51*n_SA+$AW$7&lt;pax_e)</f>
        <v>26.102</v>
      </c>
      <c r="BN1343" s="281">
        <f>$AX$7</f>
        <v>-0.78</v>
      </c>
      <c r="BO1343" s="281">
        <f t="shared" si="154"/>
        <v>8.291520000000002</v>
      </c>
    </row>
    <row r="1344" spans="65:67" x14ac:dyDescent="0.25">
      <c r="BM1344" s="281">
        <f>$AZ$51+(seat_pitch)</f>
        <v>26.75</v>
      </c>
      <c r="BN1344" s="281">
        <f>$AX$7</f>
        <v>-0.78</v>
      </c>
      <c r="BO1344" s="281">
        <f t="shared" si="154"/>
        <v>8.9395200000000017</v>
      </c>
    </row>
    <row r="1345" spans="65:67" x14ac:dyDescent="0.25">
      <c r="BM1345" s="281">
        <f>$AZ$52+0.2*(seat_pitch)*($AY$52*n_SA+$AW$7&lt;pax_e)</f>
        <v>26.102</v>
      </c>
      <c r="BN1345" s="281">
        <f>$AX$7</f>
        <v>-0.78</v>
      </c>
      <c r="BO1345" s="281">
        <f t="shared" si="154"/>
        <v>8.291520000000002</v>
      </c>
    </row>
    <row r="1346" spans="65:67" x14ac:dyDescent="0.25">
      <c r="BM1346" s="281">
        <f>$AZ$52+0.2*(seat_pitch)*($AY$52*n_SA+$AW$7&lt;pax_e)</f>
        <v>26.102</v>
      </c>
      <c r="BN1346" s="281">
        <f>$AX$7+seat_w*($AY$52*n_SA+$AW$7&lt;pax_e)</f>
        <v>-0.25</v>
      </c>
      <c r="BO1346" s="281">
        <f t="shared" si="154"/>
        <v>8.291520000000002</v>
      </c>
    </row>
    <row r="1347" spans="65:67" x14ac:dyDescent="0.25">
      <c r="BM1347" s="281">
        <f>$AZ$52</f>
        <v>25.94</v>
      </c>
      <c r="BN1347" s="281">
        <f>$AX$7+seat_w*($AY$52*n_SA+$AW$7&lt;pax_e)</f>
        <v>-0.25</v>
      </c>
      <c r="BO1347" s="281">
        <f t="shared" si="154"/>
        <v>8.129520000000003</v>
      </c>
    </row>
    <row r="1348" spans="65:67" x14ac:dyDescent="0.25">
      <c r="BM1348" s="281">
        <f>$AZ$52+1*(seat_pitch)*($AY$52*n_SA+$AW$7&lt;pax_e)</f>
        <v>26.75</v>
      </c>
      <c r="BN1348" s="281">
        <f>$AX$7+seat_w*($AY$52*n_SA+$AW$7&lt;pax_e)</f>
        <v>-0.25</v>
      </c>
      <c r="BO1348" s="281">
        <f t="shared" si="154"/>
        <v>8.9395200000000017</v>
      </c>
    </row>
    <row r="1349" spans="65:67" x14ac:dyDescent="0.25">
      <c r="BM1349" s="281">
        <f>$AZ$52+0.8*(seat_pitch)*($AY$52*n_SA+$AW$7&lt;pax_e)</f>
        <v>26.588000000000001</v>
      </c>
      <c r="BN1349" s="281">
        <f>$AX$7+seat_w*($AY$52*n_SA+$AW$7&lt;pax_e)</f>
        <v>-0.25</v>
      </c>
      <c r="BO1349" s="281">
        <f t="shared" ref="BO1349:BO1412" si="155">BM1349-L_fus/2</f>
        <v>8.7775200000000027</v>
      </c>
    </row>
    <row r="1350" spans="65:67" x14ac:dyDescent="0.25">
      <c r="BM1350" s="281">
        <f>$AZ$52+0.8*(seat_pitch)*($AY$52*n_SA+$AW$7&lt;pax_e)</f>
        <v>26.588000000000001</v>
      </c>
      <c r="BN1350" s="281">
        <f>$AX$7</f>
        <v>-0.78</v>
      </c>
      <c r="BO1350" s="281">
        <f t="shared" si="155"/>
        <v>8.7775200000000027</v>
      </c>
    </row>
    <row r="1351" spans="65:67" x14ac:dyDescent="0.25">
      <c r="BM1351" s="281">
        <f>$AZ$52+0.2*(seat_pitch)*($AY$52*n_SA+$AW$7&lt;pax_e)</f>
        <v>26.102</v>
      </c>
      <c r="BN1351" s="281">
        <f>$AX$7</f>
        <v>-0.78</v>
      </c>
      <c r="BO1351" s="281">
        <f t="shared" si="155"/>
        <v>8.291520000000002</v>
      </c>
    </row>
    <row r="1352" spans="65:67" x14ac:dyDescent="0.25">
      <c r="BM1352" s="281">
        <f>$AZ$52+(seat_pitch)</f>
        <v>26.75</v>
      </c>
      <c r="BN1352" s="281">
        <f>$AX$7</f>
        <v>-0.78</v>
      </c>
      <c r="BO1352" s="281">
        <f t="shared" si="155"/>
        <v>8.9395200000000017</v>
      </c>
    </row>
    <row r="1353" spans="65:67" x14ac:dyDescent="0.25">
      <c r="BM1353" s="281">
        <f>$AZ$53+0.2*(seat_pitch)*($AY$53*n_SA+$AW$7&lt;pax_e)</f>
        <v>26.102</v>
      </c>
      <c r="BN1353" s="281">
        <f>$AX$7</f>
        <v>-0.78</v>
      </c>
      <c r="BO1353" s="281">
        <f t="shared" si="155"/>
        <v>8.291520000000002</v>
      </c>
    </row>
    <row r="1354" spans="65:67" x14ac:dyDescent="0.25">
      <c r="BM1354" s="281">
        <f>$AZ$53+0.2*(seat_pitch)*($AY$53*n_SA+$AW$7&lt;pax_e)</f>
        <v>26.102</v>
      </c>
      <c r="BN1354" s="281">
        <f>$AX$7+seat_w*($AY$53*n_SA+$AW$7&lt;pax_e)</f>
        <v>-0.25</v>
      </c>
      <c r="BO1354" s="281">
        <f t="shared" si="155"/>
        <v>8.291520000000002</v>
      </c>
    </row>
    <row r="1355" spans="65:67" x14ac:dyDescent="0.25">
      <c r="BM1355" s="281">
        <f>$AZ$53</f>
        <v>25.94</v>
      </c>
      <c r="BN1355" s="281">
        <f>$AX$7+seat_w*($AY$53*n_SA+$AW$7&lt;pax_e)</f>
        <v>-0.25</v>
      </c>
      <c r="BO1355" s="281">
        <f t="shared" si="155"/>
        <v>8.129520000000003</v>
      </c>
    </row>
    <row r="1356" spans="65:67" x14ac:dyDescent="0.25">
      <c r="BM1356" s="281">
        <f>$AZ$53+1*(seat_pitch)*($AY$53*n_SA+$AW$7&lt;pax_e)</f>
        <v>26.75</v>
      </c>
      <c r="BN1356" s="281">
        <f>$AX$7+seat_w*($AY$53*n_SA+$AW$7&lt;pax_e)</f>
        <v>-0.25</v>
      </c>
      <c r="BO1356" s="281">
        <f t="shared" si="155"/>
        <v>8.9395200000000017</v>
      </c>
    </row>
    <row r="1357" spans="65:67" x14ac:dyDescent="0.25">
      <c r="BM1357" s="281">
        <f>$AZ$53+0.8*(seat_pitch)*($AY$53*n_SA+$AW$7&lt;pax_e)</f>
        <v>26.588000000000001</v>
      </c>
      <c r="BN1357" s="281">
        <f>$AX$7+seat_w*($AY$53*n_SA+$AW$7&lt;pax_e)</f>
        <v>-0.25</v>
      </c>
      <c r="BO1357" s="281">
        <f t="shared" si="155"/>
        <v>8.7775200000000027</v>
      </c>
    </row>
    <row r="1358" spans="65:67" x14ac:dyDescent="0.25">
      <c r="BM1358" s="281">
        <f>$AZ$53+0.8*(seat_pitch)*($AY$53*n_SA+$AW$7&lt;pax_e)</f>
        <v>26.588000000000001</v>
      </c>
      <c r="BN1358" s="281">
        <f>$AX$7</f>
        <v>-0.78</v>
      </c>
      <c r="BO1358" s="281">
        <f t="shared" si="155"/>
        <v>8.7775200000000027</v>
      </c>
    </row>
    <row r="1359" spans="65:67" x14ac:dyDescent="0.25">
      <c r="BM1359" s="281">
        <f>$AZ$53+0.2*(seat_pitch)*($AY$53*n_SA+$AW$7&lt;pax_e)</f>
        <v>26.102</v>
      </c>
      <c r="BN1359" s="281">
        <f>$AX$7</f>
        <v>-0.78</v>
      </c>
      <c r="BO1359" s="281">
        <f t="shared" si="155"/>
        <v>8.291520000000002</v>
      </c>
    </row>
    <row r="1360" spans="65:67" x14ac:dyDescent="0.25">
      <c r="BM1360" s="281">
        <f>$AZ$53+(seat_pitch)</f>
        <v>26.75</v>
      </c>
      <c r="BN1360" s="281">
        <f>$AX$7</f>
        <v>-0.78</v>
      </c>
      <c r="BO1360" s="281">
        <f t="shared" si="155"/>
        <v>8.9395200000000017</v>
      </c>
    </row>
    <row r="1361" spans="65:67" x14ac:dyDescent="0.25">
      <c r="BM1361" s="281">
        <f>$AZ$54+0.2*(seat_pitch)*($AY$54*n_SA+$AW$7&lt;pax_e)</f>
        <v>26.102</v>
      </c>
      <c r="BN1361" s="281">
        <f>$AX$7</f>
        <v>-0.78</v>
      </c>
      <c r="BO1361" s="281">
        <f t="shared" si="155"/>
        <v>8.291520000000002</v>
      </c>
    </row>
    <row r="1362" spans="65:67" x14ac:dyDescent="0.25">
      <c r="BM1362" s="281">
        <f>$AZ$54+0.2*(seat_pitch)*($AY$54*n_SA+$AW$7&lt;pax_e)</f>
        <v>26.102</v>
      </c>
      <c r="BN1362" s="281">
        <f>$AX$7+seat_w*($AY$54*n_SA+$AW$7&lt;pax_e)</f>
        <v>-0.25</v>
      </c>
      <c r="BO1362" s="281">
        <f t="shared" si="155"/>
        <v>8.291520000000002</v>
      </c>
    </row>
    <row r="1363" spans="65:67" x14ac:dyDescent="0.25">
      <c r="BM1363" s="281">
        <f>$AZ$54</f>
        <v>25.94</v>
      </c>
      <c r="BN1363" s="281">
        <f>$AX$7+seat_w*($AY$54*n_SA+$AW$7&lt;pax_e)</f>
        <v>-0.25</v>
      </c>
      <c r="BO1363" s="281">
        <f t="shared" si="155"/>
        <v>8.129520000000003</v>
      </c>
    </row>
    <row r="1364" spans="65:67" x14ac:dyDescent="0.25">
      <c r="BM1364" s="281">
        <f>$AZ$54+1*(seat_pitch)*($AY$54*n_SA+$AW$7&lt;pax_e)</f>
        <v>26.75</v>
      </c>
      <c r="BN1364" s="281">
        <f>$AX$7+seat_w*($AY$54*n_SA+$AW$7&lt;pax_e)</f>
        <v>-0.25</v>
      </c>
      <c r="BO1364" s="281">
        <f t="shared" si="155"/>
        <v>8.9395200000000017</v>
      </c>
    </row>
    <row r="1365" spans="65:67" x14ac:dyDescent="0.25">
      <c r="BM1365" s="281">
        <f>$AZ$54+0.8*(seat_pitch)*($AY$54*n_SA+$AW$7&lt;pax_e)</f>
        <v>26.588000000000001</v>
      </c>
      <c r="BN1365" s="281">
        <f>$AX$7+seat_w*($AY$54*n_SA+$AW$7&lt;pax_e)</f>
        <v>-0.25</v>
      </c>
      <c r="BO1365" s="281">
        <f t="shared" si="155"/>
        <v>8.7775200000000027</v>
      </c>
    </row>
    <row r="1366" spans="65:67" x14ac:dyDescent="0.25">
      <c r="BM1366" s="281">
        <f>$AZ$54+0.8*(seat_pitch)*($AY$54*n_SA+$AW$7&lt;pax_e)</f>
        <v>26.588000000000001</v>
      </c>
      <c r="BN1366" s="281">
        <f>$AX$7</f>
        <v>-0.78</v>
      </c>
      <c r="BO1366" s="281">
        <f t="shared" si="155"/>
        <v>8.7775200000000027</v>
      </c>
    </row>
    <row r="1367" spans="65:67" x14ac:dyDescent="0.25">
      <c r="BM1367" s="281">
        <f>$AZ$54+0.2*(seat_pitch)*($AY$54*n_SA+$AW$7&lt;pax_e)</f>
        <v>26.102</v>
      </c>
      <c r="BN1367" s="281">
        <f>$AX$7</f>
        <v>-0.78</v>
      </c>
      <c r="BO1367" s="281">
        <f t="shared" si="155"/>
        <v>8.291520000000002</v>
      </c>
    </row>
    <row r="1368" spans="65:67" x14ac:dyDescent="0.25">
      <c r="BM1368" s="281">
        <f>$AZ$54+(seat_pitch)</f>
        <v>26.75</v>
      </c>
      <c r="BN1368" s="281">
        <f>$AX$7</f>
        <v>-0.78</v>
      </c>
      <c r="BO1368" s="281">
        <f t="shared" si="155"/>
        <v>8.9395200000000017</v>
      </c>
    </row>
    <row r="1369" spans="65:67" x14ac:dyDescent="0.25">
      <c r="BM1369" s="281">
        <f>$AZ$55+0.2*(seat_pitch)*($AY$55*n_SA+$AW$7&lt;pax_e)</f>
        <v>26.102</v>
      </c>
      <c r="BN1369" s="281">
        <f>$AX$7</f>
        <v>-0.78</v>
      </c>
      <c r="BO1369" s="281">
        <f t="shared" si="155"/>
        <v>8.291520000000002</v>
      </c>
    </row>
    <row r="1370" spans="65:67" x14ac:dyDescent="0.25">
      <c r="BM1370" s="281">
        <f>$AZ$55+0.2*(seat_pitch)*($AY$55*n_SA+$AW$7&lt;pax_e)</f>
        <v>26.102</v>
      </c>
      <c r="BN1370" s="281">
        <f>$AX$7+seat_w*($AY$55*n_SA+$AW$7&lt;pax_e)</f>
        <v>-0.25</v>
      </c>
      <c r="BO1370" s="281">
        <f t="shared" si="155"/>
        <v>8.291520000000002</v>
      </c>
    </row>
    <row r="1371" spans="65:67" x14ac:dyDescent="0.25">
      <c r="BM1371" s="281">
        <f>$AZ$55</f>
        <v>25.94</v>
      </c>
      <c r="BN1371" s="281">
        <f>$AX$7+seat_w*($AY$55*n_SA+$AW$7&lt;pax_e)</f>
        <v>-0.25</v>
      </c>
      <c r="BO1371" s="281">
        <f t="shared" si="155"/>
        <v>8.129520000000003</v>
      </c>
    </row>
    <row r="1372" spans="65:67" x14ac:dyDescent="0.25">
      <c r="BM1372" s="281">
        <f>$AZ$55+1*(seat_pitch)*($AY$55*n_SA+$AW$7&lt;pax_e)</f>
        <v>26.75</v>
      </c>
      <c r="BN1372" s="281">
        <f>$AX$7+seat_w*($AY$55*n_SA+$AW$7&lt;pax_e)</f>
        <v>-0.25</v>
      </c>
      <c r="BO1372" s="281">
        <f t="shared" si="155"/>
        <v>8.9395200000000017</v>
      </c>
    </row>
    <row r="1373" spans="65:67" x14ac:dyDescent="0.25">
      <c r="BM1373" s="281">
        <f>$AZ$55+0.8*(seat_pitch)*($AY$55*n_SA+$AW$7&lt;pax_e)</f>
        <v>26.588000000000001</v>
      </c>
      <c r="BN1373" s="281">
        <f>$AX$7+seat_w*($AY$55*n_SA+$AW$7&lt;pax_e)</f>
        <v>-0.25</v>
      </c>
      <c r="BO1373" s="281">
        <f t="shared" si="155"/>
        <v>8.7775200000000027</v>
      </c>
    </row>
    <row r="1374" spans="65:67" x14ac:dyDescent="0.25">
      <c r="BM1374" s="281">
        <f>$AZ$55+0.8*(seat_pitch)*($AY$55*n_SA+$AW$7&lt;pax_e)</f>
        <v>26.588000000000001</v>
      </c>
      <c r="BN1374" s="281">
        <f>$AX$7</f>
        <v>-0.78</v>
      </c>
      <c r="BO1374" s="281">
        <f t="shared" si="155"/>
        <v>8.7775200000000027</v>
      </c>
    </row>
    <row r="1375" spans="65:67" x14ac:dyDescent="0.25">
      <c r="BM1375" s="281">
        <f>$AZ$55+0.2*(seat_pitch)*($AY$55*n_SA+$AW$7&lt;pax_e)</f>
        <v>26.102</v>
      </c>
      <c r="BN1375" s="281">
        <f>$AX$7</f>
        <v>-0.78</v>
      </c>
      <c r="BO1375" s="281">
        <f t="shared" si="155"/>
        <v>8.291520000000002</v>
      </c>
    </row>
    <row r="1376" spans="65:67" x14ac:dyDescent="0.25">
      <c r="BM1376" s="281">
        <f>$AZ$55+(seat_pitch)</f>
        <v>26.75</v>
      </c>
      <c r="BN1376" s="281">
        <f>$AX$7</f>
        <v>-0.78</v>
      </c>
      <c r="BO1376" s="281">
        <f t="shared" si="155"/>
        <v>8.9395200000000017</v>
      </c>
    </row>
    <row r="1377" spans="65:67" x14ac:dyDescent="0.25">
      <c r="BM1377" s="281">
        <f>$AZ$56+0.2*(seat_pitch)*($AY$56*n_SA+$AW$7&lt;pax_e)</f>
        <v>26.102</v>
      </c>
      <c r="BN1377" s="281">
        <f>$AX$7</f>
        <v>-0.78</v>
      </c>
      <c r="BO1377" s="281">
        <f t="shared" si="155"/>
        <v>8.291520000000002</v>
      </c>
    </row>
    <row r="1378" spans="65:67" x14ac:dyDescent="0.25">
      <c r="BM1378" s="281">
        <f>$AZ$56+0.2*(seat_pitch)*($AY$56*n_SA+$AW$7&lt;pax_e)</f>
        <v>26.102</v>
      </c>
      <c r="BN1378" s="281">
        <f>$AX$7+seat_w*($AY$56*n_SA+$AW$7&lt;pax_e)</f>
        <v>-0.25</v>
      </c>
      <c r="BO1378" s="281">
        <f t="shared" si="155"/>
        <v>8.291520000000002</v>
      </c>
    </row>
    <row r="1379" spans="65:67" x14ac:dyDescent="0.25">
      <c r="BM1379" s="281">
        <f>$AZ$56</f>
        <v>25.94</v>
      </c>
      <c r="BN1379" s="281">
        <f>$AX$7+seat_w*($AY$56*n_SA+$AW$7&lt;pax_e)</f>
        <v>-0.25</v>
      </c>
      <c r="BO1379" s="281">
        <f t="shared" si="155"/>
        <v>8.129520000000003</v>
      </c>
    </row>
    <row r="1380" spans="65:67" x14ac:dyDescent="0.25">
      <c r="BM1380" s="281">
        <f>$AZ$56+1*(seat_pitch)*($AY$56*n_SA+$AW$7&lt;pax_e)</f>
        <v>26.75</v>
      </c>
      <c r="BN1380" s="281">
        <f>$AX$7+seat_w*($AY$56*n_SA+$AW$7&lt;pax_e)</f>
        <v>-0.25</v>
      </c>
      <c r="BO1380" s="281">
        <f t="shared" si="155"/>
        <v>8.9395200000000017</v>
      </c>
    </row>
    <row r="1381" spans="65:67" x14ac:dyDescent="0.25">
      <c r="BM1381" s="281">
        <f>$AZ$56+0.8*(seat_pitch)*($AY$56*n_SA+$AW$7&lt;pax_e)</f>
        <v>26.588000000000001</v>
      </c>
      <c r="BN1381" s="281">
        <f>$AX$7+seat_w*($AY$56*n_SA+$AW$7&lt;pax_e)</f>
        <v>-0.25</v>
      </c>
      <c r="BO1381" s="281">
        <f t="shared" si="155"/>
        <v>8.7775200000000027</v>
      </c>
    </row>
    <row r="1382" spans="65:67" x14ac:dyDescent="0.25">
      <c r="BM1382" s="281">
        <f>$AZ$56+0.8*(seat_pitch)*($AY$56*n_SA+$AW$7&lt;pax_e)</f>
        <v>26.588000000000001</v>
      </c>
      <c r="BN1382" s="281">
        <f>$AX$7</f>
        <v>-0.78</v>
      </c>
      <c r="BO1382" s="281">
        <f t="shared" si="155"/>
        <v>8.7775200000000027</v>
      </c>
    </row>
    <row r="1383" spans="65:67" x14ac:dyDescent="0.25">
      <c r="BM1383" s="281">
        <f>$AZ$56+0.2*(seat_pitch)*($AY$56*n_SA+$AW$7&lt;pax_e)</f>
        <v>26.102</v>
      </c>
      <c r="BN1383" s="281">
        <f>$AX$7</f>
        <v>-0.78</v>
      </c>
      <c r="BO1383" s="281">
        <f t="shared" si="155"/>
        <v>8.291520000000002</v>
      </c>
    </row>
    <row r="1384" spans="65:67" x14ac:dyDescent="0.25">
      <c r="BM1384" s="281">
        <f>$AZ$56+(seat_pitch)</f>
        <v>26.75</v>
      </c>
      <c r="BN1384" s="281">
        <f>$AX$7</f>
        <v>-0.78</v>
      </c>
      <c r="BO1384" s="281">
        <f t="shared" si="155"/>
        <v>8.9395200000000017</v>
      </c>
    </row>
    <row r="1385" spans="65:67" x14ac:dyDescent="0.25">
      <c r="BM1385" s="281">
        <f>$AZ$57+0.2*(seat_pitch)*($AY$57*n_SA+$AW$7&lt;pax_e)</f>
        <v>26.102</v>
      </c>
      <c r="BN1385" s="281">
        <f>$AX$7</f>
        <v>-0.78</v>
      </c>
      <c r="BO1385" s="281">
        <f t="shared" si="155"/>
        <v>8.291520000000002</v>
      </c>
    </row>
    <row r="1386" spans="65:67" x14ac:dyDescent="0.25">
      <c r="BM1386" s="281">
        <f>$AZ$57+0.2*(seat_pitch)*($AY$57*n_SA+$AW$7&lt;pax_e)</f>
        <v>26.102</v>
      </c>
      <c r="BN1386" s="281">
        <f>$AX$7+seat_w*($AY$57*n_SA+$AW$7&lt;pax_e)</f>
        <v>-0.25</v>
      </c>
      <c r="BO1386" s="281">
        <f t="shared" si="155"/>
        <v>8.291520000000002</v>
      </c>
    </row>
    <row r="1387" spans="65:67" x14ac:dyDescent="0.25">
      <c r="BM1387" s="281">
        <f>$AZ$57</f>
        <v>25.94</v>
      </c>
      <c r="BN1387" s="281">
        <f>$AX$7+seat_w*($AY$57*n_SA+$AW$7&lt;pax_e)</f>
        <v>-0.25</v>
      </c>
      <c r="BO1387" s="281">
        <f t="shared" si="155"/>
        <v>8.129520000000003</v>
      </c>
    </row>
    <row r="1388" spans="65:67" x14ac:dyDescent="0.25">
      <c r="BM1388" s="281">
        <f>$AZ$57+1*(seat_pitch)*($AY$57*n_SA+$AW$7&lt;pax_e)</f>
        <v>26.75</v>
      </c>
      <c r="BN1388" s="281">
        <f>$AX$7+seat_w*($AY$57*n_SA+$AW$7&lt;pax_e)</f>
        <v>-0.25</v>
      </c>
      <c r="BO1388" s="281">
        <f t="shared" si="155"/>
        <v>8.9395200000000017</v>
      </c>
    </row>
    <row r="1389" spans="65:67" x14ac:dyDescent="0.25">
      <c r="BM1389" s="281">
        <f>$AZ$57+0.8*(seat_pitch)*($AY$57*n_SA+$AW$7&lt;pax_e)</f>
        <v>26.588000000000001</v>
      </c>
      <c r="BN1389" s="281">
        <f>$AX$7+seat_w*($AY$57*n_SA+$AW$7&lt;pax_e)</f>
        <v>-0.25</v>
      </c>
      <c r="BO1389" s="281">
        <f t="shared" si="155"/>
        <v>8.7775200000000027</v>
      </c>
    </row>
    <row r="1390" spans="65:67" x14ac:dyDescent="0.25">
      <c r="BM1390" s="281">
        <f>$AZ$57+0.8*(seat_pitch)*($AY$57*n_SA+$AW$7&lt;pax_e)</f>
        <v>26.588000000000001</v>
      </c>
      <c r="BN1390" s="281">
        <f>$AX$7</f>
        <v>-0.78</v>
      </c>
      <c r="BO1390" s="281">
        <f t="shared" si="155"/>
        <v>8.7775200000000027</v>
      </c>
    </row>
    <row r="1391" spans="65:67" x14ac:dyDescent="0.25">
      <c r="BM1391" s="281">
        <f>$AZ$57+0.2*(seat_pitch)*($AY$57*n_SA+$AW$7&lt;pax_e)</f>
        <v>26.102</v>
      </c>
      <c r="BN1391" s="281">
        <f>$AX$7</f>
        <v>-0.78</v>
      </c>
      <c r="BO1391" s="281">
        <f t="shared" si="155"/>
        <v>8.291520000000002</v>
      </c>
    </row>
    <row r="1392" spans="65:67" x14ac:dyDescent="0.25">
      <c r="BM1392" s="281">
        <f>$AZ$57+(seat_pitch)</f>
        <v>26.75</v>
      </c>
      <c r="BN1392" s="281">
        <f>$AX$7</f>
        <v>-0.78</v>
      </c>
      <c r="BO1392" s="281">
        <f t="shared" si="155"/>
        <v>8.9395200000000017</v>
      </c>
    </row>
    <row r="1393" spans="65:67" x14ac:dyDescent="0.25">
      <c r="BM1393" s="281">
        <f>$AZ$58+0.2*(seat_pitch)*($AY$58*n_SA+$AW$7&lt;pax_e)</f>
        <v>26.102</v>
      </c>
      <c r="BN1393" s="281">
        <f>$AX$7</f>
        <v>-0.78</v>
      </c>
      <c r="BO1393" s="281">
        <f t="shared" si="155"/>
        <v>8.291520000000002</v>
      </c>
    </row>
    <row r="1394" spans="65:67" x14ac:dyDescent="0.25">
      <c r="BM1394" s="281">
        <f>$AZ$58+0.2*(seat_pitch)*($AY$58*n_SA+$AW$7&lt;pax_e)</f>
        <v>26.102</v>
      </c>
      <c r="BN1394" s="281">
        <f>$AX$7+seat_w*($AY$58*n_SA+$AW$7&lt;pax_e)</f>
        <v>-0.25</v>
      </c>
      <c r="BO1394" s="281">
        <f t="shared" si="155"/>
        <v>8.291520000000002</v>
      </c>
    </row>
    <row r="1395" spans="65:67" x14ac:dyDescent="0.25">
      <c r="BM1395" s="281">
        <f>$AZ$58</f>
        <v>25.94</v>
      </c>
      <c r="BN1395" s="281">
        <f>$AX$7+seat_w*($AY$58*n_SA+$AW$7&lt;pax_e)</f>
        <v>-0.25</v>
      </c>
      <c r="BO1395" s="281">
        <f t="shared" si="155"/>
        <v>8.129520000000003</v>
      </c>
    </row>
    <row r="1396" spans="65:67" x14ac:dyDescent="0.25">
      <c r="BM1396" s="281">
        <f>$AZ$58+1*(seat_pitch)*($AY$58*n_SA+$AW$7&lt;pax_e)</f>
        <v>26.75</v>
      </c>
      <c r="BN1396" s="281">
        <f>$AX$7+seat_w*($AY$58*n_SA+$AW$7&lt;pax_e)</f>
        <v>-0.25</v>
      </c>
      <c r="BO1396" s="281">
        <f t="shared" si="155"/>
        <v>8.9395200000000017</v>
      </c>
    </row>
    <row r="1397" spans="65:67" x14ac:dyDescent="0.25">
      <c r="BM1397" s="281">
        <f>$AZ$58+0.8*(seat_pitch)*($AY$58*n_SA+$AW$7&lt;pax_e)</f>
        <v>26.588000000000001</v>
      </c>
      <c r="BN1397" s="281">
        <f>$AX$7+seat_w*($AY$58*n_SA+$AW$7&lt;pax_e)</f>
        <v>-0.25</v>
      </c>
      <c r="BO1397" s="281">
        <f t="shared" si="155"/>
        <v>8.7775200000000027</v>
      </c>
    </row>
    <row r="1398" spans="65:67" x14ac:dyDescent="0.25">
      <c r="BM1398" s="281">
        <f>$AZ$58+0.8*(seat_pitch)*($AY$58*n_SA+$AW$7&lt;pax_e)</f>
        <v>26.588000000000001</v>
      </c>
      <c r="BN1398" s="281">
        <f>$AX$7</f>
        <v>-0.78</v>
      </c>
      <c r="BO1398" s="281">
        <f t="shared" si="155"/>
        <v>8.7775200000000027</v>
      </c>
    </row>
    <row r="1399" spans="65:67" x14ac:dyDescent="0.25">
      <c r="BM1399" s="281">
        <f>$AZ$58+0.2*(seat_pitch)*($AY$58*n_SA+$AW$7&lt;pax_e)</f>
        <v>26.102</v>
      </c>
      <c r="BN1399" s="281">
        <f>$AX$7</f>
        <v>-0.78</v>
      </c>
      <c r="BO1399" s="281">
        <f t="shared" si="155"/>
        <v>8.291520000000002</v>
      </c>
    </row>
    <row r="1400" spans="65:67" x14ac:dyDescent="0.25">
      <c r="BM1400" s="281">
        <f>$AZ$58+(seat_pitch)</f>
        <v>26.75</v>
      </c>
      <c r="BN1400" s="281">
        <f>$AX$7</f>
        <v>-0.78</v>
      </c>
      <c r="BO1400" s="281">
        <f t="shared" si="155"/>
        <v>8.9395200000000017</v>
      </c>
    </row>
    <row r="1401" spans="65:67" x14ac:dyDescent="0.25">
      <c r="BM1401" s="281">
        <f>$AZ$59+0.2*(seat_pitch)*($AY$59*n_SA+$AW$7&lt;pax_e)</f>
        <v>26.102</v>
      </c>
      <c r="BN1401" s="281">
        <f>$AX$7</f>
        <v>-0.78</v>
      </c>
      <c r="BO1401" s="281">
        <f t="shared" si="155"/>
        <v>8.291520000000002</v>
      </c>
    </row>
    <row r="1402" spans="65:67" x14ac:dyDescent="0.25">
      <c r="BM1402" s="281">
        <f>$AZ$59+0.2*(seat_pitch)*($AY$59*n_SA+$AW$7&lt;pax_e)</f>
        <v>26.102</v>
      </c>
      <c r="BN1402" s="281">
        <f>$AX$7+seat_w*($AY$59*n_SA+$AW$7&lt;pax_e)</f>
        <v>-0.25</v>
      </c>
      <c r="BO1402" s="281">
        <f t="shared" si="155"/>
        <v>8.291520000000002</v>
      </c>
    </row>
    <row r="1403" spans="65:67" x14ac:dyDescent="0.25">
      <c r="BM1403" s="281">
        <f>$AZ$59</f>
        <v>25.94</v>
      </c>
      <c r="BN1403" s="281">
        <f>$AX$7+seat_w*($AY$59*n_SA+$AW$7&lt;pax_e)</f>
        <v>-0.25</v>
      </c>
      <c r="BO1403" s="281">
        <f t="shared" si="155"/>
        <v>8.129520000000003</v>
      </c>
    </row>
    <row r="1404" spans="65:67" x14ac:dyDescent="0.25">
      <c r="BM1404" s="281">
        <f>$AZ$59+1*(seat_pitch)*($AY$59*n_SA+$AW$7&lt;pax_e)</f>
        <v>26.75</v>
      </c>
      <c r="BN1404" s="281">
        <f>$AX$7+seat_w*($AY$59*n_SA+$AW$7&lt;pax_e)</f>
        <v>-0.25</v>
      </c>
      <c r="BO1404" s="281">
        <f t="shared" si="155"/>
        <v>8.9395200000000017</v>
      </c>
    </row>
    <row r="1405" spans="65:67" x14ac:dyDescent="0.25">
      <c r="BM1405" s="281">
        <f>$AZ$59+0.8*(seat_pitch)*($AY$59*n_SA+$AW$7&lt;pax_e)</f>
        <v>26.588000000000001</v>
      </c>
      <c r="BN1405" s="281">
        <f>$AX$7+seat_w*($AY$59*n_SA+$AW$7&lt;pax_e)</f>
        <v>-0.25</v>
      </c>
      <c r="BO1405" s="281">
        <f t="shared" si="155"/>
        <v>8.7775200000000027</v>
      </c>
    </row>
    <row r="1406" spans="65:67" x14ac:dyDescent="0.25">
      <c r="BM1406" s="281">
        <f>$AZ$59+0.8*(seat_pitch)*($AY$59*n_SA+$AW$7&lt;pax_e)</f>
        <v>26.588000000000001</v>
      </c>
      <c r="BN1406" s="281">
        <f>$AX$7</f>
        <v>-0.78</v>
      </c>
      <c r="BO1406" s="281">
        <f t="shared" si="155"/>
        <v>8.7775200000000027</v>
      </c>
    </row>
    <row r="1407" spans="65:67" x14ac:dyDescent="0.25">
      <c r="BM1407" s="281">
        <f>$AZ$59+0.2*(seat_pitch)*($AY$59*n_SA+$AW$7&lt;pax_e)</f>
        <v>26.102</v>
      </c>
      <c r="BN1407" s="281">
        <f>$AX$7</f>
        <v>-0.78</v>
      </c>
      <c r="BO1407" s="281">
        <f t="shared" si="155"/>
        <v>8.291520000000002</v>
      </c>
    </row>
    <row r="1408" spans="65:67" x14ac:dyDescent="0.25">
      <c r="BM1408" s="281">
        <f>$AZ$59+(seat_pitch)</f>
        <v>26.75</v>
      </c>
      <c r="BN1408" s="281">
        <f>$AX$7</f>
        <v>-0.78</v>
      </c>
      <c r="BO1408" s="281">
        <f t="shared" si="155"/>
        <v>8.9395200000000017</v>
      </c>
    </row>
    <row r="1409" spans="65:67" x14ac:dyDescent="0.25">
      <c r="BM1409" s="281">
        <f>$AZ$60+0.2*(seat_pitch)*($AY$60*n_SA+$AW$7&lt;pax_e)</f>
        <v>26.102</v>
      </c>
      <c r="BN1409" s="281">
        <f>$AX$7</f>
        <v>-0.78</v>
      </c>
      <c r="BO1409" s="281">
        <f t="shared" si="155"/>
        <v>8.291520000000002</v>
      </c>
    </row>
    <row r="1410" spans="65:67" x14ac:dyDescent="0.25">
      <c r="BM1410" s="281">
        <f>$AZ$60+0.2*(seat_pitch)*($AY$60*n_SA+$AW$7&lt;pax_e)</f>
        <v>26.102</v>
      </c>
      <c r="BN1410" s="281">
        <f>$AX$7+seat_w*($AY$60*n_SA+$AW$7&lt;pax_e)</f>
        <v>-0.25</v>
      </c>
      <c r="BO1410" s="281">
        <f t="shared" si="155"/>
        <v>8.291520000000002</v>
      </c>
    </row>
    <row r="1411" spans="65:67" x14ac:dyDescent="0.25">
      <c r="BM1411" s="281">
        <f>$AZ$60</f>
        <v>25.94</v>
      </c>
      <c r="BN1411" s="281">
        <f>$AX$7+seat_w*($AY$60*n_SA+$AW$7&lt;pax_e)</f>
        <v>-0.25</v>
      </c>
      <c r="BO1411" s="281">
        <f t="shared" si="155"/>
        <v>8.129520000000003</v>
      </c>
    </row>
    <row r="1412" spans="65:67" x14ac:dyDescent="0.25">
      <c r="BM1412" s="281">
        <f>$AZ$60+1*(seat_pitch)*($AY$60*n_SA+$AW$7&lt;pax_e)</f>
        <v>26.75</v>
      </c>
      <c r="BN1412" s="281">
        <f>$AX$7+seat_w*($AY$60*n_SA+$AW$7&lt;pax_e)</f>
        <v>-0.25</v>
      </c>
      <c r="BO1412" s="281">
        <f t="shared" si="155"/>
        <v>8.9395200000000017</v>
      </c>
    </row>
    <row r="1413" spans="65:67" x14ac:dyDescent="0.25">
      <c r="BM1413" s="281">
        <f>$AZ$60+0.8*(seat_pitch)*($AY$60*n_SA+$AW$7&lt;pax_e)</f>
        <v>26.588000000000001</v>
      </c>
      <c r="BN1413" s="281">
        <f>$AX$7+seat_w*($AY$60*n_SA+$AW$7&lt;pax_e)</f>
        <v>-0.25</v>
      </c>
      <c r="BO1413" s="281">
        <f t="shared" ref="BO1413:BO1476" si="156">BM1413-L_fus/2</f>
        <v>8.7775200000000027</v>
      </c>
    </row>
    <row r="1414" spans="65:67" x14ac:dyDescent="0.25">
      <c r="BM1414" s="281">
        <f>$AZ$60+0.8*(seat_pitch)*($AY$60*n_SA+$AW$7&lt;pax_e)</f>
        <v>26.588000000000001</v>
      </c>
      <c r="BN1414" s="281">
        <f>$AX$7</f>
        <v>-0.78</v>
      </c>
      <c r="BO1414" s="281">
        <f t="shared" si="156"/>
        <v>8.7775200000000027</v>
      </c>
    </row>
    <row r="1415" spans="65:67" x14ac:dyDescent="0.25">
      <c r="BM1415" s="281">
        <f>$AZ$60+0.2*(seat_pitch)*($AY$60*n_SA+$AW$7&lt;pax_e)</f>
        <v>26.102</v>
      </c>
      <c r="BN1415" s="281">
        <f>$AX$7</f>
        <v>-0.78</v>
      </c>
      <c r="BO1415" s="281">
        <f t="shared" si="156"/>
        <v>8.291520000000002</v>
      </c>
    </row>
    <row r="1416" spans="65:67" x14ac:dyDescent="0.25">
      <c r="BM1416" s="281">
        <f>$AZ$60+(seat_pitch)</f>
        <v>26.75</v>
      </c>
      <c r="BN1416" s="281">
        <f>$AX$7</f>
        <v>-0.78</v>
      </c>
      <c r="BO1416" s="281">
        <f t="shared" si="156"/>
        <v>8.9395200000000017</v>
      </c>
    </row>
    <row r="1417" spans="65:67" x14ac:dyDescent="0.25">
      <c r="BM1417" s="281">
        <f>$AZ$61+0.2*(seat_pitch)*($AY$61*n_SA+$AW$7&lt;pax_e)</f>
        <v>26.102</v>
      </c>
      <c r="BN1417" s="281">
        <f>$AX$7</f>
        <v>-0.78</v>
      </c>
      <c r="BO1417" s="281">
        <f t="shared" si="156"/>
        <v>8.291520000000002</v>
      </c>
    </row>
    <row r="1418" spans="65:67" x14ac:dyDescent="0.25">
      <c r="BM1418" s="281">
        <f>$AZ$61+0.2*(seat_pitch)*($AY$61*n_SA+$AW$7&lt;pax_e)</f>
        <v>26.102</v>
      </c>
      <c r="BN1418" s="281">
        <f>$AX$7+seat_w*($AY$61*n_SA+$AW$7&lt;pax_e)</f>
        <v>-0.25</v>
      </c>
      <c r="BO1418" s="281">
        <f t="shared" si="156"/>
        <v>8.291520000000002</v>
      </c>
    </row>
    <row r="1419" spans="65:67" x14ac:dyDescent="0.25">
      <c r="BM1419" s="281">
        <f>$AZ$61</f>
        <v>25.94</v>
      </c>
      <c r="BN1419" s="281">
        <f>$AX$7+seat_w*($AY$61*n_SA+$AW$7&lt;pax_e)</f>
        <v>-0.25</v>
      </c>
      <c r="BO1419" s="281">
        <f t="shared" si="156"/>
        <v>8.129520000000003</v>
      </c>
    </row>
    <row r="1420" spans="65:67" x14ac:dyDescent="0.25">
      <c r="BM1420" s="281">
        <f>$AZ$61+1*(seat_pitch)*($AY$61*n_SA+$AW$7&lt;pax_e)</f>
        <v>26.75</v>
      </c>
      <c r="BN1420" s="281">
        <f>$AX$7+seat_w*($AY$61*n_SA+$AW$7&lt;pax_e)</f>
        <v>-0.25</v>
      </c>
      <c r="BO1420" s="281">
        <f t="shared" si="156"/>
        <v>8.9395200000000017</v>
      </c>
    </row>
    <row r="1421" spans="65:67" x14ac:dyDescent="0.25">
      <c r="BM1421" s="281">
        <f>$AZ$61+0.8*(seat_pitch)*($AY$61*n_SA+$AW$7&lt;pax_e)</f>
        <v>26.588000000000001</v>
      </c>
      <c r="BN1421" s="281">
        <f>$AX$7+seat_w*($AY$61*n_SA+$AW$7&lt;pax_e)</f>
        <v>-0.25</v>
      </c>
      <c r="BO1421" s="281">
        <f t="shared" si="156"/>
        <v>8.7775200000000027</v>
      </c>
    </row>
    <row r="1422" spans="65:67" x14ac:dyDescent="0.25">
      <c r="BM1422" s="281">
        <f>$AZ$61+0.8*(seat_pitch)*($AY$61*n_SA+$AW$7&lt;pax_e)</f>
        <v>26.588000000000001</v>
      </c>
      <c r="BN1422" s="281">
        <f>$AX$7</f>
        <v>-0.78</v>
      </c>
      <c r="BO1422" s="281">
        <f t="shared" si="156"/>
        <v>8.7775200000000027</v>
      </c>
    </row>
    <row r="1423" spans="65:67" x14ac:dyDescent="0.25">
      <c r="BM1423" s="281">
        <f>$AZ$61+0.2*(seat_pitch)*($AY$61*n_SA+$AW$7&lt;pax_e)</f>
        <v>26.102</v>
      </c>
      <c r="BN1423" s="281">
        <f>$AX$7</f>
        <v>-0.78</v>
      </c>
      <c r="BO1423" s="281">
        <f t="shared" si="156"/>
        <v>8.291520000000002</v>
      </c>
    </row>
    <row r="1424" spans="65:67" x14ac:dyDescent="0.25">
      <c r="BM1424" s="281">
        <f>$AZ$61+(seat_pitch)</f>
        <v>26.75</v>
      </c>
      <c r="BN1424" s="281">
        <f>$AX$7</f>
        <v>-0.78</v>
      </c>
      <c r="BO1424" s="281">
        <f t="shared" si="156"/>
        <v>8.9395200000000017</v>
      </c>
    </row>
    <row r="1425" spans="65:67" x14ac:dyDescent="0.25">
      <c r="BM1425" s="281">
        <f>$AZ$62+0.2*(seat_pitch)*($AY$62*n_SA+$AW$7&lt;pax_e)</f>
        <v>26.102</v>
      </c>
      <c r="BN1425" s="281">
        <f>$AX$7</f>
        <v>-0.78</v>
      </c>
      <c r="BO1425" s="281">
        <f t="shared" si="156"/>
        <v>8.291520000000002</v>
      </c>
    </row>
    <row r="1426" spans="65:67" x14ac:dyDescent="0.25">
      <c r="BM1426" s="281">
        <f>$AZ$62+0.2*(seat_pitch)*($AY$62*n_SA+$AW$7&lt;pax_e)</f>
        <v>26.102</v>
      </c>
      <c r="BN1426" s="281">
        <f>$AX$7+seat_w*($AY$62*n_SA+$AW$7&lt;pax_e)</f>
        <v>-0.25</v>
      </c>
      <c r="BO1426" s="281">
        <f t="shared" si="156"/>
        <v>8.291520000000002</v>
      </c>
    </row>
    <row r="1427" spans="65:67" x14ac:dyDescent="0.25">
      <c r="BM1427" s="281">
        <f>$AZ$62</f>
        <v>25.94</v>
      </c>
      <c r="BN1427" s="281">
        <f>$AX$7+seat_w*($AY$62*n_SA+$AW$7&lt;pax_e)</f>
        <v>-0.25</v>
      </c>
      <c r="BO1427" s="281">
        <f t="shared" si="156"/>
        <v>8.129520000000003</v>
      </c>
    </row>
    <row r="1428" spans="65:67" x14ac:dyDescent="0.25">
      <c r="BM1428" s="281">
        <f>$AZ$62+1*(seat_pitch)*($AY$62*n_SA+$AW$7&lt;pax_e)</f>
        <v>26.75</v>
      </c>
      <c r="BN1428" s="281">
        <f>$AX$7+seat_w*($AY$62*n_SA+$AW$7&lt;pax_e)</f>
        <v>-0.25</v>
      </c>
      <c r="BO1428" s="281">
        <f t="shared" si="156"/>
        <v>8.9395200000000017</v>
      </c>
    </row>
    <row r="1429" spans="65:67" x14ac:dyDescent="0.25">
      <c r="BM1429" s="281">
        <f>$AZ$62+0.8*(seat_pitch)*($AY$62*n_SA+$AW$7&lt;pax_e)</f>
        <v>26.588000000000001</v>
      </c>
      <c r="BN1429" s="281">
        <f>$AX$7+seat_w*($AY$62*n_SA+$AW$7&lt;pax_e)</f>
        <v>-0.25</v>
      </c>
      <c r="BO1429" s="281">
        <f t="shared" si="156"/>
        <v>8.7775200000000027</v>
      </c>
    </row>
    <row r="1430" spans="65:67" x14ac:dyDescent="0.25">
      <c r="BM1430" s="281">
        <f>$AZ$62+0.8*(seat_pitch)*($AY$62*n_SA+$AW$7&lt;pax_e)</f>
        <v>26.588000000000001</v>
      </c>
      <c r="BN1430" s="281">
        <f>$AX$7</f>
        <v>-0.78</v>
      </c>
      <c r="BO1430" s="281">
        <f t="shared" si="156"/>
        <v>8.7775200000000027</v>
      </c>
    </row>
    <row r="1431" spans="65:67" x14ac:dyDescent="0.25">
      <c r="BM1431" s="281">
        <f>$AZ$62+0.2*(seat_pitch)*($AY$62*n_SA+$AW$7&lt;pax_e)</f>
        <v>26.102</v>
      </c>
      <c r="BN1431" s="281">
        <f>$AX$7</f>
        <v>-0.78</v>
      </c>
      <c r="BO1431" s="281">
        <f t="shared" si="156"/>
        <v>8.291520000000002</v>
      </c>
    </row>
    <row r="1432" spans="65:67" x14ac:dyDescent="0.25">
      <c r="BM1432" s="281">
        <f>$AZ$62+(seat_pitch)</f>
        <v>26.75</v>
      </c>
      <c r="BN1432" s="281">
        <f>$AX$7</f>
        <v>-0.78</v>
      </c>
      <c r="BO1432" s="281">
        <f t="shared" si="156"/>
        <v>8.9395200000000017</v>
      </c>
    </row>
    <row r="1433" spans="65:67" x14ac:dyDescent="0.25">
      <c r="BM1433" s="281">
        <f>$AZ$63+0.2*(seat_pitch)*($AY$63*n_SA+$AW$7&lt;pax_e)</f>
        <v>26.102</v>
      </c>
      <c r="BN1433" s="281">
        <f>$AX$7</f>
        <v>-0.78</v>
      </c>
      <c r="BO1433" s="281">
        <f t="shared" si="156"/>
        <v>8.291520000000002</v>
      </c>
    </row>
    <row r="1434" spans="65:67" x14ac:dyDescent="0.25">
      <c r="BM1434" s="281">
        <f>$AZ$63+0.2*(seat_pitch)*($AY$63*n_SA+$AW$7&lt;pax_e)</f>
        <v>26.102</v>
      </c>
      <c r="BN1434" s="281">
        <f>$AX$7+seat_w*($AY$63*n_SA+$AW$7&lt;pax_e)</f>
        <v>-0.25</v>
      </c>
      <c r="BO1434" s="281">
        <f t="shared" si="156"/>
        <v>8.291520000000002</v>
      </c>
    </row>
    <row r="1435" spans="65:67" x14ac:dyDescent="0.25">
      <c r="BM1435" s="281">
        <f>$AZ$63</f>
        <v>25.94</v>
      </c>
      <c r="BN1435" s="281">
        <f>$AX$7+seat_w*($AY$63*n_SA+$AW$7&lt;pax_e)</f>
        <v>-0.25</v>
      </c>
      <c r="BO1435" s="281">
        <f t="shared" si="156"/>
        <v>8.129520000000003</v>
      </c>
    </row>
    <row r="1436" spans="65:67" x14ac:dyDescent="0.25">
      <c r="BM1436" s="281">
        <f>$AZ$63+1*(seat_pitch)*($AY$63*n_SA+$AW$7&lt;pax_e)</f>
        <v>26.75</v>
      </c>
      <c r="BN1436" s="281">
        <f>$AX$7+seat_w*($AY$63*n_SA+$AW$7&lt;pax_e)</f>
        <v>-0.25</v>
      </c>
      <c r="BO1436" s="281">
        <f t="shared" si="156"/>
        <v>8.9395200000000017</v>
      </c>
    </row>
    <row r="1437" spans="65:67" x14ac:dyDescent="0.25">
      <c r="BM1437" s="281">
        <f>$AZ$63+0.8*(seat_pitch)*($AY$63*n_SA+$AW$7&lt;pax_e)</f>
        <v>26.588000000000001</v>
      </c>
      <c r="BN1437" s="281">
        <f>$AX$7+seat_w*($AY$63*n_SA+$AW$7&lt;pax_e)</f>
        <v>-0.25</v>
      </c>
      <c r="BO1437" s="281">
        <f t="shared" si="156"/>
        <v>8.7775200000000027</v>
      </c>
    </row>
    <row r="1438" spans="65:67" x14ac:dyDescent="0.25">
      <c r="BM1438" s="281">
        <f>$AZ$63+0.8*(seat_pitch)*($AY$63*n_SA+$AW$7&lt;pax_e)</f>
        <v>26.588000000000001</v>
      </c>
      <c r="BN1438" s="281">
        <f>$AX$7</f>
        <v>-0.78</v>
      </c>
      <c r="BO1438" s="281">
        <f t="shared" si="156"/>
        <v>8.7775200000000027</v>
      </c>
    </row>
    <row r="1439" spans="65:67" x14ac:dyDescent="0.25">
      <c r="BM1439" s="281">
        <f>$AZ$63+0.2*(seat_pitch)*($AY$63*n_SA+$AW$7&lt;pax_e)</f>
        <v>26.102</v>
      </c>
      <c r="BN1439" s="281">
        <f>$AX$7</f>
        <v>-0.78</v>
      </c>
      <c r="BO1439" s="281">
        <f t="shared" si="156"/>
        <v>8.291520000000002</v>
      </c>
    </row>
    <row r="1440" spans="65:67" x14ac:dyDescent="0.25">
      <c r="BM1440" s="281">
        <f>$AZ$63+(seat_pitch)</f>
        <v>26.75</v>
      </c>
      <c r="BN1440" s="281">
        <f>$AX$7</f>
        <v>-0.78</v>
      </c>
      <c r="BO1440" s="281">
        <f t="shared" si="156"/>
        <v>8.9395200000000017</v>
      </c>
    </row>
    <row r="1441" spans="65:67" x14ac:dyDescent="0.25">
      <c r="BM1441" s="281">
        <f>$AZ$64+0.2*(seat_pitch)*($AY$64*n_SA+$AW$7&lt;pax_e)</f>
        <v>26.102</v>
      </c>
      <c r="BN1441" s="281">
        <f>$AX$7</f>
        <v>-0.78</v>
      </c>
      <c r="BO1441" s="281">
        <f t="shared" si="156"/>
        <v>8.291520000000002</v>
      </c>
    </row>
    <row r="1442" spans="65:67" x14ac:dyDescent="0.25">
      <c r="BM1442" s="281">
        <f>$AZ$64+0.2*(seat_pitch)*($AY$64*n_SA+$AW$7&lt;pax_e)</f>
        <v>26.102</v>
      </c>
      <c r="BN1442" s="281">
        <f>$AX$7+seat_w*($AY$64*n_SA+$AW$7&lt;pax_e)</f>
        <v>-0.25</v>
      </c>
      <c r="BO1442" s="281">
        <f t="shared" si="156"/>
        <v>8.291520000000002</v>
      </c>
    </row>
    <row r="1443" spans="65:67" x14ac:dyDescent="0.25">
      <c r="BM1443" s="281">
        <f>$AZ$64</f>
        <v>25.94</v>
      </c>
      <c r="BN1443" s="281">
        <f>$AX$7+seat_w*($AY$64*n_SA+$AW$7&lt;pax_e)</f>
        <v>-0.25</v>
      </c>
      <c r="BO1443" s="281">
        <f t="shared" si="156"/>
        <v>8.129520000000003</v>
      </c>
    </row>
    <row r="1444" spans="65:67" x14ac:dyDescent="0.25">
      <c r="BM1444" s="281">
        <f>$AZ$64+1*(seat_pitch)*($AY$64*n_SA+$AW$7&lt;pax_e)</f>
        <v>26.75</v>
      </c>
      <c r="BN1444" s="281">
        <f>$AX$7+seat_w*($AY$64*n_SA+$AW$7&lt;pax_e)</f>
        <v>-0.25</v>
      </c>
      <c r="BO1444" s="281">
        <f t="shared" si="156"/>
        <v>8.9395200000000017</v>
      </c>
    </row>
    <row r="1445" spans="65:67" x14ac:dyDescent="0.25">
      <c r="BM1445" s="281">
        <f>$AZ$64+0.8*(seat_pitch)*($AY$64*n_SA+$AW$7&lt;pax_e)</f>
        <v>26.588000000000001</v>
      </c>
      <c r="BN1445" s="281">
        <f>$AX$7+seat_w*($AY$64*n_SA+$AW$7&lt;pax_e)</f>
        <v>-0.25</v>
      </c>
      <c r="BO1445" s="281">
        <f t="shared" si="156"/>
        <v>8.7775200000000027</v>
      </c>
    </row>
    <row r="1446" spans="65:67" x14ac:dyDescent="0.25">
      <c r="BM1446" s="281">
        <f>$AZ$64+0.8*(seat_pitch)*($AY$64*n_SA+$AW$7&lt;pax_e)</f>
        <v>26.588000000000001</v>
      </c>
      <c r="BN1446" s="281">
        <f>$AX$7</f>
        <v>-0.78</v>
      </c>
      <c r="BO1446" s="281">
        <f t="shared" si="156"/>
        <v>8.7775200000000027</v>
      </c>
    </row>
    <row r="1447" spans="65:67" x14ac:dyDescent="0.25">
      <c r="BM1447" s="281">
        <f>$AZ$64+0.2*(seat_pitch)*($AY$64*n_SA+$AW$7&lt;pax_e)</f>
        <v>26.102</v>
      </c>
      <c r="BN1447" s="281">
        <f>$AX$7</f>
        <v>-0.78</v>
      </c>
      <c r="BO1447" s="281">
        <f t="shared" si="156"/>
        <v>8.291520000000002</v>
      </c>
    </row>
    <row r="1448" spans="65:67" x14ac:dyDescent="0.25">
      <c r="BM1448" s="281">
        <f>$AZ$64+(seat_pitch)</f>
        <v>26.75</v>
      </c>
      <c r="BN1448" s="281">
        <f>$AX$7</f>
        <v>-0.78</v>
      </c>
      <c r="BO1448" s="281">
        <f t="shared" si="156"/>
        <v>8.9395200000000017</v>
      </c>
    </row>
    <row r="1449" spans="65:67" x14ac:dyDescent="0.25">
      <c r="BM1449" s="281">
        <f>x_seat_end</f>
        <v>26.75</v>
      </c>
      <c r="BN1449" s="281">
        <f>$AX$8</f>
        <v>0.24999999999999978</v>
      </c>
      <c r="BO1449" s="281">
        <f t="shared" si="156"/>
        <v>8.9395200000000017</v>
      </c>
    </row>
    <row r="1450" spans="65:67" x14ac:dyDescent="0.25">
      <c r="BM1450" s="281">
        <f>x_eco0</f>
        <v>6.5</v>
      </c>
      <c r="BN1450" s="281">
        <f>$AX$8</f>
        <v>0.24999999999999978</v>
      </c>
      <c r="BO1450" s="281">
        <f t="shared" si="156"/>
        <v>-11.310479999999998</v>
      </c>
    </row>
    <row r="1451" spans="65:67" x14ac:dyDescent="0.25">
      <c r="BM1451" s="281">
        <f>$AZ$5+0.2*(seat_pitch)*($AY$5*n_SA+$AW$8&lt;pax_e)</f>
        <v>6.6619999999999999</v>
      </c>
      <c r="BN1451" s="281">
        <f>$AX$8</f>
        <v>0.24999999999999978</v>
      </c>
      <c r="BO1451" s="281">
        <f t="shared" si="156"/>
        <v>-11.148479999999999</v>
      </c>
    </row>
    <row r="1452" spans="65:67" x14ac:dyDescent="0.25">
      <c r="BM1452" s="281">
        <f>$AZ$5+0.2*(seat_pitch)*($AY$5*n_SA+$AW$8&lt;pax_e)</f>
        <v>6.6619999999999999</v>
      </c>
      <c r="BN1452" s="281">
        <f>$AX$8+seat_w*($AY$5*n_SA+$AW$8&lt;pax_e)</f>
        <v>0.7799999999999998</v>
      </c>
      <c r="BO1452" s="281">
        <f t="shared" si="156"/>
        <v>-11.148479999999999</v>
      </c>
    </row>
    <row r="1453" spans="65:67" x14ac:dyDescent="0.25">
      <c r="BM1453" s="281">
        <f>$AZ$5</f>
        <v>6.5</v>
      </c>
      <c r="BN1453" s="281">
        <f>$AX$8+seat_w*($AY$5*n_SA+$AW$8&lt;pax_e)</f>
        <v>0.7799999999999998</v>
      </c>
      <c r="BO1453" s="281">
        <f t="shared" si="156"/>
        <v>-11.310479999999998</v>
      </c>
    </row>
    <row r="1454" spans="65:67" x14ac:dyDescent="0.25">
      <c r="BM1454" s="281">
        <f>$AZ$5+1*(seat_pitch)*($AY$5*n_SA+$AW$8&lt;pax_e)</f>
        <v>7.3100000000000005</v>
      </c>
      <c r="BN1454" s="281">
        <f>$AX$8+seat_w*($AY$5*n_SA+$AW$8&lt;pax_e)</f>
        <v>0.7799999999999998</v>
      </c>
      <c r="BO1454" s="281">
        <f t="shared" si="156"/>
        <v>-10.500479999999998</v>
      </c>
    </row>
    <row r="1455" spans="65:67" x14ac:dyDescent="0.25">
      <c r="BM1455" s="281">
        <f>$AZ$5+0.8*(seat_pitch)*($AY$5*n_SA+$AW$8&lt;pax_e)</f>
        <v>7.1479999999999997</v>
      </c>
      <c r="BN1455" s="281">
        <f>$AX$8+seat_w*($AY$5*n_SA+$AW$8&lt;pax_e)</f>
        <v>0.7799999999999998</v>
      </c>
      <c r="BO1455" s="281">
        <f t="shared" si="156"/>
        <v>-10.662479999999999</v>
      </c>
    </row>
    <row r="1456" spans="65:67" x14ac:dyDescent="0.25">
      <c r="BM1456" s="281">
        <f>$AZ$5+0.8*(seat_pitch)*($AY$5*n_SA+$AW$8&lt;pax_e)</f>
        <v>7.1479999999999997</v>
      </c>
      <c r="BN1456" s="281">
        <f>$AX$8</f>
        <v>0.24999999999999978</v>
      </c>
      <c r="BO1456" s="281">
        <f t="shared" si="156"/>
        <v>-10.662479999999999</v>
      </c>
    </row>
    <row r="1457" spans="65:67" x14ac:dyDescent="0.25">
      <c r="BM1457" s="281">
        <f>$AZ$5+0.2*(seat_pitch)*($AY$5*n_SA+$AW$8&lt;pax_e)</f>
        <v>6.6619999999999999</v>
      </c>
      <c r="BN1457" s="281">
        <f>$AX$8</f>
        <v>0.24999999999999978</v>
      </c>
      <c r="BO1457" s="281">
        <f t="shared" si="156"/>
        <v>-11.148479999999999</v>
      </c>
    </row>
    <row r="1458" spans="65:67" x14ac:dyDescent="0.25">
      <c r="BM1458" s="281">
        <f>$AZ$5+(seat_pitch)</f>
        <v>7.3100000000000005</v>
      </c>
      <c r="BN1458" s="281">
        <f>$AX$8</f>
        <v>0.24999999999999978</v>
      </c>
      <c r="BO1458" s="281">
        <f t="shared" si="156"/>
        <v>-10.500479999999998</v>
      </c>
    </row>
    <row r="1459" spans="65:67" x14ac:dyDescent="0.25">
      <c r="BM1459" s="281">
        <f>$AZ$6+0.2*(seat_pitch)*($AY$6*n_SA+$AW$8&lt;pax_e)</f>
        <v>7.4720000000000004</v>
      </c>
      <c r="BN1459" s="281">
        <f>$AX$8</f>
        <v>0.24999999999999978</v>
      </c>
      <c r="BO1459" s="281">
        <f t="shared" si="156"/>
        <v>-10.338479999999997</v>
      </c>
    </row>
    <row r="1460" spans="65:67" x14ac:dyDescent="0.25">
      <c r="BM1460" s="281">
        <f>$AZ$6+0.2*(seat_pitch)*($AY$6*n_SA+$AW$8&lt;pax_e)</f>
        <v>7.4720000000000004</v>
      </c>
      <c r="BN1460" s="281">
        <f>$AX$8+seat_w*($AY$6*n_SA+$AW$8&lt;pax_e)</f>
        <v>0.7799999999999998</v>
      </c>
      <c r="BO1460" s="281">
        <f t="shared" si="156"/>
        <v>-10.338479999999997</v>
      </c>
    </row>
    <row r="1461" spans="65:67" x14ac:dyDescent="0.25">
      <c r="BM1461" s="281">
        <f>$AZ$6</f>
        <v>7.3100000000000005</v>
      </c>
      <c r="BN1461" s="281">
        <f>$AX$8+seat_w*($AY$6*n_SA+$AW$8&lt;pax_e)</f>
        <v>0.7799999999999998</v>
      </c>
      <c r="BO1461" s="281">
        <f t="shared" si="156"/>
        <v>-10.500479999999998</v>
      </c>
    </row>
    <row r="1462" spans="65:67" x14ac:dyDescent="0.25">
      <c r="BM1462" s="281">
        <f>$AZ$6+1*(seat_pitch)*($AY$6*n_SA+$AW$8&lt;pax_e)</f>
        <v>8.120000000000001</v>
      </c>
      <c r="BN1462" s="281">
        <f>$AX$8+seat_w*($AY$6*n_SA+$AW$8&lt;pax_e)</f>
        <v>0.7799999999999998</v>
      </c>
      <c r="BO1462" s="281">
        <f t="shared" si="156"/>
        <v>-9.6904799999999973</v>
      </c>
    </row>
    <row r="1463" spans="65:67" x14ac:dyDescent="0.25">
      <c r="BM1463" s="281">
        <f>$AZ$6+0.8*(seat_pitch)*($AY$6*n_SA+$AW$8&lt;pax_e)</f>
        <v>7.9580000000000002</v>
      </c>
      <c r="BN1463" s="281">
        <f>$AX$8+seat_w*($AY$6*n_SA+$AW$8&lt;pax_e)</f>
        <v>0.7799999999999998</v>
      </c>
      <c r="BO1463" s="281">
        <f t="shared" si="156"/>
        <v>-9.8524799999999981</v>
      </c>
    </row>
    <row r="1464" spans="65:67" x14ac:dyDescent="0.25">
      <c r="BM1464" s="281">
        <f>$AZ$6+0.8*(seat_pitch)*($AY$6*n_SA+$AW$8&lt;pax_e)</f>
        <v>7.9580000000000002</v>
      </c>
      <c r="BN1464" s="281">
        <f>$AX$8</f>
        <v>0.24999999999999978</v>
      </c>
      <c r="BO1464" s="281">
        <f t="shared" si="156"/>
        <v>-9.8524799999999981</v>
      </c>
    </row>
    <row r="1465" spans="65:67" x14ac:dyDescent="0.25">
      <c r="BM1465" s="281">
        <f>$AZ$6+0.2*(seat_pitch)*($AY$6*n_SA+$AW$8&lt;pax_e)</f>
        <v>7.4720000000000004</v>
      </c>
      <c r="BN1465" s="281">
        <f>$AX$8</f>
        <v>0.24999999999999978</v>
      </c>
      <c r="BO1465" s="281">
        <f t="shared" si="156"/>
        <v>-10.338479999999997</v>
      </c>
    </row>
    <row r="1466" spans="65:67" x14ac:dyDescent="0.25">
      <c r="BM1466" s="281">
        <f>$AZ$6+(seat_pitch)</f>
        <v>8.120000000000001</v>
      </c>
      <c r="BN1466" s="281">
        <f>$AX$8</f>
        <v>0.24999999999999978</v>
      </c>
      <c r="BO1466" s="281">
        <f t="shared" si="156"/>
        <v>-9.6904799999999973</v>
      </c>
    </row>
    <row r="1467" spans="65:67" x14ac:dyDescent="0.25">
      <c r="BM1467" s="281">
        <f>$AZ$7+0.2*(seat_pitch)*($AY$7*n_SA+$AW$8&lt;pax_e)</f>
        <v>8.2820000000000018</v>
      </c>
      <c r="BN1467" s="281">
        <f>$AX$8</f>
        <v>0.24999999999999978</v>
      </c>
      <c r="BO1467" s="281">
        <f t="shared" si="156"/>
        <v>-9.5284799999999965</v>
      </c>
    </row>
    <row r="1468" spans="65:67" x14ac:dyDescent="0.25">
      <c r="BM1468" s="281">
        <f>$AZ$7+0.2*(seat_pitch)*($AY$7*n_SA+$AW$8&lt;pax_e)</f>
        <v>8.2820000000000018</v>
      </c>
      <c r="BN1468" s="281">
        <f>$AX$8+seat_w*($AY$7*n_SA+$AW$8&lt;pax_e)</f>
        <v>0.7799999999999998</v>
      </c>
      <c r="BO1468" s="281">
        <f t="shared" si="156"/>
        <v>-9.5284799999999965</v>
      </c>
    </row>
    <row r="1469" spans="65:67" x14ac:dyDescent="0.25">
      <c r="BM1469" s="281">
        <f>$AZ$7</f>
        <v>8.120000000000001</v>
      </c>
      <c r="BN1469" s="281">
        <f>$AX$8+seat_w*($AY$7*n_SA+$AW$8&lt;pax_e)</f>
        <v>0.7799999999999998</v>
      </c>
      <c r="BO1469" s="281">
        <f t="shared" si="156"/>
        <v>-9.6904799999999973</v>
      </c>
    </row>
    <row r="1470" spans="65:67" x14ac:dyDescent="0.25">
      <c r="BM1470" s="281">
        <f>$AZ$7+1*(seat_pitch)*($AY$7*n_SA+$AW$8&lt;pax_e)</f>
        <v>8.9300000000000015</v>
      </c>
      <c r="BN1470" s="281">
        <f>$AX$8+seat_w*($AY$7*n_SA+$AW$8&lt;pax_e)</f>
        <v>0.7799999999999998</v>
      </c>
      <c r="BO1470" s="281">
        <f t="shared" si="156"/>
        <v>-8.8804799999999968</v>
      </c>
    </row>
    <row r="1471" spans="65:67" x14ac:dyDescent="0.25">
      <c r="BM1471" s="281">
        <f>$AZ$7+0.8*(seat_pitch)*($AY$7*n_SA+$AW$8&lt;pax_e)</f>
        <v>8.7680000000000007</v>
      </c>
      <c r="BN1471" s="281">
        <f>$AX$8+seat_w*($AY$7*n_SA+$AW$8&lt;pax_e)</f>
        <v>0.7799999999999998</v>
      </c>
      <c r="BO1471" s="281">
        <f t="shared" si="156"/>
        <v>-9.0424799999999976</v>
      </c>
    </row>
    <row r="1472" spans="65:67" x14ac:dyDescent="0.25">
      <c r="BM1472" s="281">
        <f>$AZ$7+0.8*(seat_pitch)*($AY$7*n_SA+$AW$8&lt;pax_e)</f>
        <v>8.7680000000000007</v>
      </c>
      <c r="BN1472" s="281">
        <f>$AX$8</f>
        <v>0.24999999999999978</v>
      </c>
      <c r="BO1472" s="281">
        <f t="shared" si="156"/>
        <v>-9.0424799999999976</v>
      </c>
    </row>
    <row r="1473" spans="65:67" x14ac:dyDescent="0.25">
      <c r="BM1473" s="281">
        <f>$AZ$7+0.2*(seat_pitch)*($AY$7*n_SA+$AW$8&lt;pax_e)</f>
        <v>8.2820000000000018</v>
      </c>
      <c r="BN1473" s="281">
        <f>$AX$8</f>
        <v>0.24999999999999978</v>
      </c>
      <c r="BO1473" s="281">
        <f t="shared" si="156"/>
        <v>-9.5284799999999965</v>
      </c>
    </row>
    <row r="1474" spans="65:67" x14ac:dyDescent="0.25">
      <c r="BM1474" s="281">
        <f>$AZ$7+(seat_pitch)</f>
        <v>8.9300000000000015</v>
      </c>
      <c r="BN1474" s="281">
        <f>$AX$8</f>
        <v>0.24999999999999978</v>
      </c>
      <c r="BO1474" s="281">
        <f t="shared" si="156"/>
        <v>-8.8804799999999968</v>
      </c>
    </row>
    <row r="1475" spans="65:67" x14ac:dyDescent="0.25">
      <c r="BM1475" s="281">
        <f>$AZ$8+0.2*(seat_pitch)*($AY$8*n_SA+$AW$8&lt;pax_e)</f>
        <v>9.0920000000000005</v>
      </c>
      <c r="BN1475" s="281">
        <f>$AX$8</f>
        <v>0.24999999999999978</v>
      </c>
      <c r="BO1475" s="281">
        <f t="shared" si="156"/>
        <v>-8.7184799999999978</v>
      </c>
    </row>
    <row r="1476" spans="65:67" x14ac:dyDescent="0.25">
      <c r="BM1476" s="281">
        <f>$AZ$8+0.2*(seat_pitch)*($AY$8*n_SA+$AW$8&lt;pax_e)</f>
        <v>9.0920000000000005</v>
      </c>
      <c r="BN1476" s="281">
        <f>$AX$8+seat_w*($AY$8*n_SA+$AW$8&lt;pax_e)</f>
        <v>0.7799999999999998</v>
      </c>
      <c r="BO1476" s="281">
        <f t="shared" si="156"/>
        <v>-8.7184799999999978</v>
      </c>
    </row>
    <row r="1477" spans="65:67" x14ac:dyDescent="0.25">
      <c r="BM1477" s="281">
        <f>$AZ$8</f>
        <v>8.93</v>
      </c>
      <c r="BN1477" s="281">
        <f>$AX$8+seat_w*($AY$8*n_SA+$AW$8&lt;pax_e)</f>
        <v>0.7799999999999998</v>
      </c>
      <c r="BO1477" s="281">
        <f t="shared" ref="BO1477:BO1540" si="157">BM1477-L_fus/2</f>
        <v>-8.8804799999999986</v>
      </c>
    </row>
    <row r="1478" spans="65:67" x14ac:dyDescent="0.25">
      <c r="BM1478" s="281">
        <f>$AZ$8+1*(seat_pitch)*($AY$8*n_SA+$AW$8&lt;pax_e)</f>
        <v>9.74</v>
      </c>
      <c r="BN1478" s="281">
        <f>$AX$8+seat_w*($AY$8*n_SA+$AW$8&lt;pax_e)</f>
        <v>0.7799999999999998</v>
      </c>
      <c r="BO1478" s="281">
        <f t="shared" si="157"/>
        <v>-8.0704799999999981</v>
      </c>
    </row>
    <row r="1479" spans="65:67" x14ac:dyDescent="0.25">
      <c r="BM1479" s="281">
        <f>$AZ$8+0.8*(seat_pitch)*($AY$8*n_SA+$AW$8&lt;pax_e)</f>
        <v>9.5779999999999994</v>
      </c>
      <c r="BN1479" s="281">
        <f>$AX$8+seat_w*($AY$8*n_SA+$AW$8&lt;pax_e)</f>
        <v>0.7799999999999998</v>
      </c>
      <c r="BO1479" s="281">
        <f t="shared" si="157"/>
        <v>-8.2324799999999989</v>
      </c>
    </row>
    <row r="1480" spans="65:67" x14ac:dyDescent="0.25">
      <c r="BM1480" s="281">
        <f>$AZ$8+0.8*(seat_pitch)*($AY$8*n_SA+$AW$8&lt;pax_e)</f>
        <v>9.5779999999999994</v>
      </c>
      <c r="BN1480" s="281">
        <f>$AX$8</f>
        <v>0.24999999999999978</v>
      </c>
      <c r="BO1480" s="281">
        <f t="shared" si="157"/>
        <v>-8.2324799999999989</v>
      </c>
    </row>
    <row r="1481" spans="65:67" x14ac:dyDescent="0.25">
      <c r="BM1481" s="281">
        <f>$AZ$8+0.2*(seat_pitch)*($AY$8*n_SA+$AW$8&lt;pax_e)</f>
        <v>9.0920000000000005</v>
      </c>
      <c r="BN1481" s="281">
        <f>$AX$8</f>
        <v>0.24999999999999978</v>
      </c>
      <c r="BO1481" s="281">
        <f t="shared" si="157"/>
        <v>-8.7184799999999978</v>
      </c>
    </row>
    <row r="1482" spans="65:67" x14ac:dyDescent="0.25">
      <c r="BM1482" s="281">
        <f>$AZ$8+(seat_pitch)</f>
        <v>9.74</v>
      </c>
      <c r="BN1482" s="281">
        <f>$AX$8</f>
        <v>0.24999999999999978</v>
      </c>
      <c r="BO1482" s="281">
        <f t="shared" si="157"/>
        <v>-8.0704799999999981</v>
      </c>
    </row>
    <row r="1483" spans="65:67" x14ac:dyDescent="0.25">
      <c r="BM1483" s="281">
        <f>$AZ$9+0.2*(seat_pitch)*($AY$9*n_SA+$AW$8&lt;pax_e)</f>
        <v>9.902000000000001</v>
      </c>
      <c r="BN1483" s="281">
        <f>$AX$8</f>
        <v>0.24999999999999978</v>
      </c>
      <c r="BO1483" s="281">
        <f t="shared" si="157"/>
        <v>-7.9084799999999973</v>
      </c>
    </row>
    <row r="1484" spans="65:67" x14ac:dyDescent="0.25">
      <c r="BM1484" s="281">
        <f>$AZ$9+0.2*(seat_pitch)*($AY$9*n_SA+$AW$8&lt;pax_e)</f>
        <v>9.902000000000001</v>
      </c>
      <c r="BN1484" s="281">
        <f>$AX$8+seat_w*($AY$9*n_SA+$AW$8&lt;pax_e)</f>
        <v>0.7799999999999998</v>
      </c>
      <c r="BO1484" s="281">
        <f t="shared" si="157"/>
        <v>-7.9084799999999973</v>
      </c>
    </row>
    <row r="1485" spans="65:67" x14ac:dyDescent="0.25">
      <c r="BM1485" s="281">
        <f>$AZ$9</f>
        <v>9.74</v>
      </c>
      <c r="BN1485" s="281">
        <f>$AX$8+seat_w*($AY$9*n_SA+$AW$8&lt;pax_e)</f>
        <v>0.7799999999999998</v>
      </c>
      <c r="BO1485" s="281">
        <f t="shared" si="157"/>
        <v>-8.0704799999999981</v>
      </c>
    </row>
    <row r="1486" spans="65:67" x14ac:dyDescent="0.25">
      <c r="BM1486" s="281">
        <f>$AZ$9+1*(seat_pitch)*($AY$9*n_SA+$AW$8&lt;pax_e)</f>
        <v>10.55</v>
      </c>
      <c r="BN1486" s="281">
        <f>$AX$8+seat_w*($AY$9*n_SA+$AW$8&lt;pax_e)</f>
        <v>0.7799999999999998</v>
      </c>
      <c r="BO1486" s="281">
        <f t="shared" si="157"/>
        <v>-7.2604799999999976</v>
      </c>
    </row>
    <row r="1487" spans="65:67" x14ac:dyDescent="0.25">
      <c r="BM1487" s="281">
        <f>$AZ$9+0.8*(seat_pitch)*($AY$9*n_SA+$AW$8&lt;pax_e)</f>
        <v>10.388</v>
      </c>
      <c r="BN1487" s="281">
        <f>$AX$8+seat_w*($AY$9*n_SA+$AW$8&lt;pax_e)</f>
        <v>0.7799999999999998</v>
      </c>
      <c r="BO1487" s="281">
        <f t="shared" si="157"/>
        <v>-7.4224799999999984</v>
      </c>
    </row>
    <row r="1488" spans="65:67" x14ac:dyDescent="0.25">
      <c r="BM1488" s="281">
        <f>$AZ$9+0.8*(seat_pitch)*($AY$9*n_SA+$AW$8&lt;pax_e)</f>
        <v>10.388</v>
      </c>
      <c r="BN1488" s="281">
        <f>$AX$8</f>
        <v>0.24999999999999978</v>
      </c>
      <c r="BO1488" s="281">
        <f t="shared" si="157"/>
        <v>-7.4224799999999984</v>
      </c>
    </row>
    <row r="1489" spans="65:67" x14ac:dyDescent="0.25">
      <c r="BM1489" s="281">
        <f>$AZ$9+0.2*(seat_pitch)*($AY$9*n_SA+$AW$8&lt;pax_e)</f>
        <v>9.902000000000001</v>
      </c>
      <c r="BN1489" s="281">
        <f>$AX$8</f>
        <v>0.24999999999999978</v>
      </c>
      <c r="BO1489" s="281">
        <f t="shared" si="157"/>
        <v>-7.9084799999999973</v>
      </c>
    </row>
    <row r="1490" spans="65:67" x14ac:dyDescent="0.25">
      <c r="BM1490" s="281">
        <f>$AZ$9+(seat_pitch)</f>
        <v>10.55</v>
      </c>
      <c r="BN1490" s="281">
        <f>$AX$8</f>
        <v>0.24999999999999978</v>
      </c>
      <c r="BO1490" s="281">
        <f t="shared" si="157"/>
        <v>-7.2604799999999976</v>
      </c>
    </row>
    <row r="1491" spans="65:67" x14ac:dyDescent="0.25">
      <c r="BM1491" s="281">
        <f>$AZ$10+0.2*(seat_pitch)*($AY$10*n_SA+$AW$8&lt;pax_e)</f>
        <v>10.712000000000002</v>
      </c>
      <c r="BN1491" s="281">
        <f>$AX$8</f>
        <v>0.24999999999999978</v>
      </c>
      <c r="BO1491" s="281">
        <f t="shared" si="157"/>
        <v>-7.0984799999999968</v>
      </c>
    </row>
    <row r="1492" spans="65:67" x14ac:dyDescent="0.25">
      <c r="BM1492" s="281">
        <f>$AZ$10+0.2*(seat_pitch)*($AY$10*n_SA+$AW$8&lt;pax_e)</f>
        <v>10.712000000000002</v>
      </c>
      <c r="BN1492" s="281">
        <f>$AX$8+seat_w*($AY$10*n_SA+$AW$8&lt;pax_e)</f>
        <v>0.7799999999999998</v>
      </c>
      <c r="BO1492" s="281">
        <f t="shared" si="157"/>
        <v>-7.0984799999999968</v>
      </c>
    </row>
    <row r="1493" spans="65:67" x14ac:dyDescent="0.25">
      <c r="BM1493" s="281">
        <f>$AZ$10</f>
        <v>10.55</v>
      </c>
      <c r="BN1493" s="281">
        <f>$AX$8+seat_w*($AY$10*n_SA+$AW$8&lt;pax_e)</f>
        <v>0.7799999999999998</v>
      </c>
      <c r="BO1493" s="281">
        <f t="shared" si="157"/>
        <v>-7.2604799999999976</v>
      </c>
    </row>
    <row r="1494" spans="65:67" x14ac:dyDescent="0.25">
      <c r="BM1494" s="281">
        <f>$AZ$10+1*(seat_pitch)*($AY$10*n_SA+$AW$8&lt;pax_e)</f>
        <v>11.360000000000001</v>
      </c>
      <c r="BN1494" s="281">
        <f>$AX$8+seat_w*($AY$10*n_SA+$AW$8&lt;pax_e)</f>
        <v>0.7799999999999998</v>
      </c>
      <c r="BO1494" s="281">
        <f t="shared" si="157"/>
        <v>-6.4504799999999971</v>
      </c>
    </row>
    <row r="1495" spans="65:67" x14ac:dyDescent="0.25">
      <c r="BM1495" s="281">
        <f>$AZ$10+0.8*(seat_pitch)*($AY$10*n_SA+$AW$8&lt;pax_e)</f>
        <v>11.198</v>
      </c>
      <c r="BN1495" s="281">
        <f>$AX$8+seat_w*($AY$10*n_SA+$AW$8&lt;pax_e)</f>
        <v>0.7799999999999998</v>
      </c>
      <c r="BO1495" s="281">
        <f t="shared" si="157"/>
        <v>-6.6124799999999979</v>
      </c>
    </row>
    <row r="1496" spans="65:67" x14ac:dyDescent="0.25">
      <c r="BM1496" s="281">
        <f>$AZ$10+0.8*(seat_pitch)*($AY$10*n_SA+$AW$8&lt;pax_e)</f>
        <v>11.198</v>
      </c>
      <c r="BN1496" s="281">
        <f>$AX$8</f>
        <v>0.24999999999999978</v>
      </c>
      <c r="BO1496" s="281">
        <f t="shared" si="157"/>
        <v>-6.6124799999999979</v>
      </c>
    </row>
    <row r="1497" spans="65:67" x14ac:dyDescent="0.25">
      <c r="BM1497" s="281">
        <f>$AZ$10+0.2*(seat_pitch)*($AY$10*n_SA+$AW$8&lt;pax_e)</f>
        <v>10.712000000000002</v>
      </c>
      <c r="BN1497" s="281">
        <f>$AX$8</f>
        <v>0.24999999999999978</v>
      </c>
      <c r="BO1497" s="281">
        <f t="shared" si="157"/>
        <v>-7.0984799999999968</v>
      </c>
    </row>
    <row r="1498" spans="65:67" x14ac:dyDescent="0.25">
      <c r="BM1498" s="281">
        <f>$AZ$10+(seat_pitch)</f>
        <v>11.360000000000001</v>
      </c>
      <c r="BN1498" s="281">
        <f>$AX$8</f>
        <v>0.24999999999999978</v>
      </c>
      <c r="BO1498" s="281">
        <f t="shared" si="157"/>
        <v>-6.4504799999999971</v>
      </c>
    </row>
    <row r="1499" spans="65:67" x14ac:dyDescent="0.25">
      <c r="BM1499" s="281">
        <f>$AZ$11+0.2*(seat_pitch)*($AY$11*n_SA+$AW$8&lt;pax_e)</f>
        <v>11.522</v>
      </c>
      <c r="BN1499" s="281">
        <f>$AX$8</f>
        <v>0.24999999999999978</v>
      </c>
      <c r="BO1499" s="281">
        <f t="shared" si="157"/>
        <v>-6.2884799999999981</v>
      </c>
    </row>
    <row r="1500" spans="65:67" x14ac:dyDescent="0.25">
      <c r="BM1500" s="281">
        <f>$AZ$11+0.2*(seat_pitch)*($AY$11*n_SA+$AW$8&lt;pax_e)</f>
        <v>11.522</v>
      </c>
      <c r="BN1500" s="281">
        <f>$AX$8+seat_w*($AY$11*n_SA+$AW$8&lt;pax_e)</f>
        <v>0.7799999999999998</v>
      </c>
      <c r="BO1500" s="281">
        <f t="shared" si="157"/>
        <v>-6.2884799999999981</v>
      </c>
    </row>
    <row r="1501" spans="65:67" x14ac:dyDescent="0.25">
      <c r="BM1501" s="281">
        <f>$AZ$11</f>
        <v>11.36</v>
      </c>
      <c r="BN1501" s="281">
        <f>$AX$8+seat_w*($AY$11*n_SA+$AW$8&lt;pax_e)</f>
        <v>0.7799999999999998</v>
      </c>
      <c r="BO1501" s="281">
        <f t="shared" si="157"/>
        <v>-6.4504799999999989</v>
      </c>
    </row>
    <row r="1502" spans="65:67" x14ac:dyDescent="0.25">
      <c r="BM1502" s="281">
        <f>$AZ$11+1*(seat_pitch)*($AY$11*n_SA+$AW$8&lt;pax_e)</f>
        <v>12.17</v>
      </c>
      <c r="BN1502" s="281">
        <f>$AX$8+seat_w*($AY$11*n_SA+$AW$8&lt;pax_e)</f>
        <v>0.7799999999999998</v>
      </c>
      <c r="BO1502" s="281">
        <f t="shared" si="157"/>
        <v>-5.6404799999999984</v>
      </c>
    </row>
    <row r="1503" spans="65:67" x14ac:dyDescent="0.25">
      <c r="BM1503" s="281">
        <f>$AZ$11+0.8*(seat_pitch)*($AY$11*n_SA+$AW$8&lt;pax_e)</f>
        <v>12.007999999999999</v>
      </c>
      <c r="BN1503" s="281">
        <f>$AX$8+seat_w*($AY$11*n_SA+$AW$8&lt;pax_e)</f>
        <v>0.7799999999999998</v>
      </c>
      <c r="BO1503" s="281">
        <f t="shared" si="157"/>
        <v>-5.8024799999999992</v>
      </c>
    </row>
    <row r="1504" spans="65:67" x14ac:dyDescent="0.25">
      <c r="BM1504" s="281">
        <f>$AZ$11+0.8*(seat_pitch)*($AY$11*n_SA+$AW$8&lt;pax_e)</f>
        <v>12.007999999999999</v>
      </c>
      <c r="BN1504" s="281">
        <f>$AX$8</f>
        <v>0.24999999999999978</v>
      </c>
      <c r="BO1504" s="281">
        <f t="shared" si="157"/>
        <v>-5.8024799999999992</v>
      </c>
    </row>
    <row r="1505" spans="65:67" x14ac:dyDescent="0.25">
      <c r="BM1505" s="281">
        <f>$AZ$11+0.2*(seat_pitch)*($AY$11*n_SA+$AW$8&lt;pax_e)</f>
        <v>11.522</v>
      </c>
      <c r="BN1505" s="281">
        <f>$AX$8</f>
        <v>0.24999999999999978</v>
      </c>
      <c r="BO1505" s="281">
        <f t="shared" si="157"/>
        <v>-6.2884799999999981</v>
      </c>
    </row>
    <row r="1506" spans="65:67" x14ac:dyDescent="0.25">
      <c r="BM1506" s="281">
        <f>$AZ$11+(seat_pitch)</f>
        <v>12.17</v>
      </c>
      <c r="BN1506" s="281">
        <f>$AX$8</f>
        <v>0.24999999999999978</v>
      </c>
      <c r="BO1506" s="281">
        <f t="shared" si="157"/>
        <v>-5.6404799999999984</v>
      </c>
    </row>
    <row r="1507" spans="65:67" x14ac:dyDescent="0.25">
      <c r="BM1507" s="281">
        <f>$AZ$12+0.2*(seat_pitch)*($AY$12*n_SA+$AW$8&lt;pax_e)</f>
        <v>12.332000000000001</v>
      </c>
      <c r="BN1507" s="281">
        <f>$AX$8</f>
        <v>0.24999999999999978</v>
      </c>
      <c r="BO1507" s="281">
        <f t="shared" si="157"/>
        <v>-5.4784799999999976</v>
      </c>
    </row>
    <row r="1508" spans="65:67" x14ac:dyDescent="0.25">
      <c r="BM1508" s="281">
        <f>$AZ$12+0.2*(seat_pitch)*($AY$12*n_SA+$AW$8&lt;pax_e)</f>
        <v>12.332000000000001</v>
      </c>
      <c r="BN1508" s="281">
        <f>$AX$8+seat_w*($AY$12*n_SA+$AW$8&lt;pax_e)</f>
        <v>0.7799999999999998</v>
      </c>
      <c r="BO1508" s="281">
        <f t="shared" si="157"/>
        <v>-5.4784799999999976</v>
      </c>
    </row>
    <row r="1509" spans="65:67" x14ac:dyDescent="0.25">
      <c r="BM1509" s="281">
        <f>$AZ$12</f>
        <v>12.17</v>
      </c>
      <c r="BN1509" s="281">
        <f>$AX$8+seat_w*($AY$12*n_SA+$AW$8&lt;pax_e)</f>
        <v>0.7799999999999998</v>
      </c>
      <c r="BO1509" s="281">
        <f t="shared" si="157"/>
        <v>-5.6404799999999984</v>
      </c>
    </row>
    <row r="1510" spans="65:67" x14ac:dyDescent="0.25">
      <c r="BM1510" s="281">
        <f>$AZ$12+1*(seat_pitch)*($AY$12*n_SA+$AW$8&lt;pax_e)</f>
        <v>12.98</v>
      </c>
      <c r="BN1510" s="281">
        <f>$AX$8+seat_w*($AY$12*n_SA+$AW$8&lt;pax_e)</f>
        <v>0.7799999999999998</v>
      </c>
      <c r="BO1510" s="281">
        <f t="shared" si="157"/>
        <v>-4.8304799999999979</v>
      </c>
    </row>
    <row r="1511" spans="65:67" x14ac:dyDescent="0.25">
      <c r="BM1511" s="281">
        <f>$AZ$12+0.8*(seat_pitch)*($AY$12*n_SA+$AW$8&lt;pax_e)</f>
        <v>12.818</v>
      </c>
      <c r="BN1511" s="281">
        <f>$AX$8+seat_w*($AY$12*n_SA+$AW$8&lt;pax_e)</f>
        <v>0.7799999999999998</v>
      </c>
      <c r="BO1511" s="281">
        <f t="shared" si="157"/>
        <v>-4.9924799999999987</v>
      </c>
    </row>
    <row r="1512" spans="65:67" x14ac:dyDescent="0.25">
      <c r="BM1512" s="281">
        <f>$AZ$12+0.8*(seat_pitch)*($AY$12*n_SA+$AW$8&lt;pax_e)</f>
        <v>12.818</v>
      </c>
      <c r="BN1512" s="281">
        <f>$AX$8</f>
        <v>0.24999999999999978</v>
      </c>
      <c r="BO1512" s="281">
        <f t="shared" si="157"/>
        <v>-4.9924799999999987</v>
      </c>
    </row>
    <row r="1513" spans="65:67" x14ac:dyDescent="0.25">
      <c r="BM1513" s="281">
        <f>$AZ$12+0.2*(seat_pitch)*($AY$12*n_SA+$AW$8&lt;pax_e)</f>
        <v>12.332000000000001</v>
      </c>
      <c r="BN1513" s="281">
        <f>$AX$8</f>
        <v>0.24999999999999978</v>
      </c>
      <c r="BO1513" s="281">
        <f t="shared" si="157"/>
        <v>-5.4784799999999976</v>
      </c>
    </row>
    <row r="1514" spans="65:67" x14ac:dyDescent="0.25">
      <c r="BM1514" s="281">
        <f>$AZ$12+(seat_pitch)</f>
        <v>12.98</v>
      </c>
      <c r="BN1514" s="281">
        <f>$AX$8</f>
        <v>0.24999999999999978</v>
      </c>
      <c r="BO1514" s="281">
        <f t="shared" si="157"/>
        <v>-4.8304799999999979</v>
      </c>
    </row>
    <row r="1515" spans="65:67" x14ac:dyDescent="0.25">
      <c r="BM1515" s="281">
        <f>$AZ$13+0.2*(seat_pitch)*($AY$13*n_SA+$AW$8&lt;pax_e)</f>
        <v>13.142000000000001</v>
      </c>
      <c r="BN1515" s="281">
        <f>$AX$8</f>
        <v>0.24999999999999978</v>
      </c>
      <c r="BO1515" s="281">
        <f t="shared" si="157"/>
        <v>-4.6684799999999971</v>
      </c>
    </row>
    <row r="1516" spans="65:67" x14ac:dyDescent="0.25">
      <c r="BM1516" s="281">
        <f>$AZ$13+0.2*(seat_pitch)*($AY$13*n_SA+$AW$8&lt;pax_e)</f>
        <v>13.142000000000001</v>
      </c>
      <c r="BN1516" s="281">
        <f>$AX$8+seat_w*($AY$13*n_SA+$AW$8&lt;pax_e)</f>
        <v>0.7799999999999998</v>
      </c>
      <c r="BO1516" s="281">
        <f t="shared" si="157"/>
        <v>-4.6684799999999971</v>
      </c>
    </row>
    <row r="1517" spans="65:67" x14ac:dyDescent="0.25">
      <c r="BM1517" s="281">
        <f>$AZ$13</f>
        <v>12.98</v>
      </c>
      <c r="BN1517" s="281">
        <f>$AX$8+seat_w*($AY$13*n_SA+$AW$8&lt;pax_e)</f>
        <v>0.7799999999999998</v>
      </c>
      <c r="BO1517" s="281">
        <f t="shared" si="157"/>
        <v>-4.8304799999999979</v>
      </c>
    </row>
    <row r="1518" spans="65:67" x14ac:dyDescent="0.25">
      <c r="BM1518" s="281">
        <f>$AZ$13+1*(seat_pitch)*($AY$13*n_SA+$AW$8&lt;pax_e)</f>
        <v>13.790000000000001</v>
      </c>
      <c r="BN1518" s="281">
        <f>$AX$8+seat_w*($AY$13*n_SA+$AW$8&lt;pax_e)</f>
        <v>0.7799999999999998</v>
      </c>
      <c r="BO1518" s="281">
        <f t="shared" si="157"/>
        <v>-4.0204799999999974</v>
      </c>
    </row>
    <row r="1519" spans="65:67" x14ac:dyDescent="0.25">
      <c r="BM1519" s="281">
        <f>$AZ$13+0.8*(seat_pitch)*($AY$13*n_SA+$AW$8&lt;pax_e)</f>
        <v>13.628</v>
      </c>
      <c r="BN1519" s="281">
        <f>$AX$8+seat_w*($AY$13*n_SA+$AW$8&lt;pax_e)</f>
        <v>0.7799999999999998</v>
      </c>
      <c r="BO1519" s="281">
        <f t="shared" si="157"/>
        <v>-4.1824799999999982</v>
      </c>
    </row>
    <row r="1520" spans="65:67" x14ac:dyDescent="0.25">
      <c r="BM1520" s="281">
        <f>$AZ$13+0.8*(seat_pitch)*($AY$13*n_SA+$AW$8&lt;pax_e)</f>
        <v>13.628</v>
      </c>
      <c r="BN1520" s="281">
        <f>$AX$8</f>
        <v>0.24999999999999978</v>
      </c>
      <c r="BO1520" s="281">
        <f t="shared" si="157"/>
        <v>-4.1824799999999982</v>
      </c>
    </row>
    <row r="1521" spans="65:67" x14ac:dyDescent="0.25">
      <c r="BM1521" s="281">
        <f>$AZ$13+0.2*(seat_pitch)*($AY$13*n_SA+$AW$8&lt;pax_e)</f>
        <v>13.142000000000001</v>
      </c>
      <c r="BN1521" s="281">
        <f>$AX$8</f>
        <v>0.24999999999999978</v>
      </c>
      <c r="BO1521" s="281">
        <f t="shared" si="157"/>
        <v>-4.6684799999999971</v>
      </c>
    </row>
    <row r="1522" spans="65:67" x14ac:dyDescent="0.25">
      <c r="BM1522" s="281">
        <f>$AZ$13+(seat_pitch)</f>
        <v>13.790000000000001</v>
      </c>
      <c r="BN1522" s="281">
        <f>$AX$8</f>
        <v>0.24999999999999978</v>
      </c>
      <c r="BO1522" s="281">
        <f t="shared" si="157"/>
        <v>-4.0204799999999974</v>
      </c>
    </row>
    <row r="1523" spans="65:67" x14ac:dyDescent="0.25">
      <c r="BM1523" s="281">
        <f>$AZ$14+0.2*(seat_pitch)*($AY$14*n_SA+$AW$8&lt;pax_e)</f>
        <v>13.952000000000002</v>
      </c>
      <c r="BN1523" s="281">
        <f>$AX$8</f>
        <v>0.24999999999999978</v>
      </c>
      <c r="BO1523" s="281">
        <f t="shared" si="157"/>
        <v>-3.8584799999999966</v>
      </c>
    </row>
    <row r="1524" spans="65:67" x14ac:dyDescent="0.25">
      <c r="BM1524" s="281">
        <f>$AZ$14+0.2*(seat_pitch)*($AY$14*n_SA+$AW$8&lt;pax_e)</f>
        <v>13.952000000000002</v>
      </c>
      <c r="BN1524" s="281">
        <f>$AX$8+seat_w*($AY$14*n_SA+$AW$8&lt;pax_e)</f>
        <v>0.7799999999999998</v>
      </c>
      <c r="BO1524" s="281">
        <f t="shared" si="157"/>
        <v>-3.8584799999999966</v>
      </c>
    </row>
    <row r="1525" spans="65:67" x14ac:dyDescent="0.25">
      <c r="BM1525" s="281">
        <f>$AZ$14</f>
        <v>13.790000000000001</v>
      </c>
      <c r="BN1525" s="281">
        <f>$AX$8+seat_w*($AY$14*n_SA+$AW$8&lt;pax_e)</f>
        <v>0.7799999999999998</v>
      </c>
      <c r="BO1525" s="281">
        <f t="shared" si="157"/>
        <v>-4.0204799999999974</v>
      </c>
    </row>
    <row r="1526" spans="65:67" x14ac:dyDescent="0.25">
      <c r="BM1526" s="281">
        <f>$AZ$14+1*(seat_pitch)*($AY$14*n_SA+$AW$8&lt;pax_e)</f>
        <v>14.600000000000001</v>
      </c>
      <c r="BN1526" s="281">
        <f>$AX$8+seat_w*($AY$14*n_SA+$AW$8&lt;pax_e)</f>
        <v>0.7799999999999998</v>
      </c>
      <c r="BO1526" s="281">
        <f t="shared" si="157"/>
        <v>-3.2104799999999969</v>
      </c>
    </row>
    <row r="1527" spans="65:67" x14ac:dyDescent="0.25">
      <c r="BM1527" s="281">
        <f>$AZ$14+0.8*(seat_pitch)*($AY$14*n_SA+$AW$8&lt;pax_e)</f>
        <v>14.438000000000001</v>
      </c>
      <c r="BN1527" s="281">
        <f>$AX$8+seat_w*($AY$14*n_SA+$AW$8&lt;pax_e)</f>
        <v>0.7799999999999998</v>
      </c>
      <c r="BO1527" s="281">
        <f t="shared" si="157"/>
        <v>-3.3724799999999977</v>
      </c>
    </row>
    <row r="1528" spans="65:67" x14ac:dyDescent="0.25">
      <c r="BM1528" s="281">
        <f>$AZ$14+0.8*(seat_pitch)*($AY$14*n_SA+$AW$8&lt;pax_e)</f>
        <v>14.438000000000001</v>
      </c>
      <c r="BN1528" s="281">
        <f>$AX$8</f>
        <v>0.24999999999999978</v>
      </c>
      <c r="BO1528" s="281">
        <f t="shared" si="157"/>
        <v>-3.3724799999999977</v>
      </c>
    </row>
    <row r="1529" spans="65:67" x14ac:dyDescent="0.25">
      <c r="BM1529" s="281">
        <f>$AZ$14+0.2*(seat_pitch)*($AY$14*n_SA+$AW$8&lt;pax_e)</f>
        <v>13.952000000000002</v>
      </c>
      <c r="BN1529" s="281">
        <f>$AX$8</f>
        <v>0.24999999999999978</v>
      </c>
      <c r="BO1529" s="281">
        <f t="shared" si="157"/>
        <v>-3.8584799999999966</v>
      </c>
    </row>
    <row r="1530" spans="65:67" x14ac:dyDescent="0.25">
      <c r="BM1530" s="281">
        <f>$AZ$14+(seat_pitch)</f>
        <v>14.600000000000001</v>
      </c>
      <c r="BN1530" s="281">
        <f>$AX$8</f>
        <v>0.24999999999999978</v>
      </c>
      <c r="BO1530" s="281">
        <f t="shared" si="157"/>
        <v>-3.2104799999999969</v>
      </c>
    </row>
    <row r="1531" spans="65:67" x14ac:dyDescent="0.25">
      <c r="BM1531" s="281">
        <f>$AZ$15+0.2*(seat_pitch)*($AY$15*n_SA+$AW$8&lt;pax_e)</f>
        <v>14.762000000000002</v>
      </c>
      <c r="BN1531" s="281">
        <f>$AX$8</f>
        <v>0.24999999999999978</v>
      </c>
      <c r="BO1531" s="281">
        <f t="shared" si="157"/>
        <v>-3.0484799999999961</v>
      </c>
    </row>
    <row r="1532" spans="65:67" x14ac:dyDescent="0.25">
      <c r="BM1532" s="281">
        <f>$AZ$15+0.2*(seat_pitch)*($AY$15*n_SA+$AW$8&lt;pax_e)</f>
        <v>14.762000000000002</v>
      </c>
      <c r="BN1532" s="281">
        <f>$AX$8+seat_w*($AY$15*n_SA+$AW$8&lt;pax_e)</f>
        <v>0.7799999999999998</v>
      </c>
      <c r="BO1532" s="281">
        <f t="shared" si="157"/>
        <v>-3.0484799999999961</v>
      </c>
    </row>
    <row r="1533" spans="65:67" x14ac:dyDescent="0.25">
      <c r="BM1533" s="281">
        <f>$AZ$15</f>
        <v>14.600000000000001</v>
      </c>
      <c r="BN1533" s="281">
        <f>$AX$8+seat_w*($AY$15*n_SA+$AW$8&lt;pax_e)</f>
        <v>0.7799999999999998</v>
      </c>
      <c r="BO1533" s="281">
        <f t="shared" si="157"/>
        <v>-3.2104799999999969</v>
      </c>
    </row>
    <row r="1534" spans="65:67" x14ac:dyDescent="0.25">
      <c r="BM1534" s="281">
        <f>$AZ$15+1*(seat_pitch)*($AY$15*n_SA+$AW$8&lt;pax_e)</f>
        <v>15.410000000000002</v>
      </c>
      <c r="BN1534" s="281">
        <f>$AX$8+seat_w*($AY$15*n_SA+$AW$8&lt;pax_e)</f>
        <v>0.7799999999999998</v>
      </c>
      <c r="BO1534" s="281">
        <f t="shared" si="157"/>
        <v>-2.4004799999999964</v>
      </c>
    </row>
    <row r="1535" spans="65:67" x14ac:dyDescent="0.25">
      <c r="BM1535" s="281">
        <f>$AZ$15+0.8*(seat_pitch)*($AY$15*n_SA+$AW$8&lt;pax_e)</f>
        <v>15.248000000000001</v>
      </c>
      <c r="BN1535" s="281">
        <f>$AX$8+seat_w*($AY$15*n_SA+$AW$8&lt;pax_e)</f>
        <v>0.7799999999999998</v>
      </c>
      <c r="BO1535" s="281">
        <f t="shared" si="157"/>
        <v>-2.5624799999999972</v>
      </c>
    </row>
    <row r="1536" spans="65:67" x14ac:dyDescent="0.25">
      <c r="BM1536" s="281">
        <f>$AZ$15+0.8*(seat_pitch)*($AY$15*n_SA+$AW$8&lt;pax_e)</f>
        <v>15.248000000000001</v>
      </c>
      <c r="BN1536" s="281">
        <f>$AX$8</f>
        <v>0.24999999999999978</v>
      </c>
      <c r="BO1536" s="281">
        <f t="shared" si="157"/>
        <v>-2.5624799999999972</v>
      </c>
    </row>
    <row r="1537" spans="65:67" x14ac:dyDescent="0.25">
      <c r="BM1537" s="281">
        <f>$AZ$15+0.2*(seat_pitch)*($AY$15*n_SA+$AW$8&lt;pax_e)</f>
        <v>14.762000000000002</v>
      </c>
      <c r="BN1537" s="281">
        <f>$AX$8</f>
        <v>0.24999999999999978</v>
      </c>
      <c r="BO1537" s="281">
        <f t="shared" si="157"/>
        <v>-3.0484799999999961</v>
      </c>
    </row>
    <row r="1538" spans="65:67" x14ac:dyDescent="0.25">
      <c r="BM1538" s="281">
        <f>$AZ$15+(seat_pitch)</f>
        <v>15.410000000000002</v>
      </c>
      <c r="BN1538" s="281">
        <f>$AX$8</f>
        <v>0.24999999999999978</v>
      </c>
      <c r="BO1538" s="281">
        <f t="shared" si="157"/>
        <v>-2.4004799999999964</v>
      </c>
    </row>
    <row r="1539" spans="65:67" x14ac:dyDescent="0.25">
      <c r="BM1539" s="281">
        <f>$AZ$16+0.2*(seat_pitch)*($AY$16*n_SA+$AW$8&lt;pax_e)</f>
        <v>15.572000000000001</v>
      </c>
      <c r="BN1539" s="281">
        <f>$AX$8</f>
        <v>0.24999999999999978</v>
      </c>
      <c r="BO1539" s="281">
        <f t="shared" si="157"/>
        <v>-2.2384799999999974</v>
      </c>
    </row>
    <row r="1540" spans="65:67" x14ac:dyDescent="0.25">
      <c r="BM1540" s="281">
        <f>$AZ$16+0.2*(seat_pitch)*($AY$16*n_SA+$AW$8&lt;pax_e)</f>
        <v>15.572000000000001</v>
      </c>
      <c r="BN1540" s="281">
        <f>$AX$8+seat_w*($AY$16*n_SA+$AW$8&lt;pax_e)</f>
        <v>0.7799999999999998</v>
      </c>
      <c r="BO1540" s="281">
        <f t="shared" si="157"/>
        <v>-2.2384799999999974</v>
      </c>
    </row>
    <row r="1541" spans="65:67" x14ac:dyDescent="0.25">
      <c r="BM1541" s="281">
        <f>$AZ$16</f>
        <v>15.41</v>
      </c>
      <c r="BN1541" s="281">
        <f>$AX$8+seat_w*($AY$16*n_SA+$AW$8&lt;pax_e)</f>
        <v>0.7799999999999998</v>
      </c>
      <c r="BO1541" s="281">
        <f t="shared" ref="BO1541:BO1604" si="158">BM1541-L_fus/2</f>
        <v>-2.4004799999999982</v>
      </c>
    </row>
    <row r="1542" spans="65:67" x14ac:dyDescent="0.25">
      <c r="BM1542" s="281">
        <f>$AZ$16+1*(seat_pitch)*($AY$16*n_SA+$AW$8&lt;pax_e)</f>
        <v>16.22</v>
      </c>
      <c r="BN1542" s="281">
        <f>$AX$8+seat_w*($AY$16*n_SA+$AW$8&lt;pax_e)</f>
        <v>0.7799999999999998</v>
      </c>
      <c r="BO1542" s="281">
        <f t="shared" si="158"/>
        <v>-1.5904799999999994</v>
      </c>
    </row>
    <row r="1543" spans="65:67" x14ac:dyDescent="0.25">
      <c r="BM1543" s="281">
        <f>$AZ$16+0.8*(seat_pitch)*($AY$16*n_SA+$AW$8&lt;pax_e)</f>
        <v>16.058</v>
      </c>
      <c r="BN1543" s="281">
        <f>$AX$8+seat_w*($AY$16*n_SA+$AW$8&lt;pax_e)</f>
        <v>0.7799999999999998</v>
      </c>
      <c r="BO1543" s="281">
        <f t="shared" si="158"/>
        <v>-1.7524799999999985</v>
      </c>
    </row>
    <row r="1544" spans="65:67" x14ac:dyDescent="0.25">
      <c r="BM1544" s="281">
        <f>$AZ$16+0.8*(seat_pitch)*($AY$16*n_SA+$AW$8&lt;pax_e)</f>
        <v>16.058</v>
      </c>
      <c r="BN1544" s="281">
        <f>$AX$8</f>
        <v>0.24999999999999978</v>
      </c>
      <c r="BO1544" s="281">
        <f t="shared" si="158"/>
        <v>-1.7524799999999985</v>
      </c>
    </row>
    <row r="1545" spans="65:67" x14ac:dyDescent="0.25">
      <c r="BM1545" s="281">
        <f>$AZ$16+0.2*(seat_pitch)*($AY$16*n_SA+$AW$8&lt;pax_e)</f>
        <v>15.572000000000001</v>
      </c>
      <c r="BN1545" s="281">
        <f>$AX$8</f>
        <v>0.24999999999999978</v>
      </c>
      <c r="BO1545" s="281">
        <f t="shared" si="158"/>
        <v>-2.2384799999999974</v>
      </c>
    </row>
    <row r="1546" spans="65:67" x14ac:dyDescent="0.25">
      <c r="BM1546" s="281">
        <f>$AZ$16+(seat_pitch)</f>
        <v>16.22</v>
      </c>
      <c r="BN1546" s="281">
        <f>$AX$8</f>
        <v>0.24999999999999978</v>
      </c>
      <c r="BO1546" s="281">
        <f t="shared" si="158"/>
        <v>-1.5904799999999994</v>
      </c>
    </row>
    <row r="1547" spans="65:67" x14ac:dyDescent="0.25">
      <c r="BM1547" s="281">
        <f>$AZ$17+0.2*(seat_pitch)*($AY$17*n_SA+$AW$8&lt;pax_e)</f>
        <v>16.381999999999998</v>
      </c>
      <c r="BN1547" s="281">
        <f>$AX$8</f>
        <v>0.24999999999999978</v>
      </c>
      <c r="BO1547" s="281">
        <f t="shared" si="158"/>
        <v>-1.4284800000000004</v>
      </c>
    </row>
    <row r="1548" spans="65:67" x14ac:dyDescent="0.25">
      <c r="BM1548" s="281">
        <f>$AZ$17+0.2*(seat_pitch)*($AY$17*n_SA+$AW$8&lt;pax_e)</f>
        <v>16.381999999999998</v>
      </c>
      <c r="BN1548" s="281">
        <f>$AX$8+seat_w*($AY$17*n_SA+$AW$8&lt;pax_e)</f>
        <v>0.7799999999999998</v>
      </c>
      <c r="BO1548" s="281">
        <f t="shared" si="158"/>
        <v>-1.4284800000000004</v>
      </c>
    </row>
    <row r="1549" spans="65:67" x14ac:dyDescent="0.25">
      <c r="BM1549" s="281">
        <f>$AZ$17</f>
        <v>16.22</v>
      </c>
      <c r="BN1549" s="281">
        <f>$AX$8+seat_w*($AY$17*n_SA+$AW$8&lt;pax_e)</f>
        <v>0.7799999999999998</v>
      </c>
      <c r="BO1549" s="281">
        <f t="shared" si="158"/>
        <v>-1.5904799999999994</v>
      </c>
    </row>
    <row r="1550" spans="65:67" x14ac:dyDescent="0.25">
      <c r="BM1550" s="281">
        <f>$AZ$17+1*(seat_pitch)*($AY$17*n_SA+$AW$8&lt;pax_e)</f>
        <v>17.029999999999998</v>
      </c>
      <c r="BN1550" s="281">
        <f>$AX$8+seat_w*($AY$17*n_SA+$AW$8&lt;pax_e)</f>
        <v>0.7799999999999998</v>
      </c>
      <c r="BO1550" s="281">
        <f t="shared" si="158"/>
        <v>-0.78048000000000073</v>
      </c>
    </row>
    <row r="1551" spans="65:67" x14ac:dyDescent="0.25">
      <c r="BM1551" s="281">
        <f>$AZ$17+0.8*(seat_pitch)*($AY$17*n_SA+$AW$8&lt;pax_e)</f>
        <v>16.867999999999999</v>
      </c>
      <c r="BN1551" s="281">
        <f>$AX$8+seat_w*($AY$17*n_SA+$AW$8&lt;pax_e)</f>
        <v>0.7799999999999998</v>
      </c>
      <c r="BO1551" s="281">
        <f t="shared" si="158"/>
        <v>-0.94247999999999976</v>
      </c>
    </row>
    <row r="1552" spans="65:67" x14ac:dyDescent="0.25">
      <c r="BM1552" s="281">
        <f>$AZ$17+0.8*(seat_pitch)*($AY$17*n_SA+$AW$8&lt;pax_e)</f>
        <v>16.867999999999999</v>
      </c>
      <c r="BN1552" s="281">
        <f>$AX$8</f>
        <v>0.24999999999999978</v>
      </c>
      <c r="BO1552" s="281">
        <f t="shared" si="158"/>
        <v>-0.94247999999999976</v>
      </c>
    </row>
    <row r="1553" spans="65:67" x14ac:dyDescent="0.25">
      <c r="BM1553" s="281">
        <f>$AZ$17+0.2*(seat_pitch)*($AY$17*n_SA+$AW$8&lt;pax_e)</f>
        <v>16.381999999999998</v>
      </c>
      <c r="BN1553" s="281">
        <f>$AX$8</f>
        <v>0.24999999999999978</v>
      </c>
      <c r="BO1553" s="281">
        <f t="shared" si="158"/>
        <v>-1.4284800000000004</v>
      </c>
    </row>
    <row r="1554" spans="65:67" x14ac:dyDescent="0.25">
      <c r="BM1554" s="281">
        <f>$AZ$17+(seat_pitch)</f>
        <v>17.029999999999998</v>
      </c>
      <c r="BN1554" s="281">
        <f>$AX$8</f>
        <v>0.24999999999999978</v>
      </c>
      <c r="BO1554" s="281">
        <f t="shared" si="158"/>
        <v>-0.78048000000000073</v>
      </c>
    </row>
    <row r="1555" spans="65:67" x14ac:dyDescent="0.25">
      <c r="BM1555" s="281">
        <f>$AZ$18+0.2*(seat_pitch)*($AY$18*n_SA+$AW$8&lt;pax_e)</f>
        <v>17.192</v>
      </c>
      <c r="BN1555" s="281">
        <f>$AX$8</f>
        <v>0.24999999999999978</v>
      </c>
      <c r="BO1555" s="281">
        <f t="shared" si="158"/>
        <v>-0.61847999999999814</v>
      </c>
    </row>
    <row r="1556" spans="65:67" x14ac:dyDescent="0.25">
      <c r="BM1556" s="281">
        <f>$AZ$18+0.2*(seat_pitch)*($AY$18*n_SA+$AW$8&lt;pax_e)</f>
        <v>17.192</v>
      </c>
      <c r="BN1556" s="281">
        <f>$AX$8+seat_w*($AY$18*n_SA+$AW$8&lt;pax_e)</f>
        <v>0.7799999999999998</v>
      </c>
      <c r="BO1556" s="281">
        <f t="shared" si="158"/>
        <v>-0.61847999999999814</v>
      </c>
    </row>
    <row r="1557" spans="65:67" x14ac:dyDescent="0.25">
      <c r="BM1557" s="281">
        <f>$AZ$18</f>
        <v>17.03</v>
      </c>
      <c r="BN1557" s="281">
        <f>$AX$8+seat_w*($AY$18*n_SA+$AW$8&lt;pax_e)</f>
        <v>0.7799999999999998</v>
      </c>
      <c r="BO1557" s="281">
        <f t="shared" si="158"/>
        <v>-0.78047999999999718</v>
      </c>
    </row>
    <row r="1558" spans="65:67" x14ac:dyDescent="0.25">
      <c r="BM1558" s="281">
        <f>$AZ$18+1*(seat_pitch)*($AY$18*n_SA+$AW$8&lt;pax_e)</f>
        <v>17.84</v>
      </c>
      <c r="BN1558" s="281">
        <f>$AX$8+seat_w*($AY$18*n_SA+$AW$8&lt;pax_e)</f>
        <v>0.7799999999999998</v>
      </c>
      <c r="BO1558" s="281">
        <f t="shared" si="158"/>
        <v>2.9520000000001545E-2</v>
      </c>
    </row>
    <row r="1559" spans="65:67" x14ac:dyDescent="0.25">
      <c r="BM1559" s="281">
        <f>$AZ$18+0.8*(seat_pitch)*($AY$18*n_SA+$AW$8&lt;pax_e)</f>
        <v>17.678000000000001</v>
      </c>
      <c r="BN1559" s="281">
        <f>$AX$8+seat_w*($AY$18*n_SA+$AW$8&lt;pax_e)</f>
        <v>0.7799999999999998</v>
      </c>
      <c r="BO1559" s="281">
        <f t="shared" si="158"/>
        <v>-0.13247999999999749</v>
      </c>
    </row>
    <row r="1560" spans="65:67" x14ac:dyDescent="0.25">
      <c r="BM1560" s="281">
        <f>$AZ$18+0.8*(seat_pitch)*($AY$18*n_SA+$AW$8&lt;pax_e)</f>
        <v>17.678000000000001</v>
      </c>
      <c r="BN1560" s="281">
        <f>$AX$8</f>
        <v>0.24999999999999978</v>
      </c>
      <c r="BO1560" s="281">
        <f t="shared" si="158"/>
        <v>-0.13247999999999749</v>
      </c>
    </row>
    <row r="1561" spans="65:67" x14ac:dyDescent="0.25">
      <c r="BM1561" s="281">
        <f>$AZ$18+0.2*(seat_pitch)*($AY$18*n_SA+$AW$8&lt;pax_e)</f>
        <v>17.192</v>
      </c>
      <c r="BN1561" s="281">
        <f>$AX$8</f>
        <v>0.24999999999999978</v>
      </c>
      <c r="BO1561" s="281">
        <f t="shared" si="158"/>
        <v>-0.61847999999999814</v>
      </c>
    </row>
    <row r="1562" spans="65:67" x14ac:dyDescent="0.25">
      <c r="BM1562" s="281">
        <f>$AZ$18+(seat_pitch)</f>
        <v>17.84</v>
      </c>
      <c r="BN1562" s="281">
        <f>$AX$8</f>
        <v>0.24999999999999978</v>
      </c>
      <c r="BO1562" s="281">
        <f t="shared" si="158"/>
        <v>2.9520000000001545E-2</v>
      </c>
    </row>
    <row r="1563" spans="65:67" x14ac:dyDescent="0.25">
      <c r="BM1563" s="281">
        <f>$AZ$19+0.2*(seat_pitch)*($AY$19*n_SA+$AW$8&lt;pax_e)</f>
        <v>18.001999999999999</v>
      </c>
      <c r="BN1563" s="281">
        <f>$AX$8</f>
        <v>0.24999999999999978</v>
      </c>
      <c r="BO1563" s="281">
        <f t="shared" si="158"/>
        <v>0.19152000000000058</v>
      </c>
    </row>
    <row r="1564" spans="65:67" x14ac:dyDescent="0.25">
      <c r="BM1564" s="281">
        <f>$AZ$19+0.2*(seat_pitch)*($AY$19*n_SA+$AW$8&lt;pax_e)</f>
        <v>18.001999999999999</v>
      </c>
      <c r="BN1564" s="281">
        <f>$AX$8+seat_w*($AY$19*n_SA+$AW$8&lt;pax_e)</f>
        <v>0.7799999999999998</v>
      </c>
      <c r="BO1564" s="281">
        <f t="shared" si="158"/>
        <v>0.19152000000000058</v>
      </c>
    </row>
    <row r="1565" spans="65:67" x14ac:dyDescent="0.25">
      <c r="BM1565" s="281">
        <f>$AZ$19</f>
        <v>17.84</v>
      </c>
      <c r="BN1565" s="281">
        <f>$AX$8+seat_w*($AY$19*n_SA+$AW$8&lt;pax_e)</f>
        <v>0.7799999999999998</v>
      </c>
      <c r="BO1565" s="281">
        <f t="shared" si="158"/>
        <v>2.9520000000001545E-2</v>
      </c>
    </row>
    <row r="1566" spans="65:67" x14ac:dyDescent="0.25">
      <c r="BM1566" s="281">
        <f>$AZ$19+1*(seat_pitch)*($AY$19*n_SA+$AW$8&lt;pax_e)</f>
        <v>18.649999999999999</v>
      </c>
      <c r="BN1566" s="281">
        <f>$AX$8+seat_w*($AY$19*n_SA+$AW$8&lt;pax_e)</f>
        <v>0.7799999999999998</v>
      </c>
      <c r="BO1566" s="281">
        <f t="shared" si="158"/>
        <v>0.83952000000000027</v>
      </c>
    </row>
    <row r="1567" spans="65:67" x14ac:dyDescent="0.25">
      <c r="BM1567" s="281">
        <f>$AZ$19+0.8*(seat_pitch)*($AY$19*n_SA+$AW$8&lt;pax_e)</f>
        <v>18.488</v>
      </c>
      <c r="BN1567" s="281">
        <f>$AX$8+seat_w*($AY$19*n_SA+$AW$8&lt;pax_e)</f>
        <v>0.7799999999999998</v>
      </c>
      <c r="BO1567" s="281">
        <f t="shared" si="158"/>
        <v>0.67752000000000123</v>
      </c>
    </row>
    <row r="1568" spans="65:67" x14ac:dyDescent="0.25">
      <c r="BM1568" s="281">
        <f>$AZ$19+0.8*(seat_pitch)*($AY$19*n_SA+$AW$8&lt;pax_e)</f>
        <v>18.488</v>
      </c>
      <c r="BN1568" s="281">
        <f>$AX$8</f>
        <v>0.24999999999999978</v>
      </c>
      <c r="BO1568" s="281">
        <f t="shared" si="158"/>
        <v>0.67752000000000123</v>
      </c>
    </row>
    <row r="1569" spans="65:67" x14ac:dyDescent="0.25">
      <c r="BM1569" s="281">
        <f>$AZ$19+0.2*(seat_pitch)*($AY$19*n_SA+$AW$8&lt;pax_e)</f>
        <v>18.001999999999999</v>
      </c>
      <c r="BN1569" s="281">
        <f>$AX$8</f>
        <v>0.24999999999999978</v>
      </c>
      <c r="BO1569" s="281">
        <f t="shared" si="158"/>
        <v>0.19152000000000058</v>
      </c>
    </row>
    <row r="1570" spans="65:67" x14ac:dyDescent="0.25">
      <c r="BM1570" s="281">
        <f>$AZ$19+(seat_pitch)</f>
        <v>18.649999999999999</v>
      </c>
      <c r="BN1570" s="281">
        <f>$AX$8</f>
        <v>0.24999999999999978</v>
      </c>
      <c r="BO1570" s="281">
        <f t="shared" si="158"/>
        <v>0.83952000000000027</v>
      </c>
    </row>
    <row r="1571" spans="65:67" x14ac:dyDescent="0.25">
      <c r="BM1571" s="281">
        <f>$AZ$20+0.2*(seat_pitch)*($AY$20*n_SA+$AW$8&lt;pax_e)</f>
        <v>18.811999999999998</v>
      </c>
      <c r="BN1571" s="281">
        <f>$AX$8</f>
        <v>0.24999999999999978</v>
      </c>
      <c r="BO1571" s="281">
        <f t="shared" si="158"/>
        <v>1.0015199999999993</v>
      </c>
    </row>
    <row r="1572" spans="65:67" x14ac:dyDescent="0.25">
      <c r="BM1572" s="281">
        <f>$AZ$20+0.2*(seat_pitch)*($AY$20*n_SA+$AW$8&lt;pax_e)</f>
        <v>18.811999999999998</v>
      </c>
      <c r="BN1572" s="281">
        <f>$AX$8+seat_w*($AY$20*n_SA+$AW$8&lt;pax_e)</f>
        <v>0.7799999999999998</v>
      </c>
      <c r="BO1572" s="281">
        <f t="shared" si="158"/>
        <v>1.0015199999999993</v>
      </c>
    </row>
    <row r="1573" spans="65:67" x14ac:dyDescent="0.25">
      <c r="BM1573" s="281">
        <f>$AZ$20</f>
        <v>18.649999999999999</v>
      </c>
      <c r="BN1573" s="281">
        <f>$AX$8+seat_w*($AY$20*n_SA+$AW$8&lt;pax_e)</f>
        <v>0.7799999999999998</v>
      </c>
      <c r="BO1573" s="281">
        <f t="shared" si="158"/>
        <v>0.83952000000000027</v>
      </c>
    </row>
    <row r="1574" spans="65:67" x14ac:dyDescent="0.25">
      <c r="BM1574" s="281">
        <f>$AZ$20+1*(seat_pitch)*($AY$20*n_SA+$AW$8&lt;pax_e)</f>
        <v>19.459999999999997</v>
      </c>
      <c r="BN1574" s="281">
        <f>$AX$8+seat_w*($AY$20*n_SA+$AW$8&lt;pax_e)</f>
        <v>0.7799999999999998</v>
      </c>
      <c r="BO1574" s="281">
        <f t="shared" si="158"/>
        <v>1.649519999999999</v>
      </c>
    </row>
    <row r="1575" spans="65:67" x14ac:dyDescent="0.25">
      <c r="BM1575" s="281">
        <f>$AZ$20+0.8*(seat_pitch)*($AY$20*n_SA+$AW$8&lt;pax_e)</f>
        <v>19.297999999999998</v>
      </c>
      <c r="BN1575" s="281">
        <f>$AX$8+seat_w*($AY$20*n_SA+$AW$8&lt;pax_e)</f>
        <v>0.7799999999999998</v>
      </c>
      <c r="BO1575" s="281">
        <f t="shared" si="158"/>
        <v>1.48752</v>
      </c>
    </row>
    <row r="1576" spans="65:67" x14ac:dyDescent="0.25">
      <c r="BM1576" s="281">
        <f>$AZ$20+0.8*(seat_pitch)*($AY$20*n_SA+$AW$8&lt;pax_e)</f>
        <v>19.297999999999998</v>
      </c>
      <c r="BN1576" s="281">
        <f>$AX$8</f>
        <v>0.24999999999999978</v>
      </c>
      <c r="BO1576" s="281">
        <f t="shared" si="158"/>
        <v>1.48752</v>
      </c>
    </row>
    <row r="1577" spans="65:67" x14ac:dyDescent="0.25">
      <c r="BM1577" s="281">
        <f>$AZ$20+0.2*(seat_pitch)*($AY$20*n_SA+$AW$8&lt;pax_e)</f>
        <v>18.811999999999998</v>
      </c>
      <c r="BN1577" s="281">
        <f>$AX$8</f>
        <v>0.24999999999999978</v>
      </c>
      <c r="BO1577" s="281">
        <f t="shared" si="158"/>
        <v>1.0015199999999993</v>
      </c>
    </row>
    <row r="1578" spans="65:67" x14ac:dyDescent="0.25">
      <c r="BM1578" s="281">
        <f>$AZ$20+(seat_pitch)</f>
        <v>19.459999999999997</v>
      </c>
      <c r="BN1578" s="281">
        <f>$AX$8</f>
        <v>0.24999999999999978</v>
      </c>
      <c r="BO1578" s="281">
        <f t="shared" si="158"/>
        <v>1.649519999999999</v>
      </c>
    </row>
    <row r="1579" spans="65:67" x14ac:dyDescent="0.25">
      <c r="BM1579" s="281">
        <f>$AZ$21+0.2*(seat_pitch)*($AY$21*n_SA+$AW$8&lt;pax_e)</f>
        <v>19.622</v>
      </c>
      <c r="BN1579" s="281">
        <f>$AX$8</f>
        <v>0.24999999999999978</v>
      </c>
      <c r="BO1579" s="281">
        <f t="shared" si="158"/>
        <v>1.8115200000000016</v>
      </c>
    </row>
    <row r="1580" spans="65:67" x14ac:dyDescent="0.25">
      <c r="BM1580" s="281">
        <f>$AZ$21+0.2*(seat_pitch)*($AY$21*n_SA+$AW$8&lt;pax_e)</f>
        <v>19.622</v>
      </c>
      <c r="BN1580" s="281">
        <f>$AX$8+seat_w*($AY$21*n_SA+$AW$8&lt;pax_e)</f>
        <v>0.7799999999999998</v>
      </c>
      <c r="BO1580" s="281">
        <f t="shared" si="158"/>
        <v>1.8115200000000016</v>
      </c>
    </row>
    <row r="1581" spans="65:67" x14ac:dyDescent="0.25">
      <c r="BM1581" s="281">
        <f>$AZ$21</f>
        <v>19.46</v>
      </c>
      <c r="BN1581" s="281">
        <f>$AX$8+seat_w*($AY$21*n_SA+$AW$8&lt;pax_e)</f>
        <v>0.7799999999999998</v>
      </c>
      <c r="BO1581" s="281">
        <f t="shared" si="158"/>
        <v>1.6495200000000025</v>
      </c>
    </row>
    <row r="1582" spans="65:67" x14ac:dyDescent="0.25">
      <c r="BM1582" s="281">
        <f>$AZ$21+1*(seat_pitch)*($AY$21*n_SA+$AW$8&lt;pax_e)</f>
        <v>20.27</v>
      </c>
      <c r="BN1582" s="281">
        <f>$AX$8+seat_w*($AY$21*n_SA+$AW$8&lt;pax_e)</f>
        <v>0.7799999999999998</v>
      </c>
      <c r="BO1582" s="281">
        <f t="shared" si="158"/>
        <v>2.4595200000000013</v>
      </c>
    </row>
    <row r="1583" spans="65:67" x14ac:dyDescent="0.25">
      <c r="BM1583" s="281">
        <f>$AZ$21+0.8*(seat_pitch)*($AY$21*n_SA+$AW$8&lt;pax_e)</f>
        <v>20.108000000000001</v>
      </c>
      <c r="BN1583" s="281">
        <f>$AX$8+seat_w*($AY$21*n_SA+$AW$8&lt;pax_e)</f>
        <v>0.7799999999999998</v>
      </c>
      <c r="BO1583" s="281">
        <f t="shared" si="158"/>
        <v>2.2975200000000022</v>
      </c>
    </row>
    <row r="1584" spans="65:67" x14ac:dyDescent="0.25">
      <c r="BM1584" s="281">
        <f>$AZ$21+0.8*(seat_pitch)*($AY$21*n_SA+$AW$8&lt;pax_e)</f>
        <v>20.108000000000001</v>
      </c>
      <c r="BN1584" s="281">
        <f>$AX$8</f>
        <v>0.24999999999999978</v>
      </c>
      <c r="BO1584" s="281">
        <f t="shared" si="158"/>
        <v>2.2975200000000022</v>
      </c>
    </row>
    <row r="1585" spans="65:67" x14ac:dyDescent="0.25">
      <c r="BM1585" s="281">
        <f>$AZ$21+0.2*(seat_pitch)*($AY$21*n_SA+$AW$8&lt;pax_e)</f>
        <v>19.622</v>
      </c>
      <c r="BN1585" s="281">
        <f>$AX$8</f>
        <v>0.24999999999999978</v>
      </c>
      <c r="BO1585" s="281">
        <f t="shared" si="158"/>
        <v>1.8115200000000016</v>
      </c>
    </row>
    <row r="1586" spans="65:67" x14ac:dyDescent="0.25">
      <c r="BM1586" s="281">
        <f>$AZ$21+(seat_pitch)</f>
        <v>20.27</v>
      </c>
      <c r="BN1586" s="281">
        <f>$AX$8</f>
        <v>0.24999999999999978</v>
      </c>
      <c r="BO1586" s="281">
        <f t="shared" si="158"/>
        <v>2.4595200000000013</v>
      </c>
    </row>
    <row r="1587" spans="65:67" x14ac:dyDescent="0.25">
      <c r="BM1587" s="281">
        <f>$AZ$22+0.2*(seat_pitch)*($AY$22*n_SA+$AW$8&lt;pax_e)</f>
        <v>20.432000000000002</v>
      </c>
      <c r="BN1587" s="281">
        <f>$AX$8</f>
        <v>0.24999999999999978</v>
      </c>
      <c r="BO1587" s="281">
        <f t="shared" si="158"/>
        <v>2.6215200000000038</v>
      </c>
    </row>
    <row r="1588" spans="65:67" x14ac:dyDescent="0.25">
      <c r="BM1588" s="281">
        <f>$AZ$22+0.2*(seat_pitch)*($AY$22*n_SA+$AW$8&lt;pax_e)</f>
        <v>20.432000000000002</v>
      </c>
      <c r="BN1588" s="281">
        <f>$AX$8+seat_w*($AY$22*n_SA+$AW$8&lt;pax_e)</f>
        <v>0.7799999999999998</v>
      </c>
      <c r="BO1588" s="281">
        <f t="shared" si="158"/>
        <v>2.6215200000000038</v>
      </c>
    </row>
    <row r="1589" spans="65:67" x14ac:dyDescent="0.25">
      <c r="BM1589" s="281">
        <f>$AZ$22</f>
        <v>20.270000000000003</v>
      </c>
      <c r="BN1589" s="281">
        <f>$AX$8+seat_w*($AY$22*n_SA+$AW$8&lt;pax_e)</f>
        <v>0.7799999999999998</v>
      </c>
      <c r="BO1589" s="281">
        <f t="shared" si="158"/>
        <v>2.4595200000000048</v>
      </c>
    </row>
    <row r="1590" spans="65:67" x14ac:dyDescent="0.25">
      <c r="BM1590" s="281">
        <f>$AZ$22+1*(seat_pitch)*($AY$22*n_SA+$AW$8&lt;pax_e)</f>
        <v>21.080000000000002</v>
      </c>
      <c r="BN1590" s="281">
        <f>$AX$8+seat_w*($AY$22*n_SA+$AW$8&lt;pax_e)</f>
        <v>0.7799999999999998</v>
      </c>
      <c r="BO1590" s="281">
        <f t="shared" si="158"/>
        <v>3.2695200000000035</v>
      </c>
    </row>
    <row r="1591" spans="65:67" x14ac:dyDescent="0.25">
      <c r="BM1591" s="281">
        <f>$AZ$22+0.8*(seat_pitch)*($AY$22*n_SA+$AW$8&lt;pax_e)</f>
        <v>20.918000000000003</v>
      </c>
      <c r="BN1591" s="281">
        <f>$AX$8+seat_w*($AY$22*n_SA+$AW$8&lt;pax_e)</f>
        <v>0.7799999999999998</v>
      </c>
      <c r="BO1591" s="281">
        <f t="shared" si="158"/>
        <v>3.1075200000000045</v>
      </c>
    </row>
    <row r="1592" spans="65:67" x14ac:dyDescent="0.25">
      <c r="BM1592" s="281">
        <f>$AZ$22+0.8*(seat_pitch)*($AY$22*n_SA+$AW$8&lt;pax_e)</f>
        <v>20.918000000000003</v>
      </c>
      <c r="BN1592" s="281">
        <f>$AX$8</f>
        <v>0.24999999999999978</v>
      </c>
      <c r="BO1592" s="281">
        <f t="shared" si="158"/>
        <v>3.1075200000000045</v>
      </c>
    </row>
    <row r="1593" spans="65:67" x14ac:dyDescent="0.25">
      <c r="BM1593" s="281">
        <f>$AZ$22+0.2*(seat_pitch)*($AY$22*n_SA+$AW$8&lt;pax_e)</f>
        <v>20.432000000000002</v>
      </c>
      <c r="BN1593" s="281">
        <f>$AX$8</f>
        <v>0.24999999999999978</v>
      </c>
      <c r="BO1593" s="281">
        <f t="shared" si="158"/>
        <v>2.6215200000000038</v>
      </c>
    </row>
    <row r="1594" spans="65:67" x14ac:dyDescent="0.25">
      <c r="BM1594" s="281">
        <f>$AZ$22+(seat_pitch)</f>
        <v>21.080000000000002</v>
      </c>
      <c r="BN1594" s="281">
        <f>$AX$8</f>
        <v>0.24999999999999978</v>
      </c>
      <c r="BO1594" s="281">
        <f t="shared" si="158"/>
        <v>3.2695200000000035</v>
      </c>
    </row>
    <row r="1595" spans="65:67" x14ac:dyDescent="0.25">
      <c r="BM1595" s="281">
        <f>$AZ$23+0.2*(seat_pitch)*($AY$23*n_SA+$AW$8&lt;pax_e)</f>
        <v>21.242000000000001</v>
      </c>
      <c r="BN1595" s="281">
        <f>$AX$8</f>
        <v>0.24999999999999978</v>
      </c>
      <c r="BO1595" s="281">
        <f t="shared" si="158"/>
        <v>3.4315200000000026</v>
      </c>
    </row>
    <row r="1596" spans="65:67" x14ac:dyDescent="0.25">
      <c r="BM1596" s="281">
        <f>$AZ$23+0.2*(seat_pitch)*($AY$23*n_SA+$AW$8&lt;pax_e)</f>
        <v>21.242000000000001</v>
      </c>
      <c r="BN1596" s="281">
        <f>$AX$8+seat_w*($AY$23*n_SA+$AW$8&lt;pax_e)</f>
        <v>0.7799999999999998</v>
      </c>
      <c r="BO1596" s="281">
        <f t="shared" si="158"/>
        <v>3.4315200000000026</v>
      </c>
    </row>
    <row r="1597" spans="65:67" x14ac:dyDescent="0.25">
      <c r="BM1597" s="281">
        <f>$AZ$23</f>
        <v>21.080000000000002</v>
      </c>
      <c r="BN1597" s="281">
        <f>$AX$8+seat_w*($AY$23*n_SA+$AW$8&lt;pax_e)</f>
        <v>0.7799999999999998</v>
      </c>
      <c r="BO1597" s="281">
        <f t="shared" si="158"/>
        <v>3.2695200000000035</v>
      </c>
    </row>
    <row r="1598" spans="65:67" x14ac:dyDescent="0.25">
      <c r="BM1598" s="281">
        <f>$AZ$23+1*(seat_pitch)*($AY$23*n_SA+$AW$8&lt;pax_e)</f>
        <v>21.89</v>
      </c>
      <c r="BN1598" s="281">
        <f>$AX$8+seat_w*($AY$23*n_SA+$AW$8&lt;pax_e)</f>
        <v>0.7799999999999998</v>
      </c>
      <c r="BO1598" s="281">
        <f t="shared" si="158"/>
        <v>4.0795200000000023</v>
      </c>
    </row>
    <row r="1599" spans="65:67" x14ac:dyDescent="0.25">
      <c r="BM1599" s="281">
        <f>$AZ$23+0.8*(seat_pitch)*($AY$23*n_SA+$AW$8&lt;pax_e)</f>
        <v>21.728000000000002</v>
      </c>
      <c r="BN1599" s="281">
        <f>$AX$8+seat_w*($AY$23*n_SA+$AW$8&lt;pax_e)</f>
        <v>0.7799999999999998</v>
      </c>
      <c r="BO1599" s="281">
        <f t="shared" si="158"/>
        <v>3.9175200000000032</v>
      </c>
    </row>
    <row r="1600" spans="65:67" x14ac:dyDescent="0.25">
      <c r="BM1600" s="281">
        <f>$AZ$23+0.8*(seat_pitch)*($AY$23*n_SA+$AW$8&lt;pax_e)</f>
        <v>21.728000000000002</v>
      </c>
      <c r="BN1600" s="281">
        <f>$AX$8</f>
        <v>0.24999999999999978</v>
      </c>
      <c r="BO1600" s="281">
        <f t="shared" si="158"/>
        <v>3.9175200000000032</v>
      </c>
    </row>
    <row r="1601" spans="65:67" x14ac:dyDescent="0.25">
      <c r="BM1601" s="281">
        <f>$AZ$23+0.2*(seat_pitch)*($AY$23*n_SA+$AW$8&lt;pax_e)</f>
        <v>21.242000000000001</v>
      </c>
      <c r="BN1601" s="281">
        <f>$AX$8</f>
        <v>0.24999999999999978</v>
      </c>
      <c r="BO1601" s="281">
        <f t="shared" si="158"/>
        <v>3.4315200000000026</v>
      </c>
    </row>
    <row r="1602" spans="65:67" x14ac:dyDescent="0.25">
      <c r="BM1602" s="281">
        <f>$AZ$23+(seat_pitch)</f>
        <v>21.89</v>
      </c>
      <c r="BN1602" s="281">
        <f>$AX$8</f>
        <v>0.24999999999999978</v>
      </c>
      <c r="BO1602" s="281">
        <f t="shared" si="158"/>
        <v>4.0795200000000023</v>
      </c>
    </row>
    <row r="1603" spans="65:67" x14ac:dyDescent="0.25">
      <c r="BM1603" s="281">
        <f>$AZ$24+0.2*(seat_pitch)*($AY$24*n_SA+$AW$8&lt;pax_e)</f>
        <v>22.052</v>
      </c>
      <c r="BN1603" s="281">
        <f>$AX$8</f>
        <v>0.24999999999999978</v>
      </c>
      <c r="BO1603" s="281">
        <f t="shared" si="158"/>
        <v>4.2415200000000013</v>
      </c>
    </row>
    <row r="1604" spans="65:67" x14ac:dyDescent="0.25">
      <c r="BM1604" s="281">
        <f>$AZ$24+0.2*(seat_pitch)*($AY$24*n_SA+$AW$8&lt;pax_e)</f>
        <v>22.052</v>
      </c>
      <c r="BN1604" s="281">
        <f>$AX$8+seat_w*($AY$24*n_SA+$AW$8&lt;pax_e)</f>
        <v>0.7799999999999998</v>
      </c>
      <c r="BO1604" s="281">
        <f t="shared" si="158"/>
        <v>4.2415200000000013</v>
      </c>
    </row>
    <row r="1605" spans="65:67" x14ac:dyDescent="0.25">
      <c r="BM1605" s="281">
        <f>$AZ$24</f>
        <v>21.89</v>
      </c>
      <c r="BN1605" s="281">
        <f>$AX$8+seat_w*($AY$24*n_SA+$AW$8&lt;pax_e)</f>
        <v>0.7799999999999998</v>
      </c>
      <c r="BO1605" s="281">
        <f t="shared" ref="BO1605:BO1668" si="159">BM1605-L_fus/2</f>
        <v>4.0795200000000023</v>
      </c>
    </row>
    <row r="1606" spans="65:67" x14ac:dyDescent="0.25">
      <c r="BM1606" s="281">
        <f>$AZ$24+1*(seat_pitch)*($AY$24*n_SA+$AW$8&lt;pax_e)</f>
        <v>22.7</v>
      </c>
      <c r="BN1606" s="281">
        <f>$AX$8+seat_w*($AY$24*n_SA+$AW$8&lt;pax_e)</f>
        <v>0.7799999999999998</v>
      </c>
      <c r="BO1606" s="281">
        <f t="shared" si="159"/>
        <v>4.889520000000001</v>
      </c>
    </row>
    <row r="1607" spans="65:67" x14ac:dyDescent="0.25">
      <c r="BM1607" s="281">
        <f>$AZ$24+0.8*(seat_pitch)*($AY$24*n_SA+$AW$8&lt;pax_e)</f>
        <v>22.538</v>
      </c>
      <c r="BN1607" s="281">
        <f>$AX$8+seat_w*($AY$24*n_SA+$AW$8&lt;pax_e)</f>
        <v>0.7799999999999998</v>
      </c>
      <c r="BO1607" s="281">
        <f t="shared" si="159"/>
        <v>4.7275200000000019</v>
      </c>
    </row>
    <row r="1608" spans="65:67" x14ac:dyDescent="0.25">
      <c r="BM1608" s="281">
        <f>$AZ$24+0.8*(seat_pitch)*($AY$24*n_SA+$AW$8&lt;pax_e)</f>
        <v>22.538</v>
      </c>
      <c r="BN1608" s="281">
        <f>$AX$8</f>
        <v>0.24999999999999978</v>
      </c>
      <c r="BO1608" s="281">
        <f t="shared" si="159"/>
        <v>4.7275200000000019</v>
      </c>
    </row>
    <row r="1609" spans="65:67" x14ac:dyDescent="0.25">
      <c r="BM1609" s="281">
        <f>$AZ$24+0.2*(seat_pitch)*($AY$24*n_SA+$AW$8&lt;pax_e)</f>
        <v>22.052</v>
      </c>
      <c r="BN1609" s="281">
        <f>$AX$8</f>
        <v>0.24999999999999978</v>
      </c>
      <c r="BO1609" s="281">
        <f t="shared" si="159"/>
        <v>4.2415200000000013</v>
      </c>
    </row>
    <row r="1610" spans="65:67" x14ac:dyDescent="0.25">
      <c r="BM1610" s="281">
        <f>$AZ$24+(seat_pitch)</f>
        <v>22.7</v>
      </c>
      <c r="BN1610" s="281">
        <f>$AX$8</f>
        <v>0.24999999999999978</v>
      </c>
      <c r="BO1610" s="281">
        <f t="shared" si="159"/>
        <v>4.889520000000001</v>
      </c>
    </row>
    <row r="1611" spans="65:67" x14ac:dyDescent="0.25">
      <c r="BM1611" s="281">
        <f>$AZ$25+0.2*(seat_pitch)*($AY$25*n_SA+$AW$8&lt;pax_e)</f>
        <v>22.862000000000002</v>
      </c>
      <c r="BN1611" s="281">
        <f>$AX$8</f>
        <v>0.24999999999999978</v>
      </c>
      <c r="BO1611" s="281">
        <f t="shared" si="159"/>
        <v>5.0515200000000036</v>
      </c>
    </row>
    <row r="1612" spans="65:67" x14ac:dyDescent="0.25">
      <c r="BM1612" s="281">
        <f>$AZ$25+0.2*(seat_pitch)*($AY$25*n_SA+$AW$8&lt;pax_e)</f>
        <v>22.862000000000002</v>
      </c>
      <c r="BN1612" s="281">
        <f>$AX$8+seat_w*($AY$25*n_SA+$AW$8&lt;pax_e)</f>
        <v>0.7799999999999998</v>
      </c>
      <c r="BO1612" s="281">
        <f t="shared" si="159"/>
        <v>5.0515200000000036</v>
      </c>
    </row>
    <row r="1613" spans="65:67" x14ac:dyDescent="0.25">
      <c r="BM1613" s="281">
        <f>$AZ$25</f>
        <v>22.700000000000003</v>
      </c>
      <c r="BN1613" s="281">
        <f>$AX$8+seat_w*($AY$25*n_SA+$AW$8&lt;pax_e)</f>
        <v>0.7799999999999998</v>
      </c>
      <c r="BO1613" s="281">
        <f t="shared" si="159"/>
        <v>4.8895200000000045</v>
      </c>
    </row>
    <row r="1614" spans="65:67" x14ac:dyDescent="0.25">
      <c r="BM1614" s="281">
        <f>$AZ$25+1*(seat_pitch)*($AY$25*n_SA+$AW$8&lt;pax_e)</f>
        <v>23.51</v>
      </c>
      <c r="BN1614" s="281">
        <f>$AX$8+seat_w*($AY$25*n_SA+$AW$8&lt;pax_e)</f>
        <v>0.7799999999999998</v>
      </c>
      <c r="BO1614" s="281">
        <f t="shared" si="159"/>
        <v>5.6995200000000033</v>
      </c>
    </row>
    <row r="1615" spans="65:67" x14ac:dyDescent="0.25">
      <c r="BM1615" s="281">
        <f>$AZ$25+0.8*(seat_pitch)*($AY$25*n_SA+$AW$8&lt;pax_e)</f>
        <v>23.348000000000003</v>
      </c>
      <c r="BN1615" s="281">
        <f>$AX$8+seat_w*($AY$25*n_SA+$AW$8&lt;pax_e)</f>
        <v>0.7799999999999998</v>
      </c>
      <c r="BO1615" s="281">
        <f t="shared" si="159"/>
        <v>5.5375200000000042</v>
      </c>
    </row>
    <row r="1616" spans="65:67" x14ac:dyDescent="0.25">
      <c r="BM1616" s="281">
        <f>$AZ$25+0.8*(seat_pitch)*($AY$25*n_SA+$AW$8&lt;pax_e)</f>
        <v>23.348000000000003</v>
      </c>
      <c r="BN1616" s="281">
        <f>$AX$8</f>
        <v>0.24999999999999978</v>
      </c>
      <c r="BO1616" s="281">
        <f t="shared" si="159"/>
        <v>5.5375200000000042</v>
      </c>
    </row>
    <row r="1617" spans="65:67" x14ac:dyDescent="0.25">
      <c r="BM1617" s="281">
        <f>$AZ$25+0.2*(seat_pitch)*($AY$25*n_SA+$AW$8&lt;pax_e)</f>
        <v>22.862000000000002</v>
      </c>
      <c r="BN1617" s="281">
        <f>$AX$8</f>
        <v>0.24999999999999978</v>
      </c>
      <c r="BO1617" s="281">
        <f t="shared" si="159"/>
        <v>5.0515200000000036</v>
      </c>
    </row>
    <row r="1618" spans="65:67" x14ac:dyDescent="0.25">
      <c r="BM1618" s="281">
        <f>$AZ$25+(seat_pitch)</f>
        <v>23.51</v>
      </c>
      <c r="BN1618" s="281">
        <f>$AX$8</f>
        <v>0.24999999999999978</v>
      </c>
      <c r="BO1618" s="281">
        <f t="shared" si="159"/>
        <v>5.6995200000000033</v>
      </c>
    </row>
    <row r="1619" spans="65:67" x14ac:dyDescent="0.25">
      <c r="BM1619" s="281">
        <f>$AZ$26+0.2*(seat_pitch)*($AY$26*n_SA+$AW$8&lt;pax_e)</f>
        <v>23.672000000000001</v>
      </c>
      <c r="BN1619" s="281">
        <f>$AX$8</f>
        <v>0.24999999999999978</v>
      </c>
      <c r="BO1619" s="281">
        <f t="shared" si="159"/>
        <v>5.8615200000000023</v>
      </c>
    </row>
    <row r="1620" spans="65:67" x14ac:dyDescent="0.25">
      <c r="BM1620" s="281">
        <f>$AZ$26+0.2*(seat_pitch)*($AY$26*n_SA+$AW$8&lt;pax_e)</f>
        <v>23.672000000000001</v>
      </c>
      <c r="BN1620" s="281">
        <f>$AX$8+seat_w*($AY$26*n_SA+$AW$8&lt;pax_e)</f>
        <v>0.7799999999999998</v>
      </c>
      <c r="BO1620" s="281">
        <f t="shared" si="159"/>
        <v>5.8615200000000023</v>
      </c>
    </row>
    <row r="1621" spans="65:67" x14ac:dyDescent="0.25">
      <c r="BM1621" s="281">
        <f>$AZ$26</f>
        <v>23.51</v>
      </c>
      <c r="BN1621" s="281">
        <f>$AX$8+seat_w*($AY$26*n_SA+$AW$8&lt;pax_e)</f>
        <v>0.7799999999999998</v>
      </c>
      <c r="BO1621" s="281">
        <f t="shared" si="159"/>
        <v>5.6995200000000033</v>
      </c>
    </row>
    <row r="1622" spans="65:67" x14ac:dyDescent="0.25">
      <c r="BM1622" s="281">
        <f>$AZ$26+1*(seat_pitch)*($AY$26*n_SA+$AW$8&lt;pax_e)</f>
        <v>24.32</v>
      </c>
      <c r="BN1622" s="281">
        <f>$AX$8+seat_w*($AY$26*n_SA+$AW$8&lt;pax_e)</f>
        <v>0.7799999999999998</v>
      </c>
      <c r="BO1622" s="281">
        <f t="shared" si="159"/>
        <v>6.509520000000002</v>
      </c>
    </row>
    <row r="1623" spans="65:67" x14ac:dyDescent="0.25">
      <c r="BM1623" s="281">
        <f>$AZ$26+0.8*(seat_pitch)*($AY$26*n_SA+$AW$8&lt;pax_e)</f>
        <v>24.158000000000001</v>
      </c>
      <c r="BN1623" s="281">
        <f>$AX$8+seat_w*($AY$26*n_SA+$AW$8&lt;pax_e)</f>
        <v>0.7799999999999998</v>
      </c>
      <c r="BO1623" s="281">
        <f t="shared" si="159"/>
        <v>6.3475200000000029</v>
      </c>
    </row>
    <row r="1624" spans="65:67" x14ac:dyDescent="0.25">
      <c r="BM1624" s="281">
        <f>$AZ$26+0.8*(seat_pitch)*($AY$26*n_SA+$AW$8&lt;pax_e)</f>
        <v>24.158000000000001</v>
      </c>
      <c r="BN1624" s="281">
        <f>$AX$8</f>
        <v>0.24999999999999978</v>
      </c>
      <c r="BO1624" s="281">
        <f t="shared" si="159"/>
        <v>6.3475200000000029</v>
      </c>
    </row>
    <row r="1625" spans="65:67" x14ac:dyDescent="0.25">
      <c r="BM1625" s="281">
        <f>$AZ$26+0.2*(seat_pitch)*($AY$26*n_SA+$AW$8&lt;pax_e)</f>
        <v>23.672000000000001</v>
      </c>
      <c r="BN1625" s="281">
        <f>$AX$8</f>
        <v>0.24999999999999978</v>
      </c>
      <c r="BO1625" s="281">
        <f t="shared" si="159"/>
        <v>5.8615200000000023</v>
      </c>
    </row>
    <row r="1626" spans="65:67" x14ac:dyDescent="0.25">
      <c r="BM1626" s="281">
        <f>$AZ$26+(seat_pitch)</f>
        <v>24.32</v>
      </c>
      <c r="BN1626" s="281">
        <f>$AX$8</f>
        <v>0.24999999999999978</v>
      </c>
      <c r="BO1626" s="281">
        <f t="shared" si="159"/>
        <v>6.509520000000002</v>
      </c>
    </row>
    <row r="1627" spans="65:67" x14ac:dyDescent="0.25">
      <c r="BM1627" s="281">
        <f>$AZ$27+0.2*(seat_pitch)*($AY$27*n_SA+$AW$8&lt;pax_e)</f>
        <v>24.481999999999999</v>
      </c>
      <c r="BN1627" s="281">
        <f>$AX$8</f>
        <v>0.24999999999999978</v>
      </c>
      <c r="BO1627" s="281">
        <f t="shared" si="159"/>
        <v>6.671520000000001</v>
      </c>
    </row>
    <row r="1628" spans="65:67" x14ac:dyDescent="0.25">
      <c r="BM1628" s="281">
        <f>$AZ$27+0.2*(seat_pitch)*($AY$27*n_SA+$AW$8&lt;pax_e)</f>
        <v>24.481999999999999</v>
      </c>
      <c r="BN1628" s="281">
        <f>$AX$8+seat_w*($AY$27*n_SA+$AW$8&lt;pax_e)</f>
        <v>0.7799999999999998</v>
      </c>
      <c r="BO1628" s="281">
        <f t="shared" si="159"/>
        <v>6.671520000000001</v>
      </c>
    </row>
    <row r="1629" spans="65:67" x14ac:dyDescent="0.25">
      <c r="BM1629" s="281">
        <f>$AZ$27</f>
        <v>24.32</v>
      </c>
      <c r="BN1629" s="281">
        <f>$AX$8+seat_w*($AY$27*n_SA+$AW$8&lt;pax_e)</f>
        <v>0.7799999999999998</v>
      </c>
      <c r="BO1629" s="281">
        <f t="shared" si="159"/>
        <v>6.509520000000002</v>
      </c>
    </row>
    <row r="1630" spans="65:67" x14ac:dyDescent="0.25">
      <c r="BM1630" s="281">
        <f>$AZ$27+1*(seat_pitch)*($AY$27*n_SA+$AW$8&lt;pax_e)</f>
        <v>25.13</v>
      </c>
      <c r="BN1630" s="281">
        <f>$AX$8+seat_w*($AY$27*n_SA+$AW$8&lt;pax_e)</f>
        <v>0.7799999999999998</v>
      </c>
      <c r="BO1630" s="281">
        <f t="shared" si="159"/>
        <v>7.3195200000000007</v>
      </c>
    </row>
    <row r="1631" spans="65:67" x14ac:dyDescent="0.25">
      <c r="BM1631" s="281">
        <f>$AZ$27+0.8*(seat_pitch)*($AY$27*n_SA+$AW$8&lt;pax_e)</f>
        <v>24.968</v>
      </c>
      <c r="BN1631" s="281">
        <f>$AX$8+seat_w*($AY$27*n_SA+$AW$8&lt;pax_e)</f>
        <v>0.7799999999999998</v>
      </c>
      <c r="BO1631" s="281">
        <f t="shared" si="159"/>
        <v>7.1575200000000017</v>
      </c>
    </row>
    <row r="1632" spans="65:67" x14ac:dyDescent="0.25">
      <c r="BM1632" s="281">
        <f>$AZ$27+0.8*(seat_pitch)*($AY$27*n_SA+$AW$8&lt;pax_e)</f>
        <v>24.968</v>
      </c>
      <c r="BN1632" s="281">
        <f>$AX$8</f>
        <v>0.24999999999999978</v>
      </c>
      <c r="BO1632" s="281">
        <f t="shared" si="159"/>
        <v>7.1575200000000017</v>
      </c>
    </row>
    <row r="1633" spans="65:67" x14ac:dyDescent="0.25">
      <c r="BM1633" s="281">
        <f>$AZ$27+0.2*(seat_pitch)*($AY$27*n_SA+$AW$8&lt;pax_e)</f>
        <v>24.481999999999999</v>
      </c>
      <c r="BN1633" s="281">
        <f>$AX$8</f>
        <v>0.24999999999999978</v>
      </c>
      <c r="BO1633" s="281">
        <f t="shared" si="159"/>
        <v>6.671520000000001</v>
      </c>
    </row>
    <row r="1634" spans="65:67" x14ac:dyDescent="0.25">
      <c r="BM1634" s="281">
        <f>$AZ$27+(seat_pitch)</f>
        <v>25.13</v>
      </c>
      <c r="BN1634" s="281">
        <f>$AX$8</f>
        <v>0.24999999999999978</v>
      </c>
      <c r="BO1634" s="281">
        <f t="shared" si="159"/>
        <v>7.3195200000000007</v>
      </c>
    </row>
    <row r="1635" spans="65:67" x14ac:dyDescent="0.25">
      <c r="BM1635" s="281">
        <f>$AZ$28+0.2*(seat_pitch)*($AY$28*n_SA+$AW$8&lt;pax_e)</f>
        <v>25.292000000000002</v>
      </c>
      <c r="BN1635" s="281">
        <f>$AX$8</f>
        <v>0.24999999999999978</v>
      </c>
      <c r="BO1635" s="281">
        <f t="shared" si="159"/>
        <v>7.4815200000000033</v>
      </c>
    </row>
    <row r="1636" spans="65:67" x14ac:dyDescent="0.25">
      <c r="BM1636" s="281">
        <f>$AZ$28+0.2*(seat_pitch)*($AY$28*n_SA+$AW$8&lt;pax_e)</f>
        <v>25.292000000000002</v>
      </c>
      <c r="BN1636" s="281">
        <f>$AX$8+seat_w*($AY$28*n_SA+$AW$8&lt;pax_e)</f>
        <v>0.7799999999999998</v>
      </c>
      <c r="BO1636" s="281">
        <f t="shared" si="159"/>
        <v>7.4815200000000033</v>
      </c>
    </row>
    <row r="1637" spans="65:67" x14ac:dyDescent="0.25">
      <c r="BM1637" s="281">
        <f>$AZ$28</f>
        <v>25.130000000000003</v>
      </c>
      <c r="BN1637" s="281">
        <f>$AX$8+seat_w*($AY$28*n_SA+$AW$8&lt;pax_e)</f>
        <v>0.7799999999999998</v>
      </c>
      <c r="BO1637" s="281">
        <f t="shared" si="159"/>
        <v>7.3195200000000042</v>
      </c>
    </row>
    <row r="1638" spans="65:67" x14ac:dyDescent="0.25">
      <c r="BM1638" s="281">
        <f>$AZ$28+1*(seat_pitch)*($AY$28*n_SA+$AW$8&lt;pax_e)</f>
        <v>25.94</v>
      </c>
      <c r="BN1638" s="281">
        <f>$AX$8+seat_w*($AY$28*n_SA+$AW$8&lt;pax_e)</f>
        <v>0.7799999999999998</v>
      </c>
      <c r="BO1638" s="281">
        <f t="shared" si="159"/>
        <v>8.129520000000003</v>
      </c>
    </row>
    <row r="1639" spans="65:67" x14ac:dyDescent="0.25">
      <c r="BM1639" s="281">
        <f>$AZ$28+0.8*(seat_pitch)*($AY$28*n_SA+$AW$8&lt;pax_e)</f>
        <v>25.778000000000002</v>
      </c>
      <c r="BN1639" s="281">
        <f>$AX$8+seat_w*($AY$28*n_SA+$AW$8&lt;pax_e)</f>
        <v>0.7799999999999998</v>
      </c>
      <c r="BO1639" s="281">
        <f t="shared" si="159"/>
        <v>7.9675200000000039</v>
      </c>
    </row>
    <row r="1640" spans="65:67" x14ac:dyDescent="0.25">
      <c r="BM1640" s="281">
        <f>$AZ$28+0.8*(seat_pitch)*($AY$28*n_SA+$AW$8&lt;pax_e)</f>
        <v>25.778000000000002</v>
      </c>
      <c r="BN1640" s="281">
        <f>$AX$8</f>
        <v>0.24999999999999978</v>
      </c>
      <c r="BO1640" s="281">
        <f t="shared" si="159"/>
        <v>7.9675200000000039</v>
      </c>
    </row>
    <row r="1641" spans="65:67" x14ac:dyDescent="0.25">
      <c r="BM1641" s="281">
        <f>$AZ$28+0.2*(seat_pitch)*($AY$28*n_SA+$AW$8&lt;pax_e)</f>
        <v>25.292000000000002</v>
      </c>
      <c r="BN1641" s="281">
        <f>$AX$8</f>
        <v>0.24999999999999978</v>
      </c>
      <c r="BO1641" s="281">
        <f t="shared" si="159"/>
        <v>7.4815200000000033</v>
      </c>
    </row>
    <row r="1642" spans="65:67" x14ac:dyDescent="0.25">
      <c r="BM1642" s="281">
        <f>$AZ$28+(seat_pitch)</f>
        <v>25.94</v>
      </c>
      <c r="BN1642" s="281">
        <f>$AX$8</f>
        <v>0.24999999999999978</v>
      </c>
      <c r="BO1642" s="281">
        <f t="shared" si="159"/>
        <v>8.129520000000003</v>
      </c>
    </row>
    <row r="1643" spans="65:67" x14ac:dyDescent="0.25">
      <c r="BM1643" s="281">
        <f>$AZ$29+0.2*(seat_pitch)*($AY$29*n_SA+$AW$8&lt;pax_e)</f>
        <v>26.102</v>
      </c>
      <c r="BN1643" s="281">
        <f>$AX$8</f>
        <v>0.24999999999999978</v>
      </c>
      <c r="BO1643" s="281">
        <f t="shared" si="159"/>
        <v>8.291520000000002</v>
      </c>
    </row>
    <row r="1644" spans="65:67" x14ac:dyDescent="0.25">
      <c r="BM1644" s="281">
        <f>$AZ$29+0.2*(seat_pitch)*($AY$29*n_SA+$AW$8&lt;pax_e)</f>
        <v>26.102</v>
      </c>
      <c r="BN1644" s="281">
        <f>$AX$8+seat_w*($AY$29*n_SA+$AW$8&lt;pax_e)</f>
        <v>0.7799999999999998</v>
      </c>
      <c r="BO1644" s="281">
        <f t="shared" si="159"/>
        <v>8.291520000000002</v>
      </c>
    </row>
    <row r="1645" spans="65:67" x14ac:dyDescent="0.25">
      <c r="BM1645" s="281">
        <f>$AZ$29</f>
        <v>25.94</v>
      </c>
      <c r="BN1645" s="281">
        <f>$AX$8+seat_w*($AY$29*n_SA+$AW$8&lt;pax_e)</f>
        <v>0.7799999999999998</v>
      </c>
      <c r="BO1645" s="281">
        <f t="shared" si="159"/>
        <v>8.129520000000003</v>
      </c>
    </row>
    <row r="1646" spans="65:67" x14ac:dyDescent="0.25">
      <c r="BM1646" s="281">
        <f>$AZ$29+1*(seat_pitch)*($AY$29*n_SA+$AW$8&lt;pax_e)</f>
        <v>26.75</v>
      </c>
      <c r="BN1646" s="281">
        <f>$AX$8+seat_w*($AY$29*n_SA+$AW$8&lt;pax_e)</f>
        <v>0.7799999999999998</v>
      </c>
      <c r="BO1646" s="281">
        <f t="shared" si="159"/>
        <v>8.9395200000000017</v>
      </c>
    </row>
    <row r="1647" spans="65:67" x14ac:dyDescent="0.25">
      <c r="BM1647" s="281">
        <f>$AZ$29+0.8*(seat_pitch)*($AY$29*n_SA+$AW$8&lt;pax_e)</f>
        <v>26.588000000000001</v>
      </c>
      <c r="BN1647" s="281">
        <f>$AX$8+seat_w*($AY$29*n_SA+$AW$8&lt;pax_e)</f>
        <v>0.7799999999999998</v>
      </c>
      <c r="BO1647" s="281">
        <f t="shared" si="159"/>
        <v>8.7775200000000027</v>
      </c>
    </row>
    <row r="1648" spans="65:67" x14ac:dyDescent="0.25">
      <c r="BM1648" s="281">
        <f>$AZ$29+0.8*(seat_pitch)*($AY$29*n_SA+$AW$8&lt;pax_e)</f>
        <v>26.588000000000001</v>
      </c>
      <c r="BN1648" s="281">
        <f>$AX$8</f>
        <v>0.24999999999999978</v>
      </c>
      <c r="BO1648" s="281">
        <f t="shared" si="159"/>
        <v>8.7775200000000027</v>
      </c>
    </row>
    <row r="1649" spans="65:67" x14ac:dyDescent="0.25">
      <c r="BM1649" s="281">
        <f>$AZ$29+0.2*(seat_pitch)*($AY$29*n_SA+$AW$8&lt;pax_e)</f>
        <v>26.102</v>
      </c>
      <c r="BN1649" s="281">
        <f>$AX$8</f>
        <v>0.24999999999999978</v>
      </c>
      <c r="BO1649" s="281">
        <f t="shared" si="159"/>
        <v>8.291520000000002</v>
      </c>
    </row>
    <row r="1650" spans="65:67" x14ac:dyDescent="0.25">
      <c r="BM1650" s="281">
        <f>$AZ$29+(seat_pitch)</f>
        <v>26.75</v>
      </c>
      <c r="BN1650" s="281">
        <f>$AX$8</f>
        <v>0.24999999999999978</v>
      </c>
      <c r="BO1650" s="281">
        <f t="shared" si="159"/>
        <v>8.9395200000000017</v>
      </c>
    </row>
    <row r="1651" spans="65:67" x14ac:dyDescent="0.25">
      <c r="BM1651" s="281">
        <f>$AZ$30+0.2*(seat_pitch)*($AY$30*n_SA+$AW$8&lt;pax_e)</f>
        <v>26.102</v>
      </c>
      <c r="BN1651" s="281">
        <f>$AX$8</f>
        <v>0.24999999999999978</v>
      </c>
      <c r="BO1651" s="281">
        <f t="shared" si="159"/>
        <v>8.291520000000002</v>
      </c>
    </row>
    <row r="1652" spans="65:67" x14ac:dyDescent="0.25">
      <c r="BM1652" s="281">
        <f>$AZ$30+0.2*(seat_pitch)*($AY$30*n_SA+$AW$8&lt;pax_e)</f>
        <v>26.102</v>
      </c>
      <c r="BN1652" s="281">
        <f>$AX$8+seat_w*($AY$30*n_SA+$AW$8&lt;pax_e)</f>
        <v>0.7799999999999998</v>
      </c>
      <c r="BO1652" s="281">
        <f t="shared" si="159"/>
        <v>8.291520000000002</v>
      </c>
    </row>
    <row r="1653" spans="65:67" x14ac:dyDescent="0.25">
      <c r="BM1653" s="281">
        <f>$AZ$30</f>
        <v>25.94</v>
      </c>
      <c r="BN1653" s="281">
        <f>$AX$8+seat_w*($AY$30*n_SA+$AW$8&lt;pax_e)</f>
        <v>0.7799999999999998</v>
      </c>
      <c r="BO1653" s="281">
        <f t="shared" si="159"/>
        <v>8.129520000000003</v>
      </c>
    </row>
    <row r="1654" spans="65:67" x14ac:dyDescent="0.25">
      <c r="BM1654" s="281">
        <f>$AZ$30+1*(seat_pitch)*($AY$30*n_SA+$AW$8&lt;pax_e)</f>
        <v>26.75</v>
      </c>
      <c r="BN1654" s="281">
        <f>$AX$8+seat_w*($AY$30*n_SA+$AW$8&lt;pax_e)</f>
        <v>0.7799999999999998</v>
      </c>
      <c r="BO1654" s="281">
        <f t="shared" si="159"/>
        <v>8.9395200000000017</v>
      </c>
    </row>
    <row r="1655" spans="65:67" x14ac:dyDescent="0.25">
      <c r="BM1655" s="281">
        <f>$AZ$30+0.8*(seat_pitch)*($AY$30*n_SA+$AW$8&lt;pax_e)</f>
        <v>26.588000000000001</v>
      </c>
      <c r="BN1655" s="281">
        <f>$AX$8+seat_w*($AY$30*n_SA+$AW$8&lt;pax_e)</f>
        <v>0.7799999999999998</v>
      </c>
      <c r="BO1655" s="281">
        <f t="shared" si="159"/>
        <v>8.7775200000000027</v>
      </c>
    </row>
    <row r="1656" spans="65:67" x14ac:dyDescent="0.25">
      <c r="BM1656" s="281">
        <f>$AZ$30+0.8*(seat_pitch)*($AY$30*n_SA+$AW$8&lt;pax_e)</f>
        <v>26.588000000000001</v>
      </c>
      <c r="BN1656" s="281">
        <f>$AX$8</f>
        <v>0.24999999999999978</v>
      </c>
      <c r="BO1656" s="281">
        <f t="shared" si="159"/>
        <v>8.7775200000000027</v>
      </c>
    </row>
    <row r="1657" spans="65:67" x14ac:dyDescent="0.25">
      <c r="BM1657" s="281">
        <f>$AZ$30+0.2*(seat_pitch)*($AY$30*n_SA+$AW$8&lt;pax_e)</f>
        <v>26.102</v>
      </c>
      <c r="BN1657" s="281">
        <f>$AX$8</f>
        <v>0.24999999999999978</v>
      </c>
      <c r="BO1657" s="281">
        <f t="shared" si="159"/>
        <v>8.291520000000002</v>
      </c>
    </row>
    <row r="1658" spans="65:67" x14ac:dyDescent="0.25">
      <c r="BM1658" s="281">
        <f>$AZ$30+(seat_pitch)</f>
        <v>26.75</v>
      </c>
      <c r="BN1658" s="281">
        <f>$AX$8</f>
        <v>0.24999999999999978</v>
      </c>
      <c r="BO1658" s="281">
        <f t="shared" si="159"/>
        <v>8.9395200000000017</v>
      </c>
    </row>
    <row r="1659" spans="65:67" x14ac:dyDescent="0.25">
      <c r="BM1659" s="281">
        <f>$AZ$31+0.2*(seat_pitch)*($AY$31*n_SA+$AW$8&lt;pax_e)</f>
        <v>26.102</v>
      </c>
      <c r="BN1659" s="281">
        <f>$AX$8</f>
        <v>0.24999999999999978</v>
      </c>
      <c r="BO1659" s="281">
        <f t="shared" si="159"/>
        <v>8.291520000000002</v>
      </c>
    </row>
    <row r="1660" spans="65:67" x14ac:dyDescent="0.25">
      <c r="BM1660" s="281">
        <f>$AZ$31+0.2*(seat_pitch)*($AY$31*n_SA+$AW$8&lt;pax_e)</f>
        <v>26.102</v>
      </c>
      <c r="BN1660" s="281">
        <f>$AX$8+seat_w*($AY$31*n_SA+$AW$8&lt;pax_e)</f>
        <v>0.7799999999999998</v>
      </c>
      <c r="BO1660" s="281">
        <f t="shared" si="159"/>
        <v>8.291520000000002</v>
      </c>
    </row>
    <row r="1661" spans="65:67" x14ac:dyDescent="0.25">
      <c r="BM1661" s="281">
        <f>$AZ$31</f>
        <v>25.94</v>
      </c>
      <c r="BN1661" s="281">
        <f>$AX$8+seat_w*($AY$31*n_SA+$AW$8&lt;pax_e)</f>
        <v>0.7799999999999998</v>
      </c>
      <c r="BO1661" s="281">
        <f t="shared" si="159"/>
        <v>8.129520000000003</v>
      </c>
    </row>
    <row r="1662" spans="65:67" x14ac:dyDescent="0.25">
      <c r="BM1662" s="281">
        <f>$AZ$31+1*(seat_pitch)*($AY$31*n_SA+$AW$8&lt;pax_e)</f>
        <v>26.75</v>
      </c>
      <c r="BN1662" s="281">
        <f>$AX$8+seat_w*($AY$31*n_SA+$AW$8&lt;pax_e)</f>
        <v>0.7799999999999998</v>
      </c>
      <c r="BO1662" s="281">
        <f t="shared" si="159"/>
        <v>8.9395200000000017</v>
      </c>
    </row>
    <row r="1663" spans="65:67" x14ac:dyDescent="0.25">
      <c r="BM1663" s="281">
        <f>$AZ$31+0.8*(seat_pitch)*($AY$31*n_SA+$AW$8&lt;pax_e)</f>
        <v>26.588000000000001</v>
      </c>
      <c r="BN1663" s="281">
        <f>$AX$8+seat_w*($AY$31*n_SA+$AW$8&lt;pax_e)</f>
        <v>0.7799999999999998</v>
      </c>
      <c r="BO1663" s="281">
        <f t="shared" si="159"/>
        <v>8.7775200000000027</v>
      </c>
    </row>
    <row r="1664" spans="65:67" x14ac:dyDescent="0.25">
      <c r="BM1664" s="281">
        <f>$AZ$31+0.8*(seat_pitch)*($AY$31*n_SA+$AW$8&lt;pax_e)</f>
        <v>26.588000000000001</v>
      </c>
      <c r="BN1664" s="281">
        <f>$AX$8</f>
        <v>0.24999999999999978</v>
      </c>
      <c r="BO1664" s="281">
        <f t="shared" si="159"/>
        <v>8.7775200000000027</v>
      </c>
    </row>
    <row r="1665" spans="65:67" x14ac:dyDescent="0.25">
      <c r="BM1665" s="281">
        <f>$AZ$31+0.2*(seat_pitch)*($AY$31*n_SA+$AW$8&lt;pax_e)</f>
        <v>26.102</v>
      </c>
      <c r="BN1665" s="281">
        <f>$AX$8</f>
        <v>0.24999999999999978</v>
      </c>
      <c r="BO1665" s="281">
        <f t="shared" si="159"/>
        <v>8.291520000000002</v>
      </c>
    </row>
    <row r="1666" spans="65:67" x14ac:dyDescent="0.25">
      <c r="BM1666" s="281">
        <f>$AZ$31+(seat_pitch)</f>
        <v>26.75</v>
      </c>
      <c r="BN1666" s="281">
        <f>$AX$8</f>
        <v>0.24999999999999978</v>
      </c>
      <c r="BO1666" s="281">
        <f t="shared" si="159"/>
        <v>8.9395200000000017</v>
      </c>
    </row>
    <row r="1667" spans="65:67" x14ac:dyDescent="0.25">
      <c r="BM1667" s="281">
        <f>$AZ$32+0.2*(seat_pitch)*($AY$32*n_SA+$AW$8&lt;pax_e)</f>
        <v>26.102</v>
      </c>
      <c r="BN1667" s="281">
        <f>$AX$8</f>
        <v>0.24999999999999978</v>
      </c>
      <c r="BO1667" s="281">
        <f t="shared" si="159"/>
        <v>8.291520000000002</v>
      </c>
    </row>
    <row r="1668" spans="65:67" x14ac:dyDescent="0.25">
      <c r="BM1668" s="281">
        <f>$AZ$32+0.2*(seat_pitch)*($AY$32*n_SA+$AW$8&lt;pax_e)</f>
        <v>26.102</v>
      </c>
      <c r="BN1668" s="281">
        <f>$AX$8+seat_w*($AY$32*n_SA+$AW$8&lt;pax_e)</f>
        <v>0.7799999999999998</v>
      </c>
      <c r="BO1668" s="281">
        <f t="shared" si="159"/>
        <v>8.291520000000002</v>
      </c>
    </row>
    <row r="1669" spans="65:67" x14ac:dyDescent="0.25">
      <c r="BM1669" s="281">
        <f>$AZ$32</f>
        <v>25.94</v>
      </c>
      <c r="BN1669" s="281">
        <f>$AX$8+seat_w*($AY$32*n_SA+$AW$8&lt;pax_e)</f>
        <v>0.7799999999999998</v>
      </c>
      <c r="BO1669" s="281">
        <f t="shared" ref="BO1669:BO1732" si="160">BM1669-L_fus/2</f>
        <v>8.129520000000003</v>
      </c>
    </row>
    <row r="1670" spans="65:67" x14ac:dyDescent="0.25">
      <c r="BM1670" s="281">
        <f>$AZ$32+1*(seat_pitch)*($AY$32*n_SA+$AW$8&lt;pax_e)</f>
        <v>26.75</v>
      </c>
      <c r="BN1670" s="281">
        <f>$AX$8+seat_w*($AY$32*n_SA+$AW$8&lt;pax_e)</f>
        <v>0.7799999999999998</v>
      </c>
      <c r="BO1670" s="281">
        <f t="shared" si="160"/>
        <v>8.9395200000000017</v>
      </c>
    </row>
    <row r="1671" spans="65:67" x14ac:dyDescent="0.25">
      <c r="BM1671" s="281">
        <f>$AZ$32+0.8*(seat_pitch)*($AY$32*n_SA+$AW$8&lt;pax_e)</f>
        <v>26.588000000000001</v>
      </c>
      <c r="BN1671" s="281">
        <f>$AX$8+seat_w*($AY$32*n_SA+$AW$8&lt;pax_e)</f>
        <v>0.7799999999999998</v>
      </c>
      <c r="BO1671" s="281">
        <f t="shared" si="160"/>
        <v>8.7775200000000027</v>
      </c>
    </row>
    <row r="1672" spans="65:67" x14ac:dyDescent="0.25">
      <c r="BM1672" s="281">
        <f>$AZ$32+0.8*(seat_pitch)*($AY$32*n_SA+$AW$8&lt;pax_e)</f>
        <v>26.588000000000001</v>
      </c>
      <c r="BN1672" s="281">
        <f>$AX$8</f>
        <v>0.24999999999999978</v>
      </c>
      <c r="BO1672" s="281">
        <f t="shared" si="160"/>
        <v>8.7775200000000027</v>
      </c>
    </row>
    <row r="1673" spans="65:67" x14ac:dyDescent="0.25">
      <c r="BM1673" s="281">
        <f>$AZ$32+0.2*(seat_pitch)*($AY$32*n_SA+$AW$8&lt;pax_e)</f>
        <v>26.102</v>
      </c>
      <c r="BN1673" s="281">
        <f>$AX$8</f>
        <v>0.24999999999999978</v>
      </c>
      <c r="BO1673" s="281">
        <f t="shared" si="160"/>
        <v>8.291520000000002</v>
      </c>
    </row>
    <row r="1674" spans="65:67" x14ac:dyDescent="0.25">
      <c r="BM1674" s="281">
        <f>$AZ$32+(seat_pitch)</f>
        <v>26.75</v>
      </c>
      <c r="BN1674" s="281">
        <f>$AX$8</f>
        <v>0.24999999999999978</v>
      </c>
      <c r="BO1674" s="281">
        <f t="shared" si="160"/>
        <v>8.9395200000000017</v>
      </c>
    </row>
    <row r="1675" spans="65:67" x14ac:dyDescent="0.25">
      <c r="BM1675" s="281">
        <f>$AZ$33+0.2*(seat_pitch)*($AY$33*n_SA+$AW$8&lt;pax_e)</f>
        <v>26.102</v>
      </c>
      <c r="BN1675" s="281">
        <f>$AX$8</f>
        <v>0.24999999999999978</v>
      </c>
      <c r="BO1675" s="281">
        <f t="shared" si="160"/>
        <v>8.291520000000002</v>
      </c>
    </row>
    <row r="1676" spans="65:67" x14ac:dyDescent="0.25">
      <c r="BM1676" s="281">
        <f>$AZ$33+0.2*(seat_pitch)*($AY$33*n_SA+$AW$8&lt;pax_e)</f>
        <v>26.102</v>
      </c>
      <c r="BN1676" s="281">
        <f>$AX$8+seat_w*($AY$33*n_SA+$AW$8&lt;pax_e)</f>
        <v>0.7799999999999998</v>
      </c>
      <c r="BO1676" s="281">
        <f t="shared" si="160"/>
        <v>8.291520000000002</v>
      </c>
    </row>
    <row r="1677" spans="65:67" x14ac:dyDescent="0.25">
      <c r="BM1677" s="281">
        <f>$AZ$33</f>
        <v>25.94</v>
      </c>
      <c r="BN1677" s="281">
        <f>$AX$8+seat_w*($AY$33*n_SA+$AW$8&lt;pax_e)</f>
        <v>0.7799999999999998</v>
      </c>
      <c r="BO1677" s="281">
        <f t="shared" si="160"/>
        <v>8.129520000000003</v>
      </c>
    </row>
    <row r="1678" spans="65:67" x14ac:dyDescent="0.25">
      <c r="BM1678" s="281">
        <f>$AZ$33+1*(seat_pitch)*($AY$33*n_SA+$AW$8&lt;pax_e)</f>
        <v>26.75</v>
      </c>
      <c r="BN1678" s="281">
        <f>$AX$8+seat_w*($AY$33*n_SA+$AW$8&lt;pax_e)</f>
        <v>0.7799999999999998</v>
      </c>
      <c r="BO1678" s="281">
        <f t="shared" si="160"/>
        <v>8.9395200000000017</v>
      </c>
    </row>
    <row r="1679" spans="65:67" x14ac:dyDescent="0.25">
      <c r="BM1679" s="281">
        <f>$AZ$33+0.8*(seat_pitch)*($AY$33*n_SA+$AW$8&lt;pax_e)</f>
        <v>26.588000000000001</v>
      </c>
      <c r="BN1679" s="281">
        <f>$AX$8+seat_w*($AY$33*n_SA+$AW$8&lt;pax_e)</f>
        <v>0.7799999999999998</v>
      </c>
      <c r="BO1679" s="281">
        <f t="shared" si="160"/>
        <v>8.7775200000000027</v>
      </c>
    </row>
    <row r="1680" spans="65:67" x14ac:dyDescent="0.25">
      <c r="BM1680" s="281">
        <f>$AZ$33+0.8*(seat_pitch)*($AY$33*n_SA+$AW$8&lt;pax_e)</f>
        <v>26.588000000000001</v>
      </c>
      <c r="BN1680" s="281">
        <f>$AX$8</f>
        <v>0.24999999999999978</v>
      </c>
      <c r="BO1680" s="281">
        <f t="shared" si="160"/>
        <v>8.7775200000000027</v>
      </c>
    </row>
    <row r="1681" spans="65:67" x14ac:dyDescent="0.25">
      <c r="BM1681" s="281">
        <f>$AZ$33+0.2*(seat_pitch)*($AY$33*n_SA+$AW$8&lt;pax_e)</f>
        <v>26.102</v>
      </c>
      <c r="BN1681" s="281">
        <f>$AX$8</f>
        <v>0.24999999999999978</v>
      </c>
      <c r="BO1681" s="281">
        <f t="shared" si="160"/>
        <v>8.291520000000002</v>
      </c>
    </row>
    <row r="1682" spans="65:67" x14ac:dyDescent="0.25">
      <c r="BM1682" s="281">
        <f>$AZ$33+(seat_pitch)</f>
        <v>26.75</v>
      </c>
      <c r="BN1682" s="281">
        <f>$AX$8</f>
        <v>0.24999999999999978</v>
      </c>
      <c r="BO1682" s="281">
        <f t="shared" si="160"/>
        <v>8.9395200000000017</v>
      </c>
    </row>
    <row r="1683" spans="65:67" x14ac:dyDescent="0.25">
      <c r="BM1683" s="281">
        <f>$AZ$34+0.2*(seat_pitch)*($AY$34*n_SA+$AW$8&lt;pax_e)</f>
        <v>26.102</v>
      </c>
      <c r="BN1683" s="281">
        <f>$AX$8</f>
        <v>0.24999999999999978</v>
      </c>
      <c r="BO1683" s="281">
        <f t="shared" si="160"/>
        <v>8.291520000000002</v>
      </c>
    </row>
    <row r="1684" spans="65:67" x14ac:dyDescent="0.25">
      <c r="BM1684" s="281">
        <f>$AZ$34+0.2*(seat_pitch)*($AY$34*n_SA+$AW$8&lt;pax_e)</f>
        <v>26.102</v>
      </c>
      <c r="BN1684" s="281">
        <f>$AX$8+seat_w*($AY$34*n_SA+$AW$8&lt;pax_e)</f>
        <v>0.7799999999999998</v>
      </c>
      <c r="BO1684" s="281">
        <f t="shared" si="160"/>
        <v>8.291520000000002</v>
      </c>
    </row>
    <row r="1685" spans="65:67" x14ac:dyDescent="0.25">
      <c r="BM1685" s="281">
        <f>$AZ$34</f>
        <v>25.94</v>
      </c>
      <c r="BN1685" s="281">
        <f>$AX$8+seat_w*($AY$34*n_SA+$AW$8&lt;pax_e)</f>
        <v>0.7799999999999998</v>
      </c>
      <c r="BO1685" s="281">
        <f t="shared" si="160"/>
        <v>8.129520000000003</v>
      </c>
    </row>
    <row r="1686" spans="65:67" x14ac:dyDescent="0.25">
      <c r="BM1686" s="281">
        <f>$AZ$34+1*(seat_pitch)*($AY$34*n_SA+$AW$8&lt;pax_e)</f>
        <v>26.75</v>
      </c>
      <c r="BN1686" s="281">
        <f>$AX$8+seat_w*($AY$34*n_SA+$AW$8&lt;pax_e)</f>
        <v>0.7799999999999998</v>
      </c>
      <c r="BO1686" s="281">
        <f t="shared" si="160"/>
        <v>8.9395200000000017</v>
      </c>
    </row>
    <row r="1687" spans="65:67" x14ac:dyDescent="0.25">
      <c r="BM1687" s="281">
        <f>$AZ$34+0.8*(seat_pitch)*($AY$34*n_SA+$AW$8&lt;pax_e)</f>
        <v>26.588000000000001</v>
      </c>
      <c r="BN1687" s="281">
        <f>$AX$8+seat_w*($AY$34*n_SA+$AW$8&lt;pax_e)</f>
        <v>0.7799999999999998</v>
      </c>
      <c r="BO1687" s="281">
        <f t="shared" si="160"/>
        <v>8.7775200000000027</v>
      </c>
    </row>
    <row r="1688" spans="65:67" x14ac:dyDescent="0.25">
      <c r="BM1688" s="281">
        <f>$AZ$34+0.8*(seat_pitch)*($AY$34*n_SA+$AW$8&lt;pax_e)</f>
        <v>26.588000000000001</v>
      </c>
      <c r="BN1688" s="281">
        <f>$AX$8</f>
        <v>0.24999999999999978</v>
      </c>
      <c r="BO1688" s="281">
        <f t="shared" si="160"/>
        <v>8.7775200000000027</v>
      </c>
    </row>
    <row r="1689" spans="65:67" x14ac:dyDescent="0.25">
      <c r="BM1689" s="281">
        <f>$AZ$34+0.2*(seat_pitch)*($AY$34*n_SA+$AW$8&lt;pax_e)</f>
        <v>26.102</v>
      </c>
      <c r="BN1689" s="281">
        <f>$AX$8</f>
        <v>0.24999999999999978</v>
      </c>
      <c r="BO1689" s="281">
        <f t="shared" si="160"/>
        <v>8.291520000000002</v>
      </c>
    </row>
    <row r="1690" spans="65:67" x14ac:dyDescent="0.25">
      <c r="BM1690" s="281">
        <f>$AZ$34+(seat_pitch)</f>
        <v>26.75</v>
      </c>
      <c r="BN1690" s="281">
        <f>$AX$8</f>
        <v>0.24999999999999978</v>
      </c>
      <c r="BO1690" s="281">
        <f t="shared" si="160"/>
        <v>8.9395200000000017</v>
      </c>
    </row>
    <row r="1691" spans="65:67" x14ac:dyDescent="0.25">
      <c r="BM1691" s="281">
        <f>$AZ$35+0.2*(seat_pitch)*($AY$35*n_SA+$AW$8&lt;pax_e)</f>
        <v>26.102</v>
      </c>
      <c r="BN1691" s="281">
        <f>$AX$8</f>
        <v>0.24999999999999978</v>
      </c>
      <c r="BO1691" s="281">
        <f t="shared" si="160"/>
        <v>8.291520000000002</v>
      </c>
    </row>
    <row r="1692" spans="65:67" x14ac:dyDescent="0.25">
      <c r="BM1692" s="281">
        <f>$AZ$35+0.2*(seat_pitch)*($AY$35*n_SA+$AW$8&lt;pax_e)</f>
        <v>26.102</v>
      </c>
      <c r="BN1692" s="281">
        <f>$AX$8+seat_w*($AY$35*n_SA+$AW$8&lt;pax_e)</f>
        <v>0.7799999999999998</v>
      </c>
      <c r="BO1692" s="281">
        <f t="shared" si="160"/>
        <v>8.291520000000002</v>
      </c>
    </row>
    <row r="1693" spans="65:67" x14ac:dyDescent="0.25">
      <c r="BM1693" s="281">
        <f>$AZ$35</f>
        <v>25.94</v>
      </c>
      <c r="BN1693" s="281">
        <f>$AX$8+seat_w*($AY$35*n_SA+$AW$8&lt;pax_e)</f>
        <v>0.7799999999999998</v>
      </c>
      <c r="BO1693" s="281">
        <f t="shared" si="160"/>
        <v>8.129520000000003</v>
      </c>
    </row>
    <row r="1694" spans="65:67" x14ac:dyDescent="0.25">
      <c r="BM1694" s="281">
        <f>$AZ$35+1*(seat_pitch)*($AY$35*n_SA+$AW$8&lt;pax_e)</f>
        <v>26.75</v>
      </c>
      <c r="BN1694" s="281">
        <f>$AX$8+seat_w*($AY$35*n_SA+$AW$8&lt;pax_e)</f>
        <v>0.7799999999999998</v>
      </c>
      <c r="BO1694" s="281">
        <f t="shared" si="160"/>
        <v>8.9395200000000017</v>
      </c>
    </row>
    <row r="1695" spans="65:67" x14ac:dyDescent="0.25">
      <c r="BM1695" s="281">
        <f>$AZ$35+0.8*(seat_pitch)*($AY$35*n_SA+$AW$8&lt;pax_e)</f>
        <v>26.588000000000001</v>
      </c>
      <c r="BN1695" s="281">
        <f>$AX$8+seat_w*($AY$35*n_SA+$AW$8&lt;pax_e)</f>
        <v>0.7799999999999998</v>
      </c>
      <c r="BO1695" s="281">
        <f t="shared" si="160"/>
        <v>8.7775200000000027</v>
      </c>
    </row>
    <row r="1696" spans="65:67" x14ac:dyDescent="0.25">
      <c r="BM1696" s="281">
        <f>$AZ$35+0.8*(seat_pitch)*($AY$35*n_SA+$AW$8&lt;pax_e)</f>
        <v>26.588000000000001</v>
      </c>
      <c r="BN1696" s="281">
        <f>$AX$8</f>
        <v>0.24999999999999978</v>
      </c>
      <c r="BO1696" s="281">
        <f t="shared" si="160"/>
        <v>8.7775200000000027</v>
      </c>
    </row>
    <row r="1697" spans="65:67" x14ac:dyDescent="0.25">
      <c r="BM1697" s="281">
        <f>$AZ$35+0.2*(seat_pitch)*($AY$35*n_SA+$AW$8&lt;pax_e)</f>
        <v>26.102</v>
      </c>
      <c r="BN1697" s="281">
        <f>$AX$8</f>
        <v>0.24999999999999978</v>
      </c>
      <c r="BO1697" s="281">
        <f t="shared" si="160"/>
        <v>8.291520000000002</v>
      </c>
    </row>
    <row r="1698" spans="65:67" x14ac:dyDescent="0.25">
      <c r="BM1698" s="281">
        <f>$AZ$35+(seat_pitch)</f>
        <v>26.75</v>
      </c>
      <c r="BN1698" s="281">
        <f>$AX$8</f>
        <v>0.24999999999999978</v>
      </c>
      <c r="BO1698" s="281">
        <f t="shared" si="160"/>
        <v>8.9395200000000017</v>
      </c>
    </row>
    <row r="1699" spans="65:67" x14ac:dyDescent="0.25">
      <c r="BM1699" s="281">
        <f>$AZ$36+0.2*(seat_pitch)*($AY$36*n_SA+$AW$8&lt;pax_e)</f>
        <v>26.102</v>
      </c>
      <c r="BN1699" s="281">
        <f>$AX$8</f>
        <v>0.24999999999999978</v>
      </c>
      <c r="BO1699" s="281">
        <f t="shared" si="160"/>
        <v>8.291520000000002</v>
      </c>
    </row>
    <row r="1700" spans="65:67" x14ac:dyDescent="0.25">
      <c r="BM1700" s="281">
        <f>$AZ$36+0.2*(seat_pitch)*($AY$36*n_SA+$AW$8&lt;pax_e)</f>
        <v>26.102</v>
      </c>
      <c r="BN1700" s="281">
        <f>$AX$8+seat_w*($AY$36*n_SA+$AW$8&lt;pax_e)</f>
        <v>0.7799999999999998</v>
      </c>
      <c r="BO1700" s="281">
        <f t="shared" si="160"/>
        <v>8.291520000000002</v>
      </c>
    </row>
    <row r="1701" spans="65:67" x14ac:dyDescent="0.25">
      <c r="BM1701" s="281">
        <f>$AZ$36</f>
        <v>25.94</v>
      </c>
      <c r="BN1701" s="281">
        <f>$AX$8+seat_w*($AY$36*n_SA+$AW$8&lt;pax_e)</f>
        <v>0.7799999999999998</v>
      </c>
      <c r="BO1701" s="281">
        <f t="shared" si="160"/>
        <v>8.129520000000003</v>
      </c>
    </row>
    <row r="1702" spans="65:67" x14ac:dyDescent="0.25">
      <c r="BM1702" s="281">
        <f>$AZ$36+1*(seat_pitch)*($AY$36*n_SA+$AW$8&lt;pax_e)</f>
        <v>26.75</v>
      </c>
      <c r="BN1702" s="281">
        <f>$AX$8+seat_w*($AY$36*n_SA+$AW$8&lt;pax_e)</f>
        <v>0.7799999999999998</v>
      </c>
      <c r="BO1702" s="281">
        <f t="shared" si="160"/>
        <v>8.9395200000000017</v>
      </c>
    </row>
    <row r="1703" spans="65:67" x14ac:dyDescent="0.25">
      <c r="BM1703" s="281">
        <f>$AZ$36+0.8*(seat_pitch)*($AY$36*n_SA+$AW$8&lt;pax_e)</f>
        <v>26.588000000000001</v>
      </c>
      <c r="BN1703" s="281">
        <f>$AX$8+seat_w*($AY$36*n_SA+$AW$8&lt;pax_e)</f>
        <v>0.7799999999999998</v>
      </c>
      <c r="BO1703" s="281">
        <f t="shared" si="160"/>
        <v>8.7775200000000027</v>
      </c>
    </row>
    <row r="1704" spans="65:67" x14ac:dyDescent="0.25">
      <c r="BM1704" s="281">
        <f>$AZ$36+0.8*(seat_pitch)*($AY$36*n_SA+$AW$8&lt;pax_e)</f>
        <v>26.588000000000001</v>
      </c>
      <c r="BN1704" s="281">
        <f>$AX$8</f>
        <v>0.24999999999999978</v>
      </c>
      <c r="BO1704" s="281">
        <f t="shared" si="160"/>
        <v>8.7775200000000027</v>
      </c>
    </row>
    <row r="1705" spans="65:67" x14ac:dyDescent="0.25">
      <c r="BM1705" s="281">
        <f>$AZ$36+0.2*(seat_pitch)*($AY$36*n_SA+$AW$8&lt;pax_e)</f>
        <v>26.102</v>
      </c>
      <c r="BN1705" s="281">
        <f>$AX$8</f>
        <v>0.24999999999999978</v>
      </c>
      <c r="BO1705" s="281">
        <f t="shared" si="160"/>
        <v>8.291520000000002</v>
      </c>
    </row>
    <row r="1706" spans="65:67" x14ac:dyDescent="0.25">
      <c r="BM1706" s="281">
        <f>$AZ$36+(seat_pitch)</f>
        <v>26.75</v>
      </c>
      <c r="BN1706" s="281">
        <f>$AX$8</f>
        <v>0.24999999999999978</v>
      </c>
      <c r="BO1706" s="281">
        <f t="shared" si="160"/>
        <v>8.9395200000000017</v>
      </c>
    </row>
    <row r="1707" spans="65:67" x14ac:dyDescent="0.25">
      <c r="BM1707" s="281">
        <f>$AZ$37+0.2*(seat_pitch)*($AY$37*n_SA+$AW$8&lt;pax_e)</f>
        <v>26.102</v>
      </c>
      <c r="BN1707" s="281">
        <f>$AX$8</f>
        <v>0.24999999999999978</v>
      </c>
      <c r="BO1707" s="281">
        <f t="shared" si="160"/>
        <v>8.291520000000002</v>
      </c>
    </row>
    <row r="1708" spans="65:67" x14ac:dyDescent="0.25">
      <c r="BM1708" s="281">
        <f>$AZ$37+0.2*(seat_pitch)*($AY$37*n_SA+$AW$8&lt;pax_e)</f>
        <v>26.102</v>
      </c>
      <c r="BN1708" s="281">
        <f>$AX$8+seat_w*($AY$37*n_SA+$AW$8&lt;pax_e)</f>
        <v>0.7799999999999998</v>
      </c>
      <c r="BO1708" s="281">
        <f t="shared" si="160"/>
        <v>8.291520000000002</v>
      </c>
    </row>
    <row r="1709" spans="65:67" x14ac:dyDescent="0.25">
      <c r="BM1709" s="281">
        <f>$AZ$37</f>
        <v>25.94</v>
      </c>
      <c r="BN1709" s="281">
        <f>$AX$8+seat_w*($AY$37*n_SA+$AW$8&lt;pax_e)</f>
        <v>0.7799999999999998</v>
      </c>
      <c r="BO1709" s="281">
        <f t="shared" si="160"/>
        <v>8.129520000000003</v>
      </c>
    </row>
    <row r="1710" spans="65:67" x14ac:dyDescent="0.25">
      <c r="BM1710" s="281">
        <f>$AZ$37+1*(seat_pitch)*($AY$37*n_SA+$AW$8&lt;pax_e)</f>
        <v>26.75</v>
      </c>
      <c r="BN1710" s="281">
        <f>$AX$8+seat_w*($AY$37*n_SA+$AW$8&lt;pax_e)</f>
        <v>0.7799999999999998</v>
      </c>
      <c r="BO1710" s="281">
        <f t="shared" si="160"/>
        <v>8.9395200000000017</v>
      </c>
    </row>
    <row r="1711" spans="65:67" x14ac:dyDescent="0.25">
      <c r="BM1711" s="281">
        <f>$AZ$37+0.8*(seat_pitch)*($AY$37*n_SA+$AW$8&lt;pax_e)</f>
        <v>26.588000000000001</v>
      </c>
      <c r="BN1711" s="281">
        <f>$AX$8+seat_w*($AY$37*n_SA+$AW$8&lt;pax_e)</f>
        <v>0.7799999999999998</v>
      </c>
      <c r="BO1711" s="281">
        <f t="shared" si="160"/>
        <v>8.7775200000000027</v>
      </c>
    </row>
    <row r="1712" spans="65:67" x14ac:dyDescent="0.25">
      <c r="BM1712" s="281">
        <f>$AZ$37+0.8*(seat_pitch)*($AY$37*n_SA+$AW$8&lt;pax_e)</f>
        <v>26.588000000000001</v>
      </c>
      <c r="BN1712" s="281">
        <f>$AX$8</f>
        <v>0.24999999999999978</v>
      </c>
      <c r="BO1712" s="281">
        <f t="shared" si="160"/>
        <v>8.7775200000000027</v>
      </c>
    </row>
    <row r="1713" spans="65:67" x14ac:dyDescent="0.25">
      <c r="BM1713" s="281">
        <f>$AZ$37+0.2*(seat_pitch)*($AY$37*n_SA+$AW$8&lt;pax_e)</f>
        <v>26.102</v>
      </c>
      <c r="BN1713" s="281">
        <f>$AX$8</f>
        <v>0.24999999999999978</v>
      </c>
      <c r="BO1713" s="281">
        <f t="shared" si="160"/>
        <v>8.291520000000002</v>
      </c>
    </row>
    <row r="1714" spans="65:67" x14ac:dyDescent="0.25">
      <c r="BM1714" s="281">
        <f>$AZ$37+(seat_pitch)</f>
        <v>26.75</v>
      </c>
      <c r="BN1714" s="281">
        <f>$AX$8</f>
        <v>0.24999999999999978</v>
      </c>
      <c r="BO1714" s="281">
        <f t="shared" si="160"/>
        <v>8.9395200000000017</v>
      </c>
    </row>
    <row r="1715" spans="65:67" x14ac:dyDescent="0.25">
      <c r="BM1715" s="281">
        <f>$AZ$38+0.2*(seat_pitch)*($AY$38*n_SA+$AW$8&lt;pax_e)</f>
        <v>26.102</v>
      </c>
      <c r="BN1715" s="281">
        <f>$AX$8</f>
        <v>0.24999999999999978</v>
      </c>
      <c r="BO1715" s="281">
        <f t="shared" si="160"/>
        <v>8.291520000000002</v>
      </c>
    </row>
    <row r="1716" spans="65:67" x14ac:dyDescent="0.25">
      <c r="BM1716" s="281">
        <f>$AZ$38+0.2*(seat_pitch)*($AY$38*n_SA+$AW$8&lt;pax_e)</f>
        <v>26.102</v>
      </c>
      <c r="BN1716" s="281">
        <f>$AX$8+seat_w*($AY$38*n_SA+$AW$8&lt;pax_e)</f>
        <v>0.7799999999999998</v>
      </c>
      <c r="BO1716" s="281">
        <f t="shared" si="160"/>
        <v>8.291520000000002</v>
      </c>
    </row>
    <row r="1717" spans="65:67" x14ac:dyDescent="0.25">
      <c r="BM1717" s="281">
        <f>$AZ$38</f>
        <v>25.94</v>
      </c>
      <c r="BN1717" s="281">
        <f>$AX$8+seat_w*($AY$38*n_SA+$AW$8&lt;pax_e)</f>
        <v>0.7799999999999998</v>
      </c>
      <c r="BO1717" s="281">
        <f t="shared" si="160"/>
        <v>8.129520000000003</v>
      </c>
    </row>
    <row r="1718" spans="65:67" x14ac:dyDescent="0.25">
      <c r="BM1718" s="281">
        <f>$AZ$38+1*(seat_pitch)*($AY$38*n_SA+$AW$8&lt;pax_e)</f>
        <v>26.75</v>
      </c>
      <c r="BN1718" s="281">
        <f>$AX$8+seat_w*($AY$38*n_SA+$AW$8&lt;pax_e)</f>
        <v>0.7799999999999998</v>
      </c>
      <c r="BO1718" s="281">
        <f t="shared" si="160"/>
        <v>8.9395200000000017</v>
      </c>
    </row>
    <row r="1719" spans="65:67" x14ac:dyDescent="0.25">
      <c r="BM1719" s="281">
        <f>$AZ$38+0.8*(seat_pitch)*($AY$38*n_SA+$AW$8&lt;pax_e)</f>
        <v>26.588000000000001</v>
      </c>
      <c r="BN1719" s="281">
        <f>$AX$8+seat_w*($AY$38*n_SA+$AW$8&lt;pax_e)</f>
        <v>0.7799999999999998</v>
      </c>
      <c r="BO1719" s="281">
        <f t="shared" si="160"/>
        <v>8.7775200000000027</v>
      </c>
    </row>
    <row r="1720" spans="65:67" x14ac:dyDescent="0.25">
      <c r="BM1720" s="281">
        <f>$AZ$38+0.8*(seat_pitch)*($AY$38*n_SA+$AW$8&lt;pax_e)</f>
        <v>26.588000000000001</v>
      </c>
      <c r="BN1720" s="281">
        <f>$AX$8</f>
        <v>0.24999999999999978</v>
      </c>
      <c r="BO1720" s="281">
        <f t="shared" si="160"/>
        <v>8.7775200000000027</v>
      </c>
    </row>
    <row r="1721" spans="65:67" x14ac:dyDescent="0.25">
      <c r="BM1721" s="281">
        <f>$AZ$38+0.2*(seat_pitch)*($AY$38*n_SA+$AW$8&lt;pax_e)</f>
        <v>26.102</v>
      </c>
      <c r="BN1721" s="281">
        <f>$AX$8</f>
        <v>0.24999999999999978</v>
      </c>
      <c r="BO1721" s="281">
        <f t="shared" si="160"/>
        <v>8.291520000000002</v>
      </c>
    </row>
    <row r="1722" spans="65:67" x14ac:dyDescent="0.25">
      <c r="BM1722" s="281">
        <f>$AZ$38+(seat_pitch)</f>
        <v>26.75</v>
      </c>
      <c r="BN1722" s="281">
        <f>$AX$8</f>
        <v>0.24999999999999978</v>
      </c>
      <c r="BO1722" s="281">
        <f t="shared" si="160"/>
        <v>8.9395200000000017</v>
      </c>
    </row>
    <row r="1723" spans="65:67" x14ac:dyDescent="0.25">
      <c r="BM1723" s="281">
        <f>$AZ$39+0.2*(seat_pitch)*($AY$39*n_SA+$AW$8&lt;pax_e)</f>
        <v>26.102</v>
      </c>
      <c r="BN1723" s="281">
        <f>$AX$8</f>
        <v>0.24999999999999978</v>
      </c>
      <c r="BO1723" s="281">
        <f t="shared" si="160"/>
        <v>8.291520000000002</v>
      </c>
    </row>
    <row r="1724" spans="65:67" x14ac:dyDescent="0.25">
      <c r="BM1724" s="281">
        <f>$AZ$39+0.2*(seat_pitch)*($AY$39*n_SA+$AW$8&lt;pax_e)</f>
        <v>26.102</v>
      </c>
      <c r="BN1724" s="281">
        <f>$AX$8+seat_w*($AY$39*n_SA+$AW$8&lt;pax_e)</f>
        <v>0.7799999999999998</v>
      </c>
      <c r="BO1724" s="281">
        <f t="shared" si="160"/>
        <v>8.291520000000002</v>
      </c>
    </row>
    <row r="1725" spans="65:67" x14ac:dyDescent="0.25">
      <c r="BM1725" s="281">
        <f>$AZ$39</f>
        <v>25.94</v>
      </c>
      <c r="BN1725" s="281">
        <f>$AX$8+seat_w*($AY$39*n_SA+$AW$8&lt;pax_e)</f>
        <v>0.7799999999999998</v>
      </c>
      <c r="BO1725" s="281">
        <f t="shared" si="160"/>
        <v>8.129520000000003</v>
      </c>
    </row>
    <row r="1726" spans="65:67" x14ac:dyDescent="0.25">
      <c r="BM1726" s="281">
        <f>$AZ$39+1*(seat_pitch)*($AY$39*n_SA+$AW$8&lt;pax_e)</f>
        <v>26.75</v>
      </c>
      <c r="BN1726" s="281">
        <f>$AX$8+seat_w*($AY$39*n_SA+$AW$8&lt;pax_e)</f>
        <v>0.7799999999999998</v>
      </c>
      <c r="BO1726" s="281">
        <f t="shared" si="160"/>
        <v>8.9395200000000017</v>
      </c>
    </row>
    <row r="1727" spans="65:67" x14ac:dyDescent="0.25">
      <c r="BM1727" s="281">
        <f>$AZ$39+0.8*(seat_pitch)*($AY$39*n_SA+$AW$8&lt;pax_e)</f>
        <v>26.588000000000001</v>
      </c>
      <c r="BN1727" s="281">
        <f>$AX$8+seat_w*($AY$39*n_SA+$AW$8&lt;pax_e)</f>
        <v>0.7799999999999998</v>
      </c>
      <c r="BO1727" s="281">
        <f t="shared" si="160"/>
        <v>8.7775200000000027</v>
      </c>
    </row>
    <row r="1728" spans="65:67" x14ac:dyDescent="0.25">
      <c r="BM1728" s="281">
        <f>$AZ$39+0.8*(seat_pitch)*($AY$39*n_SA+$AW$8&lt;pax_e)</f>
        <v>26.588000000000001</v>
      </c>
      <c r="BN1728" s="281">
        <f>$AX$8</f>
        <v>0.24999999999999978</v>
      </c>
      <c r="BO1728" s="281">
        <f t="shared" si="160"/>
        <v>8.7775200000000027</v>
      </c>
    </row>
    <row r="1729" spans="65:67" x14ac:dyDescent="0.25">
      <c r="BM1729" s="281">
        <f>$AZ$39+0.2*(seat_pitch)*($AY$39*n_SA+$AW$8&lt;pax_e)</f>
        <v>26.102</v>
      </c>
      <c r="BN1729" s="281">
        <f>$AX$8</f>
        <v>0.24999999999999978</v>
      </c>
      <c r="BO1729" s="281">
        <f t="shared" si="160"/>
        <v>8.291520000000002</v>
      </c>
    </row>
    <row r="1730" spans="65:67" x14ac:dyDescent="0.25">
      <c r="BM1730" s="281">
        <f>$AZ$39+(seat_pitch)</f>
        <v>26.75</v>
      </c>
      <c r="BN1730" s="281">
        <f>$AX$8</f>
        <v>0.24999999999999978</v>
      </c>
      <c r="BO1730" s="281">
        <f t="shared" si="160"/>
        <v>8.9395200000000017</v>
      </c>
    </row>
    <row r="1731" spans="65:67" x14ac:dyDescent="0.25">
      <c r="BM1731" s="281">
        <f>$AZ$40+0.2*(seat_pitch)*($AY$40*n_SA+$AW$8&lt;pax_e)</f>
        <v>26.102</v>
      </c>
      <c r="BN1731" s="281">
        <f>$AX$8</f>
        <v>0.24999999999999978</v>
      </c>
      <c r="BO1731" s="281">
        <f t="shared" si="160"/>
        <v>8.291520000000002</v>
      </c>
    </row>
    <row r="1732" spans="65:67" x14ac:dyDescent="0.25">
      <c r="BM1732" s="281">
        <f>$AZ$40+0.2*(seat_pitch)*($AY$40*n_SA+$AW$8&lt;pax_e)</f>
        <v>26.102</v>
      </c>
      <c r="BN1732" s="281">
        <f>$AX$8+seat_w*($AY$40*n_SA+$AW$8&lt;pax_e)</f>
        <v>0.7799999999999998</v>
      </c>
      <c r="BO1732" s="281">
        <f t="shared" si="160"/>
        <v>8.291520000000002</v>
      </c>
    </row>
    <row r="1733" spans="65:67" x14ac:dyDescent="0.25">
      <c r="BM1733" s="281">
        <f>$AZ$40</f>
        <v>25.94</v>
      </c>
      <c r="BN1733" s="281">
        <f>$AX$8+seat_w*($AY$40*n_SA+$AW$8&lt;pax_e)</f>
        <v>0.7799999999999998</v>
      </c>
      <c r="BO1733" s="281">
        <f t="shared" ref="BO1733:BO1796" si="161">BM1733-L_fus/2</f>
        <v>8.129520000000003</v>
      </c>
    </row>
    <row r="1734" spans="65:67" x14ac:dyDescent="0.25">
      <c r="BM1734" s="281">
        <f>$AZ$40+1*(seat_pitch)*($AY$40*n_SA+$AW$8&lt;pax_e)</f>
        <v>26.75</v>
      </c>
      <c r="BN1734" s="281">
        <f>$AX$8+seat_w*($AY$40*n_SA+$AW$8&lt;pax_e)</f>
        <v>0.7799999999999998</v>
      </c>
      <c r="BO1734" s="281">
        <f t="shared" si="161"/>
        <v>8.9395200000000017</v>
      </c>
    </row>
    <row r="1735" spans="65:67" x14ac:dyDescent="0.25">
      <c r="BM1735" s="281">
        <f>$AZ$40+0.8*(seat_pitch)*($AY$40*n_SA+$AW$8&lt;pax_e)</f>
        <v>26.588000000000001</v>
      </c>
      <c r="BN1735" s="281">
        <f>$AX$8+seat_w*($AY$40*n_SA+$AW$8&lt;pax_e)</f>
        <v>0.7799999999999998</v>
      </c>
      <c r="BO1735" s="281">
        <f t="shared" si="161"/>
        <v>8.7775200000000027</v>
      </c>
    </row>
    <row r="1736" spans="65:67" x14ac:dyDescent="0.25">
      <c r="BM1736" s="281">
        <f>$AZ$40+0.8*(seat_pitch)*($AY$40*n_SA+$AW$8&lt;pax_e)</f>
        <v>26.588000000000001</v>
      </c>
      <c r="BN1736" s="281">
        <f>$AX$8</f>
        <v>0.24999999999999978</v>
      </c>
      <c r="BO1736" s="281">
        <f t="shared" si="161"/>
        <v>8.7775200000000027</v>
      </c>
    </row>
    <row r="1737" spans="65:67" x14ac:dyDescent="0.25">
      <c r="BM1737" s="281">
        <f>$AZ$40+0.2*(seat_pitch)*($AY$40*n_SA+$AW$8&lt;pax_e)</f>
        <v>26.102</v>
      </c>
      <c r="BN1737" s="281">
        <f>$AX$8</f>
        <v>0.24999999999999978</v>
      </c>
      <c r="BO1737" s="281">
        <f t="shared" si="161"/>
        <v>8.291520000000002</v>
      </c>
    </row>
    <row r="1738" spans="65:67" x14ac:dyDescent="0.25">
      <c r="BM1738" s="281">
        <f>$AZ$40+(seat_pitch)</f>
        <v>26.75</v>
      </c>
      <c r="BN1738" s="281">
        <f>$AX$8</f>
        <v>0.24999999999999978</v>
      </c>
      <c r="BO1738" s="281">
        <f t="shared" si="161"/>
        <v>8.9395200000000017</v>
      </c>
    </row>
    <row r="1739" spans="65:67" x14ac:dyDescent="0.25">
      <c r="BM1739" s="281">
        <f>$AZ$41+0.2*(seat_pitch)*($AY$41*n_SA+$AW$8&lt;pax_e)</f>
        <v>26.102</v>
      </c>
      <c r="BN1739" s="281">
        <f>$AX$8</f>
        <v>0.24999999999999978</v>
      </c>
      <c r="BO1739" s="281">
        <f t="shared" si="161"/>
        <v>8.291520000000002</v>
      </c>
    </row>
    <row r="1740" spans="65:67" x14ac:dyDescent="0.25">
      <c r="BM1740" s="281">
        <f>$AZ$41+0.2*(seat_pitch)*($AY$41*n_SA+$AW$8&lt;pax_e)</f>
        <v>26.102</v>
      </c>
      <c r="BN1740" s="281">
        <f>$AX$8+seat_w*($AY$41*n_SA+$AW$8&lt;pax_e)</f>
        <v>0.7799999999999998</v>
      </c>
      <c r="BO1740" s="281">
        <f t="shared" si="161"/>
        <v>8.291520000000002</v>
      </c>
    </row>
    <row r="1741" spans="65:67" x14ac:dyDescent="0.25">
      <c r="BM1741" s="281">
        <f>$AZ$41</f>
        <v>25.94</v>
      </c>
      <c r="BN1741" s="281">
        <f>$AX$8+seat_w*($AY$41*n_SA+$AW$8&lt;pax_e)</f>
        <v>0.7799999999999998</v>
      </c>
      <c r="BO1741" s="281">
        <f t="shared" si="161"/>
        <v>8.129520000000003</v>
      </c>
    </row>
    <row r="1742" spans="65:67" x14ac:dyDescent="0.25">
      <c r="BM1742" s="281">
        <f>$AZ$41+1*(seat_pitch)*($AY$41*n_SA+$AW$8&lt;pax_e)</f>
        <v>26.75</v>
      </c>
      <c r="BN1742" s="281">
        <f>$AX$8+seat_w*($AY$41*n_SA+$AW$8&lt;pax_e)</f>
        <v>0.7799999999999998</v>
      </c>
      <c r="BO1742" s="281">
        <f t="shared" si="161"/>
        <v>8.9395200000000017</v>
      </c>
    </row>
    <row r="1743" spans="65:67" x14ac:dyDescent="0.25">
      <c r="BM1743" s="281">
        <f>$AZ$41+0.8*(seat_pitch)*($AY$41*n_SA+$AW$8&lt;pax_e)</f>
        <v>26.588000000000001</v>
      </c>
      <c r="BN1743" s="281">
        <f>$AX$8+seat_w*($AY$41*n_SA+$AW$8&lt;pax_e)</f>
        <v>0.7799999999999998</v>
      </c>
      <c r="BO1743" s="281">
        <f t="shared" si="161"/>
        <v>8.7775200000000027</v>
      </c>
    </row>
    <row r="1744" spans="65:67" x14ac:dyDescent="0.25">
      <c r="BM1744" s="281">
        <f>$AZ$41+0.8*(seat_pitch)*($AY$41*n_SA+$AW$8&lt;pax_e)</f>
        <v>26.588000000000001</v>
      </c>
      <c r="BN1744" s="281">
        <f>$AX$8</f>
        <v>0.24999999999999978</v>
      </c>
      <c r="BO1744" s="281">
        <f t="shared" si="161"/>
        <v>8.7775200000000027</v>
      </c>
    </row>
    <row r="1745" spans="65:67" x14ac:dyDescent="0.25">
      <c r="BM1745" s="281">
        <f>$AZ$41+0.2*(seat_pitch)*($AY$41*n_SA+$AW$8&lt;pax_e)</f>
        <v>26.102</v>
      </c>
      <c r="BN1745" s="281">
        <f>$AX$8</f>
        <v>0.24999999999999978</v>
      </c>
      <c r="BO1745" s="281">
        <f t="shared" si="161"/>
        <v>8.291520000000002</v>
      </c>
    </row>
    <row r="1746" spans="65:67" x14ac:dyDescent="0.25">
      <c r="BM1746" s="281">
        <f>$AZ$41+(seat_pitch)</f>
        <v>26.75</v>
      </c>
      <c r="BN1746" s="281">
        <f>$AX$8</f>
        <v>0.24999999999999978</v>
      </c>
      <c r="BO1746" s="281">
        <f t="shared" si="161"/>
        <v>8.9395200000000017</v>
      </c>
    </row>
    <row r="1747" spans="65:67" x14ac:dyDescent="0.25">
      <c r="BM1747" s="281">
        <f>$AZ$42+0.2*(seat_pitch)*($AY$42*n_SA+$AW$8&lt;pax_e)</f>
        <v>26.102</v>
      </c>
      <c r="BN1747" s="281">
        <f>$AX$8</f>
        <v>0.24999999999999978</v>
      </c>
      <c r="BO1747" s="281">
        <f t="shared" si="161"/>
        <v>8.291520000000002</v>
      </c>
    </row>
    <row r="1748" spans="65:67" x14ac:dyDescent="0.25">
      <c r="BM1748" s="281">
        <f>$AZ$42+0.2*(seat_pitch)*($AY$42*n_SA+$AW$8&lt;pax_e)</f>
        <v>26.102</v>
      </c>
      <c r="BN1748" s="281">
        <f>$AX$8+seat_w*($AY$42*n_SA+$AW$8&lt;pax_e)</f>
        <v>0.7799999999999998</v>
      </c>
      <c r="BO1748" s="281">
        <f t="shared" si="161"/>
        <v>8.291520000000002</v>
      </c>
    </row>
    <row r="1749" spans="65:67" x14ac:dyDescent="0.25">
      <c r="BM1749" s="281">
        <f>$AZ$42</f>
        <v>25.94</v>
      </c>
      <c r="BN1749" s="281">
        <f>$AX$8+seat_w*($AY$42*n_SA+$AW$8&lt;pax_e)</f>
        <v>0.7799999999999998</v>
      </c>
      <c r="BO1749" s="281">
        <f t="shared" si="161"/>
        <v>8.129520000000003</v>
      </c>
    </row>
    <row r="1750" spans="65:67" x14ac:dyDescent="0.25">
      <c r="BM1750" s="281">
        <f>$AZ$42+1*(seat_pitch)*($AY$42*n_SA+$AW$8&lt;pax_e)</f>
        <v>26.75</v>
      </c>
      <c r="BN1750" s="281">
        <f>$AX$8+seat_w*($AY$42*n_SA+$AW$8&lt;pax_e)</f>
        <v>0.7799999999999998</v>
      </c>
      <c r="BO1750" s="281">
        <f t="shared" si="161"/>
        <v>8.9395200000000017</v>
      </c>
    </row>
    <row r="1751" spans="65:67" x14ac:dyDescent="0.25">
      <c r="BM1751" s="281">
        <f>$AZ$42+0.8*(seat_pitch)*($AY$42*n_SA+$AW$8&lt;pax_e)</f>
        <v>26.588000000000001</v>
      </c>
      <c r="BN1751" s="281">
        <f>$AX$8+seat_w*($AY$42*n_SA+$AW$8&lt;pax_e)</f>
        <v>0.7799999999999998</v>
      </c>
      <c r="BO1751" s="281">
        <f t="shared" si="161"/>
        <v>8.7775200000000027</v>
      </c>
    </row>
    <row r="1752" spans="65:67" x14ac:dyDescent="0.25">
      <c r="BM1752" s="281">
        <f>$AZ$42+0.8*(seat_pitch)*($AY$42*n_SA+$AW$8&lt;pax_e)</f>
        <v>26.588000000000001</v>
      </c>
      <c r="BN1752" s="281">
        <f>$AX$8</f>
        <v>0.24999999999999978</v>
      </c>
      <c r="BO1752" s="281">
        <f t="shared" si="161"/>
        <v>8.7775200000000027</v>
      </c>
    </row>
    <row r="1753" spans="65:67" x14ac:dyDescent="0.25">
      <c r="BM1753" s="281">
        <f>$AZ$42+0.2*(seat_pitch)*($AY$42*n_SA+$AW$8&lt;pax_e)</f>
        <v>26.102</v>
      </c>
      <c r="BN1753" s="281">
        <f>$AX$8</f>
        <v>0.24999999999999978</v>
      </c>
      <c r="BO1753" s="281">
        <f t="shared" si="161"/>
        <v>8.291520000000002</v>
      </c>
    </row>
    <row r="1754" spans="65:67" x14ac:dyDescent="0.25">
      <c r="BM1754" s="281">
        <f>$AZ$42+(seat_pitch)</f>
        <v>26.75</v>
      </c>
      <c r="BN1754" s="281">
        <f>$AX$8</f>
        <v>0.24999999999999978</v>
      </c>
      <c r="BO1754" s="281">
        <f t="shared" si="161"/>
        <v>8.9395200000000017</v>
      </c>
    </row>
    <row r="1755" spans="65:67" x14ac:dyDescent="0.25">
      <c r="BM1755" s="281">
        <f>$AZ$43+0.2*(seat_pitch)*($AY$43*n_SA+$AW$8&lt;pax_e)</f>
        <v>26.102</v>
      </c>
      <c r="BN1755" s="281">
        <f>$AX$8</f>
        <v>0.24999999999999978</v>
      </c>
      <c r="BO1755" s="281">
        <f t="shared" si="161"/>
        <v>8.291520000000002</v>
      </c>
    </row>
    <row r="1756" spans="65:67" x14ac:dyDescent="0.25">
      <c r="BM1756" s="281">
        <f>$AZ$43+0.2*(seat_pitch)*($AY$43*n_SA+$AW$8&lt;pax_e)</f>
        <v>26.102</v>
      </c>
      <c r="BN1756" s="281">
        <f>$AX$8+seat_w*($AY$43*n_SA+$AW$8&lt;pax_e)</f>
        <v>0.7799999999999998</v>
      </c>
      <c r="BO1756" s="281">
        <f t="shared" si="161"/>
        <v>8.291520000000002</v>
      </c>
    </row>
    <row r="1757" spans="65:67" x14ac:dyDescent="0.25">
      <c r="BM1757" s="281">
        <f>$AZ$43</f>
        <v>25.94</v>
      </c>
      <c r="BN1757" s="281">
        <f>$AX$8+seat_w*($AY$43*n_SA+$AW$8&lt;pax_e)</f>
        <v>0.7799999999999998</v>
      </c>
      <c r="BO1757" s="281">
        <f t="shared" si="161"/>
        <v>8.129520000000003</v>
      </c>
    </row>
    <row r="1758" spans="65:67" x14ac:dyDescent="0.25">
      <c r="BM1758" s="281">
        <f>$AZ$43+1*(seat_pitch)*($AY$43*n_SA+$AW$8&lt;pax_e)</f>
        <v>26.75</v>
      </c>
      <c r="BN1758" s="281">
        <f>$AX$8+seat_w*($AY$43*n_SA+$AW$8&lt;pax_e)</f>
        <v>0.7799999999999998</v>
      </c>
      <c r="BO1758" s="281">
        <f t="shared" si="161"/>
        <v>8.9395200000000017</v>
      </c>
    </row>
    <row r="1759" spans="65:67" x14ac:dyDescent="0.25">
      <c r="BM1759" s="281">
        <f>$AZ$43+0.8*(seat_pitch)*($AY$43*n_SA+$AW$8&lt;pax_e)</f>
        <v>26.588000000000001</v>
      </c>
      <c r="BN1759" s="281">
        <f>$AX$8+seat_w*($AY$43*n_SA+$AW$8&lt;pax_e)</f>
        <v>0.7799999999999998</v>
      </c>
      <c r="BO1759" s="281">
        <f t="shared" si="161"/>
        <v>8.7775200000000027</v>
      </c>
    </row>
    <row r="1760" spans="65:67" x14ac:dyDescent="0.25">
      <c r="BM1760" s="281">
        <f>$AZ$43+0.8*(seat_pitch)*($AY$43*n_SA+$AW$8&lt;pax_e)</f>
        <v>26.588000000000001</v>
      </c>
      <c r="BN1760" s="281">
        <f>$AX$8</f>
        <v>0.24999999999999978</v>
      </c>
      <c r="BO1760" s="281">
        <f t="shared" si="161"/>
        <v>8.7775200000000027</v>
      </c>
    </row>
    <row r="1761" spans="65:67" x14ac:dyDescent="0.25">
      <c r="BM1761" s="281">
        <f>$AZ$43+0.2*(seat_pitch)*($AY$43*n_SA+$AW$8&lt;pax_e)</f>
        <v>26.102</v>
      </c>
      <c r="BN1761" s="281">
        <f>$AX$8</f>
        <v>0.24999999999999978</v>
      </c>
      <c r="BO1761" s="281">
        <f t="shared" si="161"/>
        <v>8.291520000000002</v>
      </c>
    </row>
    <row r="1762" spans="65:67" x14ac:dyDescent="0.25">
      <c r="BM1762" s="281">
        <f>$AZ$43+(seat_pitch)</f>
        <v>26.75</v>
      </c>
      <c r="BN1762" s="281">
        <f>$AX$8</f>
        <v>0.24999999999999978</v>
      </c>
      <c r="BO1762" s="281">
        <f t="shared" si="161"/>
        <v>8.9395200000000017</v>
      </c>
    </row>
    <row r="1763" spans="65:67" x14ac:dyDescent="0.25">
      <c r="BM1763" s="281">
        <f>$AZ$44+0.2*(seat_pitch)*($AY$44*n_SA+$AW$8&lt;pax_e)</f>
        <v>26.102</v>
      </c>
      <c r="BN1763" s="281">
        <f>$AX$8</f>
        <v>0.24999999999999978</v>
      </c>
      <c r="BO1763" s="281">
        <f t="shared" si="161"/>
        <v>8.291520000000002</v>
      </c>
    </row>
    <row r="1764" spans="65:67" x14ac:dyDescent="0.25">
      <c r="BM1764" s="281">
        <f>$AZ$44+0.2*(seat_pitch)*($AY$44*n_SA+$AW$8&lt;pax_e)</f>
        <v>26.102</v>
      </c>
      <c r="BN1764" s="281">
        <f>$AX$8+seat_w*($AY$44*n_SA+$AW$8&lt;pax_e)</f>
        <v>0.7799999999999998</v>
      </c>
      <c r="BO1764" s="281">
        <f t="shared" si="161"/>
        <v>8.291520000000002</v>
      </c>
    </row>
    <row r="1765" spans="65:67" x14ac:dyDescent="0.25">
      <c r="BM1765" s="281">
        <f>$AZ$44</f>
        <v>25.94</v>
      </c>
      <c r="BN1765" s="281">
        <f>$AX$8+seat_w*($AY$44*n_SA+$AW$8&lt;pax_e)</f>
        <v>0.7799999999999998</v>
      </c>
      <c r="BO1765" s="281">
        <f t="shared" si="161"/>
        <v>8.129520000000003</v>
      </c>
    </row>
    <row r="1766" spans="65:67" x14ac:dyDescent="0.25">
      <c r="BM1766" s="281">
        <f>$AZ$44+1*(seat_pitch)*($AY$44*n_SA+$AW$8&lt;pax_e)</f>
        <v>26.75</v>
      </c>
      <c r="BN1766" s="281">
        <f>$AX$8+seat_w*($AY$44*n_SA+$AW$8&lt;pax_e)</f>
        <v>0.7799999999999998</v>
      </c>
      <c r="BO1766" s="281">
        <f t="shared" si="161"/>
        <v>8.9395200000000017</v>
      </c>
    </row>
    <row r="1767" spans="65:67" x14ac:dyDescent="0.25">
      <c r="BM1767" s="281">
        <f>$AZ$44+0.8*(seat_pitch)*($AY$44*n_SA+$AW$8&lt;pax_e)</f>
        <v>26.588000000000001</v>
      </c>
      <c r="BN1767" s="281">
        <f>$AX$8+seat_w*($AY$44*n_SA+$AW$8&lt;pax_e)</f>
        <v>0.7799999999999998</v>
      </c>
      <c r="BO1767" s="281">
        <f t="shared" si="161"/>
        <v>8.7775200000000027</v>
      </c>
    </row>
    <row r="1768" spans="65:67" x14ac:dyDescent="0.25">
      <c r="BM1768" s="281">
        <f>$AZ$44+0.8*(seat_pitch)*($AY$44*n_SA+$AW$8&lt;pax_e)</f>
        <v>26.588000000000001</v>
      </c>
      <c r="BN1768" s="281">
        <f>$AX$8</f>
        <v>0.24999999999999978</v>
      </c>
      <c r="BO1768" s="281">
        <f t="shared" si="161"/>
        <v>8.7775200000000027</v>
      </c>
    </row>
    <row r="1769" spans="65:67" x14ac:dyDescent="0.25">
      <c r="BM1769" s="281">
        <f>$AZ$44+0.2*(seat_pitch)*($AY$44*n_SA+$AW$8&lt;pax_e)</f>
        <v>26.102</v>
      </c>
      <c r="BN1769" s="281">
        <f>$AX$8</f>
        <v>0.24999999999999978</v>
      </c>
      <c r="BO1769" s="281">
        <f t="shared" si="161"/>
        <v>8.291520000000002</v>
      </c>
    </row>
    <row r="1770" spans="65:67" x14ac:dyDescent="0.25">
      <c r="BM1770" s="281">
        <f>$AZ$44+(seat_pitch)</f>
        <v>26.75</v>
      </c>
      <c r="BN1770" s="281">
        <f>$AX$8</f>
        <v>0.24999999999999978</v>
      </c>
      <c r="BO1770" s="281">
        <f t="shared" si="161"/>
        <v>8.9395200000000017</v>
      </c>
    </row>
    <row r="1771" spans="65:67" x14ac:dyDescent="0.25">
      <c r="BM1771" s="281">
        <f>$AZ$45+0.2*(seat_pitch)*($AY$45*n_SA+$AW$8&lt;pax_e)</f>
        <v>26.102</v>
      </c>
      <c r="BN1771" s="281">
        <f>$AX$8</f>
        <v>0.24999999999999978</v>
      </c>
      <c r="BO1771" s="281">
        <f t="shared" si="161"/>
        <v>8.291520000000002</v>
      </c>
    </row>
    <row r="1772" spans="65:67" x14ac:dyDescent="0.25">
      <c r="BM1772" s="281">
        <f>$AZ$45+0.2*(seat_pitch)*($AY$45*n_SA+$AW$8&lt;pax_e)</f>
        <v>26.102</v>
      </c>
      <c r="BN1772" s="281">
        <f>$AX$8+seat_w*($AY$45*n_SA+$AW$8&lt;pax_e)</f>
        <v>0.7799999999999998</v>
      </c>
      <c r="BO1772" s="281">
        <f t="shared" si="161"/>
        <v>8.291520000000002</v>
      </c>
    </row>
    <row r="1773" spans="65:67" x14ac:dyDescent="0.25">
      <c r="BM1773" s="281">
        <f>$AZ$45</f>
        <v>25.94</v>
      </c>
      <c r="BN1773" s="281">
        <f>$AX$8+seat_w*($AY$45*n_SA+$AW$8&lt;pax_e)</f>
        <v>0.7799999999999998</v>
      </c>
      <c r="BO1773" s="281">
        <f t="shared" si="161"/>
        <v>8.129520000000003</v>
      </c>
    </row>
    <row r="1774" spans="65:67" x14ac:dyDescent="0.25">
      <c r="BM1774" s="281">
        <f>$AZ$45+1*(seat_pitch)*($AY$45*n_SA+$AW$8&lt;pax_e)</f>
        <v>26.75</v>
      </c>
      <c r="BN1774" s="281">
        <f>$AX$8+seat_w*($AY$45*n_SA+$AW$8&lt;pax_e)</f>
        <v>0.7799999999999998</v>
      </c>
      <c r="BO1774" s="281">
        <f t="shared" si="161"/>
        <v>8.9395200000000017</v>
      </c>
    </row>
    <row r="1775" spans="65:67" x14ac:dyDescent="0.25">
      <c r="BM1775" s="281">
        <f>$AZ$45+0.8*(seat_pitch)*($AY$45*n_SA+$AW$8&lt;pax_e)</f>
        <v>26.588000000000001</v>
      </c>
      <c r="BN1775" s="281">
        <f>$AX$8+seat_w*($AY$45*n_SA+$AW$8&lt;pax_e)</f>
        <v>0.7799999999999998</v>
      </c>
      <c r="BO1775" s="281">
        <f t="shared" si="161"/>
        <v>8.7775200000000027</v>
      </c>
    </row>
    <row r="1776" spans="65:67" x14ac:dyDescent="0.25">
      <c r="BM1776" s="281">
        <f>$AZ$45+0.8*(seat_pitch)*($AY$45*n_SA+$AW$8&lt;pax_e)</f>
        <v>26.588000000000001</v>
      </c>
      <c r="BN1776" s="281">
        <f>$AX$8</f>
        <v>0.24999999999999978</v>
      </c>
      <c r="BO1776" s="281">
        <f t="shared" si="161"/>
        <v>8.7775200000000027</v>
      </c>
    </row>
    <row r="1777" spans="65:67" x14ac:dyDescent="0.25">
      <c r="BM1777" s="281">
        <f>$AZ$45+0.2*(seat_pitch)*($AY$45*n_SA+$AW$8&lt;pax_e)</f>
        <v>26.102</v>
      </c>
      <c r="BN1777" s="281">
        <f>$AX$8</f>
        <v>0.24999999999999978</v>
      </c>
      <c r="BO1777" s="281">
        <f t="shared" si="161"/>
        <v>8.291520000000002</v>
      </c>
    </row>
    <row r="1778" spans="65:67" x14ac:dyDescent="0.25">
      <c r="BM1778" s="281">
        <f>$AZ$45+(seat_pitch)</f>
        <v>26.75</v>
      </c>
      <c r="BN1778" s="281">
        <f>$AX$8</f>
        <v>0.24999999999999978</v>
      </c>
      <c r="BO1778" s="281">
        <f t="shared" si="161"/>
        <v>8.9395200000000017</v>
      </c>
    </row>
    <row r="1779" spans="65:67" x14ac:dyDescent="0.25">
      <c r="BM1779" s="281">
        <f>$AZ$46+0.2*(seat_pitch)*($AY$46*n_SA+$AW$8&lt;pax_e)</f>
        <v>26.102</v>
      </c>
      <c r="BN1779" s="281">
        <f>$AX$8</f>
        <v>0.24999999999999978</v>
      </c>
      <c r="BO1779" s="281">
        <f t="shared" si="161"/>
        <v>8.291520000000002</v>
      </c>
    </row>
    <row r="1780" spans="65:67" x14ac:dyDescent="0.25">
      <c r="BM1780" s="281">
        <f>$AZ$46+0.2*(seat_pitch)*($AY$46*n_SA+$AW$8&lt;pax_e)</f>
        <v>26.102</v>
      </c>
      <c r="BN1780" s="281">
        <f>$AX$8+seat_w*($AY$46*n_SA+$AW$8&lt;pax_e)</f>
        <v>0.7799999999999998</v>
      </c>
      <c r="BO1780" s="281">
        <f t="shared" si="161"/>
        <v>8.291520000000002</v>
      </c>
    </row>
    <row r="1781" spans="65:67" x14ac:dyDescent="0.25">
      <c r="BM1781" s="281">
        <f>$AZ$46</f>
        <v>25.94</v>
      </c>
      <c r="BN1781" s="281">
        <f>$AX$8+seat_w*($AY$46*n_SA+$AW$8&lt;pax_e)</f>
        <v>0.7799999999999998</v>
      </c>
      <c r="BO1781" s="281">
        <f t="shared" si="161"/>
        <v>8.129520000000003</v>
      </c>
    </row>
    <row r="1782" spans="65:67" x14ac:dyDescent="0.25">
      <c r="BM1782" s="281">
        <f>$AZ$46+1*(seat_pitch)*($AY$46*n_SA+$AW$8&lt;pax_e)</f>
        <v>26.75</v>
      </c>
      <c r="BN1782" s="281">
        <f>$AX$8+seat_w*($AY$46*n_SA+$AW$8&lt;pax_e)</f>
        <v>0.7799999999999998</v>
      </c>
      <c r="BO1782" s="281">
        <f t="shared" si="161"/>
        <v>8.9395200000000017</v>
      </c>
    </row>
    <row r="1783" spans="65:67" x14ac:dyDescent="0.25">
      <c r="BM1783" s="281">
        <f>$AZ$46+0.8*(seat_pitch)*($AY$46*n_SA+$AW$8&lt;pax_e)</f>
        <v>26.588000000000001</v>
      </c>
      <c r="BN1783" s="281">
        <f>$AX$8+seat_w*($AY$46*n_SA+$AW$8&lt;pax_e)</f>
        <v>0.7799999999999998</v>
      </c>
      <c r="BO1783" s="281">
        <f t="shared" si="161"/>
        <v>8.7775200000000027</v>
      </c>
    </row>
    <row r="1784" spans="65:67" x14ac:dyDescent="0.25">
      <c r="BM1784" s="281">
        <f>$AZ$46+0.8*(seat_pitch)*($AY$46*n_SA+$AW$8&lt;pax_e)</f>
        <v>26.588000000000001</v>
      </c>
      <c r="BN1784" s="281">
        <f>$AX$8</f>
        <v>0.24999999999999978</v>
      </c>
      <c r="BO1784" s="281">
        <f t="shared" si="161"/>
        <v>8.7775200000000027</v>
      </c>
    </row>
    <row r="1785" spans="65:67" x14ac:dyDescent="0.25">
      <c r="BM1785" s="281">
        <f>$AZ$46+0.2*(seat_pitch)*($AY$46*n_SA+$AW$8&lt;pax_e)</f>
        <v>26.102</v>
      </c>
      <c r="BN1785" s="281">
        <f>$AX$8</f>
        <v>0.24999999999999978</v>
      </c>
      <c r="BO1785" s="281">
        <f t="shared" si="161"/>
        <v>8.291520000000002</v>
      </c>
    </row>
    <row r="1786" spans="65:67" x14ac:dyDescent="0.25">
      <c r="BM1786" s="281">
        <f>$AZ$46+(seat_pitch)</f>
        <v>26.75</v>
      </c>
      <c r="BN1786" s="281">
        <f>$AX$8</f>
        <v>0.24999999999999978</v>
      </c>
      <c r="BO1786" s="281">
        <f t="shared" si="161"/>
        <v>8.9395200000000017</v>
      </c>
    </row>
    <row r="1787" spans="65:67" x14ac:dyDescent="0.25">
      <c r="BM1787" s="281">
        <f>$AZ$47+0.2*(seat_pitch)*($AY$47*n_SA+$AW$8&lt;pax_e)</f>
        <v>26.102</v>
      </c>
      <c r="BN1787" s="281">
        <f>$AX$8</f>
        <v>0.24999999999999978</v>
      </c>
      <c r="BO1787" s="281">
        <f t="shared" si="161"/>
        <v>8.291520000000002</v>
      </c>
    </row>
    <row r="1788" spans="65:67" x14ac:dyDescent="0.25">
      <c r="BM1788" s="281">
        <f>$AZ$47+0.2*(seat_pitch)*($AY$47*n_SA+$AW$8&lt;pax_e)</f>
        <v>26.102</v>
      </c>
      <c r="BN1788" s="281">
        <f>$AX$8+seat_w*($AY$47*n_SA+$AW$8&lt;pax_e)</f>
        <v>0.7799999999999998</v>
      </c>
      <c r="BO1788" s="281">
        <f t="shared" si="161"/>
        <v>8.291520000000002</v>
      </c>
    </row>
    <row r="1789" spans="65:67" x14ac:dyDescent="0.25">
      <c r="BM1789" s="281">
        <f>$AZ$47</f>
        <v>25.94</v>
      </c>
      <c r="BN1789" s="281">
        <f>$AX$8+seat_w*($AY$47*n_SA+$AW$8&lt;pax_e)</f>
        <v>0.7799999999999998</v>
      </c>
      <c r="BO1789" s="281">
        <f t="shared" si="161"/>
        <v>8.129520000000003</v>
      </c>
    </row>
    <row r="1790" spans="65:67" x14ac:dyDescent="0.25">
      <c r="BM1790" s="281">
        <f>$AZ$47+1*(seat_pitch)*($AY$47*n_SA+$AW$8&lt;pax_e)</f>
        <v>26.75</v>
      </c>
      <c r="BN1790" s="281">
        <f>$AX$8+seat_w*($AY$47*n_SA+$AW$8&lt;pax_e)</f>
        <v>0.7799999999999998</v>
      </c>
      <c r="BO1790" s="281">
        <f t="shared" si="161"/>
        <v>8.9395200000000017</v>
      </c>
    </row>
    <row r="1791" spans="65:67" x14ac:dyDescent="0.25">
      <c r="BM1791" s="281">
        <f>$AZ$47+0.8*(seat_pitch)*($AY$47*n_SA+$AW$8&lt;pax_e)</f>
        <v>26.588000000000001</v>
      </c>
      <c r="BN1791" s="281">
        <f>$AX$8+seat_w*($AY$47*n_SA+$AW$8&lt;pax_e)</f>
        <v>0.7799999999999998</v>
      </c>
      <c r="BO1791" s="281">
        <f t="shared" si="161"/>
        <v>8.7775200000000027</v>
      </c>
    </row>
    <row r="1792" spans="65:67" x14ac:dyDescent="0.25">
      <c r="BM1792" s="281">
        <f>$AZ$47+0.8*(seat_pitch)*($AY$47*n_SA+$AW$8&lt;pax_e)</f>
        <v>26.588000000000001</v>
      </c>
      <c r="BN1792" s="281">
        <f>$AX$8</f>
        <v>0.24999999999999978</v>
      </c>
      <c r="BO1792" s="281">
        <f t="shared" si="161"/>
        <v>8.7775200000000027</v>
      </c>
    </row>
    <row r="1793" spans="65:67" x14ac:dyDescent="0.25">
      <c r="BM1793" s="281">
        <f>$AZ$47+0.2*(seat_pitch)*($AY$47*n_SA+$AW$8&lt;pax_e)</f>
        <v>26.102</v>
      </c>
      <c r="BN1793" s="281">
        <f>$AX$8</f>
        <v>0.24999999999999978</v>
      </c>
      <c r="BO1793" s="281">
        <f t="shared" si="161"/>
        <v>8.291520000000002</v>
      </c>
    </row>
    <row r="1794" spans="65:67" x14ac:dyDescent="0.25">
      <c r="BM1794" s="281">
        <f>$AZ$47+(seat_pitch)</f>
        <v>26.75</v>
      </c>
      <c r="BN1794" s="281">
        <f>$AX$8</f>
        <v>0.24999999999999978</v>
      </c>
      <c r="BO1794" s="281">
        <f t="shared" si="161"/>
        <v>8.9395200000000017</v>
      </c>
    </row>
    <row r="1795" spans="65:67" x14ac:dyDescent="0.25">
      <c r="BM1795" s="281">
        <f>$AZ$48+0.2*(seat_pitch)*($AY$48*n_SA+$AW$8&lt;pax_e)</f>
        <v>26.102</v>
      </c>
      <c r="BN1795" s="281">
        <f>$AX$8</f>
        <v>0.24999999999999978</v>
      </c>
      <c r="BO1795" s="281">
        <f t="shared" si="161"/>
        <v>8.291520000000002</v>
      </c>
    </row>
    <row r="1796" spans="65:67" x14ac:dyDescent="0.25">
      <c r="BM1796" s="281">
        <f>$AZ$48+0.2*(seat_pitch)*($AY$48*n_SA+$AW$8&lt;pax_e)</f>
        <v>26.102</v>
      </c>
      <c r="BN1796" s="281">
        <f>$AX$8+seat_w*($AY$48*n_SA+$AW$8&lt;pax_e)</f>
        <v>0.7799999999999998</v>
      </c>
      <c r="BO1796" s="281">
        <f t="shared" si="161"/>
        <v>8.291520000000002</v>
      </c>
    </row>
    <row r="1797" spans="65:67" x14ac:dyDescent="0.25">
      <c r="BM1797" s="281">
        <f>$AZ$48</f>
        <v>25.94</v>
      </c>
      <c r="BN1797" s="281">
        <f>$AX$8+seat_w*($AY$48*n_SA+$AW$8&lt;pax_e)</f>
        <v>0.7799999999999998</v>
      </c>
      <c r="BO1797" s="281">
        <f t="shared" ref="BO1797:BO1860" si="162">BM1797-L_fus/2</f>
        <v>8.129520000000003</v>
      </c>
    </row>
    <row r="1798" spans="65:67" x14ac:dyDescent="0.25">
      <c r="BM1798" s="281">
        <f>$AZ$48+1*(seat_pitch)*($AY$48*n_SA+$AW$8&lt;pax_e)</f>
        <v>26.75</v>
      </c>
      <c r="BN1798" s="281">
        <f>$AX$8+seat_w*($AY$48*n_SA+$AW$8&lt;pax_e)</f>
        <v>0.7799999999999998</v>
      </c>
      <c r="BO1798" s="281">
        <f t="shared" si="162"/>
        <v>8.9395200000000017</v>
      </c>
    </row>
    <row r="1799" spans="65:67" x14ac:dyDescent="0.25">
      <c r="BM1799" s="281">
        <f>$AZ$48+0.8*(seat_pitch)*($AY$48*n_SA+$AW$8&lt;pax_e)</f>
        <v>26.588000000000001</v>
      </c>
      <c r="BN1799" s="281">
        <f>$AX$8+seat_w*($AY$48*n_SA+$AW$8&lt;pax_e)</f>
        <v>0.7799999999999998</v>
      </c>
      <c r="BO1799" s="281">
        <f t="shared" si="162"/>
        <v>8.7775200000000027</v>
      </c>
    </row>
    <row r="1800" spans="65:67" x14ac:dyDescent="0.25">
      <c r="BM1800" s="281">
        <f>$AZ$48+0.8*(seat_pitch)*($AY$48*n_SA+$AW$8&lt;pax_e)</f>
        <v>26.588000000000001</v>
      </c>
      <c r="BN1800" s="281">
        <f>$AX$8</f>
        <v>0.24999999999999978</v>
      </c>
      <c r="BO1800" s="281">
        <f t="shared" si="162"/>
        <v>8.7775200000000027</v>
      </c>
    </row>
    <row r="1801" spans="65:67" x14ac:dyDescent="0.25">
      <c r="BM1801" s="281">
        <f>$AZ$48+0.2*(seat_pitch)*($AY$48*n_SA+$AW$8&lt;pax_e)</f>
        <v>26.102</v>
      </c>
      <c r="BN1801" s="281">
        <f>$AX$8</f>
        <v>0.24999999999999978</v>
      </c>
      <c r="BO1801" s="281">
        <f t="shared" si="162"/>
        <v>8.291520000000002</v>
      </c>
    </row>
    <row r="1802" spans="65:67" x14ac:dyDescent="0.25">
      <c r="BM1802" s="281">
        <f>$AZ$48+(seat_pitch)</f>
        <v>26.75</v>
      </c>
      <c r="BN1802" s="281">
        <f>$AX$8</f>
        <v>0.24999999999999978</v>
      </c>
      <c r="BO1802" s="281">
        <f t="shared" si="162"/>
        <v>8.9395200000000017</v>
      </c>
    </row>
    <row r="1803" spans="65:67" x14ac:dyDescent="0.25">
      <c r="BM1803" s="281">
        <f>$AZ$49+0.2*(seat_pitch)*($AY$49*n_SA+$AW$8&lt;pax_e)</f>
        <v>26.102</v>
      </c>
      <c r="BN1803" s="281">
        <f>$AX$8</f>
        <v>0.24999999999999978</v>
      </c>
      <c r="BO1803" s="281">
        <f t="shared" si="162"/>
        <v>8.291520000000002</v>
      </c>
    </row>
    <row r="1804" spans="65:67" x14ac:dyDescent="0.25">
      <c r="BM1804" s="281">
        <f>$AZ$49+0.2*(seat_pitch)*($AY$49*n_SA+$AW$8&lt;pax_e)</f>
        <v>26.102</v>
      </c>
      <c r="BN1804" s="281">
        <f>$AX$8+seat_w*($AY$49*n_SA+$AW$8&lt;pax_e)</f>
        <v>0.7799999999999998</v>
      </c>
      <c r="BO1804" s="281">
        <f t="shared" si="162"/>
        <v>8.291520000000002</v>
      </c>
    </row>
    <row r="1805" spans="65:67" x14ac:dyDescent="0.25">
      <c r="BM1805" s="281">
        <f>$AZ$49</f>
        <v>25.94</v>
      </c>
      <c r="BN1805" s="281">
        <f>$AX$8+seat_w*($AY$49*n_SA+$AW$8&lt;pax_e)</f>
        <v>0.7799999999999998</v>
      </c>
      <c r="BO1805" s="281">
        <f t="shared" si="162"/>
        <v>8.129520000000003</v>
      </c>
    </row>
    <row r="1806" spans="65:67" x14ac:dyDescent="0.25">
      <c r="BM1806" s="281">
        <f>$AZ$49+1*(seat_pitch)*($AY$49*n_SA+$AW$8&lt;pax_e)</f>
        <v>26.75</v>
      </c>
      <c r="BN1806" s="281">
        <f>$AX$8+seat_w*($AY$49*n_SA+$AW$8&lt;pax_e)</f>
        <v>0.7799999999999998</v>
      </c>
      <c r="BO1806" s="281">
        <f t="shared" si="162"/>
        <v>8.9395200000000017</v>
      </c>
    </row>
    <row r="1807" spans="65:67" x14ac:dyDescent="0.25">
      <c r="BM1807" s="281">
        <f>$AZ$49+0.8*(seat_pitch)*($AY$49*n_SA+$AW$8&lt;pax_e)</f>
        <v>26.588000000000001</v>
      </c>
      <c r="BN1807" s="281">
        <f>$AX$8+seat_w*($AY$49*n_SA+$AW$8&lt;pax_e)</f>
        <v>0.7799999999999998</v>
      </c>
      <c r="BO1807" s="281">
        <f t="shared" si="162"/>
        <v>8.7775200000000027</v>
      </c>
    </row>
    <row r="1808" spans="65:67" x14ac:dyDescent="0.25">
      <c r="BM1808" s="281">
        <f>$AZ$49+0.8*(seat_pitch)*($AY$49*n_SA+$AW$8&lt;pax_e)</f>
        <v>26.588000000000001</v>
      </c>
      <c r="BN1808" s="281">
        <f>$AX$8</f>
        <v>0.24999999999999978</v>
      </c>
      <c r="BO1808" s="281">
        <f t="shared" si="162"/>
        <v>8.7775200000000027</v>
      </c>
    </row>
    <row r="1809" spans="65:67" x14ac:dyDescent="0.25">
      <c r="BM1809" s="281">
        <f>$AZ$49+0.2*(seat_pitch)*($AY$49*n_SA+$AW$8&lt;pax_e)</f>
        <v>26.102</v>
      </c>
      <c r="BN1809" s="281">
        <f>$AX$8</f>
        <v>0.24999999999999978</v>
      </c>
      <c r="BO1809" s="281">
        <f t="shared" si="162"/>
        <v>8.291520000000002</v>
      </c>
    </row>
    <row r="1810" spans="65:67" x14ac:dyDescent="0.25">
      <c r="BM1810" s="281">
        <f>$AZ$49+(seat_pitch)</f>
        <v>26.75</v>
      </c>
      <c r="BN1810" s="281">
        <f>$AX$8</f>
        <v>0.24999999999999978</v>
      </c>
      <c r="BO1810" s="281">
        <f t="shared" si="162"/>
        <v>8.9395200000000017</v>
      </c>
    </row>
    <row r="1811" spans="65:67" x14ac:dyDescent="0.25">
      <c r="BM1811" s="281">
        <f>$AZ$50+0.2*(seat_pitch)*($AY$50*n_SA+$AW$8&lt;pax_e)</f>
        <v>26.102</v>
      </c>
      <c r="BN1811" s="281">
        <f>$AX$8</f>
        <v>0.24999999999999978</v>
      </c>
      <c r="BO1811" s="281">
        <f t="shared" si="162"/>
        <v>8.291520000000002</v>
      </c>
    </row>
    <row r="1812" spans="65:67" x14ac:dyDescent="0.25">
      <c r="BM1812" s="281">
        <f>$AZ$50+0.2*(seat_pitch)*($AY$50*n_SA+$AW$8&lt;pax_e)</f>
        <v>26.102</v>
      </c>
      <c r="BN1812" s="281">
        <f>$AX$8+seat_w*($AY$50*n_SA+$AW$8&lt;pax_e)</f>
        <v>0.7799999999999998</v>
      </c>
      <c r="BO1812" s="281">
        <f t="shared" si="162"/>
        <v>8.291520000000002</v>
      </c>
    </row>
    <row r="1813" spans="65:67" x14ac:dyDescent="0.25">
      <c r="BM1813" s="281">
        <f>$AZ$50</f>
        <v>25.94</v>
      </c>
      <c r="BN1813" s="281">
        <f>$AX$8+seat_w*($AY$50*n_SA+$AW$8&lt;pax_e)</f>
        <v>0.7799999999999998</v>
      </c>
      <c r="BO1813" s="281">
        <f t="shared" si="162"/>
        <v>8.129520000000003</v>
      </c>
    </row>
    <row r="1814" spans="65:67" x14ac:dyDescent="0.25">
      <c r="BM1814" s="281">
        <f>$AZ$50+1*(seat_pitch)*($AY$50*n_SA+$AW$8&lt;pax_e)</f>
        <v>26.75</v>
      </c>
      <c r="BN1814" s="281">
        <f>$AX$8+seat_w*($AY$50*n_SA+$AW$8&lt;pax_e)</f>
        <v>0.7799999999999998</v>
      </c>
      <c r="BO1814" s="281">
        <f t="shared" si="162"/>
        <v>8.9395200000000017</v>
      </c>
    </row>
    <row r="1815" spans="65:67" x14ac:dyDescent="0.25">
      <c r="BM1815" s="281">
        <f>$AZ$50+0.8*(seat_pitch)*($AY$50*n_SA+$AW$8&lt;pax_e)</f>
        <v>26.588000000000001</v>
      </c>
      <c r="BN1815" s="281">
        <f>$AX$8+seat_w*($AY$50*n_SA+$AW$8&lt;pax_e)</f>
        <v>0.7799999999999998</v>
      </c>
      <c r="BO1815" s="281">
        <f t="shared" si="162"/>
        <v>8.7775200000000027</v>
      </c>
    </row>
    <row r="1816" spans="65:67" x14ac:dyDescent="0.25">
      <c r="BM1816" s="281">
        <f>$AZ$50+0.8*(seat_pitch)*($AY$50*n_SA+$AW$8&lt;pax_e)</f>
        <v>26.588000000000001</v>
      </c>
      <c r="BN1816" s="281">
        <f>$AX$8</f>
        <v>0.24999999999999978</v>
      </c>
      <c r="BO1816" s="281">
        <f t="shared" si="162"/>
        <v>8.7775200000000027</v>
      </c>
    </row>
    <row r="1817" spans="65:67" x14ac:dyDescent="0.25">
      <c r="BM1817" s="281">
        <f>$AZ$50+0.2*(seat_pitch)*($AY$50*n_SA+$AW$8&lt;pax_e)</f>
        <v>26.102</v>
      </c>
      <c r="BN1817" s="281">
        <f>$AX$8</f>
        <v>0.24999999999999978</v>
      </c>
      <c r="BO1817" s="281">
        <f t="shared" si="162"/>
        <v>8.291520000000002</v>
      </c>
    </row>
    <row r="1818" spans="65:67" x14ac:dyDescent="0.25">
      <c r="BM1818" s="281">
        <f>$AZ$50+(seat_pitch)</f>
        <v>26.75</v>
      </c>
      <c r="BN1818" s="281">
        <f>$AX$8</f>
        <v>0.24999999999999978</v>
      </c>
      <c r="BO1818" s="281">
        <f t="shared" si="162"/>
        <v>8.9395200000000017</v>
      </c>
    </row>
    <row r="1819" spans="65:67" x14ac:dyDescent="0.25">
      <c r="BM1819" s="281">
        <f>$AZ$51+0.2*(seat_pitch)*($AY$51*n_SA+$AW$8&lt;pax_e)</f>
        <v>26.102</v>
      </c>
      <c r="BN1819" s="281">
        <f>$AX$8</f>
        <v>0.24999999999999978</v>
      </c>
      <c r="BO1819" s="281">
        <f t="shared" si="162"/>
        <v>8.291520000000002</v>
      </c>
    </row>
    <row r="1820" spans="65:67" x14ac:dyDescent="0.25">
      <c r="BM1820" s="281">
        <f>$AZ$51+0.2*(seat_pitch)*($AY$51*n_SA+$AW$8&lt;pax_e)</f>
        <v>26.102</v>
      </c>
      <c r="BN1820" s="281">
        <f>$AX$8+seat_w*($AY$51*n_SA+$AW$8&lt;pax_e)</f>
        <v>0.7799999999999998</v>
      </c>
      <c r="BO1820" s="281">
        <f t="shared" si="162"/>
        <v>8.291520000000002</v>
      </c>
    </row>
    <row r="1821" spans="65:67" x14ac:dyDescent="0.25">
      <c r="BM1821" s="281">
        <f>$AZ$51</f>
        <v>25.94</v>
      </c>
      <c r="BN1821" s="281">
        <f>$AX$8+seat_w*($AY$51*n_SA+$AW$8&lt;pax_e)</f>
        <v>0.7799999999999998</v>
      </c>
      <c r="BO1821" s="281">
        <f t="shared" si="162"/>
        <v>8.129520000000003</v>
      </c>
    </row>
    <row r="1822" spans="65:67" x14ac:dyDescent="0.25">
      <c r="BM1822" s="281">
        <f>$AZ$51+1*(seat_pitch)*($AY$51*n_SA+$AW$8&lt;pax_e)</f>
        <v>26.75</v>
      </c>
      <c r="BN1822" s="281">
        <f>$AX$8+seat_w*($AY$51*n_SA+$AW$8&lt;pax_e)</f>
        <v>0.7799999999999998</v>
      </c>
      <c r="BO1822" s="281">
        <f t="shared" si="162"/>
        <v>8.9395200000000017</v>
      </c>
    </row>
    <row r="1823" spans="65:67" x14ac:dyDescent="0.25">
      <c r="BM1823" s="281">
        <f>$AZ$51+0.8*(seat_pitch)*($AY$51*n_SA+$AW$8&lt;pax_e)</f>
        <v>26.588000000000001</v>
      </c>
      <c r="BN1823" s="281">
        <f>$AX$8+seat_w*($AY$51*n_SA+$AW$8&lt;pax_e)</f>
        <v>0.7799999999999998</v>
      </c>
      <c r="BO1823" s="281">
        <f t="shared" si="162"/>
        <v>8.7775200000000027</v>
      </c>
    </row>
    <row r="1824" spans="65:67" x14ac:dyDescent="0.25">
      <c r="BM1824" s="281">
        <f>$AZ$51+0.8*(seat_pitch)*($AY$51*n_SA+$AW$8&lt;pax_e)</f>
        <v>26.588000000000001</v>
      </c>
      <c r="BN1824" s="281">
        <f>$AX$8</f>
        <v>0.24999999999999978</v>
      </c>
      <c r="BO1824" s="281">
        <f t="shared" si="162"/>
        <v>8.7775200000000027</v>
      </c>
    </row>
    <row r="1825" spans="65:67" x14ac:dyDescent="0.25">
      <c r="BM1825" s="281">
        <f>$AZ$51+0.2*(seat_pitch)*($AY$51*n_SA+$AW$8&lt;pax_e)</f>
        <v>26.102</v>
      </c>
      <c r="BN1825" s="281">
        <f>$AX$8</f>
        <v>0.24999999999999978</v>
      </c>
      <c r="BO1825" s="281">
        <f t="shared" si="162"/>
        <v>8.291520000000002</v>
      </c>
    </row>
    <row r="1826" spans="65:67" x14ac:dyDescent="0.25">
      <c r="BM1826" s="281">
        <f>$AZ$51+(seat_pitch)</f>
        <v>26.75</v>
      </c>
      <c r="BN1826" s="281">
        <f>$AX$8</f>
        <v>0.24999999999999978</v>
      </c>
      <c r="BO1826" s="281">
        <f t="shared" si="162"/>
        <v>8.9395200000000017</v>
      </c>
    </row>
    <row r="1827" spans="65:67" x14ac:dyDescent="0.25">
      <c r="BM1827" s="281">
        <f>$AZ$52+0.2*(seat_pitch)*($AY$52*n_SA+$AW$8&lt;pax_e)</f>
        <v>26.102</v>
      </c>
      <c r="BN1827" s="281">
        <f>$AX$8</f>
        <v>0.24999999999999978</v>
      </c>
      <c r="BO1827" s="281">
        <f t="shared" si="162"/>
        <v>8.291520000000002</v>
      </c>
    </row>
    <row r="1828" spans="65:67" x14ac:dyDescent="0.25">
      <c r="BM1828" s="281">
        <f>$AZ$52+0.2*(seat_pitch)*($AY$52*n_SA+$AW$8&lt;pax_e)</f>
        <v>26.102</v>
      </c>
      <c r="BN1828" s="281">
        <f>$AX$8+seat_w*($AY$52*n_SA+$AW$8&lt;pax_e)</f>
        <v>0.7799999999999998</v>
      </c>
      <c r="BO1828" s="281">
        <f t="shared" si="162"/>
        <v>8.291520000000002</v>
      </c>
    </row>
    <row r="1829" spans="65:67" x14ac:dyDescent="0.25">
      <c r="BM1829" s="281">
        <f>$AZ$52</f>
        <v>25.94</v>
      </c>
      <c r="BN1829" s="281">
        <f>$AX$8+seat_w*($AY$52*n_SA+$AW$8&lt;pax_e)</f>
        <v>0.7799999999999998</v>
      </c>
      <c r="BO1829" s="281">
        <f t="shared" si="162"/>
        <v>8.129520000000003</v>
      </c>
    </row>
    <row r="1830" spans="65:67" x14ac:dyDescent="0.25">
      <c r="BM1830" s="281">
        <f>$AZ$52+1*(seat_pitch)*($AY$52*n_SA+$AW$8&lt;pax_e)</f>
        <v>26.75</v>
      </c>
      <c r="BN1830" s="281">
        <f>$AX$8+seat_w*($AY$52*n_SA+$AW$8&lt;pax_e)</f>
        <v>0.7799999999999998</v>
      </c>
      <c r="BO1830" s="281">
        <f t="shared" si="162"/>
        <v>8.9395200000000017</v>
      </c>
    </row>
    <row r="1831" spans="65:67" x14ac:dyDescent="0.25">
      <c r="BM1831" s="281">
        <f>$AZ$52+0.8*(seat_pitch)*($AY$52*n_SA+$AW$8&lt;pax_e)</f>
        <v>26.588000000000001</v>
      </c>
      <c r="BN1831" s="281">
        <f>$AX$8+seat_w*($AY$52*n_SA+$AW$8&lt;pax_e)</f>
        <v>0.7799999999999998</v>
      </c>
      <c r="BO1831" s="281">
        <f t="shared" si="162"/>
        <v>8.7775200000000027</v>
      </c>
    </row>
    <row r="1832" spans="65:67" x14ac:dyDescent="0.25">
      <c r="BM1832" s="281">
        <f>$AZ$52+0.8*(seat_pitch)*($AY$52*n_SA+$AW$8&lt;pax_e)</f>
        <v>26.588000000000001</v>
      </c>
      <c r="BN1832" s="281">
        <f>$AX$8</f>
        <v>0.24999999999999978</v>
      </c>
      <c r="BO1832" s="281">
        <f t="shared" si="162"/>
        <v>8.7775200000000027</v>
      </c>
    </row>
    <row r="1833" spans="65:67" x14ac:dyDescent="0.25">
      <c r="BM1833" s="281">
        <f>$AZ$52+0.2*(seat_pitch)*($AY$52*n_SA+$AW$8&lt;pax_e)</f>
        <v>26.102</v>
      </c>
      <c r="BN1833" s="281">
        <f>$AX$8</f>
        <v>0.24999999999999978</v>
      </c>
      <c r="BO1833" s="281">
        <f t="shared" si="162"/>
        <v>8.291520000000002</v>
      </c>
    </row>
    <row r="1834" spans="65:67" x14ac:dyDescent="0.25">
      <c r="BM1834" s="281">
        <f>$AZ$52+(seat_pitch)</f>
        <v>26.75</v>
      </c>
      <c r="BN1834" s="281">
        <f>$AX$8</f>
        <v>0.24999999999999978</v>
      </c>
      <c r="BO1834" s="281">
        <f t="shared" si="162"/>
        <v>8.9395200000000017</v>
      </c>
    </row>
    <row r="1835" spans="65:67" x14ac:dyDescent="0.25">
      <c r="BM1835" s="281">
        <f>$AZ$53+0.2*(seat_pitch)*($AY$53*n_SA+$AW$8&lt;pax_e)</f>
        <v>26.102</v>
      </c>
      <c r="BN1835" s="281">
        <f>$AX$8</f>
        <v>0.24999999999999978</v>
      </c>
      <c r="BO1835" s="281">
        <f t="shared" si="162"/>
        <v>8.291520000000002</v>
      </c>
    </row>
    <row r="1836" spans="65:67" x14ac:dyDescent="0.25">
      <c r="BM1836" s="281">
        <f>$AZ$53+0.2*(seat_pitch)*($AY$53*n_SA+$AW$8&lt;pax_e)</f>
        <v>26.102</v>
      </c>
      <c r="BN1836" s="281">
        <f>$AX$8+seat_w*($AY$53*n_SA+$AW$8&lt;pax_e)</f>
        <v>0.7799999999999998</v>
      </c>
      <c r="BO1836" s="281">
        <f t="shared" si="162"/>
        <v>8.291520000000002</v>
      </c>
    </row>
    <row r="1837" spans="65:67" x14ac:dyDescent="0.25">
      <c r="BM1837" s="281">
        <f>$AZ$53</f>
        <v>25.94</v>
      </c>
      <c r="BN1837" s="281">
        <f>$AX$8+seat_w*($AY$53*n_SA+$AW$8&lt;pax_e)</f>
        <v>0.7799999999999998</v>
      </c>
      <c r="BO1837" s="281">
        <f t="shared" si="162"/>
        <v>8.129520000000003</v>
      </c>
    </row>
    <row r="1838" spans="65:67" x14ac:dyDescent="0.25">
      <c r="BM1838" s="281">
        <f>$AZ$53+1*(seat_pitch)*($AY$53*n_SA+$AW$8&lt;pax_e)</f>
        <v>26.75</v>
      </c>
      <c r="BN1838" s="281">
        <f>$AX$8+seat_w*($AY$53*n_SA+$AW$8&lt;pax_e)</f>
        <v>0.7799999999999998</v>
      </c>
      <c r="BO1838" s="281">
        <f t="shared" si="162"/>
        <v>8.9395200000000017</v>
      </c>
    </row>
    <row r="1839" spans="65:67" x14ac:dyDescent="0.25">
      <c r="BM1839" s="281">
        <f>$AZ$53+0.8*(seat_pitch)*($AY$53*n_SA+$AW$8&lt;pax_e)</f>
        <v>26.588000000000001</v>
      </c>
      <c r="BN1839" s="281">
        <f>$AX$8+seat_w*($AY$53*n_SA+$AW$8&lt;pax_e)</f>
        <v>0.7799999999999998</v>
      </c>
      <c r="BO1839" s="281">
        <f t="shared" si="162"/>
        <v>8.7775200000000027</v>
      </c>
    </row>
    <row r="1840" spans="65:67" x14ac:dyDescent="0.25">
      <c r="BM1840" s="281">
        <f>$AZ$53+0.8*(seat_pitch)*($AY$53*n_SA+$AW$8&lt;pax_e)</f>
        <v>26.588000000000001</v>
      </c>
      <c r="BN1840" s="281">
        <f>$AX$8</f>
        <v>0.24999999999999978</v>
      </c>
      <c r="BO1840" s="281">
        <f t="shared" si="162"/>
        <v>8.7775200000000027</v>
      </c>
    </row>
    <row r="1841" spans="65:67" x14ac:dyDescent="0.25">
      <c r="BM1841" s="281">
        <f>$AZ$53+0.2*(seat_pitch)*($AY$53*n_SA+$AW$8&lt;pax_e)</f>
        <v>26.102</v>
      </c>
      <c r="BN1841" s="281">
        <f>$AX$8</f>
        <v>0.24999999999999978</v>
      </c>
      <c r="BO1841" s="281">
        <f t="shared" si="162"/>
        <v>8.291520000000002</v>
      </c>
    </row>
    <row r="1842" spans="65:67" x14ac:dyDescent="0.25">
      <c r="BM1842" s="281">
        <f>$AZ$53+(seat_pitch)</f>
        <v>26.75</v>
      </c>
      <c r="BN1842" s="281">
        <f>$AX$8</f>
        <v>0.24999999999999978</v>
      </c>
      <c r="BO1842" s="281">
        <f t="shared" si="162"/>
        <v>8.9395200000000017</v>
      </c>
    </row>
    <row r="1843" spans="65:67" x14ac:dyDescent="0.25">
      <c r="BM1843" s="281">
        <f>$AZ$54+0.2*(seat_pitch)*($AY$54*n_SA+$AW$8&lt;pax_e)</f>
        <v>26.102</v>
      </c>
      <c r="BN1843" s="281">
        <f>$AX$8</f>
        <v>0.24999999999999978</v>
      </c>
      <c r="BO1843" s="281">
        <f t="shared" si="162"/>
        <v>8.291520000000002</v>
      </c>
    </row>
    <row r="1844" spans="65:67" x14ac:dyDescent="0.25">
      <c r="BM1844" s="281">
        <f>$AZ$54+0.2*(seat_pitch)*($AY$54*n_SA+$AW$8&lt;pax_e)</f>
        <v>26.102</v>
      </c>
      <c r="BN1844" s="281">
        <f>$AX$8+seat_w*($AY$54*n_SA+$AW$8&lt;pax_e)</f>
        <v>0.7799999999999998</v>
      </c>
      <c r="BO1844" s="281">
        <f t="shared" si="162"/>
        <v>8.291520000000002</v>
      </c>
    </row>
    <row r="1845" spans="65:67" x14ac:dyDescent="0.25">
      <c r="BM1845" s="281">
        <f>$AZ$54</f>
        <v>25.94</v>
      </c>
      <c r="BN1845" s="281">
        <f>$AX$8+seat_w*($AY$54*n_SA+$AW$8&lt;pax_e)</f>
        <v>0.7799999999999998</v>
      </c>
      <c r="BO1845" s="281">
        <f t="shared" si="162"/>
        <v>8.129520000000003</v>
      </c>
    </row>
    <row r="1846" spans="65:67" x14ac:dyDescent="0.25">
      <c r="BM1846" s="281">
        <f>$AZ$54+1*(seat_pitch)*($AY$54*n_SA+$AW$8&lt;pax_e)</f>
        <v>26.75</v>
      </c>
      <c r="BN1846" s="281">
        <f>$AX$8+seat_w*($AY$54*n_SA+$AW$8&lt;pax_e)</f>
        <v>0.7799999999999998</v>
      </c>
      <c r="BO1846" s="281">
        <f t="shared" si="162"/>
        <v>8.9395200000000017</v>
      </c>
    </row>
    <row r="1847" spans="65:67" x14ac:dyDescent="0.25">
      <c r="BM1847" s="281">
        <f>$AZ$54+0.8*(seat_pitch)*($AY$54*n_SA+$AW$8&lt;pax_e)</f>
        <v>26.588000000000001</v>
      </c>
      <c r="BN1847" s="281">
        <f>$AX$8+seat_w*($AY$54*n_SA+$AW$8&lt;pax_e)</f>
        <v>0.7799999999999998</v>
      </c>
      <c r="BO1847" s="281">
        <f t="shared" si="162"/>
        <v>8.7775200000000027</v>
      </c>
    </row>
    <row r="1848" spans="65:67" x14ac:dyDescent="0.25">
      <c r="BM1848" s="281">
        <f>$AZ$54+0.8*(seat_pitch)*($AY$54*n_SA+$AW$8&lt;pax_e)</f>
        <v>26.588000000000001</v>
      </c>
      <c r="BN1848" s="281">
        <f>$AX$8</f>
        <v>0.24999999999999978</v>
      </c>
      <c r="BO1848" s="281">
        <f t="shared" si="162"/>
        <v>8.7775200000000027</v>
      </c>
    </row>
    <row r="1849" spans="65:67" x14ac:dyDescent="0.25">
      <c r="BM1849" s="281">
        <f>$AZ$54+0.2*(seat_pitch)*($AY$54*n_SA+$AW$8&lt;pax_e)</f>
        <v>26.102</v>
      </c>
      <c r="BN1849" s="281">
        <f>$AX$8</f>
        <v>0.24999999999999978</v>
      </c>
      <c r="BO1849" s="281">
        <f t="shared" si="162"/>
        <v>8.291520000000002</v>
      </c>
    </row>
    <row r="1850" spans="65:67" x14ac:dyDescent="0.25">
      <c r="BM1850" s="281">
        <f>$AZ$54+(seat_pitch)</f>
        <v>26.75</v>
      </c>
      <c r="BN1850" s="281">
        <f>$AX$8</f>
        <v>0.24999999999999978</v>
      </c>
      <c r="BO1850" s="281">
        <f t="shared" si="162"/>
        <v>8.9395200000000017</v>
      </c>
    </row>
    <row r="1851" spans="65:67" x14ac:dyDescent="0.25">
      <c r="BM1851" s="281">
        <f>$AZ$55+0.2*(seat_pitch)*($AY$55*n_SA+$AW$8&lt;pax_e)</f>
        <v>26.102</v>
      </c>
      <c r="BN1851" s="281">
        <f>$AX$8</f>
        <v>0.24999999999999978</v>
      </c>
      <c r="BO1851" s="281">
        <f t="shared" si="162"/>
        <v>8.291520000000002</v>
      </c>
    </row>
    <row r="1852" spans="65:67" x14ac:dyDescent="0.25">
      <c r="BM1852" s="281">
        <f>$AZ$55+0.2*(seat_pitch)*($AY$55*n_SA+$AW$8&lt;pax_e)</f>
        <v>26.102</v>
      </c>
      <c r="BN1852" s="281">
        <f>$AX$8+seat_w*($AY$55*n_SA+$AW$8&lt;pax_e)</f>
        <v>0.7799999999999998</v>
      </c>
      <c r="BO1852" s="281">
        <f t="shared" si="162"/>
        <v>8.291520000000002</v>
      </c>
    </row>
    <row r="1853" spans="65:67" x14ac:dyDescent="0.25">
      <c r="BM1853" s="281">
        <f>$AZ$55</f>
        <v>25.94</v>
      </c>
      <c r="BN1853" s="281">
        <f>$AX$8+seat_w*($AY$55*n_SA+$AW$8&lt;pax_e)</f>
        <v>0.7799999999999998</v>
      </c>
      <c r="BO1853" s="281">
        <f t="shared" si="162"/>
        <v>8.129520000000003</v>
      </c>
    </row>
    <row r="1854" spans="65:67" x14ac:dyDescent="0.25">
      <c r="BM1854" s="281">
        <f>$AZ$55+1*(seat_pitch)*($AY$55*n_SA+$AW$8&lt;pax_e)</f>
        <v>26.75</v>
      </c>
      <c r="BN1854" s="281">
        <f>$AX$8+seat_w*($AY$55*n_SA+$AW$8&lt;pax_e)</f>
        <v>0.7799999999999998</v>
      </c>
      <c r="BO1854" s="281">
        <f t="shared" si="162"/>
        <v>8.9395200000000017</v>
      </c>
    </row>
    <row r="1855" spans="65:67" x14ac:dyDescent="0.25">
      <c r="BM1855" s="281">
        <f>$AZ$55+0.8*(seat_pitch)*($AY$55*n_SA+$AW$8&lt;pax_e)</f>
        <v>26.588000000000001</v>
      </c>
      <c r="BN1855" s="281">
        <f>$AX$8+seat_w*($AY$55*n_SA+$AW$8&lt;pax_e)</f>
        <v>0.7799999999999998</v>
      </c>
      <c r="BO1855" s="281">
        <f t="shared" si="162"/>
        <v>8.7775200000000027</v>
      </c>
    </row>
    <row r="1856" spans="65:67" x14ac:dyDescent="0.25">
      <c r="BM1856" s="281">
        <f>$AZ$55+0.8*(seat_pitch)*($AY$55*n_SA+$AW$8&lt;pax_e)</f>
        <v>26.588000000000001</v>
      </c>
      <c r="BN1856" s="281">
        <f>$AX$8</f>
        <v>0.24999999999999978</v>
      </c>
      <c r="BO1856" s="281">
        <f t="shared" si="162"/>
        <v>8.7775200000000027</v>
      </c>
    </row>
    <row r="1857" spans="65:67" x14ac:dyDescent="0.25">
      <c r="BM1857" s="281">
        <f>$AZ$55+0.2*(seat_pitch)*($AY$55*n_SA+$AW$8&lt;pax_e)</f>
        <v>26.102</v>
      </c>
      <c r="BN1857" s="281">
        <f>$AX$8</f>
        <v>0.24999999999999978</v>
      </c>
      <c r="BO1857" s="281">
        <f t="shared" si="162"/>
        <v>8.291520000000002</v>
      </c>
    </row>
    <row r="1858" spans="65:67" x14ac:dyDescent="0.25">
      <c r="BM1858" s="281">
        <f>$AZ$55+(seat_pitch)</f>
        <v>26.75</v>
      </c>
      <c r="BN1858" s="281">
        <f>$AX$8</f>
        <v>0.24999999999999978</v>
      </c>
      <c r="BO1858" s="281">
        <f t="shared" si="162"/>
        <v>8.9395200000000017</v>
      </c>
    </row>
    <row r="1859" spans="65:67" x14ac:dyDescent="0.25">
      <c r="BM1859" s="281">
        <f>$AZ$56+0.2*(seat_pitch)*($AY$56*n_SA+$AW$8&lt;pax_e)</f>
        <v>26.102</v>
      </c>
      <c r="BN1859" s="281">
        <f>$AX$8</f>
        <v>0.24999999999999978</v>
      </c>
      <c r="BO1859" s="281">
        <f t="shared" si="162"/>
        <v>8.291520000000002</v>
      </c>
    </row>
    <row r="1860" spans="65:67" x14ac:dyDescent="0.25">
      <c r="BM1860" s="281">
        <f>$AZ$56+0.2*(seat_pitch)*($AY$56*n_SA+$AW$8&lt;pax_e)</f>
        <v>26.102</v>
      </c>
      <c r="BN1860" s="281">
        <f>$AX$8+seat_w*($AY$56*n_SA+$AW$8&lt;pax_e)</f>
        <v>0.7799999999999998</v>
      </c>
      <c r="BO1860" s="281">
        <f t="shared" si="162"/>
        <v>8.291520000000002</v>
      </c>
    </row>
    <row r="1861" spans="65:67" x14ac:dyDescent="0.25">
      <c r="BM1861" s="281">
        <f>$AZ$56</f>
        <v>25.94</v>
      </c>
      <c r="BN1861" s="281">
        <f>$AX$8+seat_w*($AY$56*n_SA+$AW$8&lt;pax_e)</f>
        <v>0.7799999999999998</v>
      </c>
      <c r="BO1861" s="281">
        <f t="shared" ref="BO1861:BO1924" si="163">BM1861-L_fus/2</f>
        <v>8.129520000000003</v>
      </c>
    </row>
    <row r="1862" spans="65:67" x14ac:dyDescent="0.25">
      <c r="BM1862" s="281">
        <f>$AZ$56+1*(seat_pitch)*($AY$56*n_SA+$AW$8&lt;pax_e)</f>
        <v>26.75</v>
      </c>
      <c r="BN1862" s="281">
        <f>$AX$8+seat_w*($AY$56*n_SA+$AW$8&lt;pax_e)</f>
        <v>0.7799999999999998</v>
      </c>
      <c r="BO1862" s="281">
        <f t="shared" si="163"/>
        <v>8.9395200000000017</v>
      </c>
    </row>
    <row r="1863" spans="65:67" x14ac:dyDescent="0.25">
      <c r="BM1863" s="281">
        <f>$AZ$56+0.8*(seat_pitch)*($AY$56*n_SA+$AW$8&lt;pax_e)</f>
        <v>26.588000000000001</v>
      </c>
      <c r="BN1863" s="281">
        <f>$AX$8+seat_w*($AY$56*n_SA+$AW$8&lt;pax_e)</f>
        <v>0.7799999999999998</v>
      </c>
      <c r="BO1863" s="281">
        <f t="shared" si="163"/>
        <v>8.7775200000000027</v>
      </c>
    </row>
    <row r="1864" spans="65:67" x14ac:dyDescent="0.25">
      <c r="BM1864" s="281">
        <f>$AZ$56+0.8*(seat_pitch)*($AY$56*n_SA+$AW$8&lt;pax_e)</f>
        <v>26.588000000000001</v>
      </c>
      <c r="BN1864" s="281">
        <f>$AX$8</f>
        <v>0.24999999999999978</v>
      </c>
      <c r="BO1864" s="281">
        <f t="shared" si="163"/>
        <v>8.7775200000000027</v>
      </c>
    </row>
    <row r="1865" spans="65:67" x14ac:dyDescent="0.25">
      <c r="BM1865" s="281">
        <f>$AZ$56+0.2*(seat_pitch)*($AY$56*n_SA+$AW$8&lt;pax_e)</f>
        <v>26.102</v>
      </c>
      <c r="BN1865" s="281">
        <f>$AX$8</f>
        <v>0.24999999999999978</v>
      </c>
      <c r="BO1865" s="281">
        <f t="shared" si="163"/>
        <v>8.291520000000002</v>
      </c>
    </row>
    <row r="1866" spans="65:67" x14ac:dyDescent="0.25">
      <c r="BM1866" s="281">
        <f>$AZ$56+(seat_pitch)</f>
        <v>26.75</v>
      </c>
      <c r="BN1866" s="281">
        <f>$AX$8</f>
        <v>0.24999999999999978</v>
      </c>
      <c r="BO1866" s="281">
        <f t="shared" si="163"/>
        <v>8.9395200000000017</v>
      </c>
    </row>
    <row r="1867" spans="65:67" x14ac:dyDescent="0.25">
      <c r="BM1867" s="281">
        <f>$AZ$57+0.2*(seat_pitch)*($AY$57*n_SA+$AW$8&lt;pax_e)</f>
        <v>26.102</v>
      </c>
      <c r="BN1867" s="281">
        <f>$AX$8</f>
        <v>0.24999999999999978</v>
      </c>
      <c r="BO1867" s="281">
        <f t="shared" si="163"/>
        <v>8.291520000000002</v>
      </c>
    </row>
    <row r="1868" spans="65:67" x14ac:dyDescent="0.25">
      <c r="BM1868" s="281">
        <f>$AZ$57+0.2*(seat_pitch)*($AY$57*n_SA+$AW$8&lt;pax_e)</f>
        <v>26.102</v>
      </c>
      <c r="BN1868" s="281">
        <f>$AX$8+seat_w*($AY$57*n_SA+$AW$8&lt;pax_e)</f>
        <v>0.7799999999999998</v>
      </c>
      <c r="BO1868" s="281">
        <f t="shared" si="163"/>
        <v>8.291520000000002</v>
      </c>
    </row>
    <row r="1869" spans="65:67" x14ac:dyDescent="0.25">
      <c r="BM1869" s="281">
        <f>$AZ$57</f>
        <v>25.94</v>
      </c>
      <c r="BN1869" s="281">
        <f>$AX$8+seat_w*($AY$57*n_SA+$AW$8&lt;pax_e)</f>
        <v>0.7799999999999998</v>
      </c>
      <c r="BO1869" s="281">
        <f t="shared" si="163"/>
        <v>8.129520000000003</v>
      </c>
    </row>
    <row r="1870" spans="65:67" x14ac:dyDescent="0.25">
      <c r="BM1870" s="281">
        <f>$AZ$57+1*(seat_pitch)*($AY$57*n_SA+$AW$8&lt;pax_e)</f>
        <v>26.75</v>
      </c>
      <c r="BN1870" s="281">
        <f>$AX$8+seat_w*($AY$57*n_SA+$AW$8&lt;pax_e)</f>
        <v>0.7799999999999998</v>
      </c>
      <c r="BO1870" s="281">
        <f t="shared" si="163"/>
        <v>8.9395200000000017</v>
      </c>
    </row>
    <row r="1871" spans="65:67" x14ac:dyDescent="0.25">
      <c r="BM1871" s="281">
        <f>$AZ$57+0.8*(seat_pitch)*($AY$57*n_SA+$AW$8&lt;pax_e)</f>
        <v>26.588000000000001</v>
      </c>
      <c r="BN1871" s="281">
        <f>$AX$8+seat_w*($AY$57*n_SA+$AW$8&lt;pax_e)</f>
        <v>0.7799999999999998</v>
      </c>
      <c r="BO1871" s="281">
        <f t="shared" si="163"/>
        <v>8.7775200000000027</v>
      </c>
    </row>
    <row r="1872" spans="65:67" x14ac:dyDescent="0.25">
      <c r="BM1872" s="281">
        <f>$AZ$57+0.8*(seat_pitch)*($AY$57*n_SA+$AW$8&lt;pax_e)</f>
        <v>26.588000000000001</v>
      </c>
      <c r="BN1872" s="281">
        <f>$AX$8</f>
        <v>0.24999999999999978</v>
      </c>
      <c r="BO1872" s="281">
        <f t="shared" si="163"/>
        <v>8.7775200000000027</v>
      </c>
    </row>
    <row r="1873" spans="65:67" x14ac:dyDescent="0.25">
      <c r="BM1873" s="281">
        <f>$AZ$57+0.2*(seat_pitch)*($AY$57*n_SA+$AW$8&lt;pax_e)</f>
        <v>26.102</v>
      </c>
      <c r="BN1873" s="281">
        <f>$AX$8</f>
        <v>0.24999999999999978</v>
      </c>
      <c r="BO1873" s="281">
        <f t="shared" si="163"/>
        <v>8.291520000000002</v>
      </c>
    </row>
    <row r="1874" spans="65:67" x14ac:dyDescent="0.25">
      <c r="BM1874" s="281">
        <f>$AZ$57+(seat_pitch)</f>
        <v>26.75</v>
      </c>
      <c r="BN1874" s="281">
        <f>$AX$8</f>
        <v>0.24999999999999978</v>
      </c>
      <c r="BO1874" s="281">
        <f t="shared" si="163"/>
        <v>8.9395200000000017</v>
      </c>
    </row>
    <row r="1875" spans="65:67" x14ac:dyDescent="0.25">
      <c r="BM1875" s="281">
        <f>$AZ$58+0.2*(seat_pitch)*($AY$58*n_SA+$AW$8&lt;pax_e)</f>
        <v>26.102</v>
      </c>
      <c r="BN1875" s="281">
        <f>$AX$8</f>
        <v>0.24999999999999978</v>
      </c>
      <c r="BO1875" s="281">
        <f t="shared" si="163"/>
        <v>8.291520000000002</v>
      </c>
    </row>
    <row r="1876" spans="65:67" x14ac:dyDescent="0.25">
      <c r="BM1876" s="281">
        <f>$AZ$58+0.2*(seat_pitch)*($AY$58*n_SA+$AW$8&lt;pax_e)</f>
        <v>26.102</v>
      </c>
      <c r="BN1876" s="281">
        <f>$AX$8+seat_w*($AY$58*n_SA+$AW$8&lt;pax_e)</f>
        <v>0.7799999999999998</v>
      </c>
      <c r="BO1876" s="281">
        <f t="shared" si="163"/>
        <v>8.291520000000002</v>
      </c>
    </row>
    <row r="1877" spans="65:67" x14ac:dyDescent="0.25">
      <c r="BM1877" s="281">
        <f>$AZ$58</f>
        <v>25.94</v>
      </c>
      <c r="BN1877" s="281">
        <f>$AX$8+seat_w*($AY$58*n_SA+$AW$8&lt;pax_e)</f>
        <v>0.7799999999999998</v>
      </c>
      <c r="BO1877" s="281">
        <f t="shared" si="163"/>
        <v>8.129520000000003</v>
      </c>
    </row>
    <row r="1878" spans="65:67" x14ac:dyDescent="0.25">
      <c r="BM1878" s="281">
        <f>$AZ$58+1*(seat_pitch)*($AY$58*n_SA+$AW$8&lt;pax_e)</f>
        <v>26.75</v>
      </c>
      <c r="BN1878" s="281">
        <f>$AX$8+seat_w*($AY$58*n_SA+$AW$8&lt;pax_e)</f>
        <v>0.7799999999999998</v>
      </c>
      <c r="BO1878" s="281">
        <f t="shared" si="163"/>
        <v>8.9395200000000017</v>
      </c>
    </row>
    <row r="1879" spans="65:67" x14ac:dyDescent="0.25">
      <c r="BM1879" s="281">
        <f>$AZ$58+0.8*(seat_pitch)*($AY$58*n_SA+$AW$8&lt;pax_e)</f>
        <v>26.588000000000001</v>
      </c>
      <c r="BN1879" s="281">
        <f>$AX$8+seat_w*($AY$58*n_SA+$AW$8&lt;pax_e)</f>
        <v>0.7799999999999998</v>
      </c>
      <c r="BO1879" s="281">
        <f t="shared" si="163"/>
        <v>8.7775200000000027</v>
      </c>
    </row>
    <row r="1880" spans="65:67" x14ac:dyDescent="0.25">
      <c r="BM1880" s="281">
        <f>$AZ$58+0.8*(seat_pitch)*($AY$58*n_SA+$AW$8&lt;pax_e)</f>
        <v>26.588000000000001</v>
      </c>
      <c r="BN1880" s="281">
        <f>$AX$8</f>
        <v>0.24999999999999978</v>
      </c>
      <c r="BO1880" s="281">
        <f t="shared" si="163"/>
        <v>8.7775200000000027</v>
      </c>
    </row>
    <row r="1881" spans="65:67" x14ac:dyDescent="0.25">
      <c r="BM1881" s="281">
        <f>$AZ$58+0.2*(seat_pitch)*($AY$58*n_SA+$AW$8&lt;pax_e)</f>
        <v>26.102</v>
      </c>
      <c r="BN1881" s="281">
        <f>$AX$8</f>
        <v>0.24999999999999978</v>
      </c>
      <c r="BO1881" s="281">
        <f t="shared" si="163"/>
        <v>8.291520000000002</v>
      </c>
    </row>
    <row r="1882" spans="65:67" x14ac:dyDescent="0.25">
      <c r="BM1882" s="281">
        <f>$AZ$58+(seat_pitch)</f>
        <v>26.75</v>
      </c>
      <c r="BN1882" s="281">
        <f>$AX$8</f>
        <v>0.24999999999999978</v>
      </c>
      <c r="BO1882" s="281">
        <f t="shared" si="163"/>
        <v>8.9395200000000017</v>
      </c>
    </row>
    <row r="1883" spans="65:67" x14ac:dyDescent="0.25">
      <c r="BM1883" s="281">
        <f>$AZ$59+0.2*(seat_pitch)*($AY$59*n_SA+$AW$8&lt;pax_e)</f>
        <v>26.102</v>
      </c>
      <c r="BN1883" s="281">
        <f>$AX$8</f>
        <v>0.24999999999999978</v>
      </c>
      <c r="BO1883" s="281">
        <f t="shared" si="163"/>
        <v>8.291520000000002</v>
      </c>
    </row>
    <row r="1884" spans="65:67" x14ac:dyDescent="0.25">
      <c r="BM1884" s="281">
        <f>$AZ$59+0.2*(seat_pitch)*($AY$59*n_SA+$AW$8&lt;pax_e)</f>
        <v>26.102</v>
      </c>
      <c r="BN1884" s="281">
        <f>$AX$8+seat_w*($AY$59*n_SA+$AW$8&lt;pax_e)</f>
        <v>0.7799999999999998</v>
      </c>
      <c r="BO1884" s="281">
        <f t="shared" si="163"/>
        <v>8.291520000000002</v>
      </c>
    </row>
    <row r="1885" spans="65:67" x14ac:dyDescent="0.25">
      <c r="BM1885" s="281">
        <f>$AZ$59</f>
        <v>25.94</v>
      </c>
      <c r="BN1885" s="281">
        <f>$AX$8+seat_w*($AY$59*n_SA+$AW$8&lt;pax_e)</f>
        <v>0.7799999999999998</v>
      </c>
      <c r="BO1885" s="281">
        <f t="shared" si="163"/>
        <v>8.129520000000003</v>
      </c>
    </row>
    <row r="1886" spans="65:67" x14ac:dyDescent="0.25">
      <c r="BM1886" s="281">
        <f>$AZ$59+1*(seat_pitch)*($AY$59*n_SA+$AW$8&lt;pax_e)</f>
        <v>26.75</v>
      </c>
      <c r="BN1886" s="281">
        <f>$AX$8+seat_w*($AY$59*n_SA+$AW$8&lt;pax_e)</f>
        <v>0.7799999999999998</v>
      </c>
      <c r="BO1886" s="281">
        <f t="shared" si="163"/>
        <v>8.9395200000000017</v>
      </c>
    </row>
    <row r="1887" spans="65:67" x14ac:dyDescent="0.25">
      <c r="BM1887" s="281">
        <f>$AZ$59+0.8*(seat_pitch)*($AY$59*n_SA+$AW$8&lt;pax_e)</f>
        <v>26.588000000000001</v>
      </c>
      <c r="BN1887" s="281">
        <f>$AX$8+seat_w*($AY$59*n_SA+$AW$8&lt;pax_e)</f>
        <v>0.7799999999999998</v>
      </c>
      <c r="BO1887" s="281">
        <f t="shared" si="163"/>
        <v>8.7775200000000027</v>
      </c>
    </row>
    <row r="1888" spans="65:67" x14ac:dyDescent="0.25">
      <c r="BM1888" s="281">
        <f>$AZ$59+0.8*(seat_pitch)*($AY$59*n_SA+$AW$8&lt;pax_e)</f>
        <v>26.588000000000001</v>
      </c>
      <c r="BN1888" s="281">
        <f>$AX$8</f>
        <v>0.24999999999999978</v>
      </c>
      <c r="BO1888" s="281">
        <f t="shared" si="163"/>
        <v>8.7775200000000027</v>
      </c>
    </row>
    <row r="1889" spans="65:67" x14ac:dyDescent="0.25">
      <c r="BM1889" s="281">
        <f>$AZ$59+0.2*(seat_pitch)*($AY$59*n_SA+$AW$8&lt;pax_e)</f>
        <v>26.102</v>
      </c>
      <c r="BN1889" s="281">
        <f>$AX$8</f>
        <v>0.24999999999999978</v>
      </c>
      <c r="BO1889" s="281">
        <f t="shared" si="163"/>
        <v>8.291520000000002</v>
      </c>
    </row>
    <row r="1890" spans="65:67" x14ac:dyDescent="0.25">
      <c r="BM1890" s="281">
        <f>$AZ$59+(seat_pitch)</f>
        <v>26.75</v>
      </c>
      <c r="BN1890" s="281">
        <f>$AX$8</f>
        <v>0.24999999999999978</v>
      </c>
      <c r="BO1890" s="281">
        <f t="shared" si="163"/>
        <v>8.9395200000000017</v>
      </c>
    </row>
    <row r="1891" spans="65:67" x14ac:dyDescent="0.25">
      <c r="BM1891" s="281">
        <f>$AZ$60+0.2*(seat_pitch)*($AY$60*n_SA+$AW$8&lt;pax_e)</f>
        <v>26.102</v>
      </c>
      <c r="BN1891" s="281">
        <f>$AX$8</f>
        <v>0.24999999999999978</v>
      </c>
      <c r="BO1891" s="281">
        <f t="shared" si="163"/>
        <v>8.291520000000002</v>
      </c>
    </row>
    <row r="1892" spans="65:67" x14ac:dyDescent="0.25">
      <c r="BM1892" s="281">
        <f>$AZ$60+0.2*(seat_pitch)*($AY$60*n_SA+$AW$8&lt;pax_e)</f>
        <v>26.102</v>
      </c>
      <c r="BN1892" s="281">
        <f>$AX$8+seat_w*($AY$60*n_SA+$AW$8&lt;pax_e)</f>
        <v>0.7799999999999998</v>
      </c>
      <c r="BO1892" s="281">
        <f t="shared" si="163"/>
        <v>8.291520000000002</v>
      </c>
    </row>
    <row r="1893" spans="65:67" x14ac:dyDescent="0.25">
      <c r="BM1893" s="281">
        <f>$AZ$60</f>
        <v>25.94</v>
      </c>
      <c r="BN1893" s="281">
        <f>$AX$8+seat_w*($AY$60*n_SA+$AW$8&lt;pax_e)</f>
        <v>0.7799999999999998</v>
      </c>
      <c r="BO1893" s="281">
        <f t="shared" si="163"/>
        <v>8.129520000000003</v>
      </c>
    </row>
    <row r="1894" spans="65:67" x14ac:dyDescent="0.25">
      <c r="BM1894" s="281">
        <f>$AZ$60+1*(seat_pitch)*($AY$60*n_SA+$AW$8&lt;pax_e)</f>
        <v>26.75</v>
      </c>
      <c r="BN1894" s="281">
        <f>$AX$8+seat_w*($AY$60*n_SA+$AW$8&lt;pax_e)</f>
        <v>0.7799999999999998</v>
      </c>
      <c r="BO1894" s="281">
        <f t="shared" si="163"/>
        <v>8.9395200000000017</v>
      </c>
    </row>
    <row r="1895" spans="65:67" x14ac:dyDescent="0.25">
      <c r="BM1895" s="281">
        <f>$AZ$60+0.8*(seat_pitch)*($AY$60*n_SA+$AW$8&lt;pax_e)</f>
        <v>26.588000000000001</v>
      </c>
      <c r="BN1895" s="281">
        <f>$AX$8+seat_w*($AY$60*n_SA+$AW$8&lt;pax_e)</f>
        <v>0.7799999999999998</v>
      </c>
      <c r="BO1895" s="281">
        <f t="shared" si="163"/>
        <v>8.7775200000000027</v>
      </c>
    </row>
    <row r="1896" spans="65:67" x14ac:dyDescent="0.25">
      <c r="BM1896" s="281">
        <f>$AZ$60+0.8*(seat_pitch)*($AY$60*n_SA+$AW$8&lt;pax_e)</f>
        <v>26.588000000000001</v>
      </c>
      <c r="BN1896" s="281">
        <f>$AX$8</f>
        <v>0.24999999999999978</v>
      </c>
      <c r="BO1896" s="281">
        <f t="shared" si="163"/>
        <v>8.7775200000000027</v>
      </c>
    </row>
    <row r="1897" spans="65:67" x14ac:dyDescent="0.25">
      <c r="BM1897" s="281">
        <f>$AZ$60+0.2*(seat_pitch)*($AY$60*n_SA+$AW$8&lt;pax_e)</f>
        <v>26.102</v>
      </c>
      <c r="BN1897" s="281">
        <f>$AX$8</f>
        <v>0.24999999999999978</v>
      </c>
      <c r="BO1897" s="281">
        <f t="shared" si="163"/>
        <v>8.291520000000002</v>
      </c>
    </row>
    <row r="1898" spans="65:67" x14ac:dyDescent="0.25">
      <c r="BM1898" s="281">
        <f>$AZ$60+(seat_pitch)</f>
        <v>26.75</v>
      </c>
      <c r="BN1898" s="281">
        <f>$AX$8</f>
        <v>0.24999999999999978</v>
      </c>
      <c r="BO1898" s="281">
        <f t="shared" si="163"/>
        <v>8.9395200000000017</v>
      </c>
    </row>
    <row r="1899" spans="65:67" x14ac:dyDescent="0.25">
      <c r="BM1899" s="281">
        <f>$AZ$61+0.2*(seat_pitch)*($AY$61*n_SA+$AW$8&lt;pax_e)</f>
        <v>26.102</v>
      </c>
      <c r="BN1899" s="281">
        <f>$AX$8</f>
        <v>0.24999999999999978</v>
      </c>
      <c r="BO1899" s="281">
        <f t="shared" si="163"/>
        <v>8.291520000000002</v>
      </c>
    </row>
    <row r="1900" spans="65:67" x14ac:dyDescent="0.25">
      <c r="BM1900" s="281">
        <f>$AZ$61+0.2*(seat_pitch)*($AY$61*n_SA+$AW$8&lt;pax_e)</f>
        <v>26.102</v>
      </c>
      <c r="BN1900" s="281">
        <f>$AX$8+seat_w*($AY$61*n_SA+$AW$8&lt;pax_e)</f>
        <v>0.7799999999999998</v>
      </c>
      <c r="BO1900" s="281">
        <f t="shared" si="163"/>
        <v>8.291520000000002</v>
      </c>
    </row>
    <row r="1901" spans="65:67" x14ac:dyDescent="0.25">
      <c r="BM1901" s="281">
        <f>$AZ$61</f>
        <v>25.94</v>
      </c>
      <c r="BN1901" s="281">
        <f>$AX$8+seat_w*($AY$61*n_SA+$AW$8&lt;pax_e)</f>
        <v>0.7799999999999998</v>
      </c>
      <c r="BO1901" s="281">
        <f t="shared" si="163"/>
        <v>8.129520000000003</v>
      </c>
    </row>
    <row r="1902" spans="65:67" x14ac:dyDescent="0.25">
      <c r="BM1902" s="281">
        <f>$AZ$61+1*(seat_pitch)*($AY$61*n_SA+$AW$8&lt;pax_e)</f>
        <v>26.75</v>
      </c>
      <c r="BN1902" s="281">
        <f>$AX$8+seat_w*($AY$61*n_SA+$AW$8&lt;pax_e)</f>
        <v>0.7799999999999998</v>
      </c>
      <c r="BO1902" s="281">
        <f t="shared" si="163"/>
        <v>8.9395200000000017</v>
      </c>
    </row>
    <row r="1903" spans="65:67" x14ac:dyDescent="0.25">
      <c r="BM1903" s="281">
        <f>$AZ$61+0.8*(seat_pitch)*($AY$61*n_SA+$AW$8&lt;pax_e)</f>
        <v>26.588000000000001</v>
      </c>
      <c r="BN1903" s="281">
        <f>$AX$8+seat_w*($AY$61*n_SA+$AW$8&lt;pax_e)</f>
        <v>0.7799999999999998</v>
      </c>
      <c r="BO1903" s="281">
        <f t="shared" si="163"/>
        <v>8.7775200000000027</v>
      </c>
    </row>
    <row r="1904" spans="65:67" x14ac:dyDescent="0.25">
      <c r="BM1904" s="281">
        <f>$AZ$61+0.8*(seat_pitch)*($AY$61*n_SA+$AW$8&lt;pax_e)</f>
        <v>26.588000000000001</v>
      </c>
      <c r="BN1904" s="281">
        <f>$AX$8</f>
        <v>0.24999999999999978</v>
      </c>
      <c r="BO1904" s="281">
        <f t="shared" si="163"/>
        <v>8.7775200000000027</v>
      </c>
    </row>
    <row r="1905" spans="65:67" x14ac:dyDescent="0.25">
      <c r="BM1905" s="281">
        <f>$AZ$61+0.2*(seat_pitch)*($AY$61*n_SA+$AW$8&lt;pax_e)</f>
        <v>26.102</v>
      </c>
      <c r="BN1905" s="281">
        <f>$AX$8</f>
        <v>0.24999999999999978</v>
      </c>
      <c r="BO1905" s="281">
        <f t="shared" si="163"/>
        <v>8.291520000000002</v>
      </c>
    </row>
    <row r="1906" spans="65:67" x14ac:dyDescent="0.25">
      <c r="BM1906" s="281">
        <f>$AZ$61+(seat_pitch)</f>
        <v>26.75</v>
      </c>
      <c r="BN1906" s="281">
        <f>$AX$8</f>
        <v>0.24999999999999978</v>
      </c>
      <c r="BO1906" s="281">
        <f t="shared" si="163"/>
        <v>8.9395200000000017</v>
      </c>
    </row>
    <row r="1907" spans="65:67" x14ac:dyDescent="0.25">
      <c r="BM1907" s="281">
        <f>$AZ$62+0.2*(seat_pitch)*($AY$62*n_SA+$AW$8&lt;pax_e)</f>
        <v>26.102</v>
      </c>
      <c r="BN1907" s="281">
        <f>$AX$8</f>
        <v>0.24999999999999978</v>
      </c>
      <c r="BO1907" s="281">
        <f t="shared" si="163"/>
        <v>8.291520000000002</v>
      </c>
    </row>
    <row r="1908" spans="65:67" x14ac:dyDescent="0.25">
      <c r="BM1908" s="281">
        <f>$AZ$62+0.2*(seat_pitch)*($AY$62*n_SA+$AW$8&lt;pax_e)</f>
        <v>26.102</v>
      </c>
      <c r="BN1908" s="281">
        <f>$AX$8+seat_w*($AY$62*n_SA+$AW$8&lt;pax_e)</f>
        <v>0.7799999999999998</v>
      </c>
      <c r="BO1908" s="281">
        <f t="shared" si="163"/>
        <v>8.291520000000002</v>
      </c>
    </row>
    <row r="1909" spans="65:67" x14ac:dyDescent="0.25">
      <c r="BM1909" s="281">
        <f>$AZ$62</f>
        <v>25.94</v>
      </c>
      <c r="BN1909" s="281">
        <f>$AX$8+seat_w*($AY$62*n_SA+$AW$8&lt;pax_e)</f>
        <v>0.7799999999999998</v>
      </c>
      <c r="BO1909" s="281">
        <f t="shared" si="163"/>
        <v>8.129520000000003</v>
      </c>
    </row>
    <row r="1910" spans="65:67" x14ac:dyDescent="0.25">
      <c r="BM1910" s="281">
        <f>$AZ$62+1*(seat_pitch)*($AY$62*n_SA+$AW$8&lt;pax_e)</f>
        <v>26.75</v>
      </c>
      <c r="BN1910" s="281">
        <f>$AX$8+seat_w*($AY$62*n_SA+$AW$8&lt;pax_e)</f>
        <v>0.7799999999999998</v>
      </c>
      <c r="BO1910" s="281">
        <f t="shared" si="163"/>
        <v>8.9395200000000017</v>
      </c>
    </row>
    <row r="1911" spans="65:67" x14ac:dyDescent="0.25">
      <c r="BM1911" s="281">
        <f>$AZ$62+0.8*(seat_pitch)*($AY$62*n_SA+$AW$8&lt;pax_e)</f>
        <v>26.588000000000001</v>
      </c>
      <c r="BN1911" s="281">
        <f>$AX$8+seat_w*($AY$62*n_SA+$AW$8&lt;pax_e)</f>
        <v>0.7799999999999998</v>
      </c>
      <c r="BO1911" s="281">
        <f t="shared" si="163"/>
        <v>8.7775200000000027</v>
      </c>
    </row>
    <row r="1912" spans="65:67" x14ac:dyDescent="0.25">
      <c r="BM1912" s="281">
        <f>$AZ$62+0.8*(seat_pitch)*($AY$62*n_SA+$AW$8&lt;pax_e)</f>
        <v>26.588000000000001</v>
      </c>
      <c r="BN1912" s="281">
        <f>$AX$8</f>
        <v>0.24999999999999978</v>
      </c>
      <c r="BO1912" s="281">
        <f t="shared" si="163"/>
        <v>8.7775200000000027</v>
      </c>
    </row>
    <row r="1913" spans="65:67" x14ac:dyDescent="0.25">
      <c r="BM1913" s="281">
        <f>$AZ$62+0.2*(seat_pitch)*($AY$62*n_SA+$AW$8&lt;pax_e)</f>
        <v>26.102</v>
      </c>
      <c r="BN1913" s="281">
        <f>$AX$8</f>
        <v>0.24999999999999978</v>
      </c>
      <c r="BO1913" s="281">
        <f t="shared" si="163"/>
        <v>8.291520000000002</v>
      </c>
    </row>
    <row r="1914" spans="65:67" x14ac:dyDescent="0.25">
      <c r="BM1914" s="281">
        <f>$AZ$62+(seat_pitch)</f>
        <v>26.75</v>
      </c>
      <c r="BN1914" s="281">
        <f>$AX$8</f>
        <v>0.24999999999999978</v>
      </c>
      <c r="BO1914" s="281">
        <f t="shared" si="163"/>
        <v>8.9395200000000017</v>
      </c>
    </row>
    <row r="1915" spans="65:67" x14ac:dyDescent="0.25">
      <c r="BM1915" s="281">
        <f>$AZ$63+0.2*(seat_pitch)*($AY$63*n_SA+$AW$8&lt;pax_e)</f>
        <v>26.102</v>
      </c>
      <c r="BN1915" s="281">
        <f>$AX$8</f>
        <v>0.24999999999999978</v>
      </c>
      <c r="BO1915" s="281">
        <f t="shared" si="163"/>
        <v>8.291520000000002</v>
      </c>
    </row>
    <row r="1916" spans="65:67" x14ac:dyDescent="0.25">
      <c r="BM1916" s="281">
        <f>$AZ$63+0.2*(seat_pitch)*($AY$63*n_SA+$AW$8&lt;pax_e)</f>
        <v>26.102</v>
      </c>
      <c r="BN1916" s="281">
        <f>$AX$8+seat_w*($AY$63*n_SA+$AW$8&lt;pax_e)</f>
        <v>0.7799999999999998</v>
      </c>
      <c r="BO1916" s="281">
        <f t="shared" si="163"/>
        <v>8.291520000000002</v>
      </c>
    </row>
    <row r="1917" spans="65:67" x14ac:dyDescent="0.25">
      <c r="BM1917" s="281">
        <f>$AZ$63</f>
        <v>25.94</v>
      </c>
      <c r="BN1917" s="281">
        <f>$AX$8+seat_w*($AY$63*n_SA+$AW$8&lt;pax_e)</f>
        <v>0.7799999999999998</v>
      </c>
      <c r="BO1917" s="281">
        <f t="shared" si="163"/>
        <v>8.129520000000003</v>
      </c>
    </row>
    <row r="1918" spans="65:67" x14ac:dyDescent="0.25">
      <c r="BM1918" s="281">
        <f>$AZ$63+1*(seat_pitch)*($AY$63*n_SA+$AW$8&lt;pax_e)</f>
        <v>26.75</v>
      </c>
      <c r="BN1918" s="281">
        <f>$AX$8+seat_w*($AY$63*n_SA+$AW$8&lt;pax_e)</f>
        <v>0.7799999999999998</v>
      </c>
      <c r="BO1918" s="281">
        <f t="shared" si="163"/>
        <v>8.9395200000000017</v>
      </c>
    </row>
    <row r="1919" spans="65:67" x14ac:dyDescent="0.25">
      <c r="BM1919" s="281">
        <f>$AZ$63+0.8*(seat_pitch)*($AY$63*n_SA+$AW$8&lt;pax_e)</f>
        <v>26.588000000000001</v>
      </c>
      <c r="BN1919" s="281">
        <f>$AX$8+seat_w*($AY$63*n_SA+$AW$8&lt;pax_e)</f>
        <v>0.7799999999999998</v>
      </c>
      <c r="BO1919" s="281">
        <f t="shared" si="163"/>
        <v>8.7775200000000027</v>
      </c>
    </row>
    <row r="1920" spans="65:67" x14ac:dyDescent="0.25">
      <c r="BM1920" s="281">
        <f>$AZ$63+0.8*(seat_pitch)*($AY$63*n_SA+$AW$8&lt;pax_e)</f>
        <v>26.588000000000001</v>
      </c>
      <c r="BN1920" s="281">
        <f>$AX$8</f>
        <v>0.24999999999999978</v>
      </c>
      <c r="BO1920" s="281">
        <f t="shared" si="163"/>
        <v>8.7775200000000027</v>
      </c>
    </row>
    <row r="1921" spans="65:67" x14ac:dyDescent="0.25">
      <c r="BM1921" s="281">
        <f>$AZ$63+0.2*(seat_pitch)*($AY$63*n_SA+$AW$8&lt;pax_e)</f>
        <v>26.102</v>
      </c>
      <c r="BN1921" s="281">
        <f>$AX$8</f>
        <v>0.24999999999999978</v>
      </c>
      <c r="BO1921" s="281">
        <f t="shared" si="163"/>
        <v>8.291520000000002</v>
      </c>
    </row>
    <row r="1922" spans="65:67" x14ac:dyDescent="0.25">
      <c r="BM1922" s="281">
        <f>$AZ$63+(seat_pitch)</f>
        <v>26.75</v>
      </c>
      <c r="BN1922" s="281">
        <f>$AX$8</f>
        <v>0.24999999999999978</v>
      </c>
      <c r="BO1922" s="281">
        <f t="shared" si="163"/>
        <v>8.9395200000000017</v>
      </c>
    </row>
    <row r="1923" spans="65:67" x14ac:dyDescent="0.25">
      <c r="BM1923" s="281">
        <f>$AZ$64+0.2*(seat_pitch)*($AY$64*n_SA+$AW$8&lt;pax_e)</f>
        <v>26.102</v>
      </c>
      <c r="BN1923" s="281">
        <f>$AX$8</f>
        <v>0.24999999999999978</v>
      </c>
      <c r="BO1923" s="281">
        <f t="shared" si="163"/>
        <v>8.291520000000002</v>
      </c>
    </row>
    <row r="1924" spans="65:67" x14ac:dyDescent="0.25">
      <c r="BM1924" s="281">
        <f>$AZ$64+0.2*(seat_pitch)*($AY$64*n_SA+$AW$8&lt;pax_e)</f>
        <v>26.102</v>
      </c>
      <c r="BN1924" s="281">
        <f>$AX$8+seat_w*($AY$64*n_SA+$AW$8&lt;pax_e)</f>
        <v>0.7799999999999998</v>
      </c>
      <c r="BO1924" s="281">
        <f t="shared" si="163"/>
        <v>8.291520000000002</v>
      </c>
    </row>
    <row r="1925" spans="65:67" x14ac:dyDescent="0.25">
      <c r="BM1925" s="281">
        <f>$AZ$64</f>
        <v>25.94</v>
      </c>
      <c r="BN1925" s="281">
        <f>$AX$8+seat_w*($AY$64*n_SA+$AW$8&lt;pax_e)</f>
        <v>0.7799999999999998</v>
      </c>
      <c r="BO1925" s="281">
        <f t="shared" ref="BO1925:BO1988" si="164">BM1925-L_fus/2</f>
        <v>8.129520000000003</v>
      </c>
    </row>
    <row r="1926" spans="65:67" x14ac:dyDescent="0.25">
      <c r="BM1926" s="281">
        <f>$AZ$64+1*(seat_pitch)*($AY$64*n_SA+$AW$8&lt;pax_e)</f>
        <v>26.75</v>
      </c>
      <c r="BN1926" s="281">
        <f>$AX$8+seat_w*($AY$64*n_SA+$AW$8&lt;pax_e)</f>
        <v>0.7799999999999998</v>
      </c>
      <c r="BO1926" s="281">
        <f t="shared" si="164"/>
        <v>8.9395200000000017</v>
      </c>
    </row>
    <row r="1927" spans="65:67" x14ac:dyDescent="0.25">
      <c r="BM1927" s="281">
        <f>$AZ$64+0.8*(seat_pitch)*($AY$64*n_SA+$AW$8&lt;pax_e)</f>
        <v>26.588000000000001</v>
      </c>
      <c r="BN1927" s="281">
        <f>$AX$8+seat_w*($AY$64*n_SA+$AW$8&lt;pax_e)</f>
        <v>0.7799999999999998</v>
      </c>
      <c r="BO1927" s="281">
        <f t="shared" si="164"/>
        <v>8.7775200000000027</v>
      </c>
    </row>
    <row r="1928" spans="65:67" x14ac:dyDescent="0.25">
      <c r="BM1928" s="281">
        <f>$AZ$64+0.8*(seat_pitch)*($AY$64*n_SA+$AW$8&lt;pax_e)</f>
        <v>26.588000000000001</v>
      </c>
      <c r="BN1928" s="281">
        <f>$AX$8</f>
        <v>0.24999999999999978</v>
      </c>
      <c r="BO1928" s="281">
        <f t="shared" si="164"/>
        <v>8.7775200000000027</v>
      </c>
    </row>
    <row r="1929" spans="65:67" x14ac:dyDescent="0.25">
      <c r="BM1929" s="281">
        <f>$AZ$64+0.2*(seat_pitch)*($AY$64*n_SA+$AW$8&lt;pax_e)</f>
        <v>26.102</v>
      </c>
      <c r="BN1929" s="281">
        <f>$AX$8</f>
        <v>0.24999999999999978</v>
      </c>
      <c r="BO1929" s="281">
        <f t="shared" si="164"/>
        <v>8.291520000000002</v>
      </c>
    </row>
    <row r="1930" spans="65:67" x14ac:dyDescent="0.25">
      <c r="BM1930" s="281">
        <f>$AZ$64+(seat_pitch)</f>
        <v>26.75</v>
      </c>
      <c r="BN1930" s="281">
        <f>$AX$8</f>
        <v>0.24999999999999978</v>
      </c>
      <c r="BO1930" s="281">
        <f t="shared" si="164"/>
        <v>8.9395200000000017</v>
      </c>
    </row>
    <row r="1931" spans="65:67" x14ac:dyDescent="0.25">
      <c r="BM1931" s="281">
        <f>x_seat_end</f>
        <v>26.75</v>
      </c>
      <c r="BN1931" s="281">
        <f>$AX$9</f>
        <v>0.78</v>
      </c>
      <c r="BO1931" s="281">
        <f t="shared" si="164"/>
        <v>8.9395200000000017</v>
      </c>
    </row>
    <row r="1932" spans="65:67" x14ac:dyDescent="0.25">
      <c r="BM1932" s="281">
        <f>x_eco0</f>
        <v>6.5</v>
      </c>
      <c r="BN1932" s="281">
        <f>$AX$9</f>
        <v>0.78</v>
      </c>
      <c r="BO1932" s="281">
        <f t="shared" si="164"/>
        <v>-11.310479999999998</v>
      </c>
    </row>
    <row r="1933" spans="65:67" x14ac:dyDescent="0.25">
      <c r="BM1933" s="281">
        <f>$AZ$5+0.2*(seat_pitch)*($AY$5*n_SA+$AW$9&lt;pax_e)</f>
        <v>6.6619999999999999</v>
      </c>
      <c r="BN1933" s="281">
        <f>$AX$9</f>
        <v>0.78</v>
      </c>
      <c r="BO1933" s="281">
        <f t="shared" si="164"/>
        <v>-11.148479999999999</v>
      </c>
    </row>
    <row r="1934" spans="65:67" x14ac:dyDescent="0.25">
      <c r="BM1934" s="281">
        <f>$AZ$5+0.2*(seat_pitch)*($AY$5*n_SA+$AW$9&lt;pax_e)</f>
        <v>6.6619999999999999</v>
      </c>
      <c r="BN1934" s="281">
        <f>$AX$9+seat_w*($AY$5*n_SA+$AW$9&lt;pax_e)</f>
        <v>1.31</v>
      </c>
      <c r="BO1934" s="281">
        <f t="shared" si="164"/>
        <v>-11.148479999999999</v>
      </c>
    </row>
    <row r="1935" spans="65:67" x14ac:dyDescent="0.25">
      <c r="BM1935" s="281">
        <f>$AZ$5</f>
        <v>6.5</v>
      </c>
      <c r="BN1935" s="281">
        <f>$AX$9+seat_w*($AY$5*n_SA+$AW$9&lt;pax_e)</f>
        <v>1.31</v>
      </c>
      <c r="BO1935" s="281">
        <f t="shared" si="164"/>
        <v>-11.310479999999998</v>
      </c>
    </row>
    <row r="1936" spans="65:67" x14ac:dyDescent="0.25">
      <c r="BM1936" s="281">
        <f>$AZ$5+1*(seat_pitch)*($AY$5*n_SA+$AW$9&lt;pax_e)</f>
        <v>7.3100000000000005</v>
      </c>
      <c r="BN1936" s="281">
        <f>$AX$9+seat_w*($AY$5*n_SA+$AW$9&lt;pax_e)</f>
        <v>1.31</v>
      </c>
      <c r="BO1936" s="281">
        <f t="shared" si="164"/>
        <v>-10.500479999999998</v>
      </c>
    </row>
    <row r="1937" spans="65:67" x14ac:dyDescent="0.25">
      <c r="BM1937" s="281">
        <f>$AZ$5+0.8*(seat_pitch)*($AY$5*n_SA+$AW$9&lt;pax_e)</f>
        <v>7.1479999999999997</v>
      </c>
      <c r="BN1937" s="281">
        <f>$AX$9+seat_w*($AY$5*n_SA+$AW$9&lt;pax_e)</f>
        <v>1.31</v>
      </c>
      <c r="BO1937" s="281">
        <f t="shared" si="164"/>
        <v>-10.662479999999999</v>
      </c>
    </row>
    <row r="1938" spans="65:67" x14ac:dyDescent="0.25">
      <c r="BM1938" s="281">
        <f>$AZ$5+0.8*(seat_pitch)*($AY$5*n_SA+$AW$9&lt;pax_e)</f>
        <v>7.1479999999999997</v>
      </c>
      <c r="BN1938" s="281">
        <f>$AX$9</f>
        <v>0.78</v>
      </c>
      <c r="BO1938" s="281">
        <f t="shared" si="164"/>
        <v>-10.662479999999999</v>
      </c>
    </row>
    <row r="1939" spans="65:67" x14ac:dyDescent="0.25">
      <c r="BM1939" s="281">
        <f>$AZ$5+0.2*(seat_pitch)*($AY$5*n_SA+$AW$9&lt;pax_e)</f>
        <v>6.6619999999999999</v>
      </c>
      <c r="BN1939" s="281">
        <f>$AX$9</f>
        <v>0.78</v>
      </c>
      <c r="BO1939" s="281">
        <f t="shared" si="164"/>
        <v>-11.148479999999999</v>
      </c>
    </row>
    <row r="1940" spans="65:67" x14ac:dyDescent="0.25">
      <c r="BM1940" s="281">
        <f>$AZ$5+(seat_pitch)</f>
        <v>7.3100000000000005</v>
      </c>
      <c r="BN1940" s="281">
        <f>$AX$9</f>
        <v>0.78</v>
      </c>
      <c r="BO1940" s="281">
        <f t="shared" si="164"/>
        <v>-10.500479999999998</v>
      </c>
    </row>
    <row r="1941" spans="65:67" x14ac:dyDescent="0.25">
      <c r="BM1941" s="281">
        <f>$AZ$6+0.2*(seat_pitch)*($AY$6*n_SA+$AW$9&lt;pax_e)</f>
        <v>7.4720000000000004</v>
      </c>
      <c r="BN1941" s="281">
        <f>$AX$9</f>
        <v>0.78</v>
      </c>
      <c r="BO1941" s="281">
        <f t="shared" si="164"/>
        <v>-10.338479999999997</v>
      </c>
    </row>
    <row r="1942" spans="65:67" x14ac:dyDescent="0.25">
      <c r="BM1942" s="281">
        <f>$AZ$6+0.2*(seat_pitch)*($AY$6*n_SA+$AW$9&lt;pax_e)</f>
        <v>7.4720000000000004</v>
      </c>
      <c r="BN1942" s="281">
        <f>$AX$9+seat_w*($AY$6*n_SA+$AW$9&lt;pax_e)</f>
        <v>1.31</v>
      </c>
      <c r="BO1942" s="281">
        <f t="shared" si="164"/>
        <v>-10.338479999999997</v>
      </c>
    </row>
    <row r="1943" spans="65:67" x14ac:dyDescent="0.25">
      <c r="BM1943" s="281">
        <f>$AZ$6</f>
        <v>7.3100000000000005</v>
      </c>
      <c r="BN1943" s="281">
        <f>$AX$9+seat_w*($AY$6*n_SA+$AW$9&lt;pax_e)</f>
        <v>1.31</v>
      </c>
      <c r="BO1943" s="281">
        <f t="shared" si="164"/>
        <v>-10.500479999999998</v>
      </c>
    </row>
    <row r="1944" spans="65:67" x14ac:dyDescent="0.25">
      <c r="BM1944" s="281">
        <f>$AZ$6+1*(seat_pitch)*($AY$6*n_SA+$AW$9&lt;pax_e)</f>
        <v>8.120000000000001</v>
      </c>
      <c r="BN1944" s="281">
        <f>$AX$9+seat_w*($AY$6*n_SA+$AW$9&lt;pax_e)</f>
        <v>1.31</v>
      </c>
      <c r="BO1944" s="281">
        <f t="shared" si="164"/>
        <v>-9.6904799999999973</v>
      </c>
    </row>
    <row r="1945" spans="65:67" x14ac:dyDescent="0.25">
      <c r="BM1945" s="281">
        <f>$AZ$6+0.8*(seat_pitch)*($AY$6*n_SA+$AW$9&lt;pax_e)</f>
        <v>7.9580000000000002</v>
      </c>
      <c r="BN1945" s="281">
        <f>$AX$9+seat_w*($AY$6*n_SA+$AW$9&lt;pax_e)</f>
        <v>1.31</v>
      </c>
      <c r="BO1945" s="281">
        <f t="shared" si="164"/>
        <v>-9.8524799999999981</v>
      </c>
    </row>
    <row r="1946" spans="65:67" x14ac:dyDescent="0.25">
      <c r="BM1946" s="281">
        <f>$AZ$6+0.8*(seat_pitch)*($AY$6*n_SA+$AW$9&lt;pax_e)</f>
        <v>7.9580000000000002</v>
      </c>
      <c r="BN1946" s="281">
        <f>$AX$9</f>
        <v>0.78</v>
      </c>
      <c r="BO1946" s="281">
        <f t="shared" si="164"/>
        <v>-9.8524799999999981</v>
      </c>
    </row>
    <row r="1947" spans="65:67" x14ac:dyDescent="0.25">
      <c r="BM1947" s="281">
        <f>$AZ$6+0.2*(seat_pitch)*($AY$6*n_SA+$AW$9&lt;pax_e)</f>
        <v>7.4720000000000004</v>
      </c>
      <c r="BN1947" s="281">
        <f>$AX$9</f>
        <v>0.78</v>
      </c>
      <c r="BO1947" s="281">
        <f t="shared" si="164"/>
        <v>-10.338479999999997</v>
      </c>
    </row>
    <row r="1948" spans="65:67" x14ac:dyDescent="0.25">
      <c r="BM1948" s="281">
        <f>$AZ$6+(seat_pitch)</f>
        <v>8.120000000000001</v>
      </c>
      <c r="BN1948" s="281">
        <f>$AX$9</f>
        <v>0.78</v>
      </c>
      <c r="BO1948" s="281">
        <f t="shared" si="164"/>
        <v>-9.6904799999999973</v>
      </c>
    </row>
    <row r="1949" spans="65:67" x14ac:dyDescent="0.25">
      <c r="BM1949" s="281">
        <f>$AZ$7+0.2*(seat_pitch)*($AY$7*n_SA+$AW$9&lt;pax_e)</f>
        <v>8.2820000000000018</v>
      </c>
      <c r="BN1949" s="281">
        <f>$AX$9</f>
        <v>0.78</v>
      </c>
      <c r="BO1949" s="281">
        <f t="shared" si="164"/>
        <v>-9.5284799999999965</v>
      </c>
    </row>
    <row r="1950" spans="65:67" x14ac:dyDescent="0.25">
      <c r="BM1950" s="281">
        <f>$AZ$7+0.2*(seat_pitch)*($AY$7*n_SA+$AW$9&lt;pax_e)</f>
        <v>8.2820000000000018</v>
      </c>
      <c r="BN1950" s="281">
        <f>$AX$9+seat_w*($AY$7*n_SA+$AW$9&lt;pax_e)</f>
        <v>1.31</v>
      </c>
      <c r="BO1950" s="281">
        <f t="shared" si="164"/>
        <v>-9.5284799999999965</v>
      </c>
    </row>
    <row r="1951" spans="65:67" x14ac:dyDescent="0.25">
      <c r="BM1951" s="281">
        <f>$AZ$7</f>
        <v>8.120000000000001</v>
      </c>
      <c r="BN1951" s="281">
        <f>$AX$9+seat_w*($AY$7*n_SA+$AW$9&lt;pax_e)</f>
        <v>1.31</v>
      </c>
      <c r="BO1951" s="281">
        <f t="shared" si="164"/>
        <v>-9.6904799999999973</v>
      </c>
    </row>
    <row r="1952" spans="65:67" x14ac:dyDescent="0.25">
      <c r="BM1952" s="281">
        <f>$AZ$7+1*(seat_pitch)*($AY$7*n_SA+$AW$9&lt;pax_e)</f>
        <v>8.9300000000000015</v>
      </c>
      <c r="BN1952" s="281">
        <f>$AX$9+seat_w*($AY$7*n_SA+$AW$9&lt;pax_e)</f>
        <v>1.31</v>
      </c>
      <c r="BO1952" s="281">
        <f t="shared" si="164"/>
        <v>-8.8804799999999968</v>
      </c>
    </row>
    <row r="1953" spans="65:67" x14ac:dyDescent="0.25">
      <c r="BM1953" s="281">
        <f>$AZ$7+0.8*(seat_pitch)*($AY$7*n_SA+$AW$9&lt;pax_e)</f>
        <v>8.7680000000000007</v>
      </c>
      <c r="BN1953" s="281">
        <f>$AX$9+seat_w*($AY$7*n_SA+$AW$9&lt;pax_e)</f>
        <v>1.31</v>
      </c>
      <c r="BO1953" s="281">
        <f t="shared" si="164"/>
        <v>-9.0424799999999976</v>
      </c>
    </row>
    <row r="1954" spans="65:67" x14ac:dyDescent="0.25">
      <c r="BM1954" s="281">
        <f>$AZ$7+0.8*(seat_pitch)*($AY$7*n_SA+$AW$9&lt;pax_e)</f>
        <v>8.7680000000000007</v>
      </c>
      <c r="BN1954" s="281">
        <f>$AX$9</f>
        <v>0.78</v>
      </c>
      <c r="BO1954" s="281">
        <f t="shared" si="164"/>
        <v>-9.0424799999999976</v>
      </c>
    </row>
    <row r="1955" spans="65:67" x14ac:dyDescent="0.25">
      <c r="BM1955" s="281">
        <f>$AZ$7+0.2*(seat_pitch)*($AY$7*n_SA+$AW$9&lt;pax_e)</f>
        <v>8.2820000000000018</v>
      </c>
      <c r="BN1955" s="281">
        <f>$AX$9</f>
        <v>0.78</v>
      </c>
      <c r="BO1955" s="281">
        <f t="shared" si="164"/>
        <v>-9.5284799999999965</v>
      </c>
    </row>
    <row r="1956" spans="65:67" x14ac:dyDescent="0.25">
      <c r="BM1956" s="281">
        <f>$AZ$7+(seat_pitch)</f>
        <v>8.9300000000000015</v>
      </c>
      <c r="BN1956" s="281">
        <f>$AX$9</f>
        <v>0.78</v>
      </c>
      <c r="BO1956" s="281">
        <f t="shared" si="164"/>
        <v>-8.8804799999999968</v>
      </c>
    </row>
    <row r="1957" spans="65:67" x14ac:dyDescent="0.25">
      <c r="BM1957" s="281">
        <f>$AZ$8+0.2*(seat_pitch)*($AY$8*n_SA+$AW$9&lt;pax_e)</f>
        <v>9.0920000000000005</v>
      </c>
      <c r="BN1957" s="281">
        <f>$AX$9</f>
        <v>0.78</v>
      </c>
      <c r="BO1957" s="281">
        <f t="shared" si="164"/>
        <v>-8.7184799999999978</v>
      </c>
    </row>
    <row r="1958" spans="65:67" x14ac:dyDescent="0.25">
      <c r="BM1958" s="281">
        <f>$AZ$8+0.2*(seat_pitch)*($AY$8*n_SA+$AW$9&lt;pax_e)</f>
        <v>9.0920000000000005</v>
      </c>
      <c r="BN1958" s="281">
        <f>$AX$9+seat_w*($AY$8*n_SA+$AW$9&lt;pax_e)</f>
        <v>1.31</v>
      </c>
      <c r="BO1958" s="281">
        <f t="shared" si="164"/>
        <v>-8.7184799999999978</v>
      </c>
    </row>
    <row r="1959" spans="65:67" x14ac:dyDescent="0.25">
      <c r="BM1959" s="281">
        <f>$AZ$8</f>
        <v>8.93</v>
      </c>
      <c r="BN1959" s="281">
        <f>$AX$9+seat_w*($AY$8*n_SA+$AW$9&lt;pax_e)</f>
        <v>1.31</v>
      </c>
      <c r="BO1959" s="281">
        <f t="shared" si="164"/>
        <v>-8.8804799999999986</v>
      </c>
    </row>
    <row r="1960" spans="65:67" x14ac:dyDescent="0.25">
      <c r="BM1960" s="281">
        <f>$AZ$8+1*(seat_pitch)*($AY$8*n_SA+$AW$9&lt;pax_e)</f>
        <v>9.74</v>
      </c>
      <c r="BN1960" s="281">
        <f>$AX$9+seat_w*($AY$8*n_SA+$AW$9&lt;pax_e)</f>
        <v>1.31</v>
      </c>
      <c r="BO1960" s="281">
        <f t="shared" si="164"/>
        <v>-8.0704799999999981</v>
      </c>
    </row>
    <row r="1961" spans="65:67" x14ac:dyDescent="0.25">
      <c r="BM1961" s="281">
        <f>$AZ$8+0.8*(seat_pitch)*($AY$8*n_SA+$AW$9&lt;pax_e)</f>
        <v>9.5779999999999994</v>
      </c>
      <c r="BN1961" s="281">
        <f>$AX$9+seat_w*($AY$8*n_SA+$AW$9&lt;pax_e)</f>
        <v>1.31</v>
      </c>
      <c r="BO1961" s="281">
        <f t="shared" si="164"/>
        <v>-8.2324799999999989</v>
      </c>
    </row>
    <row r="1962" spans="65:67" x14ac:dyDescent="0.25">
      <c r="BM1962" s="281">
        <f>$AZ$8+0.8*(seat_pitch)*($AY$8*n_SA+$AW$9&lt;pax_e)</f>
        <v>9.5779999999999994</v>
      </c>
      <c r="BN1962" s="281">
        <f>$AX$9</f>
        <v>0.78</v>
      </c>
      <c r="BO1962" s="281">
        <f t="shared" si="164"/>
        <v>-8.2324799999999989</v>
      </c>
    </row>
    <row r="1963" spans="65:67" x14ac:dyDescent="0.25">
      <c r="BM1963" s="281">
        <f>$AZ$8+0.2*(seat_pitch)*($AY$8*n_SA+$AW$9&lt;pax_e)</f>
        <v>9.0920000000000005</v>
      </c>
      <c r="BN1963" s="281">
        <f>$AX$9</f>
        <v>0.78</v>
      </c>
      <c r="BO1963" s="281">
        <f t="shared" si="164"/>
        <v>-8.7184799999999978</v>
      </c>
    </row>
    <row r="1964" spans="65:67" x14ac:dyDescent="0.25">
      <c r="BM1964" s="281">
        <f>$AZ$8+(seat_pitch)</f>
        <v>9.74</v>
      </c>
      <c r="BN1964" s="281">
        <f>$AX$9</f>
        <v>0.78</v>
      </c>
      <c r="BO1964" s="281">
        <f t="shared" si="164"/>
        <v>-8.0704799999999981</v>
      </c>
    </row>
    <row r="1965" spans="65:67" x14ac:dyDescent="0.25">
      <c r="BM1965" s="281">
        <f>$AZ$9+0.2*(seat_pitch)*($AY$9*n_SA+$AW$9&lt;pax_e)</f>
        <v>9.902000000000001</v>
      </c>
      <c r="BN1965" s="281">
        <f>$AX$9</f>
        <v>0.78</v>
      </c>
      <c r="BO1965" s="281">
        <f t="shared" si="164"/>
        <v>-7.9084799999999973</v>
      </c>
    </row>
    <row r="1966" spans="65:67" x14ac:dyDescent="0.25">
      <c r="BM1966" s="281">
        <f>$AZ$9+0.2*(seat_pitch)*($AY$9*n_SA+$AW$9&lt;pax_e)</f>
        <v>9.902000000000001</v>
      </c>
      <c r="BN1966" s="281">
        <f>$AX$9+seat_w*($AY$9*n_SA+$AW$9&lt;pax_e)</f>
        <v>1.31</v>
      </c>
      <c r="BO1966" s="281">
        <f t="shared" si="164"/>
        <v>-7.9084799999999973</v>
      </c>
    </row>
    <row r="1967" spans="65:67" x14ac:dyDescent="0.25">
      <c r="BM1967" s="281">
        <f>$AZ$9</f>
        <v>9.74</v>
      </c>
      <c r="BN1967" s="281">
        <f>$AX$9+seat_w*($AY$9*n_SA+$AW$9&lt;pax_e)</f>
        <v>1.31</v>
      </c>
      <c r="BO1967" s="281">
        <f t="shared" si="164"/>
        <v>-8.0704799999999981</v>
      </c>
    </row>
    <row r="1968" spans="65:67" x14ac:dyDescent="0.25">
      <c r="BM1968" s="281">
        <f>$AZ$9+1*(seat_pitch)*($AY$9*n_SA+$AW$9&lt;pax_e)</f>
        <v>10.55</v>
      </c>
      <c r="BN1968" s="281">
        <f>$AX$9+seat_w*($AY$9*n_SA+$AW$9&lt;pax_e)</f>
        <v>1.31</v>
      </c>
      <c r="BO1968" s="281">
        <f t="shared" si="164"/>
        <v>-7.2604799999999976</v>
      </c>
    </row>
    <row r="1969" spans="65:67" x14ac:dyDescent="0.25">
      <c r="BM1969" s="281">
        <f>$AZ$9+0.8*(seat_pitch)*($AY$9*n_SA+$AW$9&lt;pax_e)</f>
        <v>10.388</v>
      </c>
      <c r="BN1969" s="281">
        <f>$AX$9+seat_w*($AY$9*n_SA+$AW$9&lt;pax_e)</f>
        <v>1.31</v>
      </c>
      <c r="BO1969" s="281">
        <f t="shared" si="164"/>
        <v>-7.4224799999999984</v>
      </c>
    </row>
    <row r="1970" spans="65:67" x14ac:dyDescent="0.25">
      <c r="BM1970" s="281">
        <f>$AZ$9+0.8*(seat_pitch)*($AY$9*n_SA+$AW$9&lt;pax_e)</f>
        <v>10.388</v>
      </c>
      <c r="BN1970" s="281">
        <f>$AX$9</f>
        <v>0.78</v>
      </c>
      <c r="BO1970" s="281">
        <f t="shared" si="164"/>
        <v>-7.4224799999999984</v>
      </c>
    </row>
    <row r="1971" spans="65:67" x14ac:dyDescent="0.25">
      <c r="BM1971" s="281">
        <f>$AZ$9+0.2*(seat_pitch)*($AY$9*n_SA+$AW$9&lt;pax_e)</f>
        <v>9.902000000000001</v>
      </c>
      <c r="BN1971" s="281">
        <f>$AX$9</f>
        <v>0.78</v>
      </c>
      <c r="BO1971" s="281">
        <f t="shared" si="164"/>
        <v>-7.9084799999999973</v>
      </c>
    </row>
    <row r="1972" spans="65:67" x14ac:dyDescent="0.25">
      <c r="BM1972" s="281">
        <f>$AZ$9+(seat_pitch)</f>
        <v>10.55</v>
      </c>
      <c r="BN1972" s="281">
        <f>$AX$9</f>
        <v>0.78</v>
      </c>
      <c r="BO1972" s="281">
        <f t="shared" si="164"/>
        <v>-7.2604799999999976</v>
      </c>
    </row>
    <row r="1973" spans="65:67" x14ac:dyDescent="0.25">
      <c r="BM1973" s="281">
        <f>$AZ$10+0.2*(seat_pitch)*($AY$10*n_SA+$AW$9&lt;pax_e)</f>
        <v>10.712000000000002</v>
      </c>
      <c r="BN1973" s="281">
        <f>$AX$9</f>
        <v>0.78</v>
      </c>
      <c r="BO1973" s="281">
        <f t="shared" si="164"/>
        <v>-7.0984799999999968</v>
      </c>
    </row>
    <row r="1974" spans="65:67" x14ac:dyDescent="0.25">
      <c r="BM1974" s="281">
        <f>$AZ$10+0.2*(seat_pitch)*($AY$10*n_SA+$AW$9&lt;pax_e)</f>
        <v>10.712000000000002</v>
      </c>
      <c r="BN1974" s="281">
        <f>$AX$9+seat_w*($AY$10*n_SA+$AW$9&lt;pax_e)</f>
        <v>1.31</v>
      </c>
      <c r="BO1974" s="281">
        <f t="shared" si="164"/>
        <v>-7.0984799999999968</v>
      </c>
    </row>
    <row r="1975" spans="65:67" x14ac:dyDescent="0.25">
      <c r="BM1975" s="281">
        <f>$AZ$10</f>
        <v>10.55</v>
      </c>
      <c r="BN1975" s="281">
        <f>$AX$9+seat_w*($AY$10*n_SA+$AW$9&lt;pax_e)</f>
        <v>1.31</v>
      </c>
      <c r="BO1975" s="281">
        <f t="shared" si="164"/>
        <v>-7.2604799999999976</v>
      </c>
    </row>
    <row r="1976" spans="65:67" x14ac:dyDescent="0.25">
      <c r="BM1976" s="281">
        <f>$AZ$10+1*(seat_pitch)*($AY$10*n_SA+$AW$9&lt;pax_e)</f>
        <v>11.360000000000001</v>
      </c>
      <c r="BN1976" s="281">
        <f>$AX$9+seat_w*($AY$10*n_SA+$AW$9&lt;pax_e)</f>
        <v>1.31</v>
      </c>
      <c r="BO1976" s="281">
        <f t="shared" si="164"/>
        <v>-6.4504799999999971</v>
      </c>
    </row>
    <row r="1977" spans="65:67" x14ac:dyDescent="0.25">
      <c r="BM1977" s="281">
        <f>$AZ$10+0.8*(seat_pitch)*($AY$10*n_SA+$AW$9&lt;pax_e)</f>
        <v>11.198</v>
      </c>
      <c r="BN1977" s="281">
        <f>$AX$9+seat_w*($AY$10*n_SA+$AW$9&lt;pax_e)</f>
        <v>1.31</v>
      </c>
      <c r="BO1977" s="281">
        <f t="shared" si="164"/>
        <v>-6.6124799999999979</v>
      </c>
    </row>
    <row r="1978" spans="65:67" x14ac:dyDescent="0.25">
      <c r="BM1978" s="281">
        <f>$AZ$10+0.8*(seat_pitch)*($AY$10*n_SA+$AW$9&lt;pax_e)</f>
        <v>11.198</v>
      </c>
      <c r="BN1978" s="281">
        <f>$AX$9</f>
        <v>0.78</v>
      </c>
      <c r="BO1978" s="281">
        <f t="shared" si="164"/>
        <v>-6.6124799999999979</v>
      </c>
    </row>
    <row r="1979" spans="65:67" x14ac:dyDescent="0.25">
      <c r="BM1979" s="281">
        <f>$AZ$10+0.2*(seat_pitch)*($AY$10*n_SA+$AW$9&lt;pax_e)</f>
        <v>10.712000000000002</v>
      </c>
      <c r="BN1979" s="281">
        <f>$AX$9</f>
        <v>0.78</v>
      </c>
      <c r="BO1979" s="281">
        <f t="shared" si="164"/>
        <v>-7.0984799999999968</v>
      </c>
    </row>
    <row r="1980" spans="65:67" x14ac:dyDescent="0.25">
      <c r="BM1980" s="281">
        <f>$AZ$10+(seat_pitch)</f>
        <v>11.360000000000001</v>
      </c>
      <c r="BN1980" s="281">
        <f>$AX$9</f>
        <v>0.78</v>
      </c>
      <c r="BO1980" s="281">
        <f t="shared" si="164"/>
        <v>-6.4504799999999971</v>
      </c>
    </row>
    <row r="1981" spans="65:67" x14ac:dyDescent="0.25">
      <c r="BM1981" s="281">
        <f>$AZ$11+0.2*(seat_pitch)*($AY$11*n_SA+$AW$9&lt;pax_e)</f>
        <v>11.522</v>
      </c>
      <c r="BN1981" s="281">
        <f>$AX$9</f>
        <v>0.78</v>
      </c>
      <c r="BO1981" s="281">
        <f t="shared" si="164"/>
        <v>-6.2884799999999981</v>
      </c>
    </row>
    <row r="1982" spans="65:67" x14ac:dyDescent="0.25">
      <c r="BM1982" s="281">
        <f>$AZ$11+0.2*(seat_pitch)*($AY$11*n_SA+$AW$9&lt;pax_e)</f>
        <v>11.522</v>
      </c>
      <c r="BN1982" s="281">
        <f>$AX$9+seat_w*($AY$11*n_SA+$AW$9&lt;pax_e)</f>
        <v>1.31</v>
      </c>
      <c r="BO1982" s="281">
        <f t="shared" si="164"/>
        <v>-6.2884799999999981</v>
      </c>
    </row>
    <row r="1983" spans="65:67" x14ac:dyDescent="0.25">
      <c r="BM1983" s="281">
        <f>$AZ$11</f>
        <v>11.36</v>
      </c>
      <c r="BN1983" s="281">
        <f>$AX$9+seat_w*($AY$11*n_SA+$AW$9&lt;pax_e)</f>
        <v>1.31</v>
      </c>
      <c r="BO1983" s="281">
        <f t="shared" si="164"/>
        <v>-6.4504799999999989</v>
      </c>
    </row>
    <row r="1984" spans="65:67" x14ac:dyDescent="0.25">
      <c r="BM1984" s="281">
        <f>$AZ$11+1*(seat_pitch)*($AY$11*n_SA+$AW$9&lt;pax_e)</f>
        <v>12.17</v>
      </c>
      <c r="BN1984" s="281">
        <f>$AX$9+seat_w*($AY$11*n_SA+$AW$9&lt;pax_e)</f>
        <v>1.31</v>
      </c>
      <c r="BO1984" s="281">
        <f t="shared" si="164"/>
        <v>-5.6404799999999984</v>
      </c>
    </row>
    <row r="1985" spans="65:67" x14ac:dyDescent="0.25">
      <c r="BM1985" s="281">
        <f>$AZ$11+0.8*(seat_pitch)*($AY$11*n_SA+$AW$9&lt;pax_e)</f>
        <v>12.007999999999999</v>
      </c>
      <c r="BN1985" s="281">
        <f>$AX$9+seat_w*($AY$11*n_SA+$AW$9&lt;pax_e)</f>
        <v>1.31</v>
      </c>
      <c r="BO1985" s="281">
        <f t="shared" si="164"/>
        <v>-5.8024799999999992</v>
      </c>
    </row>
    <row r="1986" spans="65:67" x14ac:dyDescent="0.25">
      <c r="BM1986" s="281">
        <f>$AZ$11+0.8*(seat_pitch)*($AY$11*n_SA+$AW$9&lt;pax_e)</f>
        <v>12.007999999999999</v>
      </c>
      <c r="BN1986" s="281">
        <f>$AX$9</f>
        <v>0.78</v>
      </c>
      <c r="BO1986" s="281">
        <f t="shared" si="164"/>
        <v>-5.8024799999999992</v>
      </c>
    </row>
    <row r="1987" spans="65:67" x14ac:dyDescent="0.25">
      <c r="BM1987" s="281">
        <f>$AZ$11+0.2*(seat_pitch)*($AY$11*n_SA+$AW$9&lt;pax_e)</f>
        <v>11.522</v>
      </c>
      <c r="BN1987" s="281">
        <f>$AX$9</f>
        <v>0.78</v>
      </c>
      <c r="BO1987" s="281">
        <f t="shared" si="164"/>
        <v>-6.2884799999999981</v>
      </c>
    </row>
    <row r="1988" spans="65:67" x14ac:dyDescent="0.25">
      <c r="BM1988" s="281">
        <f>$AZ$11+(seat_pitch)</f>
        <v>12.17</v>
      </c>
      <c r="BN1988" s="281">
        <f>$AX$9</f>
        <v>0.78</v>
      </c>
      <c r="BO1988" s="281">
        <f t="shared" si="164"/>
        <v>-5.6404799999999984</v>
      </c>
    </row>
    <row r="1989" spans="65:67" x14ac:dyDescent="0.25">
      <c r="BM1989" s="281">
        <f>$AZ$12+0.2*(seat_pitch)*($AY$12*n_SA+$AW$9&lt;pax_e)</f>
        <v>12.332000000000001</v>
      </c>
      <c r="BN1989" s="281">
        <f>$AX$9</f>
        <v>0.78</v>
      </c>
      <c r="BO1989" s="281">
        <f t="shared" ref="BO1989:BO2052" si="165">BM1989-L_fus/2</f>
        <v>-5.4784799999999976</v>
      </c>
    </row>
    <row r="1990" spans="65:67" x14ac:dyDescent="0.25">
      <c r="BM1990" s="281">
        <f>$AZ$12+0.2*(seat_pitch)*($AY$12*n_SA+$AW$9&lt;pax_e)</f>
        <v>12.332000000000001</v>
      </c>
      <c r="BN1990" s="281">
        <f>$AX$9+seat_w*($AY$12*n_SA+$AW$9&lt;pax_e)</f>
        <v>1.31</v>
      </c>
      <c r="BO1990" s="281">
        <f t="shared" si="165"/>
        <v>-5.4784799999999976</v>
      </c>
    </row>
    <row r="1991" spans="65:67" x14ac:dyDescent="0.25">
      <c r="BM1991" s="281">
        <f>$AZ$12</f>
        <v>12.17</v>
      </c>
      <c r="BN1991" s="281">
        <f>$AX$9+seat_w*($AY$12*n_SA+$AW$9&lt;pax_e)</f>
        <v>1.31</v>
      </c>
      <c r="BO1991" s="281">
        <f t="shared" si="165"/>
        <v>-5.6404799999999984</v>
      </c>
    </row>
    <row r="1992" spans="65:67" x14ac:dyDescent="0.25">
      <c r="BM1992" s="281">
        <f>$AZ$12+1*(seat_pitch)*($AY$12*n_SA+$AW$9&lt;pax_e)</f>
        <v>12.98</v>
      </c>
      <c r="BN1992" s="281">
        <f>$AX$9+seat_w*($AY$12*n_SA+$AW$9&lt;pax_e)</f>
        <v>1.31</v>
      </c>
      <c r="BO1992" s="281">
        <f t="shared" si="165"/>
        <v>-4.8304799999999979</v>
      </c>
    </row>
    <row r="1993" spans="65:67" x14ac:dyDescent="0.25">
      <c r="BM1993" s="281">
        <f>$AZ$12+0.8*(seat_pitch)*($AY$12*n_SA+$AW$9&lt;pax_e)</f>
        <v>12.818</v>
      </c>
      <c r="BN1993" s="281">
        <f>$AX$9+seat_w*($AY$12*n_SA+$AW$9&lt;pax_e)</f>
        <v>1.31</v>
      </c>
      <c r="BO1993" s="281">
        <f t="shared" si="165"/>
        <v>-4.9924799999999987</v>
      </c>
    </row>
    <row r="1994" spans="65:67" x14ac:dyDescent="0.25">
      <c r="BM1994" s="281">
        <f>$AZ$12+0.8*(seat_pitch)*($AY$12*n_SA+$AW$9&lt;pax_e)</f>
        <v>12.818</v>
      </c>
      <c r="BN1994" s="281">
        <f>$AX$9</f>
        <v>0.78</v>
      </c>
      <c r="BO1994" s="281">
        <f t="shared" si="165"/>
        <v>-4.9924799999999987</v>
      </c>
    </row>
    <row r="1995" spans="65:67" x14ac:dyDescent="0.25">
      <c r="BM1995" s="281">
        <f>$AZ$12+0.2*(seat_pitch)*($AY$12*n_SA+$AW$9&lt;pax_e)</f>
        <v>12.332000000000001</v>
      </c>
      <c r="BN1995" s="281">
        <f>$AX$9</f>
        <v>0.78</v>
      </c>
      <c r="BO1995" s="281">
        <f t="shared" si="165"/>
        <v>-5.4784799999999976</v>
      </c>
    </row>
    <row r="1996" spans="65:67" x14ac:dyDescent="0.25">
      <c r="BM1996" s="281">
        <f>$AZ$12+(seat_pitch)</f>
        <v>12.98</v>
      </c>
      <c r="BN1996" s="281">
        <f>$AX$9</f>
        <v>0.78</v>
      </c>
      <c r="BO1996" s="281">
        <f t="shared" si="165"/>
        <v>-4.8304799999999979</v>
      </c>
    </row>
    <row r="1997" spans="65:67" x14ac:dyDescent="0.25">
      <c r="BM1997" s="281">
        <f>$AZ$13+0.2*(seat_pitch)*($AY$13*n_SA+$AW$9&lt;pax_e)</f>
        <v>13.142000000000001</v>
      </c>
      <c r="BN1997" s="281">
        <f>$AX$9</f>
        <v>0.78</v>
      </c>
      <c r="BO1997" s="281">
        <f t="shared" si="165"/>
        <v>-4.6684799999999971</v>
      </c>
    </row>
    <row r="1998" spans="65:67" x14ac:dyDescent="0.25">
      <c r="BM1998" s="281">
        <f>$AZ$13+0.2*(seat_pitch)*($AY$13*n_SA+$AW$9&lt;pax_e)</f>
        <v>13.142000000000001</v>
      </c>
      <c r="BN1998" s="281">
        <f>$AX$9+seat_w*($AY$13*n_SA+$AW$9&lt;pax_e)</f>
        <v>1.31</v>
      </c>
      <c r="BO1998" s="281">
        <f t="shared" si="165"/>
        <v>-4.6684799999999971</v>
      </c>
    </row>
    <row r="1999" spans="65:67" x14ac:dyDescent="0.25">
      <c r="BM1999" s="281">
        <f>$AZ$13</f>
        <v>12.98</v>
      </c>
      <c r="BN1999" s="281">
        <f>$AX$9+seat_w*($AY$13*n_SA+$AW$9&lt;pax_e)</f>
        <v>1.31</v>
      </c>
      <c r="BO1999" s="281">
        <f t="shared" si="165"/>
        <v>-4.8304799999999979</v>
      </c>
    </row>
    <row r="2000" spans="65:67" x14ac:dyDescent="0.25">
      <c r="BM2000" s="281">
        <f>$AZ$13+1*(seat_pitch)*($AY$13*n_SA+$AW$9&lt;pax_e)</f>
        <v>13.790000000000001</v>
      </c>
      <c r="BN2000" s="281">
        <f>$AX$9+seat_w*($AY$13*n_SA+$AW$9&lt;pax_e)</f>
        <v>1.31</v>
      </c>
      <c r="BO2000" s="281">
        <f t="shared" si="165"/>
        <v>-4.0204799999999974</v>
      </c>
    </row>
    <row r="2001" spans="65:67" x14ac:dyDescent="0.25">
      <c r="BM2001" s="281">
        <f>$AZ$13+0.8*(seat_pitch)*($AY$13*n_SA+$AW$9&lt;pax_e)</f>
        <v>13.628</v>
      </c>
      <c r="BN2001" s="281">
        <f>$AX$9+seat_w*($AY$13*n_SA+$AW$9&lt;pax_e)</f>
        <v>1.31</v>
      </c>
      <c r="BO2001" s="281">
        <f t="shared" si="165"/>
        <v>-4.1824799999999982</v>
      </c>
    </row>
    <row r="2002" spans="65:67" x14ac:dyDescent="0.25">
      <c r="BM2002" s="281">
        <f>$AZ$13+0.8*(seat_pitch)*($AY$13*n_SA+$AW$9&lt;pax_e)</f>
        <v>13.628</v>
      </c>
      <c r="BN2002" s="281">
        <f>$AX$9</f>
        <v>0.78</v>
      </c>
      <c r="BO2002" s="281">
        <f t="shared" si="165"/>
        <v>-4.1824799999999982</v>
      </c>
    </row>
    <row r="2003" spans="65:67" x14ac:dyDescent="0.25">
      <c r="BM2003" s="281">
        <f>$AZ$13+0.2*(seat_pitch)*($AY$13*n_SA+$AW$9&lt;pax_e)</f>
        <v>13.142000000000001</v>
      </c>
      <c r="BN2003" s="281">
        <f>$AX$9</f>
        <v>0.78</v>
      </c>
      <c r="BO2003" s="281">
        <f t="shared" si="165"/>
        <v>-4.6684799999999971</v>
      </c>
    </row>
    <row r="2004" spans="65:67" x14ac:dyDescent="0.25">
      <c r="BM2004" s="281">
        <f>$AZ$13+(seat_pitch)</f>
        <v>13.790000000000001</v>
      </c>
      <c r="BN2004" s="281">
        <f>$AX$9</f>
        <v>0.78</v>
      </c>
      <c r="BO2004" s="281">
        <f t="shared" si="165"/>
        <v>-4.0204799999999974</v>
      </c>
    </row>
    <row r="2005" spans="65:67" x14ac:dyDescent="0.25">
      <c r="BM2005" s="281">
        <f>$AZ$14+0.2*(seat_pitch)*($AY$14*n_SA+$AW$9&lt;pax_e)</f>
        <v>13.952000000000002</v>
      </c>
      <c r="BN2005" s="281">
        <f>$AX$9</f>
        <v>0.78</v>
      </c>
      <c r="BO2005" s="281">
        <f t="shared" si="165"/>
        <v>-3.8584799999999966</v>
      </c>
    </row>
    <row r="2006" spans="65:67" x14ac:dyDescent="0.25">
      <c r="BM2006" s="281">
        <f>$AZ$14+0.2*(seat_pitch)*($AY$14*n_SA+$AW$9&lt;pax_e)</f>
        <v>13.952000000000002</v>
      </c>
      <c r="BN2006" s="281">
        <f>$AX$9+seat_w*($AY$14*n_SA+$AW$9&lt;pax_e)</f>
        <v>1.31</v>
      </c>
      <c r="BO2006" s="281">
        <f t="shared" si="165"/>
        <v>-3.8584799999999966</v>
      </c>
    </row>
    <row r="2007" spans="65:67" x14ac:dyDescent="0.25">
      <c r="BM2007" s="281">
        <f>$AZ$14</f>
        <v>13.790000000000001</v>
      </c>
      <c r="BN2007" s="281">
        <f>$AX$9+seat_w*($AY$14*n_SA+$AW$9&lt;pax_e)</f>
        <v>1.31</v>
      </c>
      <c r="BO2007" s="281">
        <f t="shared" si="165"/>
        <v>-4.0204799999999974</v>
      </c>
    </row>
    <row r="2008" spans="65:67" x14ac:dyDescent="0.25">
      <c r="BM2008" s="281">
        <f>$AZ$14+1*(seat_pitch)*($AY$14*n_SA+$AW$9&lt;pax_e)</f>
        <v>14.600000000000001</v>
      </c>
      <c r="BN2008" s="281">
        <f>$AX$9+seat_w*($AY$14*n_SA+$AW$9&lt;pax_e)</f>
        <v>1.31</v>
      </c>
      <c r="BO2008" s="281">
        <f t="shared" si="165"/>
        <v>-3.2104799999999969</v>
      </c>
    </row>
    <row r="2009" spans="65:67" x14ac:dyDescent="0.25">
      <c r="BM2009" s="281">
        <f>$AZ$14+0.8*(seat_pitch)*($AY$14*n_SA+$AW$9&lt;pax_e)</f>
        <v>14.438000000000001</v>
      </c>
      <c r="BN2009" s="281">
        <f>$AX$9+seat_w*($AY$14*n_SA+$AW$9&lt;pax_e)</f>
        <v>1.31</v>
      </c>
      <c r="BO2009" s="281">
        <f t="shared" si="165"/>
        <v>-3.3724799999999977</v>
      </c>
    </row>
    <row r="2010" spans="65:67" x14ac:dyDescent="0.25">
      <c r="BM2010" s="281">
        <f>$AZ$14+0.8*(seat_pitch)*($AY$14*n_SA+$AW$9&lt;pax_e)</f>
        <v>14.438000000000001</v>
      </c>
      <c r="BN2010" s="281">
        <f>$AX$9</f>
        <v>0.78</v>
      </c>
      <c r="BO2010" s="281">
        <f t="shared" si="165"/>
        <v>-3.3724799999999977</v>
      </c>
    </row>
    <row r="2011" spans="65:67" x14ac:dyDescent="0.25">
      <c r="BM2011" s="281">
        <f>$AZ$14+0.2*(seat_pitch)*($AY$14*n_SA+$AW$9&lt;pax_e)</f>
        <v>13.952000000000002</v>
      </c>
      <c r="BN2011" s="281">
        <f>$AX$9</f>
        <v>0.78</v>
      </c>
      <c r="BO2011" s="281">
        <f t="shared" si="165"/>
        <v>-3.8584799999999966</v>
      </c>
    </row>
    <row r="2012" spans="65:67" x14ac:dyDescent="0.25">
      <c r="BM2012" s="281">
        <f>$AZ$14+(seat_pitch)</f>
        <v>14.600000000000001</v>
      </c>
      <c r="BN2012" s="281">
        <f>$AX$9</f>
        <v>0.78</v>
      </c>
      <c r="BO2012" s="281">
        <f t="shared" si="165"/>
        <v>-3.2104799999999969</v>
      </c>
    </row>
    <row r="2013" spans="65:67" x14ac:dyDescent="0.25">
      <c r="BM2013" s="281">
        <f>$AZ$15+0.2*(seat_pitch)*($AY$15*n_SA+$AW$9&lt;pax_e)</f>
        <v>14.762000000000002</v>
      </c>
      <c r="BN2013" s="281">
        <f>$AX$9</f>
        <v>0.78</v>
      </c>
      <c r="BO2013" s="281">
        <f t="shared" si="165"/>
        <v>-3.0484799999999961</v>
      </c>
    </row>
    <row r="2014" spans="65:67" x14ac:dyDescent="0.25">
      <c r="BM2014" s="281">
        <f>$AZ$15+0.2*(seat_pitch)*($AY$15*n_SA+$AW$9&lt;pax_e)</f>
        <v>14.762000000000002</v>
      </c>
      <c r="BN2014" s="281">
        <f>$AX$9+seat_w*($AY$15*n_SA+$AW$9&lt;pax_e)</f>
        <v>1.31</v>
      </c>
      <c r="BO2014" s="281">
        <f t="shared" si="165"/>
        <v>-3.0484799999999961</v>
      </c>
    </row>
    <row r="2015" spans="65:67" x14ac:dyDescent="0.25">
      <c r="BM2015" s="281">
        <f>$AZ$15</f>
        <v>14.600000000000001</v>
      </c>
      <c r="BN2015" s="281">
        <f>$AX$9+seat_w*($AY$15*n_SA+$AW$9&lt;pax_e)</f>
        <v>1.31</v>
      </c>
      <c r="BO2015" s="281">
        <f t="shared" si="165"/>
        <v>-3.2104799999999969</v>
      </c>
    </row>
    <row r="2016" spans="65:67" x14ac:dyDescent="0.25">
      <c r="BM2016" s="281">
        <f>$AZ$15+1*(seat_pitch)*($AY$15*n_SA+$AW$9&lt;pax_e)</f>
        <v>15.410000000000002</v>
      </c>
      <c r="BN2016" s="281">
        <f>$AX$9+seat_w*($AY$15*n_SA+$AW$9&lt;pax_e)</f>
        <v>1.31</v>
      </c>
      <c r="BO2016" s="281">
        <f t="shared" si="165"/>
        <v>-2.4004799999999964</v>
      </c>
    </row>
    <row r="2017" spans="65:67" x14ac:dyDescent="0.25">
      <c r="BM2017" s="281">
        <f>$AZ$15+0.8*(seat_pitch)*($AY$15*n_SA+$AW$9&lt;pax_e)</f>
        <v>15.248000000000001</v>
      </c>
      <c r="BN2017" s="281">
        <f>$AX$9+seat_w*($AY$15*n_SA+$AW$9&lt;pax_e)</f>
        <v>1.31</v>
      </c>
      <c r="BO2017" s="281">
        <f t="shared" si="165"/>
        <v>-2.5624799999999972</v>
      </c>
    </row>
    <row r="2018" spans="65:67" x14ac:dyDescent="0.25">
      <c r="BM2018" s="281">
        <f>$AZ$15+0.8*(seat_pitch)*($AY$15*n_SA+$AW$9&lt;pax_e)</f>
        <v>15.248000000000001</v>
      </c>
      <c r="BN2018" s="281">
        <f>$AX$9</f>
        <v>0.78</v>
      </c>
      <c r="BO2018" s="281">
        <f t="shared" si="165"/>
        <v>-2.5624799999999972</v>
      </c>
    </row>
    <row r="2019" spans="65:67" x14ac:dyDescent="0.25">
      <c r="BM2019" s="281">
        <f>$AZ$15+0.2*(seat_pitch)*($AY$15*n_SA+$AW$9&lt;pax_e)</f>
        <v>14.762000000000002</v>
      </c>
      <c r="BN2019" s="281">
        <f>$AX$9</f>
        <v>0.78</v>
      </c>
      <c r="BO2019" s="281">
        <f t="shared" si="165"/>
        <v>-3.0484799999999961</v>
      </c>
    </row>
    <row r="2020" spans="65:67" x14ac:dyDescent="0.25">
      <c r="BM2020" s="281">
        <f>$AZ$15+(seat_pitch)</f>
        <v>15.410000000000002</v>
      </c>
      <c r="BN2020" s="281">
        <f>$AX$9</f>
        <v>0.78</v>
      </c>
      <c r="BO2020" s="281">
        <f t="shared" si="165"/>
        <v>-2.4004799999999964</v>
      </c>
    </row>
    <row r="2021" spans="65:67" x14ac:dyDescent="0.25">
      <c r="BM2021" s="281">
        <f>$AZ$16+0.2*(seat_pitch)*($AY$16*n_SA+$AW$9&lt;pax_e)</f>
        <v>15.572000000000001</v>
      </c>
      <c r="BN2021" s="281">
        <f>$AX$9</f>
        <v>0.78</v>
      </c>
      <c r="BO2021" s="281">
        <f t="shared" si="165"/>
        <v>-2.2384799999999974</v>
      </c>
    </row>
    <row r="2022" spans="65:67" x14ac:dyDescent="0.25">
      <c r="BM2022" s="281">
        <f>$AZ$16+0.2*(seat_pitch)*($AY$16*n_SA+$AW$9&lt;pax_e)</f>
        <v>15.572000000000001</v>
      </c>
      <c r="BN2022" s="281">
        <f>$AX$9+seat_w*($AY$16*n_SA+$AW$9&lt;pax_e)</f>
        <v>1.31</v>
      </c>
      <c r="BO2022" s="281">
        <f t="shared" si="165"/>
        <v>-2.2384799999999974</v>
      </c>
    </row>
    <row r="2023" spans="65:67" x14ac:dyDescent="0.25">
      <c r="BM2023" s="281">
        <f>$AZ$16</f>
        <v>15.41</v>
      </c>
      <c r="BN2023" s="281">
        <f>$AX$9+seat_w*($AY$16*n_SA+$AW$9&lt;pax_e)</f>
        <v>1.31</v>
      </c>
      <c r="BO2023" s="281">
        <f t="shared" si="165"/>
        <v>-2.4004799999999982</v>
      </c>
    </row>
    <row r="2024" spans="65:67" x14ac:dyDescent="0.25">
      <c r="BM2024" s="281">
        <f>$AZ$16+1*(seat_pitch)*($AY$16*n_SA+$AW$9&lt;pax_e)</f>
        <v>16.22</v>
      </c>
      <c r="BN2024" s="281">
        <f>$AX$9+seat_w*($AY$16*n_SA+$AW$9&lt;pax_e)</f>
        <v>1.31</v>
      </c>
      <c r="BO2024" s="281">
        <f t="shared" si="165"/>
        <v>-1.5904799999999994</v>
      </c>
    </row>
    <row r="2025" spans="65:67" x14ac:dyDescent="0.25">
      <c r="BM2025" s="281">
        <f>$AZ$16+0.8*(seat_pitch)*($AY$16*n_SA+$AW$9&lt;pax_e)</f>
        <v>16.058</v>
      </c>
      <c r="BN2025" s="281">
        <f>$AX$9+seat_w*($AY$16*n_SA+$AW$9&lt;pax_e)</f>
        <v>1.31</v>
      </c>
      <c r="BO2025" s="281">
        <f t="shared" si="165"/>
        <v>-1.7524799999999985</v>
      </c>
    </row>
    <row r="2026" spans="65:67" x14ac:dyDescent="0.25">
      <c r="BM2026" s="281">
        <f>$AZ$16+0.8*(seat_pitch)*($AY$16*n_SA+$AW$9&lt;pax_e)</f>
        <v>16.058</v>
      </c>
      <c r="BN2026" s="281">
        <f>$AX$9</f>
        <v>0.78</v>
      </c>
      <c r="BO2026" s="281">
        <f t="shared" si="165"/>
        <v>-1.7524799999999985</v>
      </c>
    </row>
    <row r="2027" spans="65:67" x14ac:dyDescent="0.25">
      <c r="BM2027" s="281">
        <f>$AZ$16+0.2*(seat_pitch)*($AY$16*n_SA+$AW$9&lt;pax_e)</f>
        <v>15.572000000000001</v>
      </c>
      <c r="BN2027" s="281">
        <f>$AX$9</f>
        <v>0.78</v>
      </c>
      <c r="BO2027" s="281">
        <f t="shared" si="165"/>
        <v>-2.2384799999999974</v>
      </c>
    </row>
    <row r="2028" spans="65:67" x14ac:dyDescent="0.25">
      <c r="BM2028" s="281">
        <f>$AZ$16+(seat_pitch)</f>
        <v>16.22</v>
      </c>
      <c r="BN2028" s="281">
        <f>$AX$9</f>
        <v>0.78</v>
      </c>
      <c r="BO2028" s="281">
        <f t="shared" si="165"/>
        <v>-1.5904799999999994</v>
      </c>
    </row>
    <row r="2029" spans="65:67" x14ac:dyDescent="0.25">
      <c r="BM2029" s="281">
        <f>$AZ$17+0.2*(seat_pitch)*($AY$17*n_SA+$AW$9&lt;pax_e)</f>
        <v>16.381999999999998</v>
      </c>
      <c r="BN2029" s="281">
        <f>$AX$9</f>
        <v>0.78</v>
      </c>
      <c r="BO2029" s="281">
        <f t="shared" si="165"/>
        <v>-1.4284800000000004</v>
      </c>
    </row>
    <row r="2030" spans="65:67" x14ac:dyDescent="0.25">
      <c r="BM2030" s="281">
        <f>$AZ$17+0.2*(seat_pitch)*($AY$17*n_SA+$AW$9&lt;pax_e)</f>
        <v>16.381999999999998</v>
      </c>
      <c r="BN2030" s="281">
        <f>$AX$9+seat_w*($AY$17*n_SA+$AW$9&lt;pax_e)</f>
        <v>1.31</v>
      </c>
      <c r="BO2030" s="281">
        <f t="shared" si="165"/>
        <v>-1.4284800000000004</v>
      </c>
    </row>
    <row r="2031" spans="65:67" x14ac:dyDescent="0.25">
      <c r="BM2031" s="281">
        <f>$AZ$17</f>
        <v>16.22</v>
      </c>
      <c r="BN2031" s="281">
        <f>$AX$9+seat_w*($AY$17*n_SA+$AW$9&lt;pax_e)</f>
        <v>1.31</v>
      </c>
      <c r="BO2031" s="281">
        <f t="shared" si="165"/>
        <v>-1.5904799999999994</v>
      </c>
    </row>
    <row r="2032" spans="65:67" x14ac:dyDescent="0.25">
      <c r="BM2032" s="281">
        <f>$AZ$17+1*(seat_pitch)*($AY$17*n_SA+$AW$9&lt;pax_e)</f>
        <v>17.029999999999998</v>
      </c>
      <c r="BN2032" s="281">
        <f>$AX$9+seat_w*($AY$17*n_SA+$AW$9&lt;pax_e)</f>
        <v>1.31</v>
      </c>
      <c r="BO2032" s="281">
        <f t="shared" si="165"/>
        <v>-0.78048000000000073</v>
      </c>
    </row>
    <row r="2033" spans="65:67" x14ac:dyDescent="0.25">
      <c r="BM2033" s="281">
        <f>$AZ$17+0.8*(seat_pitch)*($AY$17*n_SA+$AW$9&lt;pax_e)</f>
        <v>16.867999999999999</v>
      </c>
      <c r="BN2033" s="281">
        <f>$AX$9+seat_w*($AY$17*n_SA+$AW$9&lt;pax_e)</f>
        <v>1.31</v>
      </c>
      <c r="BO2033" s="281">
        <f t="shared" si="165"/>
        <v>-0.94247999999999976</v>
      </c>
    </row>
    <row r="2034" spans="65:67" x14ac:dyDescent="0.25">
      <c r="BM2034" s="281">
        <f>$AZ$17+0.8*(seat_pitch)*($AY$17*n_SA+$AW$9&lt;pax_e)</f>
        <v>16.867999999999999</v>
      </c>
      <c r="BN2034" s="281">
        <f>$AX$9</f>
        <v>0.78</v>
      </c>
      <c r="BO2034" s="281">
        <f t="shared" si="165"/>
        <v>-0.94247999999999976</v>
      </c>
    </row>
    <row r="2035" spans="65:67" x14ac:dyDescent="0.25">
      <c r="BM2035" s="281">
        <f>$AZ$17+0.2*(seat_pitch)*($AY$17*n_SA+$AW$9&lt;pax_e)</f>
        <v>16.381999999999998</v>
      </c>
      <c r="BN2035" s="281">
        <f>$AX$9</f>
        <v>0.78</v>
      </c>
      <c r="BO2035" s="281">
        <f t="shared" si="165"/>
        <v>-1.4284800000000004</v>
      </c>
    </row>
    <row r="2036" spans="65:67" x14ac:dyDescent="0.25">
      <c r="BM2036" s="281">
        <f>$AZ$17+(seat_pitch)</f>
        <v>17.029999999999998</v>
      </c>
      <c r="BN2036" s="281">
        <f>$AX$9</f>
        <v>0.78</v>
      </c>
      <c r="BO2036" s="281">
        <f t="shared" si="165"/>
        <v>-0.78048000000000073</v>
      </c>
    </row>
    <row r="2037" spans="65:67" x14ac:dyDescent="0.25">
      <c r="BM2037" s="281">
        <f>$AZ$18+0.2*(seat_pitch)*($AY$18*n_SA+$AW$9&lt;pax_e)</f>
        <v>17.192</v>
      </c>
      <c r="BN2037" s="281">
        <f>$AX$9</f>
        <v>0.78</v>
      </c>
      <c r="BO2037" s="281">
        <f t="shared" si="165"/>
        <v>-0.61847999999999814</v>
      </c>
    </row>
    <row r="2038" spans="65:67" x14ac:dyDescent="0.25">
      <c r="BM2038" s="281">
        <f>$AZ$18+0.2*(seat_pitch)*($AY$18*n_SA+$AW$9&lt;pax_e)</f>
        <v>17.192</v>
      </c>
      <c r="BN2038" s="281">
        <f>$AX$9+seat_w*($AY$18*n_SA+$AW$9&lt;pax_e)</f>
        <v>1.31</v>
      </c>
      <c r="BO2038" s="281">
        <f t="shared" si="165"/>
        <v>-0.61847999999999814</v>
      </c>
    </row>
    <row r="2039" spans="65:67" x14ac:dyDescent="0.25">
      <c r="BM2039" s="281">
        <f>$AZ$18</f>
        <v>17.03</v>
      </c>
      <c r="BN2039" s="281">
        <f>$AX$9+seat_w*($AY$18*n_SA+$AW$9&lt;pax_e)</f>
        <v>1.31</v>
      </c>
      <c r="BO2039" s="281">
        <f t="shared" si="165"/>
        <v>-0.78047999999999718</v>
      </c>
    </row>
    <row r="2040" spans="65:67" x14ac:dyDescent="0.25">
      <c r="BM2040" s="281">
        <f>$AZ$18+1*(seat_pitch)*($AY$18*n_SA+$AW$9&lt;pax_e)</f>
        <v>17.84</v>
      </c>
      <c r="BN2040" s="281">
        <f>$AX$9+seat_w*($AY$18*n_SA+$AW$9&lt;pax_e)</f>
        <v>1.31</v>
      </c>
      <c r="BO2040" s="281">
        <f t="shared" si="165"/>
        <v>2.9520000000001545E-2</v>
      </c>
    </row>
    <row r="2041" spans="65:67" x14ac:dyDescent="0.25">
      <c r="BM2041" s="281">
        <f>$AZ$18+0.8*(seat_pitch)*($AY$18*n_SA+$AW$9&lt;pax_e)</f>
        <v>17.678000000000001</v>
      </c>
      <c r="BN2041" s="281">
        <f>$AX$9+seat_w*($AY$18*n_SA+$AW$9&lt;pax_e)</f>
        <v>1.31</v>
      </c>
      <c r="BO2041" s="281">
        <f t="shared" si="165"/>
        <v>-0.13247999999999749</v>
      </c>
    </row>
    <row r="2042" spans="65:67" x14ac:dyDescent="0.25">
      <c r="BM2042" s="281">
        <f>$AZ$18+0.8*(seat_pitch)*($AY$18*n_SA+$AW$9&lt;pax_e)</f>
        <v>17.678000000000001</v>
      </c>
      <c r="BN2042" s="281">
        <f>$AX$9</f>
        <v>0.78</v>
      </c>
      <c r="BO2042" s="281">
        <f t="shared" si="165"/>
        <v>-0.13247999999999749</v>
      </c>
    </row>
    <row r="2043" spans="65:67" x14ac:dyDescent="0.25">
      <c r="BM2043" s="281">
        <f>$AZ$18+0.2*(seat_pitch)*($AY$18*n_SA+$AW$9&lt;pax_e)</f>
        <v>17.192</v>
      </c>
      <c r="BN2043" s="281">
        <f>$AX$9</f>
        <v>0.78</v>
      </c>
      <c r="BO2043" s="281">
        <f t="shared" si="165"/>
        <v>-0.61847999999999814</v>
      </c>
    </row>
    <row r="2044" spans="65:67" x14ac:dyDescent="0.25">
      <c r="BM2044" s="281">
        <f>$AZ$18+(seat_pitch)</f>
        <v>17.84</v>
      </c>
      <c r="BN2044" s="281">
        <f>$AX$9</f>
        <v>0.78</v>
      </c>
      <c r="BO2044" s="281">
        <f t="shared" si="165"/>
        <v>2.9520000000001545E-2</v>
      </c>
    </row>
    <row r="2045" spans="65:67" x14ac:dyDescent="0.25">
      <c r="BM2045" s="281">
        <f>$AZ$19+0.2*(seat_pitch)*($AY$19*n_SA+$AW$9&lt;pax_e)</f>
        <v>18.001999999999999</v>
      </c>
      <c r="BN2045" s="281">
        <f>$AX$9</f>
        <v>0.78</v>
      </c>
      <c r="BO2045" s="281">
        <f t="shared" si="165"/>
        <v>0.19152000000000058</v>
      </c>
    </row>
    <row r="2046" spans="65:67" x14ac:dyDescent="0.25">
      <c r="BM2046" s="281">
        <f>$AZ$19+0.2*(seat_pitch)*($AY$19*n_SA+$AW$9&lt;pax_e)</f>
        <v>18.001999999999999</v>
      </c>
      <c r="BN2046" s="281">
        <f>$AX$9+seat_w*($AY$19*n_SA+$AW$9&lt;pax_e)</f>
        <v>1.31</v>
      </c>
      <c r="BO2046" s="281">
        <f t="shared" si="165"/>
        <v>0.19152000000000058</v>
      </c>
    </row>
    <row r="2047" spans="65:67" x14ac:dyDescent="0.25">
      <c r="BM2047" s="281">
        <f>$AZ$19</f>
        <v>17.84</v>
      </c>
      <c r="BN2047" s="281">
        <f>$AX$9+seat_w*($AY$19*n_SA+$AW$9&lt;pax_e)</f>
        <v>1.31</v>
      </c>
      <c r="BO2047" s="281">
        <f t="shared" si="165"/>
        <v>2.9520000000001545E-2</v>
      </c>
    </row>
    <row r="2048" spans="65:67" x14ac:dyDescent="0.25">
      <c r="BM2048" s="281">
        <f>$AZ$19+1*(seat_pitch)*($AY$19*n_SA+$AW$9&lt;pax_e)</f>
        <v>18.649999999999999</v>
      </c>
      <c r="BN2048" s="281">
        <f>$AX$9+seat_w*($AY$19*n_SA+$AW$9&lt;pax_e)</f>
        <v>1.31</v>
      </c>
      <c r="BO2048" s="281">
        <f t="shared" si="165"/>
        <v>0.83952000000000027</v>
      </c>
    </row>
    <row r="2049" spans="65:67" x14ac:dyDescent="0.25">
      <c r="BM2049" s="281">
        <f>$AZ$19+0.8*(seat_pitch)*($AY$19*n_SA+$AW$9&lt;pax_e)</f>
        <v>18.488</v>
      </c>
      <c r="BN2049" s="281">
        <f>$AX$9+seat_w*($AY$19*n_SA+$AW$9&lt;pax_e)</f>
        <v>1.31</v>
      </c>
      <c r="BO2049" s="281">
        <f t="shared" si="165"/>
        <v>0.67752000000000123</v>
      </c>
    </row>
    <row r="2050" spans="65:67" x14ac:dyDescent="0.25">
      <c r="BM2050" s="281">
        <f>$AZ$19+0.8*(seat_pitch)*($AY$19*n_SA+$AW$9&lt;pax_e)</f>
        <v>18.488</v>
      </c>
      <c r="BN2050" s="281">
        <f>$AX$9</f>
        <v>0.78</v>
      </c>
      <c r="BO2050" s="281">
        <f t="shared" si="165"/>
        <v>0.67752000000000123</v>
      </c>
    </row>
    <row r="2051" spans="65:67" x14ac:dyDescent="0.25">
      <c r="BM2051" s="281">
        <f>$AZ$19+0.2*(seat_pitch)*($AY$19*n_SA+$AW$9&lt;pax_e)</f>
        <v>18.001999999999999</v>
      </c>
      <c r="BN2051" s="281">
        <f>$AX$9</f>
        <v>0.78</v>
      </c>
      <c r="BO2051" s="281">
        <f t="shared" si="165"/>
        <v>0.19152000000000058</v>
      </c>
    </row>
    <row r="2052" spans="65:67" x14ac:dyDescent="0.25">
      <c r="BM2052" s="281">
        <f>$AZ$19+(seat_pitch)</f>
        <v>18.649999999999999</v>
      </c>
      <c r="BN2052" s="281">
        <f>$AX$9</f>
        <v>0.78</v>
      </c>
      <c r="BO2052" s="281">
        <f t="shared" si="165"/>
        <v>0.83952000000000027</v>
      </c>
    </row>
    <row r="2053" spans="65:67" x14ac:dyDescent="0.25">
      <c r="BM2053" s="281">
        <f>$AZ$20+0.2*(seat_pitch)*($AY$20*n_SA+$AW$9&lt;pax_e)</f>
        <v>18.811999999999998</v>
      </c>
      <c r="BN2053" s="281">
        <f>$AX$9</f>
        <v>0.78</v>
      </c>
      <c r="BO2053" s="281">
        <f t="shared" ref="BO2053:BO2116" si="166">BM2053-L_fus/2</f>
        <v>1.0015199999999993</v>
      </c>
    </row>
    <row r="2054" spans="65:67" x14ac:dyDescent="0.25">
      <c r="BM2054" s="281">
        <f>$AZ$20+0.2*(seat_pitch)*($AY$20*n_SA+$AW$9&lt;pax_e)</f>
        <v>18.811999999999998</v>
      </c>
      <c r="BN2054" s="281">
        <f>$AX$9+seat_w*($AY$20*n_SA+$AW$9&lt;pax_e)</f>
        <v>1.31</v>
      </c>
      <c r="BO2054" s="281">
        <f t="shared" si="166"/>
        <v>1.0015199999999993</v>
      </c>
    </row>
    <row r="2055" spans="65:67" x14ac:dyDescent="0.25">
      <c r="BM2055" s="281">
        <f>$AZ$20</f>
        <v>18.649999999999999</v>
      </c>
      <c r="BN2055" s="281">
        <f>$AX$9+seat_w*($AY$20*n_SA+$AW$9&lt;pax_e)</f>
        <v>1.31</v>
      </c>
      <c r="BO2055" s="281">
        <f t="shared" si="166"/>
        <v>0.83952000000000027</v>
      </c>
    </row>
    <row r="2056" spans="65:67" x14ac:dyDescent="0.25">
      <c r="BM2056" s="281">
        <f>$AZ$20+1*(seat_pitch)*($AY$20*n_SA+$AW$9&lt;pax_e)</f>
        <v>19.459999999999997</v>
      </c>
      <c r="BN2056" s="281">
        <f>$AX$9+seat_w*($AY$20*n_SA+$AW$9&lt;pax_e)</f>
        <v>1.31</v>
      </c>
      <c r="BO2056" s="281">
        <f t="shared" si="166"/>
        <v>1.649519999999999</v>
      </c>
    </row>
    <row r="2057" spans="65:67" x14ac:dyDescent="0.25">
      <c r="BM2057" s="281">
        <f>$AZ$20+0.8*(seat_pitch)*($AY$20*n_SA+$AW$9&lt;pax_e)</f>
        <v>19.297999999999998</v>
      </c>
      <c r="BN2057" s="281">
        <f>$AX$9+seat_w*($AY$20*n_SA+$AW$9&lt;pax_e)</f>
        <v>1.31</v>
      </c>
      <c r="BO2057" s="281">
        <f t="shared" si="166"/>
        <v>1.48752</v>
      </c>
    </row>
    <row r="2058" spans="65:67" x14ac:dyDescent="0.25">
      <c r="BM2058" s="281">
        <f>$AZ$20+0.8*(seat_pitch)*($AY$20*n_SA+$AW$9&lt;pax_e)</f>
        <v>19.297999999999998</v>
      </c>
      <c r="BN2058" s="281">
        <f>$AX$9</f>
        <v>0.78</v>
      </c>
      <c r="BO2058" s="281">
        <f t="shared" si="166"/>
        <v>1.48752</v>
      </c>
    </row>
    <row r="2059" spans="65:67" x14ac:dyDescent="0.25">
      <c r="BM2059" s="281">
        <f>$AZ$20+0.2*(seat_pitch)*($AY$20*n_SA+$AW$9&lt;pax_e)</f>
        <v>18.811999999999998</v>
      </c>
      <c r="BN2059" s="281">
        <f>$AX$9</f>
        <v>0.78</v>
      </c>
      <c r="BO2059" s="281">
        <f t="shared" si="166"/>
        <v>1.0015199999999993</v>
      </c>
    </row>
    <row r="2060" spans="65:67" x14ac:dyDescent="0.25">
      <c r="BM2060" s="281">
        <f>$AZ$20+(seat_pitch)</f>
        <v>19.459999999999997</v>
      </c>
      <c r="BN2060" s="281">
        <f>$AX$9</f>
        <v>0.78</v>
      </c>
      <c r="BO2060" s="281">
        <f t="shared" si="166"/>
        <v>1.649519999999999</v>
      </c>
    </row>
    <row r="2061" spans="65:67" x14ac:dyDescent="0.25">
      <c r="BM2061" s="281">
        <f>$AZ$21+0.2*(seat_pitch)*($AY$21*n_SA+$AW$9&lt;pax_e)</f>
        <v>19.622</v>
      </c>
      <c r="BN2061" s="281">
        <f>$AX$9</f>
        <v>0.78</v>
      </c>
      <c r="BO2061" s="281">
        <f t="shared" si="166"/>
        <v>1.8115200000000016</v>
      </c>
    </row>
    <row r="2062" spans="65:67" x14ac:dyDescent="0.25">
      <c r="BM2062" s="281">
        <f>$AZ$21+0.2*(seat_pitch)*($AY$21*n_SA+$AW$9&lt;pax_e)</f>
        <v>19.622</v>
      </c>
      <c r="BN2062" s="281">
        <f>$AX$9+seat_w*($AY$21*n_SA+$AW$9&lt;pax_e)</f>
        <v>1.31</v>
      </c>
      <c r="BO2062" s="281">
        <f t="shared" si="166"/>
        <v>1.8115200000000016</v>
      </c>
    </row>
    <row r="2063" spans="65:67" x14ac:dyDescent="0.25">
      <c r="BM2063" s="281">
        <f>$AZ$21</f>
        <v>19.46</v>
      </c>
      <c r="BN2063" s="281">
        <f>$AX$9+seat_w*($AY$21*n_SA+$AW$9&lt;pax_e)</f>
        <v>1.31</v>
      </c>
      <c r="BO2063" s="281">
        <f t="shared" si="166"/>
        <v>1.6495200000000025</v>
      </c>
    </row>
    <row r="2064" spans="65:67" x14ac:dyDescent="0.25">
      <c r="BM2064" s="281">
        <f>$AZ$21+1*(seat_pitch)*($AY$21*n_SA+$AW$9&lt;pax_e)</f>
        <v>20.27</v>
      </c>
      <c r="BN2064" s="281">
        <f>$AX$9+seat_w*($AY$21*n_SA+$AW$9&lt;pax_e)</f>
        <v>1.31</v>
      </c>
      <c r="BO2064" s="281">
        <f t="shared" si="166"/>
        <v>2.4595200000000013</v>
      </c>
    </row>
    <row r="2065" spans="65:67" x14ac:dyDescent="0.25">
      <c r="BM2065" s="281">
        <f>$AZ$21+0.8*(seat_pitch)*($AY$21*n_SA+$AW$9&lt;pax_e)</f>
        <v>20.108000000000001</v>
      </c>
      <c r="BN2065" s="281">
        <f>$AX$9+seat_w*($AY$21*n_SA+$AW$9&lt;pax_e)</f>
        <v>1.31</v>
      </c>
      <c r="BO2065" s="281">
        <f t="shared" si="166"/>
        <v>2.2975200000000022</v>
      </c>
    </row>
    <row r="2066" spans="65:67" x14ac:dyDescent="0.25">
      <c r="BM2066" s="281">
        <f>$AZ$21+0.8*(seat_pitch)*($AY$21*n_SA+$AW$9&lt;pax_e)</f>
        <v>20.108000000000001</v>
      </c>
      <c r="BN2066" s="281">
        <f>$AX$9</f>
        <v>0.78</v>
      </c>
      <c r="BO2066" s="281">
        <f t="shared" si="166"/>
        <v>2.2975200000000022</v>
      </c>
    </row>
    <row r="2067" spans="65:67" x14ac:dyDescent="0.25">
      <c r="BM2067" s="281">
        <f>$AZ$21+0.2*(seat_pitch)*($AY$21*n_SA+$AW$9&lt;pax_e)</f>
        <v>19.622</v>
      </c>
      <c r="BN2067" s="281">
        <f>$AX$9</f>
        <v>0.78</v>
      </c>
      <c r="BO2067" s="281">
        <f t="shared" si="166"/>
        <v>1.8115200000000016</v>
      </c>
    </row>
    <row r="2068" spans="65:67" x14ac:dyDescent="0.25">
      <c r="BM2068" s="281">
        <f>$AZ$21+(seat_pitch)</f>
        <v>20.27</v>
      </c>
      <c r="BN2068" s="281">
        <f>$AX$9</f>
        <v>0.78</v>
      </c>
      <c r="BO2068" s="281">
        <f t="shared" si="166"/>
        <v>2.4595200000000013</v>
      </c>
    </row>
    <row r="2069" spans="65:67" x14ac:dyDescent="0.25">
      <c r="BM2069" s="281">
        <f>$AZ$22+0.2*(seat_pitch)*($AY$22*n_SA+$AW$9&lt;pax_e)</f>
        <v>20.432000000000002</v>
      </c>
      <c r="BN2069" s="281">
        <f>$AX$9</f>
        <v>0.78</v>
      </c>
      <c r="BO2069" s="281">
        <f t="shared" si="166"/>
        <v>2.6215200000000038</v>
      </c>
    </row>
    <row r="2070" spans="65:67" x14ac:dyDescent="0.25">
      <c r="BM2070" s="281">
        <f>$AZ$22+0.2*(seat_pitch)*($AY$22*n_SA+$AW$9&lt;pax_e)</f>
        <v>20.432000000000002</v>
      </c>
      <c r="BN2070" s="281">
        <f>$AX$9+seat_w*($AY$22*n_SA+$AW$9&lt;pax_e)</f>
        <v>1.31</v>
      </c>
      <c r="BO2070" s="281">
        <f t="shared" si="166"/>
        <v>2.6215200000000038</v>
      </c>
    </row>
    <row r="2071" spans="65:67" x14ac:dyDescent="0.25">
      <c r="BM2071" s="281">
        <f>$AZ$22</f>
        <v>20.270000000000003</v>
      </c>
      <c r="BN2071" s="281">
        <f>$AX$9+seat_w*($AY$22*n_SA+$AW$9&lt;pax_e)</f>
        <v>1.31</v>
      </c>
      <c r="BO2071" s="281">
        <f t="shared" si="166"/>
        <v>2.4595200000000048</v>
      </c>
    </row>
    <row r="2072" spans="65:67" x14ac:dyDescent="0.25">
      <c r="BM2072" s="281">
        <f>$AZ$22+1*(seat_pitch)*($AY$22*n_SA+$AW$9&lt;pax_e)</f>
        <v>21.080000000000002</v>
      </c>
      <c r="BN2072" s="281">
        <f>$AX$9+seat_w*($AY$22*n_SA+$AW$9&lt;pax_e)</f>
        <v>1.31</v>
      </c>
      <c r="BO2072" s="281">
        <f t="shared" si="166"/>
        <v>3.2695200000000035</v>
      </c>
    </row>
    <row r="2073" spans="65:67" x14ac:dyDescent="0.25">
      <c r="BM2073" s="281">
        <f>$AZ$22+0.8*(seat_pitch)*($AY$22*n_SA+$AW$9&lt;pax_e)</f>
        <v>20.918000000000003</v>
      </c>
      <c r="BN2073" s="281">
        <f>$AX$9+seat_w*($AY$22*n_SA+$AW$9&lt;pax_e)</f>
        <v>1.31</v>
      </c>
      <c r="BO2073" s="281">
        <f t="shared" si="166"/>
        <v>3.1075200000000045</v>
      </c>
    </row>
    <row r="2074" spans="65:67" x14ac:dyDescent="0.25">
      <c r="BM2074" s="281">
        <f>$AZ$22+0.8*(seat_pitch)*($AY$22*n_SA+$AW$9&lt;pax_e)</f>
        <v>20.918000000000003</v>
      </c>
      <c r="BN2074" s="281">
        <f>$AX$9</f>
        <v>0.78</v>
      </c>
      <c r="BO2074" s="281">
        <f t="shared" si="166"/>
        <v>3.1075200000000045</v>
      </c>
    </row>
    <row r="2075" spans="65:67" x14ac:dyDescent="0.25">
      <c r="BM2075" s="281">
        <f>$AZ$22+0.2*(seat_pitch)*($AY$22*n_SA+$AW$9&lt;pax_e)</f>
        <v>20.432000000000002</v>
      </c>
      <c r="BN2075" s="281">
        <f>$AX$9</f>
        <v>0.78</v>
      </c>
      <c r="BO2075" s="281">
        <f t="shared" si="166"/>
        <v>2.6215200000000038</v>
      </c>
    </row>
    <row r="2076" spans="65:67" x14ac:dyDescent="0.25">
      <c r="BM2076" s="281">
        <f>$AZ$22+(seat_pitch)</f>
        <v>21.080000000000002</v>
      </c>
      <c r="BN2076" s="281">
        <f>$AX$9</f>
        <v>0.78</v>
      </c>
      <c r="BO2076" s="281">
        <f t="shared" si="166"/>
        <v>3.2695200000000035</v>
      </c>
    </row>
    <row r="2077" spans="65:67" x14ac:dyDescent="0.25">
      <c r="BM2077" s="281">
        <f>$AZ$23+0.2*(seat_pitch)*($AY$23*n_SA+$AW$9&lt;pax_e)</f>
        <v>21.242000000000001</v>
      </c>
      <c r="BN2077" s="281">
        <f>$AX$9</f>
        <v>0.78</v>
      </c>
      <c r="BO2077" s="281">
        <f t="shared" si="166"/>
        <v>3.4315200000000026</v>
      </c>
    </row>
    <row r="2078" spans="65:67" x14ac:dyDescent="0.25">
      <c r="BM2078" s="281">
        <f>$AZ$23+0.2*(seat_pitch)*($AY$23*n_SA+$AW$9&lt;pax_e)</f>
        <v>21.242000000000001</v>
      </c>
      <c r="BN2078" s="281">
        <f>$AX$9+seat_w*($AY$23*n_SA+$AW$9&lt;pax_e)</f>
        <v>1.31</v>
      </c>
      <c r="BO2078" s="281">
        <f t="shared" si="166"/>
        <v>3.4315200000000026</v>
      </c>
    </row>
    <row r="2079" spans="65:67" x14ac:dyDescent="0.25">
      <c r="BM2079" s="281">
        <f>$AZ$23</f>
        <v>21.080000000000002</v>
      </c>
      <c r="BN2079" s="281">
        <f>$AX$9+seat_w*($AY$23*n_SA+$AW$9&lt;pax_e)</f>
        <v>1.31</v>
      </c>
      <c r="BO2079" s="281">
        <f t="shared" si="166"/>
        <v>3.2695200000000035</v>
      </c>
    </row>
    <row r="2080" spans="65:67" x14ac:dyDescent="0.25">
      <c r="BM2080" s="281">
        <f>$AZ$23+1*(seat_pitch)*($AY$23*n_SA+$AW$9&lt;pax_e)</f>
        <v>21.89</v>
      </c>
      <c r="BN2080" s="281">
        <f>$AX$9+seat_w*($AY$23*n_SA+$AW$9&lt;pax_e)</f>
        <v>1.31</v>
      </c>
      <c r="BO2080" s="281">
        <f t="shared" si="166"/>
        <v>4.0795200000000023</v>
      </c>
    </row>
    <row r="2081" spans="65:67" x14ac:dyDescent="0.25">
      <c r="BM2081" s="281">
        <f>$AZ$23+0.8*(seat_pitch)*($AY$23*n_SA+$AW$9&lt;pax_e)</f>
        <v>21.728000000000002</v>
      </c>
      <c r="BN2081" s="281">
        <f>$AX$9+seat_w*($AY$23*n_SA+$AW$9&lt;pax_e)</f>
        <v>1.31</v>
      </c>
      <c r="BO2081" s="281">
        <f t="shared" si="166"/>
        <v>3.9175200000000032</v>
      </c>
    </row>
    <row r="2082" spans="65:67" x14ac:dyDescent="0.25">
      <c r="BM2082" s="281">
        <f>$AZ$23+0.8*(seat_pitch)*($AY$23*n_SA+$AW$9&lt;pax_e)</f>
        <v>21.728000000000002</v>
      </c>
      <c r="BN2082" s="281">
        <f>$AX$9</f>
        <v>0.78</v>
      </c>
      <c r="BO2082" s="281">
        <f t="shared" si="166"/>
        <v>3.9175200000000032</v>
      </c>
    </row>
    <row r="2083" spans="65:67" x14ac:dyDescent="0.25">
      <c r="BM2083" s="281">
        <f>$AZ$23+0.2*(seat_pitch)*($AY$23*n_SA+$AW$9&lt;pax_e)</f>
        <v>21.242000000000001</v>
      </c>
      <c r="BN2083" s="281">
        <f>$AX$9</f>
        <v>0.78</v>
      </c>
      <c r="BO2083" s="281">
        <f t="shared" si="166"/>
        <v>3.4315200000000026</v>
      </c>
    </row>
    <row r="2084" spans="65:67" x14ac:dyDescent="0.25">
      <c r="BM2084" s="281">
        <f>$AZ$23+(seat_pitch)</f>
        <v>21.89</v>
      </c>
      <c r="BN2084" s="281">
        <f>$AX$9</f>
        <v>0.78</v>
      </c>
      <c r="BO2084" s="281">
        <f t="shared" si="166"/>
        <v>4.0795200000000023</v>
      </c>
    </row>
    <row r="2085" spans="65:67" x14ac:dyDescent="0.25">
      <c r="BM2085" s="281">
        <f>$AZ$24+0.2*(seat_pitch)*($AY$24*n_SA+$AW$9&lt;pax_e)</f>
        <v>22.052</v>
      </c>
      <c r="BN2085" s="281">
        <f>$AX$9</f>
        <v>0.78</v>
      </c>
      <c r="BO2085" s="281">
        <f t="shared" si="166"/>
        <v>4.2415200000000013</v>
      </c>
    </row>
    <row r="2086" spans="65:67" x14ac:dyDescent="0.25">
      <c r="BM2086" s="281">
        <f>$AZ$24+0.2*(seat_pitch)*($AY$24*n_SA+$AW$9&lt;pax_e)</f>
        <v>22.052</v>
      </c>
      <c r="BN2086" s="281">
        <f>$AX$9+seat_w*($AY$24*n_SA+$AW$9&lt;pax_e)</f>
        <v>1.31</v>
      </c>
      <c r="BO2086" s="281">
        <f t="shared" si="166"/>
        <v>4.2415200000000013</v>
      </c>
    </row>
    <row r="2087" spans="65:67" x14ac:dyDescent="0.25">
      <c r="BM2087" s="281">
        <f>$AZ$24</f>
        <v>21.89</v>
      </c>
      <c r="BN2087" s="281">
        <f>$AX$9+seat_w*($AY$24*n_SA+$AW$9&lt;pax_e)</f>
        <v>1.31</v>
      </c>
      <c r="BO2087" s="281">
        <f t="shared" si="166"/>
        <v>4.0795200000000023</v>
      </c>
    </row>
    <row r="2088" spans="65:67" x14ac:dyDescent="0.25">
      <c r="BM2088" s="281">
        <f>$AZ$24+1*(seat_pitch)*($AY$24*n_SA+$AW$9&lt;pax_e)</f>
        <v>22.7</v>
      </c>
      <c r="BN2088" s="281">
        <f>$AX$9+seat_w*($AY$24*n_SA+$AW$9&lt;pax_e)</f>
        <v>1.31</v>
      </c>
      <c r="BO2088" s="281">
        <f t="shared" si="166"/>
        <v>4.889520000000001</v>
      </c>
    </row>
    <row r="2089" spans="65:67" x14ac:dyDescent="0.25">
      <c r="BM2089" s="281">
        <f>$AZ$24+0.8*(seat_pitch)*($AY$24*n_SA+$AW$9&lt;pax_e)</f>
        <v>22.538</v>
      </c>
      <c r="BN2089" s="281">
        <f>$AX$9+seat_w*($AY$24*n_SA+$AW$9&lt;pax_e)</f>
        <v>1.31</v>
      </c>
      <c r="BO2089" s="281">
        <f t="shared" si="166"/>
        <v>4.7275200000000019</v>
      </c>
    </row>
    <row r="2090" spans="65:67" x14ac:dyDescent="0.25">
      <c r="BM2090" s="281">
        <f>$AZ$24+0.8*(seat_pitch)*($AY$24*n_SA+$AW$9&lt;pax_e)</f>
        <v>22.538</v>
      </c>
      <c r="BN2090" s="281">
        <f>$AX$9</f>
        <v>0.78</v>
      </c>
      <c r="BO2090" s="281">
        <f t="shared" si="166"/>
        <v>4.7275200000000019</v>
      </c>
    </row>
    <row r="2091" spans="65:67" x14ac:dyDescent="0.25">
      <c r="BM2091" s="281">
        <f>$AZ$24+0.2*(seat_pitch)*($AY$24*n_SA+$AW$9&lt;pax_e)</f>
        <v>22.052</v>
      </c>
      <c r="BN2091" s="281">
        <f>$AX$9</f>
        <v>0.78</v>
      </c>
      <c r="BO2091" s="281">
        <f t="shared" si="166"/>
        <v>4.2415200000000013</v>
      </c>
    </row>
    <row r="2092" spans="65:67" x14ac:dyDescent="0.25">
      <c r="BM2092" s="281">
        <f>$AZ$24+(seat_pitch)</f>
        <v>22.7</v>
      </c>
      <c r="BN2092" s="281">
        <f>$AX$9</f>
        <v>0.78</v>
      </c>
      <c r="BO2092" s="281">
        <f t="shared" si="166"/>
        <v>4.889520000000001</v>
      </c>
    </row>
    <row r="2093" spans="65:67" x14ac:dyDescent="0.25">
      <c r="BM2093" s="281">
        <f>$AZ$25+0.2*(seat_pitch)*($AY$25*n_SA+$AW$9&lt;pax_e)</f>
        <v>22.862000000000002</v>
      </c>
      <c r="BN2093" s="281">
        <f>$AX$9</f>
        <v>0.78</v>
      </c>
      <c r="BO2093" s="281">
        <f t="shared" si="166"/>
        <v>5.0515200000000036</v>
      </c>
    </row>
    <row r="2094" spans="65:67" x14ac:dyDescent="0.25">
      <c r="BM2094" s="281">
        <f>$AZ$25+0.2*(seat_pitch)*($AY$25*n_SA+$AW$9&lt;pax_e)</f>
        <v>22.862000000000002</v>
      </c>
      <c r="BN2094" s="281">
        <f>$AX$9+seat_w*($AY$25*n_SA+$AW$9&lt;pax_e)</f>
        <v>1.31</v>
      </c>
      <c r="BO2094" s="281">
        <f t="shared" si="166"/>
        <v>5.0515200000000036</v>
      </c>
    </row>
    <row r="2095" spans="65:67" x14ac:dyDescent="0.25">
      <c r="BM2095" s="281">
        <f>$AZ$25</f>
        <v>22.700000000000003</v>
      </c>
      <c r="BN2095" s="281">
        <f>$AX$9+seat_w*($AY$25*n_SA+$AW$9&lt;pax_e)</f>
        <v>1.31</v>
      </c>
      <c r="BO2095" s="281">
        <f t="shared" si="166"/>
        <v>4.8895200000000045</v>
      </c>
    </row>
    <row r="2096" spans="65:67" x14ac:dyDescent="0.25">
      <c r="BM2096" s="281">
        <f>$AZ$25+1*(seat_pitch)*($AY$25*n_SA+$AW$9&lt;pax_e)</f>
        <v>23.51</v>
      </c>
      <c r="BN2096" s="281">
        <f>$AX$9+seat_w*($AY$25*n_SA+$AW$9&lt;pax_e)</f>
        <v>1.31</v>
      </c>
      <c r="BO2096" s="281">
        <f t="shared" si="166"/>
        <v>5.6995200000000033</v>
      </c>
    </row>
    <row r="2097" spans="65:67" x14ac:dyDescent="0.25">
      <c r="BM2097" s="281">
        <f>$AZ$25+0.8*(seat_pitch)*($AY$25*n_SA+$AW$9&lt;pax_e)</f>
        <v>23.348000000000003</v>
      </c>
      <c r="BN2097" s="281">
        <f>$AX$9+seat_w*($AY$25*n_SA+$AW$9&lt;pax_e)</f>
        <v>1.31</v>
      </c>
      <c r="BO2097" s="281">
        <f t="shared" si="166"/>
        <v>5.5375200000000042</v>
      </c>
    </row>
    <row r="2098" spans="65:67" x14ac:dyDescent="0.25">
      <c r="BM2098" s="281">
        <f>$AZ$25+0.8*(seat_pitch)*($AY$25*n_SA+$AW$9&lt;pax_e)</f>
        <v>23.348000000000003</v>
      </c>
      <c r="BN2098" s="281">
        <f>$AX$9</f>
        <v>0.78</v>
      </c>
      <c r="BO2098" s="281">
        <f t="shared" si="166"/>
        <v>5.5375200000000042</v>
      </c>
    </row>
    <row r="2099" spans="65:67" x14ac:dyDescent="0.25">
      <c r="BM2099" s="281">
        <f>$AZ$25+0.2*(seat_pitch)*($AY$25*n_SA+$AW$9&lt;pax_e)</f>
        <v>22.862000000000002</v>
      </c>
      <c r="BN2099" s="281">
        <f>$AX$9</f>
        <v>0.78</v>
      </c>
      <c r="BO2099" s="281">
        <f t="shared" si="166"/>
        <v>5.0515200000000036</v>
      </c>
    </row>
    <row r="2100" spans="65:67" x14ac:dyDescent="0.25">
      <c r="BM2100" s="281">
        <f>$AZ$25+(seat_pitch)</f>
        <v>23.51</v>
      </c>
      <c r="BN2100" s="281">
        <f>$AX$9</f>
        <v>0.78</v>
      </c>
      <c r="BO2100" s="281">
        <f t="shared" si="166"/>
        <v>5.6995200000000033</v>
      </c>
    </row>
    <row r="2101" spans="65:67" x14ac:dyDescent="0.25">
      <c r="BM2101" s="281">
        <f>$AZ$26+0.2*(seat_pitch)*($AY$26*n_SA+$AW$9&lt;pax_e)</f>
        <v>23.672000000000001</v>
      </c>
      <c r="BN2101" s="281">
        <f>$AX$9</f>
        <v>0.78</v>
      </c>
      <c r="BO2101" s="281">
        <f t="shared" si="166"/>
        <v>5.8615200000000023</v>
      </c>
    </row>
    <row r="2102" spans="65:67" x14ac:dyDescent="0.25">
      <c r="BM2102" s="281">
        <f>$AZ$26+0.2*(seat_pitch)*($AY$26*n_SA+$AW$9&lt;pax_e)</f>
        <v>23.672000000000001</v>
      </c>
      <c r="BN2102" s="281">
        <f>$AX$9+seat_w*($AY$26*n_SA+$AW$9&lt;pax_e)</f>
        <v>1.31</v>
      </c>
      <c r="BO2102" s="281">
        <f t="shared" si="166"/>
        <v>5.8615200000000023</v>
      </c>
    </row>
    <row r="2103" spans="65:67" x14ac:dyDescent="0.25">
      <c r="BM2103" s="281">
        <f>$AZ$26</f>
        <v>23.51</v>
      </c>
      <c r="BN2103" s="281">
        <f>$AX$9+seat_w*($AY$26*n_SA+$AW$9&lt;pax_e)</f>
        <v>1.31</v>
      </c>
      <c r="BO2103" s="281">
        <f t="shared" si="166"/>
        <v>5.6995200000000033</v>
      </c>
    </row>
    <row r="2104" spans="65:67" x14ac:dyDescent="0.25">
      <c r="BM2104" s="281">
        <f>$AZ$26+1*(seat_pitch)*($AY$26*n_SA+$AW$9&lt;pax_e)</f>
        <v>24.32</v>
      </c>
      <c r="BN2104" s="281">
        <f>$AX$9+seat_w*($AY$26*n_SA+$AW$9&lt;pax_e)</f>
        <v>1.31</v>
      </c>
      <c r="BO2104" s="281">
        <f t="shared" si="166"/>
        <v>6.509520000000002</v>
      </c>
    </row>
    <row r="2105" spans="65:67" x14ac:dyDescent="0.25">
      <c r="BM2105" s="281">
        <f>$AZ$26+0.8*(seat_pitch)*($AY$26*n_SA+$AW$9&lt;pax_e)</f>
        <v>24.158000000000001</v>
      </c>
      <c r="BN2105" s="281">
        <f>$AX$9+seat_w*($AY$26*n_SA+$AW$9&lt;pax_e)</f>
        <v>1.31</v>
      </c>
      <c r="BO2105" s="281">
        <f t="shared" si="166"/>
        <v>6.3475200000000029</v>
      </c>
    </row>
    <row r="2106" spans="65:67" x14ac:dyDescent="0.25">
      <c r="BM2106" s="281">
        <f>$AZ$26+0.8*(seat_pitch)*($AY$26*n_SA+$AW$9&lt;pax_e)</f>
        <v>24.158000000000001</v>
      </c>
      <c r="BN2106" s="281">
        <f>$AX$9</f>
        <v>0.78</v>
      </c>
      <c r="BO2106" s="281">
        <f t="shared" si="166"/>
        <v>6.3475200000000029</v>
      </c>
    </row>
    <row r="2107" spans="65:67" x14ac:dyDescent="0.25">
      <c r="BM2107" s="281">
        <f>$AZ$26+0.2*(seat_pitch)*($AY$26*n_SA+$AW$9&lt;pax_e)</f>
        <v>23.672000000000001</v>
      </c>
      <c r="BN2107" s="281">
        <f>$AX$9</f>
        <v>0.78</v>
      </c>
      <c r="BO2107" s="281">
        <f t="shared" si="166"/>
        <v>5.8615200000000023</v>
      </c>
    </row>
    <row r="2108" spans="65:67" x14ac:dyDescent="0.25">
      <c r="BM2108" s="281">
        <f>$AZ$26+(seat_pitch)</f>
        <v>24.32</v>
      </c>
      <c r="BN2108" s="281">
        <f>$AX$9</f>
        <v>0.78</v>
      </c>
      <c r="BO2108" s="281">
        <f t="shared" si="166"/>
        <v>6.509520000000002</v>
      </c>
    </row>
    <row r="2109" spans="65:67" x14ac:dyDescent="0.25">
      <c r="BM2109" s="281">
        <f>$AZ$27+0.2*(seat_pitch)*($AY$27*n_SA+$AW$9&lt;pax_e)</f>
        <v>24.481999999999999</v>
      </c>
      <c r="BN2109" s="281">
        <f>$AX$9</f>
        <v>0.78</v>
      </c>
      <c r="BO2109" s="281">
        <f t="shared" si="166"/>
        <v>6.671520000000001</v>
      </c>
    </row>
    <row r="2110" spans="65:67" x14ac:dyDescent="0.25">
      <c r="BM2110" s="281">
        <f>$AZ$27+0.2*(seat_pitch)*($AY$27*n_SA+$AW$9&lt;pax_e)</f>
        <v>24.481999999999999</v>
      </c>
      <c r="BN2110" s="281">
        <f>$AX$9+seat_w*($AY$27*n_SA+$AW$9&lt;pax_e)</f>
        <v>1.31</v>
      </c>
      <c r="BO2110" s="281">
        <f t="shared" si="166"/>
        <v>6.671520000000001</v>
      </c>
    </row>
    <row r="2111" spans="65:67" x14ac:dyDescent="0.25">
      <c r="BM2111" s="281">
        <f>$AZ$27</f>
        <v>24.32</v>
      </c>
      <c r="BN2111" s="281">
        <f>$AX$9+seat_w*($AY$27*n_SA+$AW$9&lt;pax_e)</f>
        <v>1.31</v>
      </c>
      <c r="BO2111" s="281">
        <f t="shared" si="166"/>
        <v>6.509520000000002</v>
      </c>
    </row>
    <row r="2112" spans="65:67" x14ac:dyDescent="0.25">
      <c r="BM2112" s="281">
        <f>$AZ$27+1*(seat_pitch)*($AY$27*n_SA+$AW$9&lt;pax_e)</f>
        <v>25.13</v>
      </c>
      <c r="BN2112" s="281">
        <f>$AX$9+seat_w*($AY$27*n_SA+$AW$9&lt;pax_e)</f>
        <v>1.31</v>
      </c>
      <c r="BO2112" s="281">
        <f t="shared" si="166"/>
        <v>7.3195200000000007</v>
      </c>
    </row>
    <row r="2113" spans="65:67" x14ac:dyDescent="0.25">
      <c r="BM2113" s="281">
        <f>$AZ$27+0.8*(seat_pitch)*($AY$27*n_SA+$AW$9&lt;pax_e)</f>
        <v>24.968</v>
      </c>
      <c r="BN2113" s="281">
        <f>$AX$9+seat_w*($AY$27*n_SA+$AW$9&lt;pax_e)</f>
        <v>1.31</v>
      </c>
      <c r="BO2113" s="281">
        <f t="shared" si="166"/>
        <v>7.1575200000000017</v>
      </c>
    </row>
    <row r="2114" spans="65:67" x14ac:dyDescent="0.25">
      <c r="BM2114" s="281">
        <f>$AZ$27+0.8*(seat_pitch)*($AY$27*n_SA+$AW$9&lt;pax_e)</f>
        <v>24.968</v>
      </c>
      <c r="BN2114" s="281">
        <f>$AX$9</f>
        <v>0.78</v>
      </c>
      <c r="BO2114" s="281">
        <f t="shared" si="166"/>
        <v>7.1575200000000017</v>
      </c>
    </row>
    <row r="2115" spans="65:67" x14ac:dyDescent="0.25">
      <c r="BM2115" s="281">
        <f>$AZ$27+0.2*(seat_pitch)*($AY$27*n_SA+$AW$9&lt;pax_e)</f>
        <v>24.481999999999999</v>
      </c>
      <c r="BN2115" s="281">
        <f>$AX$9</f>
        <v>0.78</v>
      </c>
      <c r="BO2115" s="281">
        <f t="shared" si="166"/>
        <v>6.671520000000001</v>
      </c>
    </row>
    <row r="2116" spans="65:67" x14ac:dyDescent="0.25">
      <c r="BM2116" s="281">
        <f>$AZ$27+(seat_pitch)</f>
        <v>25.13</v>
      </c>
      <c r="BN2116" s="281">
        <f>$AX$9</f>
        <v>0.78</v>
      </c>
      <c r="BO2116" s="281">
        <f t="shared" si="166"/>
        <v>7.3195200000000007</v>
      </c>
    </row>
    <row r="2117" spans="65:67" x14ac:dyDescent="0.25">
      <c r="BM2117" s="281">
        <f>$AZ$28+0.2*(seat_pitch)*($AY$28*n_SA+$AW$9&lt;pax_e)</f>
        <v>25.292000000000002</v>
      </c>
      <c r="BN2117" s="281">
        <f>$AX$9</f>
        <v>0.78</v>
      </c>
      <c r="BO2117" s="281">
        <f t="shared" ref="BO2117:BO2180" si="167">BM2117-L_fus/2</f>
        <v>7.4815200000000033</v>
      </c>
    </row>
    <row r="2118" spans="65:67" x14ac:dyDescent="0.25">
      <c r="BM2118" s="281">
        <f>$AZ$28+0.2*(seat_pitch)*($AY$28*n_SA+$AW$9&lt;pax_e)</f>
        <v>25.292000000000002</v>
      </c>
      <c r="BN2118" s="281">
        <f>$AX$9+seat_w*($AY$28*n_SA+$AW$9&lt;pax_e)</f>
        <v>1.31</v>
      </c>
      <c r="BO2118" s="281">
        <f t="shared" si="167"/>
        <v>7.4815200000000033</v>
      </c>
    </row>
    <row r="2119" spans="65:67" x14ac:dyDescent="0.25">
      <c r="BM2119" s="281">
        <f>$AZ$28</f>
        <v>25.130000000000003</v>
      </c>
      <c r="BN2119" s="281">
        <f>$AX$9+seat_w*($AY$28*n_SA+$AW$9&lt;pax_e)</f>
        <v>1.31</v>
      </c>
      <c r="BO2119" s="281">
        <f t="shared" si="167"/>
        <v>7.3195200000000042</v>
      </c>
    </row>
    <row r="2120" spans="65:67" x14ac:dyDescent="0.25">
      <c r="BM2120" s="281">
        <f>$AZ$28+1*(seat_pitch)*($AY$28*n_SA+$AW$9&lt;pax_e)</f>
        <v>25.94</v>
      </c>
      <c r="BN2120" s="281">
        <f>$AX$9+seat_w*($AY$28*n_SA+$AW$9&lt;pax_e)</f>
        <v>1.31</v>
      </c>
      <c r="BO2120" s="281">
        <f t="shared" si="167"/>
        <v>8.129520000000003</v>
      </c>
    </row>
    <row r="2121" spans="65:67" x14ac:dyDescent="0.25">
      <c r="BM2121" s="281">
        <f>$AZ$28+0.8*(seat_pitch)*($AY$28*n_SA+$AW$9&lt;pax_e)</f>
        <v>25.778000000000002</v>
      </c>
      <c r="BN2121" s="281">
        <f>$AX$9+seat_w*($AY$28*n_SA+$AW$9&lt;pax_e)</f>
        <v>1.31</v>
      </c>
      <c r="BO2121" s="281">
        <f t="shared" si="167"/>
        <v>7.9675200000000039</v>
      </c>
    </row>
    <row r="2122" spans="65:67" x14ac:dyDescent="0.25">
      <c r="BM2122" s="281">
        <f>$AZ$28+0.8*(seat_pitch)*($AY$28*n_SA+$AW$9&lt;pax_e)</f>
        <v>25.778000000000002</v>
      </c>
      <c r="BN2122" s="281">
        <f>$AX$9</f>
        <v>0.78</v>
      </c>
      <c r="BO2122" s="281">
        <f t="shared" si="167"/>
        <v>7.9675200000000039</v>
      </c>
    </row>
    <row r="2123" spans="65:67" x14ac:dyDescent="0.25">
      <c r="BM2123" s="281">
        <f>$AZ$28+0.2*(seat_pitch)*($AY$28*n_SA+$AW$9&lt;pax_e)</f>
        <v>25.292000000000002</v>
      </c>
      <c r="BN2123" s="281">
        <f>$AX$9</f>
        <v>0.78</v>
      </c>
      <c r="BO2123" s="281">
        <f t="shared" si="167"/>
        <v>7.4815200000000033</v>
      </c>
    </row>
    <row r="2124" spans="65:67" x14ac:dyDescent="0.25">
      <c r="BM2124" s="281">
        <f>$AZ$28+(seat_pitch)</f>
        <v>25.94</v>
      </c>
      <c r="BN2124" s="281">
        <f>$AX$9</f>
        <v>0.78</v>
      </c>
      <c r="BO2124" s="281">
        <f t="shared" si="167"/>
        <v>8.129520000000003</v>
      </c>
    </row>
    <row r="2125" spans="65:67" x14ac:dyDescent="0.25">
      <c r="BM2125" s="281">
        <f>$AZ$29+0.2*(seat_pitch)*($AY$29*n_SA+$AW$9&lt;pax_e)</f>
        <v>26.102</v>
      </c>
      <c r="BN2125" s="281">
        <f>$AX$9</f>
        <v>0.78</v>
      </c>
      <c r="BO2125" s="281">
        <f t="shared" si="167"/>
        <v>8.291520000000002</v>
      </c>
    </row>
    <row r="2126" spans="65:67" x14ac:dyDescent="0.25">
      <c r="BM2126" s="281">
        <f>$AZ$29+0.2*(seat_pitch)*($AY$29*n_SA+$AW$9&lt;pax_e)</f>
        <v>26.102</v>
      </c>
      <c r="BN2126" s="281">
        <f>$AX$9+seat_w*($AY$29*n_SA+$AW$9&lt;pax_e)</f>
        <v>1.31</v>
      </c>
      <c r="BO2126" s="281">
        <f t="shared" si="167"/>
        <v>8.291520000000002</v>
      </c>
    </row>
    <row r="2127" spans="65:67" x14ac:dyDescent="0.25">
      <c r="BM2127" s="281">
        <f>$AZ$29</f>
        <v>25.94</v>
      </c>
      <c r="BN2127" s="281">
        <f>$AX$9+seat_w*($AY$29*n_SA+$AW$9&lt;pax_e)</f>
        <v>1.31</v>
      </c>
      <c r="BO2127" s="281">
        <f t="shared" si="167"/>
        <v>8.129520000000003</v>
      </c>
    </row>
    <row r="2128" spans="65:67" x14ac:dyDescent="0.25">
      <c r="BM2128" s="281">
        <f>$AZ$29+1*(seat_pitch)*($AY$29*n_SA+$AW$9&lt;pax_e)</f>
        <v>26.75</v>
      </c>
      <c r="BN2128" s="281">
        <f>$AX$9+seat_w*($AY$29*n_SA+$AW$9&lt;pax_e)</f>
        <v>1.31</v>
      </c>
      <c r="BO2128" s="281">
        <f t="shared" si="167"/>
        <v>8.9395200000000017</v>
      </c>
    </row>
    <row r="2129" spans="65:67" x14ac:dyDescent="0.25">
      <c r="BM2129" s="281">
        <f>$AZ$29+0.8*(seat_pitch)*($AY$29*n_SA+$AW$9&lt;pax_e)</f>
        <v>26.588000000000001</v>
      </c>
      <c r="BN2129" s="281">
        <f>$AX$9+seat_w*($AY$29*n_SA+$AW$9&lt;pax_e)</f>
        <v>1.31</v>
      </c>
      <c r="BO2129" s="281">
        <f t="shared" si="167"/>
        <v>8.7775200000000027</v>
      </c>
    </row>
    <row r="2130" spans="65:67" x14ac:dyDescent="0.25">
      <c r="BM2130" s="281">
        <f>$AZ$29+0.8*(seat_pitch)*($AY$29*n_SA+$AW$9&lt;pax_e)</f>
        <v>26.588000000000001</v>
      </c>
      <c r="BN2130" s="281">
        <f>$AX$9</f>
        <v>0.78</v>
      </c>
      <c r="BO2130" s="281">
        <f t="shared" si="167"/>
        <v>8.7775200000000027</v>
      </c>
    </row>
    <row r="2131" spans="65:67" x14ac:dyDescent="0.25">
      <c r="BM2131" s="281">
        <f>$AZ$29+0.2*(seat_pitch)*($AY$29*n_SA+$AW$9&lt;pax_e)</f>
        <v>26.102</v>
      </c>
      <c r="BN2131" s="281">
        <f>$AX$9</f>
        <v>0.78</v>
      </c>
      <c r="BO2131" s="281">
        <f t="shared" si="167"/>
        <v>8.291520000000002</v>
      </c>
    </row>
    <row r="2132" spans="65:67" x14ac:dyDescent="0.25">
      <c r="BM2132" s="281">
        <f>$AZ$29+(seat_pitch)</f>
        <v>26.75</v>
      </c>
      <c r="BN2132" s="281">
        <f>$AX$9</f>
        <v>0.78</v>
      </c>
      <c r="BO2132" s="281">
        <f t="shared" si="167"/>
        <v>8.9395200000000017</v>
      </c>
    </row>
    <row r="2133" spans="65:67" x14ac:dyDescent="0.25">
      <c r="BM2133" s="281">
        <f>$AZ$30+0.2*(seat_pitch)*($AY$30*n_SA+$AW$9&lt;pax_e)</f>
        <v>26.102</v>
      </c>
      <c r="BN2133" s="281">
        <f>$AX$9</f>
        <v>0.78</v>
      </c>
      <c r="BO2133" s="281">
        <f t="shared" si="167"/>
        <v>8.291520000000002</v>
      </c>
    </row>
    <row r="2134" spans="65:67" x14ac:dyDescent="0.25">
      <c r="BM2134" s="281">
        <f>$AZ$30+0.2*(seat_pitch)*($AY$30*n_SA+$AW$9&lt;pax_e)</f>
        <v>26.102</v>
      </c>
      <c r="BN2134" s="281">
        <f>$AX$9+seat_w*($AY$30*n_SA+$AW$9&lt;pax_e)</f>
        <v>1.31</v>
      </c>
      <c r="BO2134" s="281">
        <f t="shared" si="167"/>
        <v>8.291520000000002</v>
      </c>
    </row>
    <row r="2135" spans="65:67" x14ac:dyDescent="0.25">
      <c r="BM2135" s="281">
        <f>$AZ$30</f>
        <v>25.94</v>
      </c>
      <c r="BN2135" s="281">
        <f>$AX$9+seat_w*($AY$30*n_SA+$AW$9&lt;pax_e)</f>
        <v>1.31</v>
      </c>
      <c r="BO2135" s="281">
        <f t="shared" si="167"/>
        <v>8.129520000000003</v>
      </c>
    </row>
    <row r="2136" spans="65:67" x14ac:dyDescent="0.25">
      <c r="BM2136" s="281">
        <f>$AZ$30+1*(seat_pitch)*($AY$30*n_SA+$AW$9&lt;pax_e)</f>
        <v>26.75</v>
      </c>
      <c r="BN2136" s="281">
        <f>$AX$9+seat_w*($AY$30*n_SA+$AW$9&lt;pax_e)</f>
        <v>1.31</v>
      </c>
      <c r="BO2136" s="281">
        <f t="shared" si="167"/>
        <v>8.9395200000000017</v>
      </c>
    </row>
    <row r="2137" spans="65:67" x14ac:dyDescent="0.25">
      <c r="BM2137" s="281">
        <f>$AZ$30+0.8*(seat_pitch)*($AY$30*n_SA+$AW$9&lt;pax_e)</f>
        <v>26.588000000000001</v>
      </c>
      <c r="BN2137" s="281">
        <f>$AX$9+seat_w*($AY$30*n_SA+$AW$9&lt;pax_e)</f>
        <v>1.31</v>
      </c>
      <c r="BO2137" s="281">
        <f t="shared" si="167"/>
        <v>8.7775200000000027</v>
      </c>
    </row>
    <row r="2138" spans="65:67" x14ac:dyDescent="0.25">
      <c r="BM2138" s="281">
        <f>$AZ$30+0.8*(seat_pitch)*($AY$30*n_SA+$AW$9&lt;pax_e)</f>
        <v>26.588000000000001</v>
      </c>
      <c r="BN2138" s="281">
        <f>$AX$9</f>
        <v>0.78</v>
      </c>
      <c r="BO2138" s="281">
        <f t="shared" si="167"/>
        <v>8.7775200000000027</v>
      </c>
    </row>
    <row r="2139" spans="65:67" x14ac:dyDescent="0.25">
      <c r="BM2139" s="281">
        <f>$AZ$30+0.2*(seat_pitch)*($AY$30*n_SA+$AW$9&lt;pax_e)</f>
        <v>26.102</v>
      </c>
      <c r="BN2139" s="281">
        <f>$AX$9</f>
        <v>0.78</v>
      </c>
      <c r="BO2139" s="281">
        <f t="shared" si="167"/>
        <v>8.291520000000002</v>
      </c>
    </row>
    <row r="2140" spans="65:67" x14ac:dyDescent="0.25">
      <c r="BM2140" s="281">
        <f>$AZ$30+(seat_pitch)</f>
        <v>26.75</v>
      </c>
      <c r="BN2140" s="281">
        <f>$AX$9</f>
        <v>0.78</v>
      </c>
      <c r="BO2140" s="281">
        <f t="shared" si="167"/>
        <v>8.9395200000000017</v>
      </c>
    </row>
    <row r="2141" spans="65:67" x14ac:dyDescent="0.25">
      <c r="BM2141" s="281">
        <f>$AZ$31+0.2*(seat_pitch)*($AY$31*n_SA+$AW$9&lt;pax_e)</f>
        <v>26.102</v>
      </c>
      <c r="BN2141" s="281">
        <f>$AX$9</f>
        <v>0.78</v>
      </c>
      <c r="BO2141" s="281">
        <f t="shared" si="167"/>
        <v>8.291520000000002</v>
      </c>
    </row>
    <row r="2142" spans="65:67" x14ac:dyDescent="0.25">
      <c r="BM2142" s="281">
        <f>$AZ$31+0.2*(seat_pitch)*($AY$31*n_SA+$AW$9&lt;pax_e)</f>
        <v>26.102</v>
      </c>
      <c r="BN2142" s="281">
        <f>$AX$9+seat_w*($AY$31*n_SA+$AW$9&lt;pax_e)</f>
        <v>1.31</v>
      </c>
      <c r="BO2142" s="281">
        <f t="shared" si="167"/>
        <v>8.291520000000002</v>
      </c>
    </row>
    <row r="2143" spans="65:67" x14ac:dyDescent="0.25">
      <c r="BM2143" s="281">
        <f>$AZ$31</f>
        <v>25.94</v>
      </c>
      <c r="BN2143" s="281">
        <f>$AX$9+seat_w*($AY$31*n_SA+$AW$9&lt;pax_e)</f>
        <v>1.31</v>
      </c>
      <c r="BO2143" s="281">
        <f t="shared" si="167"/>
        <v>8.129520000000003</v>
      </c>
    </row>
    <row r="2144" spans="65:67" x14ac:dyDescent="0.25">
      <c r="BM2144" s="281">
        <f>$AZ$31+1*(seat_pitch)*($AY$31*n_SA+$AW$9&lt;pax_e)</f>
        <v>26.75</v>
      </c>
      <c r="BN2144" s="281">
        <f>$AX$9+seat_w*($AY$31*n_SA+$AW$9&lt;pax_e)</f>
        <v>1.31</v>
      </c>
      <c r="BO2144" s="281">
        <f t="shared" si="167"/>
        <v>8.9395200000000017</v>
      </c>
    </row>
    <row r="2145" spans="65:67" x14ac:dyDescent="0.25">
      <c r="BM2145" s="281">
        <f>$AZ$31+0.8*(seat_pitch)*($AY$31*n_SA+$AW$9&lt;pax_e)</f>
        <v>26.588000000000001</v>
      </c>
      <c r="BN2145" s="281">
        <f>$AX$9+seat_w*($AY$31*n_SA+$AW$9&lt;pax_e)</f>
        <v>1.31</v>
      </c>
      <c r="BO2145" s="281">
        <f t="shared" si="167"/>
        <v>8.7775200000000027</v>
      </c>
    </row>
    <row r="2146" spans="65:67" x14ac:dyDescent="0.25">
      <c r="BM2146" s="281">
        <f>$AZ$31+0.8*(seat_pitch)*($AY$31*n_SA+$AW$9&lt;pax_e)</f>
        <v>26.588000000000001</v>
      </c>
      <c r="BN2146" s="281">
        <f>$AX$9</f>
        <v>0.78</v>
      </c>
      <c r="BO2146" s="281">
        <f t="shared" si="167"/>
        <v>8.7775200000000027</v>
      </c>
    </row>
    <row r="2147" spans="65:67" x14ac:dyDescent="0.25">
      <c r="BM2147" s="281">
        <f>$AZ$31+0.2*(seat_pitch)*($AY$31*n_SA+$AW$9&lt;pax_e)</f>
        <v>26.102</v>
      </c>
      <c r="BN2147" s="281">
        <f>$AX$9</f>
        <v>0.78</v>
      </c>
      <c r="BO2147" s="281">
        <f t="shared" si="167"/>
        <v>8.291520000000002</v>
      </c>
    </row>
    <row r="2148" spans="65:67" x14ac:dyDescent="0.25">
      <c r="BM2148" s="281">
        <f>$AZ$31+(seat_pitch)</f>
        <v>26.75</v>
      </c>
      <c r="BN2148" s="281">
        <f>$AX$9</f>
        <v>0.78</v>
      </c>
      <c r="BO2148" s="281">
        <f t="shared" si="167"/>
        <v>8.9395200000000017</v>
      </c>
    </row>
    <row r="2149" spans="65:67" x14ac:dyDescent="0.25">
      <c r="BM2149" s="281">
        <f>$AZ$32+0.2*(seat_pitch)*($AY$32*n_SA+$AW$9&lt;pax_e)</f>
        <v>26.102</v>
      </c>
      <c r="BN2149" s="281">
        <f>$AX$9</f>
        <v>0.78</v>
      </c>
      <c r="BO2149" s="281">
        <f t="shared" si="167"/>
        <v>8.291520000000002</v>
      </c>
    </row>
    <row r="2150" spans="65:67" x14ac:dyDescent="0.25">
      <c r="BM2150" s="281">
        <f>$AZ$32+0.2*(seat_pitch)*($AY$32*n_SA+$AW$9&lt;pax_e)</f>
        <v>26.102</v>
      </c>
      <c r="BN2150" s="281">
        <f>$AX$9+seat_w*($AY$32*n_SA+$AW$9&lt;pax_e)</f>
        <v>1.31</v>
      </c>
      <c r="BO2150" s="281">
        <f t="shared" si="167"/>
        <v>8.291520000000002</v>
      </c>
    </row>
    <row r="2151" spans="65:67" x14ac:dyDescent="0.25">
      <c r="BM2151" s="281">
        <f>$AZ$32</f>
        <v>25.94</v>
      </c>
      <c r="BN2151" s="281">
        <f>$AX$9+seat_w*($AY$32*n_SA+$AW$9&lt;pax_e)</f>
        <v>1.31</v>
      </c>
      <c r="BO2151" s="281">
        <f t="shared" si="167"/>
        <v>8.129520000000003</v>
      </c>
    </row>
    <row r="2152" spans="65:67" x14ac:dyDescent="0.25">
      <c r="BM2152" s="281">
        <f>$AZ$32+1*(seat_pitch)*($AY$32*n_SA+$AW$9&lt;pax_e)</f>
        <v>26.75</v>
      </c>
      <c r="BN2152" s="281">
        <f>$AX$9+seat_w*($AY$32*n_SA+$AW$9&lt;pax_e)</f>
        <v>1.31</v>
      </c>
      <c r="BO2152" s="281">
        <f t="shared" si="167"/>
        <v>8.9395200000000017</v>
      </c>
    </row>
    <row r="2153" spans="65:67" x14ac:dyDescent="0.25">
      <c r="BM2153" s="281">
        <f>$AZ$32+0.8*(seat_pitch)*($AY$32*n_SA+$AW$9&lt;pax_e)</f>
        <v>26.588000000000001</v>
      </c>
      <c r="BN2153" s="281">
        <f>$AX$9+seat_w*($AY$32*n_SA+$AW$9&lt;pax_e)</f>
        <v>1.31</v>
      </c>
      <c r="BO2153" s="281">
        <f t="shared" si="167"/>
        <v>8.7775200000000027</v>
      </c>
    </row>
    <row r="2154" spans="65:67" x14ac:dyDescent="0.25">
      <c r="BM2154" s="281">
        <f>$AZ$32+0.8*(seat_pitch)*($AY$32*n_SA+$AW$9&lt;pax_e)</f>
        <v>26.588000000000001</v>
      </c>
      <c r="BN2154" s="281">
        <f>$AX$9</f>
        <v>0.78</v>
      </c>
      <c r="BO2154" s="281">
        <f t="shared" si="167"/>
        <v>8.7775200000000027</v>
      </c>
    </row>
    <row r="2155" spans="65:67" x14ac:dyDescent="0.25">
      <c r="BM2155" s="281">
        <f>$AZ$32+0.2*(seat_pitch)*($AY$32*n_SA+$AW$9&lt;pax_e)</f>
        <v>26.102</v>
      </c>
      <c r="BN2155" s="281">
        <f>$AX$9</f>
        <v>0.78</v>
      </c>
      <c r="BO2155" s="281">
        <f t="shared" si="167"/>
        <v>8.291520000000002</v>
      </c>
    </row>
    <row r="2156" spans="65:67" x14ac:dyDescent="0.25">
      <c r="BM2156" s="281">
        <f>$AZ$32+(seat_pitch)</f>
        <v>26.75</v>
      </c>
      <c r="BN2156" s="281">
        <f>$AX$9</f>
        <v>0.78</v>
      </c>
      <c r="BO2156" s="281">
        <f t="shared" si="167"/>
        <v>8.9395200000000017</v>
      </c>
    </row>
    <row r="2157" spans="65:67" x14ac:dyDescent="0.25">
      <c r="BM2157" s="281">
        <f>$AZ$33+0.2*(seat_pitch)*($AY$33*n_SA+$AW$9&lt;pax_e)</f>
        <v>26.102</v>
      </c>
      <c r="BN2157" s="281">
        <f>$AX$9</f>
        <v>0.78</v>
      </c>
      <c r="BO2157" s="281">
        <f t="shared" si="167"/>
        <v>8.291520000000002</v>
      </c>
    </row>
    <row r="2158" spans="65:67" x14ac:dyDescent="0.25">
      <c r="BM2158" s="281">
        <f>$AZ$33+0.2*(seat_pitch)*($AY$33*n_SA+$AW$9&lt;pax_e)</f>
        <v>26.102</v>
      </c>
      <c r="BN2158" s="281">
        <f>$AX$9+seat_w*($AY$33*n_SA+$AW$9&lt;pax_e)</f>
        <v>1.31</v>
      </c>
      <c r="BO2158" s="281">
        <f t="shared" si="167"/>
        <v>8.291520000000002</v>
      </c>
    </row>
    <row r="2159" spans="65:67" x14ac:dyDescent="0.25">
      <c r="BM2159" s="281">
        <f>$AZ$33</f>
        <v>25.94</v>
      </c>
      <c r="BN2159" s="281">
        <f>$AX$9+seat_w*($AY$33*n_SA+$AW$9&lt;pax_e)</f>
        <v>1.31</v>
      </c>
      <c r="BO2159" s="281">
        <f t="shared" si="167"/>
        <v>8.129520000000003</v>
      </c>
    </row>
    <row r="2160" spans="65:67" x14ac:dyDescent="0.25">
      <c r="BM2160" s="281">
        <f>$AZ$33+1*(seat_pitch)*($AY$33*n_SA+$AW$9&lt;pax_e)</f>
        <v>26.75</v>
      </c>
      <c r="BN2160" s="281">
        <f>$AX$9+seat_w*($AY$33*n_SA+$AW$9&lt;pax_e)</f>
        <v>1.31</v>
      </c>
      <c r="BO2160" s="281">
        <f t="shared" si="167"/>
        <v>8.9395200000000017</v>
      </c>
    </row>
    <row r="2161" spans="65:67" x14ac:dyDescent="0.25">
      <c r="BM2161" s="281">
        <f>$AZ$33+0.8*(seat_pitch)*($AY$33*n_SA+$AW$9&lt;pax_e)</f>
        <v>26.588000000000001</v>
      </c>
      <c r="BN2161" s="281">
        <f>$AX$9+seat_w*($AY$33*n_SA+$AW$9&lt;pax_e)</f>
        <v>1.31</v>
      </c>
      <c r="BO2161" s="281">
        <f t="shared" si="167"/>
        <v>8.7775200000000027</v>
      </c>
    </row>
    <row r="2162" spans="65:67" x14ac:dyDescent="0.25">
      <c r="BM2162" s="281">
        <f>$AZ$33+0.8*(seat_pitch)*($AY$33*n_SA+$AW$9&lt;pax_e)</f>
        <v>26.588000000000001</v>
      </c>
      <c r="BN2162" s="281">
        <f>$AX$9</f>
        <v>0.78</v>
      </c>
      <c r="BO2162" s="281">
        <f t="shared" si="167"/>
        <v>8.7775200000000027</v>
      </c>
    </row>
    <row r="2163" spans="65:67" x14ac:dyDescent="0.25">
      <c r="BM2163" s="281">
        <f>$AZ$33+0.2*(seat_pitch)*($AY$33*n_SA+$AW$9&lt;pax_e)</f>
        <v>26.102</v>
      </c>
      <c r="BN2163" s="281">
        <f>$AX$9</f>
        <v>0.78</v>
      </c>
      <c r="BO2163" s="281">
        <f t="shared" si="167"/>
        <v>8.291520000000002</v>
      </c>
    </row>
    <row r="2164" spans="65:67" x14ac:dyDescent="0.25">
      <c r="BM2164" s="281">
        <f>$AZ$33+(seat_pitch)</f>
        <v>26.75</v>
      </c>
      <c r="BN2164" s="281">
        <f>$AX$9</f>
        <v>0.78</v>
      </c>
      <c r="BO2164" s="281">
        <f t="shared" si="167"/>
        <v>8.9395200000000017</v>
      </c>
    </row>
    <row r="2165" spans="65:67" x14ac:dyDescent="0.25">
      <c r="BM2165" s="281">
        <f>$AZ$34+0.2*(seat_pitch)*($AY$34*n_SA+$AW$9&lt;pax_e)</f>
        <v>26.102</v>
      </c>
      <c r="BN2165" s="281">
        <f>$AX$9</f>
        <v>0.78</v>
      </c>
      <c r="BO2165" s="281">
        <f t="shared" si="167"/>
        <v>8.291520000000002</v>
      </c>
    </row>
    <row r="2166" spans="65:67" x14ac:dyDescent="0.25">
      <c r="BM2166" s="281">
        <f>$AZ$34+0.2*(seat_pitch)*($AY$34*n_SA+$AW$9&lt;pax_e)</f>
        <v>26.102</v>
      </c>
      <c r="BN2166" s="281">
        <f>$AX$9+seat_w*($AY$34*n_SA+$AW$9&lt;pax_e)</f>
        <v>1.31</v>
      </c>
      <c r="BO2166" s="281">
        <f t="shared" si="167"/>
        <v>8.291520000000002</v>
      </c>
    </row>
    <row r="2167" spans="65:67" x14ac:dyDescent="0.25">
      <c r="BM2167" s="281">
        <f>$AZ$34</f>
        <v>25.94</v>
      </c>
      <c r="BN2167" s="281">
        <f>$AX$9+seat_w*($AY$34*n_SA+$AW$9&lt;pax_e)</f>
        <v>1.31</v>
      </c>
      <c r="BO2167" s="281">
        <f t="shared" si="167"/>
        <v>8.129520000000003</v>
      </c>
    </row>
    <row r="2168" spans="65:67" x14ac:dyDescent="0.25">
      <c r="BM2168" s="281">
        <f>$AZ$34+1*(seat_pitch)*($AY$34*n_SA+$AW$9&lt;pax_e)</f>
        <v>26.75</v>
      </c>
      <c r="BN2168" s="281">
        <f>$AX$9+seat_w*($AY$34*n_SA+$AW$9&lt;pax_e)</f>
        <v>1.31</v>
      </c>
      <c r="BO2168" s="281">
        <f t="shared" si="167"/>
        <v>8.9395200000000017</v>
      </c>
    </row>
    <row r="2169" spans="65:67" x14ac:dyDescent="0.25">
      <c r="BM2169" s="281">
        <f>$AZ$34+0.8*(seat_pitch)*($AY$34*n_SA+$AW$9&lt;pax_e)</f>
        <v>26.588000000000001</v>
      </c>
      <c r="BN2169" s="281">
        <f>$AX$9+seat_w*($AY$34*n_SA+$AW$9&lt;pax_e)</f>
        <v>1.31</v>
      </c>
      <c r="BO2169" s="281">
        <f t="shared" si="167"/>
        <v>8.7775200000000027</v>
      </c>
    </row>
    <row r="2170" spans="65:67" x14ac:dyDescent="0.25">
      <c r="BM2170" s="281">
        <f>$AZ$34+0.8*(seat_pitch)*($AY$34*n_SA+$AW$9&lt;pax_e)</f>
        <v>26.588000000000001</v>
      </c>
      <c r="BN2170" s="281">
        <f>$AX$9</f>
        <v>0.78</v>
      </c>
      <c r="BO2170" s="281">
        <f t="shared" si="167"/>
        <v>8.7775200000000027</v>
      </c>
    </row>
    <row r="2171" spans="65:67" x14ac:dyDescent="0.25">
      <c r="BM2171" s="281">
        <f>$AZ$34+0.2*(seat_pitch)*($AY$34*n_SA+$AW$9&lt;pax_e)</f>
        <v>26.102</v>
      </c>
      <c r="BN2171" s="281">
        <f>$AX$9</f>
        <v>0.78</v>
      </c>
      <c r="BO2171" s="281">
        <f t="shared" si="167"/>
        <v>8.291520000000002</v>
      </c>
    </row>
    <row r="2172" spans="65:67" x14ac:dyDescent="0.25">
      <c r="BM2172" s="281">
        <f>$AZ$34+(seat_pitch)</f>
        <v>26.75</v>
      </c>
      <c r="BN2172" s="281">
        <f>$AX$9</f>
        <v>0.78</v>
      </c>
      <c r="BO2172" s="281">
        <f t="shared" si="167"/>
        <v>8.9395200000000017</v>
      </c>
    </row>
    <row r="2173" spans="65:67" x14ac:dyDescent="0.25">
      <c r="BM2173" s="281">
        <f>$AZ$35+0.2*(seat_pitch)*($AY$35*n_SA+$AW$9&lt;pax_e)</f>
        <v>26.102</v>
      </c>
      <c r="BN2173" s="281">
        <f>$AX$9</f>
        <v>0.78</v>
      </c>
      <c r="BO2173" s="281">
        <f t="shared" si="167"/>
        <v>8.291520000000002</v>
      </c>
    </row>
    <row r="2174" spans="65:67" x14ac:dyDescent="0.25">
      <c r="BM2174" s="281">
        <f>$AZ$35+0.2*(seat_pitch)*($AY$35*n_SA+$AW$9&lt;pax_e)</f>
        <v>26.102</v>
      </c>
      <c r="BN2174" s="281">
        <f>$AX$9+seat_w*($AY$35*n_SA+$AW$9&lt;pax_e)</f>
        <v>1.31</v>
      </c>
      <c r="BO2174" s="281">
        <f t="shared" si="167"/>
        <v>8.291520000000002</v>
      </c>
    </row>
    <row r="2175" spans="65:67" x14ac:dyDescent="0.25">
      <c r="BM2175" s="281">
        <f>$AZ$35</f>
        <v>25.94</v>
      </c>
      <c r="BN2175" s="281">
        <f>$AX$9+seat_w*($AY$35*n_SA+$AW$9&lt;pax_e)</f>
        <v>1.31</v>
      </c>
      <c r="BO2175" s="281">
        <f t="shared" si="167"/>
        <v>8.129520000000003</v>
      </c>
    </row>
    <row r="2176" spans="65:67" x14ac:dyDescent="0.25">
      <c r="BM2176" s="281">
        <f>$AZ$35+1*(seat_pitch)*($AY$35*n_SA+$AW$9&lt;pax_e)</f>
        <v>26.75</v>
      </c>
      <c r="BN2176" s="281">
        <f>$AX$9+seat_w*($AY$35*n_SA+$AW$9&lt;pax_e)</f>
        <v>1.31</v>
      </c>
      <c r="BO2176" s="281">
        <f t="shared" si="167"/>
        <v>8.9395200000000017</v>
      </c>
    </row>
    <row r="2177" spans="65:67" x14ac:dyDescent="0.25">
      <c r="BM2177" s="281">
        <f>$AZ$35+0.8*(seat_pitch)*($AY$35*n_SA+$AW$9&lt;pax_e)</f>
        <v>26.588000000000001</v>
      </c>
      <c r="BN2177" s="281">
        <f>$AX$9+seat_w*($AY$35*n_SA+$AW$9&lt;pax_e)</f>
        <v>1.31</v>
      </c>
      <c r="BO2177" s="281">
        <f t="shared" si="167"/>
        <v>8.7775200000000027</v>
      </c>
    </row>
    <row r="2178" spans="65:67" x14ac:dyDescent="0.25">
      <c r="BM2178" s="281">
        <f>$AZ$35+0.8*(seat_pitch)*($AY$35*n_SA+$AW$9&lt;pax_e)</f>
        <v>26.588000000000001</v>
      </c>
      <c r="BN2178" s="281">
        <f>$AX$9</f>
        <v>0.78</v>
      </c>
      <c r="BO2178" s="281">
        <f t="shared" si="167"/>
        <v>8.7775200000000027</v>
      </c>
    </row>
    <row r="2179" spans="65:67" x14ac:dyDescent="0.25">
      <c r="BM2179" s="281">
        <f>$AZ$35+0.2*(seat_pitch)*($AY$35*n_SA+$AW$9&lt;pax_e)</f>
        <v>26.102</v>
      </c>
      <c r="BN2179" s="281">
        <f>$AX$9</f>
        <v>0.78</v>
      </c>
      <c r="BO2179" s="281">
        <f t="shared" si="167"/>
        <v>8.291520000000002</v>
      </c>
    </row>
    <row r="2180" spans="65:67" x14ac:dyDescent="0.25">
      <c r="BM2180" s="281">
        <f>$AZ$35+(seat_pitch)</f>
        <v>26.75</v>
      </c>
      <c r="BN2180" s="281">
        <f>$AX$9</f>
        <v>0.78</v>
      </c>
      <c r="BO2180" s="281">
        <f t="shared" si="167"/>
        <v>8.9395200000000017</v>
      </c>
    </row>
    <row r="2181" spans="65:67" x14ac:dyDescent="0.25">
      <c r="BM2181" s="281">
        <f>$AZ$36+0.2*(seat_pitch)*($AY$36*n_SA+$AW$9&lt;pax_e)</f>
        <v>26.102</v>
      </c>
      <c r="BN2181" s="281">
        <f>$AX$9</f>
        <v>0.78</v>
      </c>
      <c r="BO2181" s="281">
        <f t="shared" ref="BO2181:BO2244" si="168">BM2181-L_fus/2</f>
        <v>8.291520000000002</v>
      </c>
    </row>
    <row r="2182" spans="65:67" x14ac:dyDescent="0.25">
      <c r="BM2182" s="281">
        <f>$AZ$36+0.2*(seat_pitch)*($AY$36*n_SA+$AW$9&lt;pax_e)</f>
        <v>26.102</v>
      </c>
      <c r="BN2182" s="281">
        <f>$AX$9+seat_w*($AY$36*n_SA+$AW$9&lt;pax_e)</f>
        <v>1.31</v>
      </c>
      <c r="BO2182" s="281">
        <f t="shared" si="168"/>
        <v>8.291520000000002</v>
      </c>
    </row>
    <row r="2183" spans="65:67" x14ac:dyDescent="0.25">
      <c r="BM2183" s="281">
        <f>$AZ$36</f>
        <v>25.94</v>
      </c>
      <c r="BN2183" s="281">
        <f>$AX$9+seat_w*($AY$36*n_SA+$AW$9&lt;pax_e)</f>
        <v>1.31</v>
      </c>
      <c r="BO2183" s="281">
        <f t="shared" si="168"/>
        <v>8.129520000000003</v>
      </c>
    </row>
    <row r="2184" spans="65:67" x14ac:dyDescent="0.25">
      <c r="BM2184" s="281">
        <f>$AZ$36+1*(seat_pitch)*($AY$36*n_SA+$AW$9&lt;pax_e)</f>
        <v>26.75</v>
      </c>
      <c r="BN2184" s="281">
        <f>$AX$9+seat_w*($AY$36*n_SA+$AW$9&lt;pax_e)</f>
        <v>1.31</v>
      </c>
      <c r="BO2184" s="281">
        <f t="shared" si="168"/>
        <v>8.9395200000000017</v>
      </c>
    </row>
    <row r="2185" spans="65:67" x14ac:dyDescent="0.25">
      <c r="BM2185" s="281">
        <f>$AZ$36+0.8*(seat_pitch)*($AY$36*n_SA+$AW$9&lt;pax_e)</f>
        <v>26.588000000000001</v>
      </c>
      <c r="BN2185" s="281">
        <f>$AX$9+seat_w*($AY$36*n_SA+$AW$9&lt;pax_e)</f>
        <v>1.31</v>
      </c>
      <c r="BO2185" s="281">
        <f t="shared" si="168"/>
        <v>8.7775200000000027</v>
      </c>
    </row>
    <row r="2186" spans="65:67" x14ac:dyDescent="0.25">
      <c r="BM2186" s="281">
        <f>$AZ$36+0.8*(seat_pitch)*($AY$36*n_SA+$AW$9&lt;pax_e)</f>
        <v>26.588000000000001</v>
      </c>
      <c r="BN2186" s="281">
        <f>$AX$9</f>
        <v>0.78</v>
      </c>
      <c r="BO2186" s="281">
        <f t="shared" si="168"/>
        <v>8.7775200000000027</v>
      </c>
    </row>
    <row r="2187" spans="65:67" x14ac:dyDescent="0.25">
      <c r="BM2187" s="281">
        <f>$AZ$36+0.2*(seat_pitch)*($AY$36*n_SA+$AW$9&lt;pax_e)</f>
        <v>26.102</v>
      </c>
      <c r="BN2187" s="281">
        <f>$AX$9</f>
        <v>0.78</v>
      </c>
      <c r="BO2187" s="281">
        <f t="shared" si="168"/>
        <v>8.291520000000002</v>
      </c>
    </row>
    <row r="2188" spans="65:67" x14ac:dyDescent="0.25">
      <c r="BM2188" s="281">
        <f>$AZ$36+(seat_pitch)</f>
        <v>26.75</v>
      </c>
      <c r="BN2188" s="281">
        <f>$AX$9</f>
        <v>0.78</v>
      </c>
      <c r="BO2188" s="281">
        <f t="shared" si="168"/>
        <v>8.9395200000000017</v>
      </c>
    </row>
    <row r="2189" spans="65:67" x14ac:dyDescent="0.25">
      <c r="BM2189" s="281">
        <f>$AZ$37+0.2*(seat_pitch)*($AY$37*n_SA+$AW$9&lt;pax_e)</f>
        <v>26.102</v>
      </c>
      <c r="BN2189" s="281">
        <f>$AX$9</f>
        <v>0.78</v>
      </c>
      <c r="BO2189" s="281">
        <f t="shared" si="168"/>
        <v>8.291520000000002</v>
      </c>
    </row>
    <row r="2190" spans="65:67" x14ac:dyDescent="0.25">
      <c r="BM2190" s="281">
        <f>$AZ$37+0.2*(seat_pitch)*($AY$37*n_SA+$AW$9&lt;pax_e)</f>
        <v>26.102</v>
      </c>
      <c r="BN2190" s="281">
        <f>$AX$9+seat_w*($AY$37*n_SA+$AW$9&lt;pax_e)</f>
        <v>1.31</v>
      </c>
      <c r="BO2190" s="281">
        <f t="shared" si="168"/>
        <v>8.291520000000002</v>
      </c>
    </row>
    <row r="2191" spans="65:67" x14ac:dyDescent="0.25">
      <c r="BM2191" s="281">
        <f>$AZ$37</f>
        <v>25.94</v>
      </c>
      <c r="BN2191" s="281">
        <f>$AX$9+seat_w*($AY$37*n_SA+$AW$9&lt;pax_e)</f>
        <v>1.31</v>
      </c>
      <c r="BO2191" s="281">
        <f t="shared" si="168"/>
        <v>8.129520000000003</v>
      </c>
    </row>
    <row r="2192" spans="65:67" x14ac:dyDescent="0.25">
      <c r="BM2192" s="281">
        <f>$AZ$37+1*(seat_pitch)*($AY$37*n_SA+$AW$9&lt;pax_e)</f>
        <v>26.75</v>
      </c>
      <c r="BN2192" s="281">
        <f>$AX$9+seat_w*($AY$37*n_SA+$AW$9&lt;pax_e)</f>
        <v>1.31</v>
      </c>
      <c r="BO2192" s="281">
        <f t="shared" si="168"/>
        <v>8.9395200000000017</v>
      </c>
    </row>
    <row r="2193" spans="65:67" x14ac:dyDescent="0.25">
      <c r="BM2193" s="281">
        <f>$AZ$37+0.8*(seat_pitch)*($AY$37*n_SA+$AW$9&lt;pax_e)</f>
        <v>26.588000000000001</v>
      </c>
      <c r="BN2193" s="281">
        <f>$AX$9+seat_w*($AY$37*n_SA+$AW$9&lt;pax_e)</f>
        <v>1.31</v>
      </c>
      <c r="BO2193" s="281">
        <f t="shared" si="168"/>
        <v>8.7775200000000027</v>
      </c>
    </row>
    <row r="2194" spans="65:67" x14ac:dyDescent="0.25">
      <c r="BM2194" s="281">
        <f>$AZ$37+0.8*(seat_pitch)*($AY$37*n_SA+$AW$9&lt;pax_e)</f>
        <v>26.588000000000001</v>
      </c>
      <c r="BN2194" s="281">
        <f>$AX$9</f>
        <v>0.78</v>
      </c>
      <c r="BO2194" s="281">
        <f t="shared" si="168"/>
        <v>8.7775200000000027</v>
      </c>
    </row>
    <row r="2195" spans="65:67" x14ac:dyDescent="0.25">
      <c r="BM2195" s="281">
        <f>$AZ$37+0.2*(seat_pitch)*($AY$37*n_SA+$AW$9&lt;pax_e)</f>
        <v>26.102</v>
      </c>
      <c r="BN2195" s="281">
        <f>$AX$9</f>
        <v>0.78</v>
      </c>
      <c r="BO2195" s="281">
        <f t="shared" si="168"/>
        <v>8.291520000000002</v>
      </c>
    </row>
    <row r="2196" spans="65:67" x14ac:dyDescent="0.25">
      <c r="BM2196" s="281">
        <f>$AZ$37+(seat_pitch)</f>
        <v>26.75</v>
      </c>
      <c r="BN2196" s="281">
        <f>$AX$9</f>
        <v>0.78</v>
      </c>
      <c r="BO2196" s="281">
        <f t="shared" si="168"/>
        <v>8.9395200000000017</v>
      </c>
    </row>
    <row r="2197" spans="65:67" x14ac:dyDescent="0.25">
      <c r="BM2197" s="281">
        <f>$AZ$38+0.2*(seat_pitch)*($AY$38*n_SA+$AW$9&lt;pax_e)</f>
        <v>26.102</v>
      </c>
      <c r="BN2197" s="281">
        <f>$AX$9</f>
        <v>0.78</v>
      </c>
      <c r="BO2197" s="281">
        <f t="shared" si="168"/>
        <v>8.291520000000002</v>
      </c>
    </row>
    <row r="2198" spans="65:67" x14ac:dyDescent="0.25">
      <c r="BM2198" s="281">
        <f>$AZ$38+0.2*(seat_pitch)*($AY$38*n_SA+$AW$9&lt;pax_e)</f>
        <v>26.102</v>
      </c>
      <c r="BN2198" s="281">
        <f>$AX$9+seat_w*($AY$38*n_SA+$AW$9&lt;pax_e)</f>
        <v>1.31</v>
      </c>
      <c r="BO2198" s="281">
        <f t="shared" si="168"/>
        <v>8.291520000000002</v>
      </c>
    </row>
    <row r="2199" spans="65:67" x14ac:dyDescent="0.25">
      <c r="BM2199" s="281">
        <f>$AZ$38</f>
        <v>25.94</v>
      </c>
      <c r="BN2199" s="281">
        <f>$AX$9+seat_w*($AY$38*n_SA+$AW$9&lt;pax_e)</f>
        <v>1.31</v>
      </c>
      <c r="BO2199" s="281">
        <f t="shared" si="168"/>
        <v>8.129520000000003</v>
      </c>
    </row>
    <row r="2200" spans="65:67" x14ac:dyDescent="0.25">
      <c r="BM2200" s="281">
        <f>$AZ$38+1*(seat_pitch)*($AY$38*n_SA+$AW$9&lt;pax_e)</f>
        <v>26.75</v>
      </c>
      <c r="BN2200" s="281">
        <f>$AX$9+seat_w*($AY$38*n_SA+$AW$9&lt;pax_e)</f>
        <v>1.31</v>
      </c>
      <c r="BO2200" s="281">
        <f t="shared" si="168"/>
        <v>8.9395200000000017</v>
      </c>
    </row>
    <row r="2201" spans="65:67" x14ac:dyDescent="0.25">
      <c r="BM2201" s="281">
        <f>$AZ$38+0.8*(seat_pitch)*($AY$38*n_SA+$AW$9&lt;pax_e)</f>
        <v>26.588000000000001</v>
      </c>
      <c r="BN2201" s="281">
        <f>$AX$9+seat_w*($AY$38*n_SA+$AW$9&lt;pax_e)</f>
        <v>1.31</v>
      </c>
      <c r="BO2201" s="281">
        <f t="shared" si="168"/>
        <v>8.7775200000000027</v>
      </c>
    </row>
    <row r="2202" spans="65:67" x14ac:dyDescent="0.25">
      <c r="BM2202" s="281">
        <f>$AZ$38+0.8*(seat_pitch)*($AY$38*n_SA+$AW$9&lt;pax_e)</f>
        <v>26.588000000000001</v>
      </c>
      <c r="BN2202" s="281">
        <f>$AX$9</f>
        <v>0.78</v>
      </c>
      <c r="BO2202" s="281">
        <f t="shared" si="168"/>
        <v>8.7775200000000027</v>
      </c>
    </row>
    <row r="2203" spans="65:67" x14ac:dyDescent="0.25">
      <c r="BM2203" s="281">
        <f>$AZ$38+0.2*(seat_pitch)*($AY$38*n_SA+$AW$9&lt;pax_e)</f>
        <v>26.102</v>
      </c>
      <c r="BN2203" s="281">
        <f>$AX$9</f>
        <v>0.78</v>
      </c>
      <c r="BO2203" s="281">
        <f t="shared" si="168"/>
        <v>8.291520000000002</v>
      </c>
    </row>
    <row r="2204" spans="65:67" x14ac:dyDescent="0.25">
      <c r="BM2204" s="281">
        <f>$AZ$38+(seat_pitch)</f>
        <v>26.75</v>
      </c>
      <c r="BN2204" s="281">
        <f>$AX$9</f>
        <v>0.78</v>
      </c>
      <c r="BO2204" s="281">
        <f t="shared" si="168"/>
        <v>8.9395200000000017</v>
      </c>
    </row>
    <row r="2205" spans="65:67" x14ac:dyDescent="0.25">
      <c r="BM2205" s="281">
        <f>$AZ$39+0.2*(seat_pitch)*($AY$39*n_SA+$AW$9&lt;pax_e)</f>
        <v>26.102</v>
      </c>
      <c r="BN2205" s="281">
        <f>$AX$9</f>
        <v>0.78</v>
      </c>
      <c r="BO2205" s="281">
        <f t="shared" si="168"/>
        <v>8.291520000000002</v>
      </c>
    </row>
    <row r="2206" spans="65:67" x14ac:dyDescent="0.25">
      <c r="BM2206" s="281">
        <f>$AZ$39+0.2*(seat_pitch)*($AY$39*n_SA+$AW$9&lt;pax_e)</f>
        <v>26.102</v>
      </c>
      <c r="BN2206" s="281">
        <f>$AX$9+seat_w*($AY$39*n_SA+$AW$9&lt;pax_e)</f>
        <v>1.31</v>
      </c>
      <c r="BO2206" s="281">
        <f t="shared" si="168"/>
        <v>8.291520000000002</v>
      </c>
    </row>
    <row r="2207" spans="65:67" x14ac:dyDescent="0.25">
      <c r="BM2207" s="281">
        <f>$AZ$39</f>
        <v>25.94</v>
      </c>
      <c r="BN2207" s="281">
        <f>$AX$9+seat_w*($AY$39*n_SA+$AW$9&lt;pax_e)</f>
        <v>1.31</v>
      </c>
      <c r="BO2207" s="281">
        <f t="shared" si="168"/>
        <v>8.129520000000003</v>
      </c>
    </row>
    <row r="2208" spans="65:67" x14ac:dyDescent="0.25">
      <c r="BM2208" s="281">
        <f>$AZ$39+1*(seat_pitch)*($AY$39*n_SA+$AW$9&lt;pax_e)</f>
        <v>26.75</v>
      </c>
      <c r="BN2208" s="281">
        <f>$AX$9+seat_w*($AY$39*n_SA+$AW$9&lt;pax_e)</f>
        <v>1.31</v>
      </c>
      <c r="BO2208" s="281">
        <f t="shared" si="168"/>
        <v>8.9395200000000017</v>
      </c>
    </row>
    <row r="2209" spans="65:67" x14ac:dyDescent="0.25">
      <c r="BM2209" s="281">
        <f>$AZ$39+0.8*(seat_pitch)*($AY$39*n_SA+$AW$9&lt;pax_e)</f>
        <v>26.588000000000001</v>
      </c>
      <c r="BN2209" s="281">
        <f>$AX$9+seat_w*($AY$39*n_SA+$AW$9&lt;pax_e)</f>
        <v>1.31</v>
      </c>
      <c r="BO2209" s="281">
        <f t="shared" si="168"/>
        <v>8.7775200000000027</v>
      </c>
    </row>
    <row r="2210" spans="65:67" x14ac:dyDescent="0.25">
      <c r="BM2210" s="281">
        <f>$AZ$39+0.8*(seat_pitch)*($AY$39*n_SA+$AW$9&lt;pax_e)</f>
        <v>26.588000000000001</v>
      </c>
      <c r="BN2210" s="281">
        <f>$AX$9</f>
        <v>0.78</v>
      </c>
      <c r="BO2210" s="281">
        <f t="shared" si="168"/>
        <v>8.7775200000000027</v>
      </c>
    </row>
    <row r="2211" spans="65:67" x14ac:dyDescent="0.25">
      <c r="BM2211" s="281">
        <f>$AZ$39+0.2*(seat_pitch)*($AY$39*n_SA+$AW$9&lt;pax_e)</f>
        <v>26.102</v>
      </c>
      <c r="BN2211" s="281">
        <f>$AX$9</f>
        <v>0.78</v>
      </c>
      <c r="BO2211" s="281">
        <f t="shared" si="168"/>
        <v>8.291520000000002</v>
      </c>
    </row>
    <row r="2212" spans="65:67" x14ac:dyDescent="0.25">
      <c r="BM2212" s="281">
        <f>$AZ$39+(seat_pitch)</f>
        <v>26.75</v>
      </c>
      <c r="BN2212" s="281">
        <f>$AX$9</f>
        <v>0.78</v>
      </c>
      <c r="BO2212" s="281">
        <f t="shared" si="168"/>
        <v>8.9395200000000017</v>
      </c>
    </row>
    <row r="2213" spans="65:67" x14ac:dyDescent="0.25">
      <c r="BM2213" s="281">
        <f>$AZ$40+0.2*(seat_pitch)*($AY$40*n_SA+$AW$9&lt;pax_e)</f>
        <v>26.102</v>
      </c>
      <c r="BN2213" s="281">
        <f>$AX$9</f>
        <v>0.78</v>
      </c>
      <c r="BO2213" s="281">
        <f t="shared" si="168"/>
        <v>8.291520000000002</v>
      </c>
    </row>
    <row r="2214" spans="65:67" x14ac:dyDescent="0.25">
      <c r="BM2214" s="281">
        <f>$AZ$40+0.2*(seat_pitch)*($AY$40*n_SA+$AW$9&lt;pax_e)</f>
        <v>26.102</v>
      </c>
      <c r="BN2214" s="281">
        <f>$AX$9+seat_w*($AY$40*n_SA+$AW$9&lt;pax_e)</f>
        <v>1.31</v>
      </c>
      <c r="BO2214" s="281">
        <f t="shared" si="168"/>
        <v>8.291520000000002</v>
      </c>
    </row>
    <row r="2215" spans="65:67" x14ac:dyDescent="0.25">
      <c r="BM2215" s="281">
        <f>$AZ$40</f>
        <v>25.94</v>
      </c>
      <c r="BN2215" s="281">
        <f>$AX$9+seat_w*($AY$40*n_SA+$AW$9&lt;pax_e)</f>
        <v>1.31</v>
      </c>
      <c r="BO2215" s="281">
        <f t="shared" si="168"/>
        <v>8.129520000000003</v>
      </c>
    </row>
    <row r="2216" spans="65:67" x14ac:dyDescent="0.25">
      <c r="BM2216" s="281">
        <f>$AZ$40+1*(seat_pitch)*($AY$40*n_SA+$AW$9&lt;pax_e)</f>
        <v>26.75</v>
      </c>
      <c r="BN2216" s="281">
        <f>$AX$9+seat_w*($AY$40*n_SA+$AW$9&lt;pax_e)</f>
        <v>1.31</v>
      </c>
      <c r="BO2216" s="281">
        <f t="shared" si="168"/>
        <v>8.9395200000000017</v>
      </c>
    </row>
    <row r="2217" spans="65:67" x14ac:dyDescent="0.25">
      <c r="BM2217" s="281">
        <f>$AZ$40+0.8*(seat_pitch)*($AY$40*n_SA+$AW$9&lt;pax_e)</f>
        <v>26.588000000000001</v>
      </c>
      <c r="BN2217" s="281">
        <f>$AX$9+seat_w*($AY$40*n_SA+$AW$9&lt;pax_e)</f>
        <v>1.31</v>
      </c>
      <c r="BO2217" s="281">
        <f t="shared" si="168"/>
        <v>8.7775200000000027</v>
      </c>
    </row>
    <row r="2218" spans="65:67" x14ac:dyDescent="0.25">
      <c r="BM2218" s="281">
        <f>$AZ$40+0.8*(seat_pitch)*($AY$40*n_SA+$AW$9&lt;pax_e)</f>
        <v>26.588000000000001</v>
      </c>
      <c r="BN2218" s="281">
        <f>$AX$9</f>
        <v>0.78</v>
      </c>
      <c r="BO2218" s="281">
        <f t="shared" si="168"/>
        <v>8.7775200000000027</v>
      </c>
    </row>
    <row r="2219" spans="65:67" x14ac:dyDescent="0.25">
      <c r="BM2219" s="281">
        <f>$AZ$40+0.2*(seat_pitch)*($AY$40*n_SA+$AW$9&lt;pax_e)</f>
        <v>26.102</v>
      </c>
      <c r="BN2219" s="281">
        <f>$AX$9</f>
        <v>0.78</v>
      </c>
      <c r="BO2219" s="281">
        <f t="shared" si="168"/>
        <v>8.291520000000002</v>
      </c>
    </row>
    <row r="2220" spans="65:67" x14ac:dyDescent="0.25">
      <c r="BM2220" s="281">
        <f>$AZ$40+(seat_pitch)</f>
        <v>26.75</v>
      </c>
      <c r="BN2220" s="281">
        <f>$AX$9</f>
        <v>0.78</v>
      </c>
      <c r="BO2220" s="281">
        <f t="shared" si="168"/>
        <v>8.9395200000000017</v>
      </c>
    </row>
    <row r="2221" spans="65:67" x14ac:dyDescent="0.25">
      <c r="BM2221" s="281">
        <f>$AZ$41+0.2*(seat_pitch)*($AY$41*n_SA+$AW$9&lt;pax_e)</f>
        <v>26.102</v>
      </c>
      <c r="BN2221" s="281">
        <f>$AX$9</f>
        <v>0.78</v>
      </c>
      <c r="BO2221" s="281">
        <f t="shared" si="168"/>
        <v>8.291520000000002</v>
      </c>
    </row>
    <row r="2222" spans="65:67" x14ac:dyDescent="0.25">
      <c r="BM2222" s="281">
        <f>$AZ$41+0.2*(seat_pitch)*($AY$41*n_SA+$AW$9&lt;pax_e)</f>
        <v>26.102</v>
      </c>
      <c r="BN2222" s="281">
        <f>$AX$9+seat_w*($AY$41*n_SA+$AW$9&lt;pax_e)</f>
        <v>1.31</v>
      </c>
      <c r="BO2222" s="281">
        <f t="shared" si="168"/>
        <v>8.291520000000002</v>
      </c>
    </row>
    <row r="2223" spans="65:67" x14ac:dyDescent="0.25">
      <c r="BM2223" s="281">
        <f>$AZ$41</f>
        <v>25.94</v>
      </c>
      <c r="BN2223" s="281">
        <f>$AX$9+seat_w*($AY$41*n_SA+$AW$9&lt;pax_e)</f>
        <v>1.31</v>
      </c>
      <c r="BO2223" s="281">
        <f t="shared" si="168"/>
        <v>8.129520000000003</v>
      </c>
    </row>
    <row r="2224" spans="65:67" x14ac:dyDescent="0.25">
      <c r="BM2224" s="281">
        <f>$AZ$41+1*(seat_pitch)*($AY$41*n_SA+$AW$9&lt;pax_e)</f>
        <v>26.75</v>
      </c>
      <c r="BN2224" s="281">
        <f>$AX$9+seat_w*($AY$41*n_SA+$AW$9&lt;pax_e)</f>
        <v>1.31</v>
      </c>
      <c r="BO2224" s="281">
        <f t="shared" si="168"/>
        <v>8.9395200000000017</v>
      </c>
    </row>
    <row r="2225" spans="65:67" x14ac:dyDescent="0.25">
      <c r="BM2225" s="281">
        <f>$AZ$41+0.8*(seat_pitch)*($AY$41*n_SA+$AW$9&lt;pax_e)</f>
        <v>26.588000000000001</v>
      </c>
      <c r="BN2225" s="281">
        <f>$AX$9+seat_w*($AY$41*n_SA+$AW$9&lt;pax_e)</f>
        <v>1.31</v>
      </c>
      <c r="BO2225" s="281">
        <f t="shared" si="168"/>
        <v>8.7775200000000027</v>
      </c>
    </row>
    <row r="2226" spans="65:67" x14ac:dyDescent="0.25">
      <c r="BM2226" s="281">
        <f>$AZ$41+0.8*(seat_pitch)*($AY$41*n_SA+$AW$9&lt;pax_e)</f>
        <v>26.588000000000001</v>
      </c>
      <c r="BN2226" s="281">
        <f>$AX$9</f>
        <v>0.78</v>
      </c>
      <c r="BO2226" s="281">
        <f t="shared" si="168"/>
        <v>8.7775200000000027</v>
      </c>
    </row>
    <row r="2227" spans="65:67" x14ac:dyDescent="0.25">
      <c r="BM2227" s="281">
        <f>$AZ$41+0.2*(seat_pitch)*($AY$41*n_SA+$AW$9&lt;pax_e)</f>
        <v>26.102</v>
      </c>
      <c r="BN2227" s="281">
        <f>$AX$9</f>
        <v>0.78</v>
      </c>
      <c r="BO2227" s="281">
        <f t="shared" si="168"/>
        <v>8.291520000000002</v>
      </c>
    </row>
    <row r="2228" spans="65:67" x14ac:dyDescent="0.25">
      <c r="BM2228" s="281">
        <f>$AZ$41+(seat_pitch)</f>
        <v>26.75</v>
      </c>
      <c r="BN2228" s="281">
        <f>$AX$9</f>
        <v>0.78</v>
      </c>
      <c r="BO2228" s="281">
        <f t="shared" si="168"/>
        <v>8.9395200000000017</v>
      </c>
    </row>
    <row r="2229" spans="65:67" x14ac:dyDescent="0.25">
      <c r="BM2229" s="281">
        <f>$AZ$42+0.2*(seat_pitch)*($AY$42*n_SA+$AW$9&lt;pax_e)</f>
        <v>26.102</v>
      </c>
      <c r="BN2229" s="281">
        <f>$AX$9</f>
        <v>0.78</v>
      </c>
      <c r="BO2229" s="281">
        <f t="shared" si="168"/>
        <v>8.291520000000002</v>
      </c>
    </row>
    <row r="2230" spans="65:67" x14ac:dyDescent="0.25">
      <c r="BM2230" s="281">
        <f>$AZ$42+0.2*(seat_pitch)*($AY$42*n_SA+$AW$9&lt;pax_e)</f>
        <v>26.102</v>
      </c>
      <c r="BN2230" s="281">
        <f>$AX$9+seat_w*($AY$42*n_SA+$AW$9&lt;pax_e)</f>
        <v>1.31</v>
      </c>
      <c r="BO2230" s="281">
        <f t="shared" si="168"/>
        <v>8.291520000000002</v>
      </c>
    </row>
    <row r="2231" spans="65:67" x14ac:dyDescent="0.25">
      <c r="BM2231" s="281">
        <f>$AZ$42</f>
        <v>25.94</v>
      </c>
      <c r="BN2231" s="281">
        <f>$AX$9+seat_w*($AY$42*n_SA+$AW$9&lt;pax_e)</f>
        <v>1.31</v>
      </c>
      <c r="BO2231" s="281">
        <f t="shared" si="168"/>
        <v>8.129520000000003</v>
      </c>
    </row>
    <row r="2232" spans="65:67" x14ac:dyDescent="0.25">
      <c r="BM2232" s="281">
        <f>$AZ$42+1*(seat_pitch)*($AY$42*n_SA+$AW$9&lt;pax_e)</f>
        <v>26.75</v>
      </c>
      <c r="BN2232" s="281">
        <f>$AX$9+seat_w*($AY$42*n_SA+$AW$9&lt;pax_e)</f>
        <v>1.31</v>
      </c>
      <c r="BO2232" s="281">
        <f t="shared" si="168"/>
        <v>8.9395200000000017</v>
      </c>
    </row>
    <row r="2233" spans="65:67" x14ac:dyDescent="0.25">
      <c r="BM2233" s="281">
        <f>$AZ$42+0.8*(seat_pitch)*($AY$42*n_SA+$AW$9&lt;pax_e)</f>
        <v>26.588000000000001</v>
      </c>
      <c r="BN2233" s="281">
        <f>$AX$9+seat_w*($AY$42*n_SA+$AW$9&lt;pax_e)</f>
        <v>1.31</v>
      </c>
      <c r="BO2233" s="281">
        <f t="shared" si="168"/>
        <v>8.7775200000000027</v>
      </c>
    </row>
    <row r="2234" spans="65:67" x14ac:dyDescent="0.25">
      <c r="BM2234" s="281">
        <f>$AZ$42+0.8*(seat_pitch)*($AY$42*n_SA+$AW$9&lt;pax_e)</f>
        <v>26.588000000000001</v>
      </c>
      <c r="BN2234" s="281">
        <f>$AX$9</f>
        <v>0.78</v>
      </c>
      <c r="BO2234" s="281">
        <f t="shared" si="168"/>
        <v>8.7775200000000027</v>
      </c>
    </row>
    <row r="2235" spans="65:67" x14ac:dyDescent="0.25">
      <c r="BM2235" s="281">
        <f>$AZ$42+0.2*(seat_pitch)*($AY$42*n_SA+$AW$9&lt;pax_e)</f>
        <v>26.102</v>
      </c>
      <c r="BN2235" s="281">
        <f>$AX$9</f>
        <v>0.78</v>
      </c>
      <c r="BO2235" s="281">
        <f t="shared" si="168"/>
        <v>8.291520000000002</v>
      </c>
    </row>
    <row r="2236" spans="65:67" x14ac:dyDescent="0.25">
      <c r="BM2236" s="281">
        <f>$AZ$42+(seat_pitch)</f>
        <v>26.75</v>
      </c>
      <c r="BN2236" s="281">
        <f>$AX$9</f>
        <v>0.78</v>
      </c>
      <c r="BO2236" s="281">
        <f t="shared" si="168"/>
        <v>8.9395200000000017</v>
      </c>
    </row>
    <row r="2237" spans="65:67" x14ac:dyDescent="0.25">
      <c r="BM2237" s="281">
        <f>$AZ$43+0.2*(seat_pitch)*($AY$43*n_SA+$AW$9&lt;pax_e)</f>
        <v>26.102</v>
      </c>
      <c r="BN2237" s="281">
        <f>$AX$9</f>
        <v>0.78</v>
      </c>
      <c r="BO2237" s="281">
        <f t="shared" si="168"/>
        <v>8.291520000000002</v>
      </c>
    </row>
    <row r="2238" spans="65:67" x14ac:dyDescent="0.25">
      <c r="BM2238" s="281">
        <f>$AZ$43+0.2*(seat_pitch)*($AY$43*n_SA+$AW$9&lt;pax_e)</f>
        <v>26.102</v>
      </c>
      <c r="BN2238" s="281">
        <f>$AX$9+seat_w*($AY$43*n_SA+$AW$9&lt;pax_e)</f>
        <v>1.31</v>
      </c>
      <c r="BO2238" s="281">
        <f t="shared" si="168"/>
        <v>8.291520000000002</v>
      </c>
    </row>
    <row r="2239" spans="65:67" x14ac:dyDescent="0.25">
      <c r="BM2239" s="281">
        <f>$AZ$43</f>
        <v>25.94</v>
      </c>
      <c r="BN2239" s="281">
        <f>$AX$9+seat_w*($AY$43*n_SA+$AW$9&lt;pax_e)</f>
        <v>1.31</v>
      </c>
      <c r="BO2239" s="281">
        <f t="shared" si="168"/>
        <v>8.129520000000003</v>
      </c>
    </row>
    <row r="2240" spans="65:67" x14ac:dyDescent="0.25">
      <c r="BM2240" s="281">
        <f>$AZ$43+1*(seat_pitch)*($AY$43*n_SA+$AW$9&lt;pax_e)</f>
        <v>26.75</v>
      </c>
      <c r="BN2240" s="281">
        <f>$AX$9+seat_w*($AY$43*n_SA+$AW$9&lt;pax_e)</f>
        <v>1.31</v>
      </c>
      <c r="BO2240" s="281">
        <f t="shared" si="168"/>
        <v>8.9395200000000017</v>
      </c>
    </row>
    <row r="2241" spans="65:67" x14ac:dyDescent="0.25">
      <c r="BM2241" s="281">
        <f>$AZ$43+0.8*(seat_pitch)*($AY$43*n_SA+$AW$9&lt;pax_e)</f>
        <v>26.588000000000001</v>
      </c>
      <c r="BN2241" s="281">
        <f>$AX$9+seat_w*($AY$43*n_SA+$AW$9&lt;pax_e)</f>
        <v>1.31</v>
      </c>
      <c r="BO2241" s="281">
        <f t="shared" si="168"/>
        <v>8.7775200000000027</v>
      </c>
    </row>
    <row r="2242" spans="65:67" x14ac:dyDescent="0.25">
      <c r="BM2242" s="281">
        <f>$AZ$43+0.8*(seat_pitch)*($AY$43*n_SA+$AW$9&lt;pax_e)</f>
        <v>26.588000000000001</v>
      </c>
      <c r="BN2242" s="281">
        <f>$AX$9</f>
        <v>0.78</v>
      </c>
      <c r="BO2242" s="281">
        <f t="shared" si="168"/>
        <v>8.7775200000000027</v>
      </c>
    </row>
    <row r="2243" spans="65:67" x14ac:dyDescent="0.25">
      <c r="BM2243" s="281">
        <f>$AZ$43+0.2*(seat_pitch)*($AY$43*n_SA+$AW$9&lt;pax_e)</f>
        <v>26.102</v>
      </c>
      <c r="BN2243" s="281">
        <f>$AX$9</f>
        <v>0.78</v>
      </c>
      <c r="BO2243" s="281">
        <f t="shared" si="168"/>
        <v>8.291520000000002</v>
      </c>
    </row>
    <row r="2244" spans="65:67" x14ac:dyDescent="0.25">
      <c r="BM2244" s="281">
        <f>$AZ$43+(seat_pitch)</f>
        <v>26.75</v>
      </c>
      <c r="BN2244" s="281">
        <f>$AX$9</f>
        <v>0.78</v>
      </c>
      <c r="BO2244" s="281">
        <f t="shared" si="168"/>
        <v>8.9395200000000017</v>
      </c>
    </row>
    <row r="2245" spans="65:67" x14ac:dyDescent="0.25">
      <c r="BM2245" s="281">
        <f>$AZ$44+0.2*(seat_pitch)*($AY$44*n_SA+$AW$9&lt;pax_e)</f>
        <v>26.102</v>
      </c>
      <c r="BN2245" s="281">
        <f>$AX$9</f>
        <v>0.78</v>
      </c>
      <c r="BO2245" s="281">
        <f t="shared" ref="BO2245:BO2308" si="169">BM2245-L_fus/2</f>
        <v>8.291520000000002</v>
      </c>
    </row>
    <row r="2246" spans="65:67" x14ac:dyDescent="0.25">
      <c r="BM2246" s="281">
        <f>$AZ$44+0.2*(seat_pitch)*($AY$44*n_SA+$AW$9&lt;pax_e)</f>
        <v>26.102</v>
      </c>
      <c r="BN2246" s="281">
        <f>$AX$9+seat_w*($AY$44*n_SA+$AW$9&lt;pax_e)</f>
        <v>1.31</v>
      </c>
      <c r="BO2246" s="281">
        <f t="shared" si="169"/>
        <v>8.291520000000002</v>
      </c>
    </row>
    <row r="2247" spans="65:67" x14ac:dyDescent="0.25">
      <c r="BM2247" s="281">
        <f>$AZ$44</f>
        <v>25.94</v>
      </c>
      <c r="BN2247" s="281">
        <f>$AX$9+seat_w*($AY$44*n_SA+$AW$9&lt;pax_e)</f>
        <v>1.31</v>
      </c>
      <c r="BO2247" s="281">
        <f t="shared" si="169"/>
        <v>8.129520000000003</v>
      </c>
    </row>
    <row r="2248" spans="65:67" x14ac:dyDescent="0.25">
      <c r="BM2248" s="281">
        <f>$AZ$44+1*(seat_pitch)*($AY$44*n_SA+$AW$9&lt;pax_e)</f>
        <v>26.75</v>
      </c>
      <c r="BN2248" s="281">
        <f>$AX$9+seat_w*($AY$44*n_SA+$AW$9&lt;pax_e)</f>
        <v>1.31</v>
      </c>
      <c r="BO2248" s="281">
        <f t="shared" si="169"/>
        <v>8.9395200000000017</v>
      </c>
    </row>
    <row r="2249" spans="65:67" x14ac:dyDescent="0.25">
      <c r="BM2249" s="281">
        <f>$AZ$44+0.8*(seat_pitch)*($AY$44*n_SA+$AW$9&lt;pax_e)</f>
        <v>26.588000000000001</v>
      </c>
      <c r="BN2249" s="281">
        <f>$AX$9+seat_w*($AY$44*n_SA+$AW$9&lt;pax_e)</f>
        <v>1.31</v>
      </c>
      <c r="BO2249" s="281">
        <f t="shared" si="169"/>
        <v>8.7775200000000027</v>
      </c>
    </row>
    <row r="2250" spans="65:67" x14ac:dyDescent="0.25">
      <c r="BM2250" s="281">
        <f>$AZ$44+0.8*(seat_pitch)*($AY$44*n_SA+$AW$9&lt;pax_e)</f>
        <v>26.588000000000001</v>
      </c>
      <c r="BN2250" s="281">
        <f>$AX$9</f>
        <v>0.78</v>
      </c>
      <c r="BO2250" s="281">
        <f t="shared" si="169"/>
        <v>8.7775200000000027</v>
      </c>
    </row>
    <row r="2251" spans="65:67" x14ac:dyDescent="0.25">
      <c r="BM2251" s="281">
        <f>$AZ$44+0.2*(seat_pitch)*($AY$44*n_SA+$AW$9&lt;pax_e)</f>
        <v>26.102</v>
      </c>
      <c r="BN2251" s="281">
        <f>$AX$9</f>
        <v>0.78</v>
      </c>
      <c r="BO2251" s="281">
        <f t="shared" si="169"/>
        <v>8.291520000000002</v>
      </c>
    </row>
    <row r="2252" spans="65:67" x14ac:dyDescent="0.25">
      <c r="BM2252" s="281">
        <f>$AZ$44+(seat_pitch)</f>
        <v>26.75</v>
      </c>
      <c r="BN2252" s="281">
        <f>$AX$9</f>
        <v>0.78</v>
      </c>
      <c r="BO2252" s="281">
        <f t="shared" si="169"/>
        <v>8.9395200000000017</v>
      </c>
    </row>
    <row r="2253" spans="65:67" x14ac:dyDescent="0.25">
      <c r="BM2253" s="281">
        <f>$AZ$45+0.2*(seat_pitch)*($AY$45*n_SA+$AW$9&lt;pax_e)</f>
        <v>26.102</v>
      </c>
      <c r="BN2253" s="281">
        <f>$AX$9</f>
        <v>0.78</v>
      </c>
      <c r="BO2253" s="281">
        <f t="shared" si="169"/>
        <v>8.291520000000002</v>
      </c>
    </row>
    <row r="2254" spans="65:67" x14ac:dyDescent="0.25">
      <c r="BM2254" s="281">
        <f>$AZ$45+0.2*(seat_pitch)*($AY$45*n_SA+$AW$9&lt;pax_e)</f>
        <v>26.102</v>
      </c>
      <c r="BN2254" s="281">
        <f>$AX$9+seat_w*($AY$45*n_SA+$AW$9&lt;pax_e)</f>
        <v>1.31</v>
      </c>
      <c r="BO2254" s="281">
        <f t="shared" si="169"/>
        <v>8.291520000000002</v>
      </c>
    </row>
    <row r="2255" spans="65:67" x14ac:dyDescent="0.25">
      <c r="BM2255" s="281">
        <f>$AZ$45</f>
        <v>25.94</v>
      </c>
      <c r="BN2255" s="281">
        <f>$AX$9+seat_w*($AY$45*n_SA+$AW$9&lt;pax_e)</f>
        <v>1.31</v>
      </c>
      <c r="BO2255" s="281">
        <f t="shared" si="169"/>
        <v>8.129520000000003</v>
      </c>
    </row>
    <row r="2256" spans="65:67" x14ac:dyDescent="0.25">
      <c r="BM2256" s="281">
        <f>$AZ$45+1*(seat_pitch)*($AY$45*n_SA+$AW$9&lt;pax_e)</f>
        <v>26.75</v>
      </c>
      <c r="BN2256" s="281">
        <f>$AX$9+seat_w*($AY$45*n_SA+$AW$9&lt;pax_e)</f>
        <v>1.31</v>
      </c>
      <c r="BO2256" s="281">
        <f t="shared" si="169"/>
        <v>8.9395200000000017</v>
      </c>
    </row>
    <row r="2257" spans="65:67" x14ac:dyDescent="0.25">
      <c r="BM2257" s="281">
        <f>$AZ$45+0.8*(seat_pitch)*($AY$45*n_SA+$AW$9&lt;pax_e)</f>
        <v>26.588000000000001</v>
      </c>
      <c r="BN2257" s="281">
        <f>$AX$9+seat_w*($AY$45*n_SA+$AW$9&lt;pax_e)</f>
        <v>1.31</v>
      </c>
      <c r="BO2257" s="281">
        <f t="shared" si="169"/>
        <v>8.7775200000000027</v>
      </c>
    </row>
    <row r="2258" spans="65:67" x14ac:dyDescent="0.25">
      <c r="BM2258" s="281">
        <f>$AZ$45+0.8*(seat_pitch)*($AY$45*n_SA+$AW$9&lt;pax_e)</f>
        <v>26.588000000000001</v>
      </c>
      <c r="BN2258" s="281">
        <f>$AX$9</f>
        <v>0.78</v>
      </c>
      <c r="BO2258" s="281">
        <f t="shared" si="169"/>
        <v>8.7775200000000027</v>
      </c>
    </row>
    <row r="2259" spans="65:67" x14ac:dyDescent="0.25">
      <c r="BM2259" s="281">
        <f>$AZ$45+0.2*(seat_pitch)*($AY$45*n_SA+$AW$9&lt;pax_e)</f>
        <v>26.102</v>
      </c>
      <c r="BN2259" s="281">
        <f>$AX$9</f>
        <v>0.78</v>
      </c>
      <c r="BO2259" s="281">
        <f t="shared" si="169"/>
        <v>8.291520000000002</v>
      </c>
    </row>
    <row r="2260" spans="65:67" x14ac:dyDescent="0.25">
      <c r="BM2260" s="281">
        <f>$AZ$45+(seat_pitch)</f>
        <v>26.75</v>
      </c>
      <c r="BN2260" s="281">
        <f>$AX$9</f>
        <v>0.78</v>
      </c>
      <c r="BO2260" s="281">
        <f t="shared" si="169"/>
        <v>8.9395200000000017</v>
      </c>
    </row>
    <row r="2261" spans="65:67" x14ac:dyDescent="0.25">
      <c r="BM2261" s="281">
        <f>$AZ$46+0.2*(seat_pitch)*($AY$46*n_SA+$AW$9&lt;pax_e)</f>
        <v>26.102</v>
      </c>
      <c r="BN2261" s="281">
        <f>$AX$9</f>
        <v>0.78</v>
      </c>
      <c r="BO2261" s="281">
        <f t="shared" si="169"/>
        <v>8.291520000000002</v>
      </c>
    </row>
    <row r="2262" spans="65:67" x14ac:dyDescent="0.25">
      <c r="BM2262" s="281">
        <f>$AZ$46+0.2*(seat_pitch)*($AY$46*n_SA+$AW$9&lt;pax_e)</f>
        <v>26.102</v>
      </c>
      <c r="BN2262" s="281">
        <f>$AX$9+seat_w*($AY$46*n_SA+$AW$9&lt;pax_e)</f>
        <v>1.31</v>
      </c>
      <c r="BO2262" s="281">
        <f t="shared" si="169"/>
        <v>8.291520000000002</v>
      </c>
    </row>
    <row r="2263" spans="65:67" x14ac:dyDescent="0.25">
      <c r="BM2263" s="281">
        <f>$AZ$46</f>
        <v>25.94</v>
      </c>
      <c r="BN2263" s="281">
        <f>$AX$9+seat_w*($AY$46*n_SA+$AW$9&lt;pax_e)</f>
        <v>1.31</v>
      </c>
      <c r="BO2263" s="281">
        <f t="shared" si="169"/>
        <v>8.129520000000003</v>
      </c>
    </row>
    <row r="2264" spans="65:67" x14ac:dyDescent="0.25">
      <c r="BM2264" s="281">
        <f>$AZ$46+1*(seat_pitch)*($AY$46*n_SA+$AW$9&lt;pax_e)</f>
        <v>26.75</v>
      </c>
      <c r="BN2264" s="281">
        <f>$AX$9+seat_w*($AY$46*n_SA+$AW$9&lt;pax_e)</f>
        <v>1.31</v>
      </c>
      <c r="BO2264" s="281">
        <f t="shared" si="169"/>
        <v>8.9395200000000017</v>
      </c>
    </row>
    <row r="2265" spans="65:67" x14ac:dyDescent="0.25">
      <c r="BM2265" s="281">
        <f>$AZ$46+0.8*(seat_pitch)*($AY$46*n_SA+$AW$9&lt;pax_e)</f>
        <v>26.588000000000001</v>
      </c>
      <c r="BN2265" s="281">
        <f>$AX$9+seat_w*($AY$46*n_SA+$AW$9&lt;pax_e)</f>
        <v>1.31</v>
      </c>
      <c r="BO2265" s="281">
        <f t="shared" si="169"/>
        <v>8.7775200000000027</v>
      </c>
    </row>
    <row r="2266" spans="65:67" x14ac:dyDescent="0.25">
      <c r="BM2266" s="281">
        <f>$AZ$46+0.8*(seat_pitch)*($AY$46*n_SA+$AW$9&lt;pax_e)</f>
        <v>26.588000000000001</v>
      </c>
      <c r="BN2266" s="281">
        <f>$AX$9</f>
        <v>0.78</v>
      </c>
      <c r="BO2266" s="281">
        <f t="shared" si="169"/>
        <v>8.7775200000000027</v>
      </c>
    </row>
    <row r="2267" spans="65:67" x14ac:dyDescent="0.25">
      <c r="BM2267" s="281">
        <f>$AZ$46+0.2*(seat_pitch)*($AY$46*n_SA+$AW$9&lt;pax_e)</f>
        <v>26.102</v>
      </c>
      <c r="BN2267" s="281">
        <f>$AX$9</f>
        <v>0.78</v>
      </c>
      <c r="BO2267" s="281">
        <f t="shared" si="169"/>
        <v>8.291520000000002</v>
      </c>
    </row>
    <row r="2268" spans="65:67" x14ac:dyDescent="0.25">
      <c r="BM2268" s="281">
        <f>$AZ$46+(seat_pitch)</f>
        <v>26.75</v>
      </c>
      <c r="BN2268" s="281">
        <f>$AX$9</f>
        <v>0.78</v>
      </c>
      <c r="BO2268" s="281">
        <f t="shared" si="169"/>
        <v>8.9395200000000017</v>
      </c>
    </row>
    <row r="2269" spans="65:67" x14ac:dyDescent="0.25">
      <c r="BM2269" s="281">
        <f>$AZ$47+0.2*(seat_pitch)*($AY$47*n_SA+$AW$9&lt;pax_e)</f>
        <v>26.102</v>
      </c>
      <c r="BN2269" s="281">
        <f>$AX$9</f>
        <v>0.78</v>
      </c>
      <c r="BO2269" s="281">
        <f t="shared" si="169"/>
        <v>8.291520000000002</v>
      </c>
    </row>
    <row r="2270" spans="65:67" x14ac:dyDescent="0.25">
      <c r="BM2270" s="281">
        <f>$AZ$47+0.2*(seat_pitch)*($AY$47*n_SA+$AW$9&lt;pax_e)</f>
        <v>26.102</v>
      </c>
      <c r="BN2270" s="281">
        <f>$AX$9+seat_w*($AY$47*n_SA+$AW$9&lt;pax_e)</f>
        <v>1.31</v>
      </c>
      <c r="BO2270" s="281">
        <f t="shared" si="169"/>
        <v>8.291520000000002</v>
      </c>
    </row>
    <row r="2271" spans="65:67" x14ac:dyDescent="0.25">
      <c r="BM2271" s="281">
        <f>$AZ$47</f>
        <v>25.94</v>
      </c>
      <c r="BN2271" s="281">
        <f>$AX$9+seat_w*($AY$47*n_SA+$AW$9&lt;pax_e)</f>
        <v>1.31</v>
      </c>
      <c r="BO2271" s="281">
        <f t="shared" si="169"/>
        <v>8.129520000000003</v>
      </c>
    </row>
    <row r="2272" spans="65:67" x14ac:dyDescent="0.25">
      <c r="BM2272" s="281">
        <f>$AZ$47+1*(seat_pitch)*($AY$47*n_SA+$AW$9&lt;pax_e)</f>
        <v>26.75</v>
      </c>
      <c r="BN2272" s="281">
        <f>$AX$9+seat_w*($AY$47*n_SA+$AW$9&lt;pax_e)</f>
        <v>1.31</v>
      </c>
      <c r="BO2272" s="281">
        <f t="shared" si="169"/>
        <v>8.9395200000000017</v>
      </c>
    </row>
    <row r="2273" spans="65:67" x14ac:dyDescent="0.25">
      <c r="BM2273" s="281">
        <f>$AZ$47+0.8*(seat_pitch)*($AY$47*n_SA+$AW$9&lt;pax_e)</f>
        <v>26.588000000000001</v>
      </c>
      <c r="BN2273" s="281">
        <f>$AX$9+seat_w*($AY$47*n_SA+$AW$9&lt;pax_e)</f>
        <v>1.31</v>
      </c>
      <c r="BO2273" s="281">
        <f t="shared" si="169"/>
        <v>8.7775200000000027</v>
      </c>
    </row>
    <row r="2274" spans="65:67" x14ac:dyDescent="0.25">
      <c r="BM2274" s="281">
        <f>$AZ$47+0.8*(seat_pitch)*($AY$47*n_SA+$AW$9&lt;pax_e)</f>
        <v>26.588000000000001</v>
      </c>
      <c r="BN2274" s="281">
        <f>$AX$9</f>
        <v>0.78</v>
      </c>
      <c r="BO2274" s="281">
        <f t="shared" si="169"/>
        <v>8.7775200000000027</v>
      </c>
    </row>
    <row r="2275" spans="65:67" x14ac:dyDescent="0.25">
      <c r="BM2275" s="281">
        <f>$AZ$47+0.2*(seat_pitch)*($AY$47*n_SA+$AW$9&lt;pax_e)</f>
        <v>26.102</v>
      </c>
      <c r="BN2275" s="281">
        <f>$AX$9</f>
        <v>0.78</v>
      </c>
      <c r="BO2275" s="281">
        <f t="shared" si="169"/>
        <v>8.291520000000002</v>
      </c>
    </row>
    <row r="2276" spans="65:67" x14ac:dyDescent="0.25">
      <c r="BM2276" s="281">
        <f>$AZ$47+(seat_pitch)</f>
        <v>26.75</v>
      </c>
      <c r="BN2276" s="281">
        <f>$AX$9</f>
        <v>0.78</v>
      </c>
      <c r="BO2276" s="281">
        <f t="shared" si="169"/>
        <v>8.9395200000000017</v>
      </c>
    </row>
    <row r="2277" spans="65:67" x14ac:dyDescent="0.25">
      <c r="BM2277" s="281">
        <f>$AZ$48+0.2*(seat_pitch)*($AY$48*n_SA+$AW$9&lt;pax_e)</f>
        <v>26.102</v>
      </c>
      <c r="BN2277" s="281">
        <f>$AX$9</f>
        <v>0.78</v>
      </c>
      <c r="BO2277" s="281">
        <f t="shared" si="169"/>
        <v>8.291520000000002</v>
      </c>
    </row>
    <row r="2278" spans="65:67" x14ac:dyDescent="0.25">
      <c r="BM2278" s="281">
        <f>$AZ$48+0.2*(seat_pitch)*($AY$48*n_SA+$AW$9&lt;pax_e)</f>
        <v>26.102</v>
      </c>
      <c r="BN2278" s="281">
        <f>$AX$9+seat_w*($AY$48*n_SA+$AW$9&lt;pax_e)</f>
        <v>1.31</v>
      </c>
      <c r="BO2278" s="281">
        <f t="shared" si="169"/>
        <v>8.291520000000002</v>
      </c>
    </row>
    <row r="2279" spans="65:67" x14ac:dyDescent="0.25">
      <c r="BM2279" s="281">
        <f>$AZ$48</f>
        <v>25.94</v>
      </c>
      <c r="BN2279" s="281">
        <f>$AX$9+seat_w*($AY$48*n_SA+$AW$9&lt;pax_e)</f>
        <v>1.31</v>
      </c>
      <c r="BO2279" s="281">
        <f t="shared" si="169"/>
        <v>8.129520000000003</v>
      </c>
    </row>
    <row r="2280" spans="65:67" x14ac:dyDescent="0.25">
      <c r="BM2280" s="281">
        <f>$AZ$48+1*(seat_pitch)*($AY$48*n_SA+$AW$9&lt;pax_e)</f>
        <v>26.75</v>
      </c>
      <c r="BN2280" s="281">
        <f>$AX$9+seat_w*($AY$48*n_SA+$AW$9&lt;pax_e)</f>
        <v>1.31</v>
      </c>
      <c r="BO2280" s="281">
        <f t="shared" si="169"/>
        <v>8.9395200000000017</v>
      </c>
    </row>
    <row r="2281" spans="65:67" x14ac:dyDescent="0.25">
      <c r="BM2281" s="281">
        <f>$AZ$48+0.8*(seat_pitch)*($AY$48*n_SA+$AW$9&lt;pax_e)</f>
        <v>26.588000000000001</v>
      </c>
      <c r="BN2281" s="281">
        <f>$AX$9+seat_w*($AY$48*n_SA+$AW$9&lt;pax_e)</f>
        <v>1.31</v>
      </c>
      <c r="BO2281" s="281">
        <f t="shared" si="169"/>
        <v>8.7775200000000027</v>
      </c>
    </row>
    <row r="2282" spans="65:67" x14ac:dyDescent="0.25">
      <c r="BM2282" s="281">
        <f>$AZ$48+0.8*(seat_pitch)*($AY$48*n_SA+$AW$9&lt;pax_e)</f>
        <v>26.588000000000001</v>
      </c>
      <c r="BN2282" s="281">
        <f>$AX$9</f>
        <v>0.78</v>
      </c>
      <c r="BO2282" s="281">
        <f t="shared" si="169"/>
        <v>8.7775200000000027</v>
      </c>
    </row>
    <row r="2283" spans="65:67" x14ac:dyDescent="0.25">
      <c r="BM2283" s="281">
        <f>$AZ$48+0.2*(seat_pitch)*($AY$48*n_SA+$AW$9&lt;pax_e)</f>
        <v>26.102</v>
      </c>
      <c r="BN2283" s="281">
        <f>$AX$9</f>
        <v>0.78</v>
      </c>
      <c r="BO2283" s="281">
        <f t="shared" si="169"/>
        <v>8.291520000000002</v>
      </c>
    </row>
    <row r="2284" spans="65:67" x14ac:dyDescent="0.25">
      <c r="BM2284" s="281">
        <f>$AZ$48+(seat_pitch)</f>
        <v>26.75</v>
      </c>
      <c r="BN2284" s="281">
        <f>$AX$9</f>
        <v>0.78</v>
      </c>
      <c r="BO2284" s="281">
        <f t="shared" si="169"/>
        <v>8.9395200000000017</v>
      </c>
    </row>
    <row r="2285" spans="65:67" x14ac:dyDescent="0.25">
      <c r="BM2285" s="281">
        <f>$AZ$49+0.2*(seat_pitch)*($AY$49*n_SA+$AW$9&lt;pax_e)</f>
        <v>26.102</v>
      </c>
      <c r="BN2285" s="281">
        <f>$AX$9</f>
        <v>0.78</v>
      </c>
      <c r="BO2285" s="281">
        <f t="shared" si="169"/>
        <v>8.291520000000002</v>
      </c>
    </row>
    <row r="2286" spans="65:67" x14ac:dyDescent="0.25">
      <c r="BM2286" s="281">
        <f>$AZ$49+0.2*(seat_pitch)*($AY$49*n_SA+$AW$9&lt;pax_e)</f>
        <v>26.102</v>
      </c>
      <c r="BN2286" s="281">
        <f>$AX$9+seat_w*($AY$49*n_SA+$AW$9&lt;pax_e)</f>
        <v>1.31</v>
      </c>
      <c r="BO2286" s="281">
        <f t="shared" si="169"/>
        <v>8.291520000000002</v>
      </c>
    </row>
    <row r="2287" spans="65:67" x14ac:dyDescent="0.25">
      <c r="BM2287" s="281">
        <f>$AZ$49</f>
        <v>25.94</v>
      </c>
      <c r="BN2287" s="281">
        <f>$AX$9+seat_w*($AY$49*n_SA+$AW$9&lt;pax_e)</f>
        <v>1.31</v>
      </c>
      <c r="BO2287" s="281">
        <f t="shared" si="169"/>
        <v>8.129520000000003</v>
      </c>
    </row>
    <row r="2288" spans="65:67" x14ac:dyDescent="0.25">
      <c r="BM2288" s="281">
        <f>$AZ$49+1*(seat_pitch)*($AY$49*n_SA+$AW$9&lt;pax_e)</f>
        <v>26.75</v>
      </c>
      <c r="BN2288" s="281">
        <f>$AX$9+seat_w*($AY$49*n_SA+$AW$9&lt;pax_e)</f>
        <v>1.31</v>
      </c>
      <c r="BO2288" s="281">
        <f t="shared" si="169"/>
        <v>8.9395200000000017</v>
      </c>
    </row>
    <row r="2289" spans="65:67" x14ac:dyDescent="0.25">
      <c r="BM2289" s="281">
        <f>$AZ$49+0.8*(seat_pitch)*($AY$49*n_SA+$AW$9&lt;pax_e)</f>
        <v>26.588000000000001</v>
      </c>
      <c r="BN2289" s="281">
        <f>$AX$9+seat_w*($AY$49*n_SA+$AW$9&lt;pax_e)</f>
        <v>1.31</v>
      </c>
      <c r="BO2289" s="281">
        <f t="shared" si="169"/>
        <v>8.7775200000000027</v>
      </c>
    </row>
    <row r="2290" spans="65:67" x14ac:dyDescent="0.25">
      <c r="BM2290" s="281">
        <f>$AZ$49+0.8*(seat_pitch)*($AY$49*n_SA+$AW$9&lt;pax_e)</f>
        <v>26.588000000000001</v>
      </c>
      <c r="BN2290" s="281">
        <f>$AX$9</f>
        <v>0.78</v>
      </c>
      <c r="BO2290" s="281">
        <f t="shared" si="169"/>
        <v>8.7775200000000027</v>
      </c>
    </row>
    <row r="2291" spans="65:67" x14ac:dyDescent="0.25">
      <c r="BM2291" s="281">
        <f>$AZ$49+0.2*(seat_pitch)*($AY$49*n_SA+$AW$9&lt;pax_e)</f>
        <v>26.102</v>
      </c>
      <c r="BN2291" s="281">
        <f>$AX$9</f>
        <v>0.78</v>
      </c>
      <c r="BO2291" s="281">
        <f t="shared" si="169"/>
        <v>8.291520000000002</v>
      </c>
    </row>
    <row r="2292" spans="65:67" x14ac:dyDescent="0.25">
      <c r="BM2292" s="281">
        <f>$AZ$49+(seat_pitch)</f>
        <v>26.75</v>
      </c>
      <c r="BN2292" s="281">
        <f>$AX$9</f>
        <v>0.78</v>
      </c>
      <c r="BO2292" s="281">
        <f t="shared" si="169"/>
        <v>8.9395200000000017</v>
      </c>
    </row>
    <row r="2293" spans="65:67" x14ac:dyDescent="0.25">
      <c r="BM2293" s="281">
        <f>$AZ$50+0.2*(seat_pitch)*($AY$50*n_SA+$AW$9&lt;pax_e)</f>
        <v>26.102</v>
      </c>
      <c r="BN2293" s="281">
        <f>$AX$9</f>
        <v>0.78</v>
      </c>
      <c r="BO2293" s="281">
        <f t="shared" si="169"/>
        <v>8.291520000000002</v>
      </c>
    </row>
    <row r="2294" spans="65:67" x14ac:dyDescent="0.25">
      <c r="BM2294" s="281">
        <f>$AZ$50+0.2*(seat_pitch)*($AY$50*n_SA+$AW$9&lt;pax_e)</f>
        <v>26.102</v>
      </c>
      <c r="BN2294" s="281">
        <f>$AX$9+seat_w*($AY$50*n_SA+$AW$9&lt;pax_e)</f>
        <v>1.31</v>
      </c>
      <c r="BO2294" s="281">
        <f t="shared" si="169"/>
        <v>8.291520000000002</v>
      </c>
    </row>
    <row r="2295" spans="65:67" x14ac:dyDescent="0.25">
      <c r="BM2295" s="281">
        <f>$AZ$50</f>
        <v>25.94</v>
      </c>
      <c r="BN2295" s="281">
        <f>$AX$9+seat_w*($AY$50*n_SA+$AW$9&lt;pax_e)</f>
        <v>1.31</v>
      </c>
      <c r="BO2295" s="281">
        <f t="shared" si="169"/>
        <v>8.129520000000003</v>
      </c>
    </row>
    <row r="2296" spans="65:67" x14ac:dyDescent="0.25">
      <c r="BM2296" s="281">
        <f>$AZ$50+1*(seat_pitch)*($AY$50*n_SA+$AW$9&lt;pax_e)</f>
        <v>26.75</v>
      </c>
      <c r="BN2296" s="281">
        <f>$AX$9+seat_w*($AY$50*n_SA+$AW$9&lt;pax_e)</f>
        <v>1.31</v>
      </c>
      <c r="BO2296" s="281">
        <f t="shared" si="169"/>
        <v>8.9395200000000017</v>
      </c>
    </row>
    <row r="2297" spans="65:67" x14ac:dyDescent="0.25">
      <c r="BM2297" s="281">
        <f>$AZ$50+0.8*(seat_pitch)*($AY$50*n_SA+$AW$9&lt;pax_e)</f>
        <v>26.588000000000001</v>
      </c>
      <c r="BN2297" s="281">
        <f>$AX$9+seat_w*($AY$50*n_SA+$AW$9&lt;pax_e)</f>
        <v>1.31</v>
      </c>
      <c r="BO2297" s="281">
        <f t="shared" si="169"/>
        <v>8.7775200000000027</v>
      </c>
    </row>
    <row r="2298" spans="65:67" x14ac:dyDescent="0.25">
      <c r="BM2298" s="281">
        <f>$AZ$50+0.8*(seat_pitch)*($AY$50*n_SA+$AW$9&lt;pax_e)</f>
        <v>26.588000000000001</v>
      </c>
      <c r="BN2298" s="281">
        <f>$AX$9</f>
        <v>0.78</v>
      </c>
      <c r="BO2298" s="281">
        <f t="shared" si="169"/>
        <v>8.7775200000000027</v>
      </c>
    </row>
    <row r="2299" spans="65:67" x14ac:dyDescent="0.25">
      <c r="BM2299" s="281">
        <f>$AZ$50+0.2*(seat_pitch)*($AY$50*n_SA+$AW$9&lt;pax_e)</f>
        <v>26.102</v>
      </c>
      <c r="BN2299" s="281">
        <f>$AX$9</f>
        <v>0.78</v>
      </c>
      <c r="BO2299" s="281">
        <f t="shared" si="169"/>
        <v>8.291520000000002</v>
      </c>
    </row>
    <row r="2300" spans="65:67" x14ac:dyDescent="0.25">
      <c r="BM2300" s="281">
        <f>$AZ$50+(seat_pitch)</f>
        <v>26.75</v>
      </c>
      <c r="BN2300" s="281">
        <f>$AX$9</f>
        <v>0.78</v>
      </c>
      <c r="BO2300" s="281">
        <f t="shared" si="169"/>
        <v>8.9395200000000017</v>
      </c>
    </row>
    <row r="2301" spans="65:67" x14ac:dyDescent="0.25">
      <c r="BM2301" s="281">
        <f>$AZ$51+0.2*(seat_pitch)*($AY$51*n_SA+$AW$9&lt;pax_e)</f>
        <v>26.102</v>
      </c>
      <c r="BN2301" s="281">
        <f>$AX$9</f>
        <v>0.78</v>
      </c>
      <c r="BO2301" s="281">
        <f t="shared" si="169"/>
        <v>8.291520000000002</v>
      </c>
    </row>
    <row r="2302" spans="65:67" x14ac:dyDescent="0.25">
      <c r="BM2302" s="281">
        <f>$AZ$51+0.2*(seat_pitch)*($AY$51*n_SA+$AW$9&lt;pax_e)</f>
        <v>26.102</v>
      </c>
      <c r="BN2302" s="281">
        <f>$AX$9+seat_w*($AY$51*n_SA+$AW$9&lt;pax_e)</f>
        <v>1.31</v>
      </c>
      <c r="BO2302" s="281">
        <f t="shared" si="169"/>
        <v>8.291520000000002</v>
      </c>
    </row>
    <row r="2303" spans="65:67" x14ac:dyDescent="0.25">
      <c r="BM2303" s="281">
        <f>$AZ$51</f>
        <v>25.94</v>
      </c>
      <c r="BN2303" s="281">
        <f>$AX$9+seat_w*($AY$51*n_SA+$AW$9&lt;pax_e)</f>
        <v>1.31</v>
      </c>
      <c r="BO2303" s="281">
        <f t="shared" si="169"/>
        <v>8.129520000000003</v>
      </c>
    </row>
    <row r="2304" spans="65:67" x14ac:dyDescent="0.25">
      <c r="BM2304" s="281">
        <f>$AZ$51+1*(seat_pitch)*($AY$51*n_SA+$AW$9&lt;pax_e)</f>
        <v>26.75</v>
      </c>
      <c r="BN2304" s="281">
        <f>$AX$9+seat_w*($AY$51*n_SA+$AW$9&lt;pax_e)</f>
        <v>1.31</v>
      </c>
      <c r="BO2304" s="281">
        <f t="shared" si="169"/>
        <v>8.9395200000000017</v>
      </c>
    </row>
    <row r="2305" spans="65:67" x14ac:dyDescent="0.25">
      <c r="BM2305" s="281">
        <f>$AZ$51+0.8*(seat_pitch)*($AY$51*n_SA+$AW$9&lt;pax_e)</f>
        <v>26.588000000000001</v>
      </c>
      <c r="BN2305" s="281">
        <f>$AX$9+seat_w*($AY$51*n_SA+$AW$9&lt;pax_e)</f>
        <v>1.31</v>
      </c>
      <c r="BO2305" s="281">
        <f t="shared" si="169"/>
        <v>8.7775200000000027</v>
      </c>
    </row>
    <row r="2306" spans="65:67" x14ac:dyDescent="0.25">
      <c r="BM2306" s="281">
        <f>$AZ$51+0.8*(seat_pitch)*($AY$51*n_SA+$AW$9&lt;pax_e)</f>
        <v>26.588000000000001</v>
      </c>
      <c r="BN2306" s="281">
        <f>$AX$9</f>
        <v>0.78</v>
      </c>
      <c r="BO2306" s="281">
        <f t="shared" si="169"/>
        <v>8.7775200000000027</v>
      </c>
    </row>
    <row r="2307" spans="65:67" x14ac:dyDescent="0.25">
      <c r="BM2307" s="281">
        <f>$AZ$51+0.2*(seat_pitch)*($AY$51*n_SA+$AW$9&lt;pax_e)</f>
        <v>26.102</v>
      </c>
      <c r="BN2307" s="281">
        <f>$AX$9</f>
        <v>0.78</v>
      </c>
      <c r="BO2307" s="281">
        <f t="shared" si="169"/>
        <v>8.291520000000002</v>
      </c>
    </row>
    <row r="2308" spans="65:67" x14ac:dyDescent="0.25">
      <c r="BM2308" s="281">
        <f>$AZ$51+(seat_pitch)</f>
        <v>26.75</v>
      </c>
      <c r="BN2308" s="281">
        <f>$AX$9</f>
        <v>0.78</v>
      </c>
      <c r="BO2308" s="281">
        <f t="shared" si="169"/>
        <v>8.9395200000000017</v>
      </c>
    </row>
    <row r="2309" spans="65:67" x14ac:dyDescent="0.25">
      <c r="BM2309" s="281">
        <f>$AZ$52+0.2*(seat_pitch)*($AY$52*n_SA+$AW$9&lt;pax_e)</f>
        <v>26.102</v>
      </c>
      <c r="BN2309" s="281">
        <f>$AX$9</f>
        <v>0.78</v>
      </c>
      <c r="BO2309" s="281">
        <f t="shared" ref="BO2309:BO2372" si="170">BM2309-L_fus/2</f>
        <v>8.291520000000002</v>
      </c>
    </row>
    <row r="2310" spans="65:67" x14ac:dyDescent="0.25">
      <c r="BM2310" s="281">
        <f>$AZ$52+0.2*(seat_pitch)*($AY$52*n_SA+$AW$9&lt;pax_e)</f>
        <v>26.102</v>
      </c>
      <c r="BN2310" s="281">
        <f>$AX$9+seat_w*($AY$52*n_SA+$AW$9&lt;pax_e)</f>
        <v>1.31</v>
      </c>
      <c r="BO2310" s="281">
        <f t="shared" si="170"/>
        <v>8.291520000000002</v>
      </c>
    </row>
    <row r="2311" spans="65:67" x14ac:dyDescent="0.25">
      <c r="BM2311" s="281">
        <f>$AZ$52</f>
        <v>25.94</v>
      </c>
      <c r="BN2311" s="281">
        <f>$AX$9+seat_w*($AY$52*n_SA+$AW$9&lt;pax_e)</f>
        <v>1.31</v>
      </c>
      <c r="BO2311" s="281">
        <f t="shared" si="170"/>
        <v>8.129520000000003</v>
      </c>
    </row>
    <row r="2312" spans="65:67" x14ac:dyDescent="0.25">
      <c r="BM2312" s="281">
        <f>$AZ$52+1*(seat_pitch)*($AY$52*n_SA+$AW$9&lt;pax_e)</f>
        <v>26.75</v>
      </c>
      <c r="BN2312" s="281">
        <f>$AX$9+seat_w*($AY$52*n_SA+$AW$9&lt;pax_e)</f>
        <v>1.31</v>
      </c>
      <c r="BO2312" s="281">
        <f t="shared" si="170"/>
        <v>8.9395200000000017</v>
      </c>
    </row>
    <row r="2313" spans="65:67" x14ac:dyDescent="0.25">
      <c r="BM2313" s="281">
        <f>$AZ$52+0.8*(seat_pitch)*($AY$52*n_SA+$AW$9&lt;pax_e)</f>
        <v>26.588000000000001</v>
      </c>
      <c r="BN2313" s="281">
        <f>$AX$9+seat_w*($AY$52*n_SA+$AW$9&lt;pax_e)</f>
        <v>1.31</v>
      </c>
      <c r="BO2313" s="281">
        <f t="shared" si="170"/>
        <v>8.7775200000000027</v>
      </c>
    </row>
    <row r="2314" spans="65:67" x14ac:dyDescent="0.25">
      <c r="BM2314" s="281">
        <f>$AZ$52+0.8*(seat_pitch)*($AY$52*n_SA+$AW$9&lt;pax_e)</f>
        <v>26.588000000000001</v>
      </c>
      <c r="BN2314" s="281">
        <f>$AX$9</f>
        <v>0.78</v>
      </c>
      <c r="BO2314" s="281">
        <f t="shared" si="170"/>
        <v>8.7775200000000027</v>
      </c>
    </row>
    <row r="2315" spans="65:67" x14ac:dyDescent="0.25">
      <c r="BM2315" s="281">
        <f>$AZ$52+0.2*(seat_pitch)*($AY$52*n_SA+$AW$9&lt;pax_e)</f>
        <v>26.102</v>
      </c>
      <c r="BN2315" s="281">
        <f>$AX$9</f>
        <v>0.78</v>
      </c>
      <c r="BO2315" s="281">
        <f t="shared" si="170"/>
        <v>8.291520000000002</v>
      </c>
    </row>
    <row r="2316" spans="65:67" x14ac:dyDescent="0.25">
      <c r="BM2316" s="281">
        <f>$AZ$52+(seat_pitch)</f>
        <v>26.75</v>
      </c>
      <c r="BN2316" s="281">
        <f>$AX$9</f>
        <v>0.78</v>
      </c>
      <c r="BO2316" s="281">
        <f t="shared" si="170"/>
        <v>8.9395200000000017</v>
      </c>
    </row>
    <row r="2317" spans="65:67" x14ac:dyDescent="0.25">
      <c r="BM2317" s="281">
        <f>$AZ$53+0.2*(seat_pitch)*($AY$53*n_SA+$AW$9&lt;pax_e)</f>
        <v>26.102</v>
      </c>
      <c r="BN2317" s="281">
        <f>$AX$9</f>
        <v>0.78</v>
      </c>
      <c r="BO2317" s="281">
        <f t="shared" si="170"/>
        <v>8.291520000000002</v>
      </c>
    </row>
    <row r="2318" spans="65:67" x14ac:dyDescent="0.25">
      <c r="BM2318" s="281">
        <f>$AZ$53+0.2*(seat_pitch)*($AY$53*n_SA+$AW$9&lt;pax_e)</f>
        <v>26.102</v>
      </c>
      <c r="BN2318" s="281">
        <f>$AX$9+seat_w*($AY$53*n_SA+$AW$9&lt;pax_e)</f>
        <v>1.31</v>
      </c>
      <c r="BO2318" s="281">
        <f t="shared" si="170"/>
        <v>8.291520000000002</v>
      </c>
    </row>
    <row r="2319" spans="65:67" x14ac:dyDescent="0.25">
      <c r="BM2319" s="281">
        <f>$AZ$53</f>
        <v>25.94</v>
      </c>
      <c r="BN2319" s="281">
        <f>$AX$9+seat_w*($AY$53*n_SA+$AW$9&lt;pax_e)</f>
        <v>1.31</v>
      </c>
      <c r="BO2319" s="281">
        <f t="shared" si="170"/>
        <v>8.129520000000003</v>
      </c>
    </row>
    <row r="2320" spans="65:67" x14ac:dyDescent="0.25">
      <c r="BM2320" s="281">
        <f>$AZ$53+1*(seat_pitch)*($AY$53*n_SA+$AW$9&lt;pax_e)</f>
        <v>26.75</v>
      </c>
      <c r="BN2320" s="281">
        <f>$AX$9+seat_w*($AY$53*n_SA+$AW$9&lt;pax_e)</f>
        <v>1.31</v>
      </c>
      <c r="BO2320" s="281">
        <f t="shared" si="170"/>
        <v>8.9395200000000017</v>
      </c>
    </row>
    <row r="2321" spans="65:67" x14ac:dyDescent="0.25">
      <c r="BM2321" s="281">
        <f>$AZ$53+0.8*(seat_pitch)*($AY$53*n_SA+$AW$9&lt;pax_e)</f>
        <v>26.588000000000001</v>
      </c>
      <c r="BN2321" s="281">
        <f>$AX$9+seat_w*($AY$53*n_SA+$AW$9&lt;pax_e)</f>
        <v>1.31</v>
      </c>
      <c r="BO2321" s="281">
        <f t="shared" si="170"/>
        <v>8.7775200000000027</v>
      </c>
    </row>
    <row r="2322" spans="65:67" x14ac:dyDescent="0.25">
      <c r="BM2322" s="281">
        <f>$AZ$53+0.8*(seat_pitch)*($AY$53*n_SA+$AW$9&lt;pax_e)</f>
        <v>26.588000000000001</v>
      </c>
      <c r="BN2322" s="281">
        <f>$AX$9</f>
        <v>0.78</v>
      </c>
      <c r="BO2322" s="281">
        <f t="shared" si="170"/>
        <v>8.7775200000000027</v>
      </c>
    </row>
    <row r="2323" spans="65:67" x14ac:dyDescent="0.25">
      <c r="BM2323" s="281">
        <f>$AZ$53+0.2*(seat_pitch)*($AY$53*n_SA+$AW$9&lt;pax_e)</f>
        <v>26.102</v>
      </c>
      <c r="BN2323" s="281">
        <f>$AX$9</f>
        <v>0.78</v>
      </c>
      <c r="BO2323" s="281">
        <f t="shared" si="170"/>
        <v>8.291520000000002</v>
      </c>
    </row>
    <row r="2324" spans="65:67" x14ac:dyDescent="0.25">
      <c r="BM2324" s="281">
        <f>$AZ$53+(seat_pitch)</f>
        <v>26.75</v>
      </c>
      <c r="BN2324" s="281">
        <f>$AX$9</f>
        <v>0.78</v>
      </c>
      <c r="BO2324" s="281">
        <f t="shared" si="170"/>
        <v>8.9395200000000017</v>
      </c>
    </row>
    <row r="2325" spans="65:67" x14ac:dyDescent="0.25">
      <c r="BM2325" s="281">
        <f>$AZ$54+0.2*(seat_pitch)*($AY$54*n_SA+$AW$9&lt;pax_e)</f>
        <v>26.102</v>
      </c>
      <c r="BN2325" s="281">
        <f>$AX$9</f>
        <v>0.78</v>
      </c>
      <c r="BO2325" s="281">
        <f t="shared" si="170"/>
        <v>8.291520000000002</v>
      </c>
    </row>
    <row r="2326" spans="65:67" x14ac:dyDescent="0.25">
      <c r="BM2326" s="281">
        <f>$AZ$54+0.2*(seat_pitch)*($AY$54*n_SA+$AW$9&lt;pax_e)</f>
        <v>26.102</v>
      </c>
      <c r="BN2326" s="281">
        <f>$AX$9+seat_w*($AY$54*n_SA+$AW$9&lt;pax_e)</f>
        <v>1.31</v>
      </c>
      <c r="BO2326" s="281">
        <f t="shared" si="170"/>
        <v>8.291520000000002</v>
      </c>
    </row>
    <row r="2327" spans="65:67" x14ac:dyDescent="0.25">
      <c r="BM2327" s="281">
        <f>$AZ$54</f>
        <v>25.94</v>
      </c>
      <c r="BN2327" s="281">
        <f>$AX$9+seat_w*($AY$54*n_SA+$AW$9&lt;pax_e)</f>
        <v>1.31</v>
      </c>
      <c r="BO2327" s="281">
        <f t="shared" si="170"/>
        <v>8.129520000000003</v>
      </c>
    </row>
    <row r="2328" spans="65:67" x14ac:dyDescent="0.25">
      <c r="BM2328" s="281">
        <f>$AZ$54+1*(seat_pitch)*($AY$54*n_SA+$AW$9&lt;pax_e)</f>
        <v>26.75</v>
      </c>
      <c r="BN2328" s="281">
        <f>$AX$9+seat_w*($AY$54*n_SA+$AW$9&lt;pax_e)</f>
        <v>1.31</v>
      </c>
      <c r="BO2328" s="281">
        <f t="shared" si="170"/>
        <v>8.9395200000000017</v>
      </c>
    </row>
    <row r="2329" spans="65:67" x14ac:dyDescent="0.25">
      <c r="BM2329" s="281">
        <f>$AZ$54+0.8*(seat_pitch)*($AY$54*n_SA+$AW$9&lt;pax_e)</f>
        <v>26.588000000000001</v>
      </c>
      <c r="BN2329" s="281">
        <f>$AX$9+seat_w*($AY$54*n_SA+$AW$9&lt;pax_e)</f>
        <v>1.31</v>
      </c>
      <c r="BO2329" s="281">
        <f t="shared" si="170"/>
        <v>8.7775200000000027</v>
      </c>
    </row>
    <row r="2330" spans="65:67" x14ac:dyDescent="0.25">
      <c r="BM2330" s="281">
        <f>$AZ$54+0.8*(seat_pitch)*($AY$54*n_SA+$AW$9&lt;pax_e)</f>
        <v>26.588000000000001</v>
      </c>
      <c r="BN2330" s="281">
        <f>$AX$9</f>
        <v>0.78</v>
      </c>
      <c r="BO2330" s="281">
        <f t="shared" si="170"/>
        <v>8.7775200000000027</v>
      </c>
    </row>
    <row r="2331" spans="65:67" x14ac:dyDescent="0.25">
      <c r="BM2331" s="281">
        <f>$AZ$54+0.2*(seat_pitch)*($AY$54*n_SA+$AW$9&lt;pax_e)</f>
        <v>26.102</v>
      </c>
      <c r="BN2331" s="281">
        <f>$AX$9</f>
        <v>0.78</v>
      </c>
      <c r="BO2331" s="281">
        <f t="shared" si="170"/>
        <v>8.291520000000002</v>
      </c>
    </row>
    <row r="2332" spans="65:67" x14ac:dyDescent="0.25">
      <c r="BM2332" s="281">
        <f>$AZ$54+(seat_pitch)</f>
        <v>26.75</v>
      </c>
      <c r="BN2332" s="281">
        <f>$AX$9</f>
        <v>0.78</v>
      </c>
      <c r="BO2332" s="281">
        <f t="shared" si="170"/>
        <v>8.9395200000000017</v>
      </c>
    </row>
    <row r="2333" spans="65:67" x14ac:dyDescent="0.25">
      <c r="BM2333" s="281">
        <f>$AZ$55+0.2*(seat_pitch)*($AY$55*n_SA+$AW$9&lt;pax_e)</f>
        <v>26.102</v>
      </c>
      <c r="BN2333" s="281">
        <f>$AX$9</f>
        <v>0.78</v>
      </c>
      <c r="BO2333" s="281">
        <f t="shared" si="170"/>
        <v>8.291520000000002</v>
      </c>
    </row>
    <row r="2334" spans="65:67" x14ac:dyDescent="0.25">
      <c r="BM2334" s="281">
        <f>$AZ$55+0.2*(seat_pitch)*($AY$55*n_SA+$AW$9&lt;pax_e)</f>
        <v>26.102</v>
      </c>
      <c r="BN2334" s="281">
        <f>$AX$9+seat_w*($AY$55*n_SA+$AW$9&lt;pax_e)</f>
        <v>1.31</v>
      </c>
      <c r="BO2334" s="281">
        <f t="shared" si="170"/>
        <v>8.291520000000002</v>
      </c>
    </row>
    <row r="2335" spans="65:67" x14ac:dyDescent="0.25">
      <c r="BM2335" s="281">
        <f>$AZ$55</f>
        <v>25.94</v>
      </c>
      <c r="BN2335" s="281">
        <f>$AX$9+seat_w*($AY$55*n_SA+$AW$9&lt;pax_e)</f>
        <v>1.31</v>
      </c>
      <c r="BO2335" s="281">
        <f t="shared" si="170"/>
        <v>8.129520000000003</v>
      </c>
    </row>
    <row r="2336" spans="65:67" x14ac:dyDescent="0.25">
      <c r="BM2336" s="281">
        <f>$AZ$55+1*(seat_pitch)*($AY$55*n_SA+$AW$9&lt;pax_e)</f>
        <v>26.75</v>
      </c>
      <c r="BN2336" s="281">
        <f>$AX$9+seat_w*($AY$55*n_SA+$AW$9&lt;pax_e)</f>
        <v>1.31</v>
      </c>
      <c r="BO2336" s="281">
        <f t="shared" si="170"/>
        <v>8.9395200000000017</v>
      </c>
    </row>
    <row r="2337" spans="65:67" x14ac:dyDescent="0.25">
      <c r="BM2337" s="281">
        <f>$AZ$55+0.8*(seat_pitch)*($AY$55*n_SA+$AW$9&lt;pax_e)</f>
        <v>26.588000000000001</v>
      </c>
      <c r="BN2337" s="281">
        <f>$AX$9+seat_w*($AY$55*n_SA+$AW$9&lt;pax_e)</f>
        <v>1.31</v>
      </c>
      <c r="BO2337" s="281">
        <f t="shared" si="170"/>
        <v>8.7775200000000027</v>
      </c>
    </row>
    <row r="2338" spans="65:67" x14ac:dyDescent="0.25">
      <c r="BM2338" s="281">
        <f>$AZ$55+0.8*(seat_pitch)*($AY$55*n_SA+$AW$9&lt;pax_e)</f>
        <v>26.588000000000001</v>
      </c>
      <c r="BN2338" s="281">
        <f>$AX$9</f>
        <v>0.78</v>
      </c>
      <c r="BO2338" s="281">
        <f t="shared" si="170"/>
        <v>8.7775200000000027</v>
      </c>
    </row>
    <row r="2339" spans="65:67" x14ac:dyDescent="0.25">
      <c r="BM2339" s="281">
        <f>$AZ$55+0.2*(seat_pitch)*($AY$55*n_SA+$AW$9&lt;pax_e)</f>
        <v>26.102</v>
      </c>
      <c r="BN2339" s="281">
        <f>$AX$9</f>
        <v>0.78</v>
      </c>
      <c r="BO2339" s="281">
        <f t="shared" si="170"/>
        <v>8.291520000000002</v>
      </c>
    </row>
    <row r="2340" spans="65:67" x14ac:dyDescent="0.25">
      <c r="BM2340" s="281">
        <f>$AZ$55+(seat_pitch)</f>
        <v>26.75</v>
      </c>
      <c r="BN2340" s="281">
        <f>$AX$9</f>
        <v>0.78</v>
      </c>
      <c r="BO2340" s="281">
        <f t="shared" si="170"/>
        <v>8.9395200000000017</v>
      </c>
    </row>
    <row r="2341" spans="65:67" x14ac:dyDescent="0.25">
      <c r="BM2341" s="281">
        <f>$AZ$56+0.2*(seat_pitch)*($AY$56*n_SA+$AW$9&lt;pax_e)</f>
        <v>26.102</v>
      </c>
      <c r="BN2341" s="281">
        <f>$AX$9</f>
        <v>0.78</v>
      </c>
      <c r="BO2341" s="281">
        <f t="shared" si="170"/>
        <v>8.291520000000002</v>
      </c>
    </row>
    <row r="2342" spans="65:67" x14ac:dyDescent="0.25">
      <c r="BM2342" s="281">
        <f>$AZ$56+0.2*(seat_pitch)*($AY$56*n_SA+$AW$9&lt;pax_e)</f>
        <v>26.102</v>
      </c>
      <c r="BN2342" s="281">
        <f>$AX$9+seat_w*($AY$56*n_SA+$AW$9&lt;pax_e)</f>
        <v>1.31</v>
      </c>
      <c r="BO2342" s="281">
        <f t="shared" si="170"/>
        <v>8.291520000000002</v>
      </c>
    </row>
    <row r="2343" spans="65:67" x14ac:dyDescent="0.25">
      <c r="BM2343" s="281">
        <f>$AZ$56</f>
        <v>25.94</v>
      </c>
      <c r="BN2343" s="281">
        <f>$AX$9+seat_w*($AY$56*n_SA+$AW$9&lt;pax_e)</f>
        <v>1.31</v>
      </c>
      <c r="BO2343" s="281">
        <f t="shared" si="170"/>
        <v>8.129520000000003</v>
      </c>
    </row>
    <row r="2344" spans="65:67" x14ac:dyDescent="0.25">
      <c r="BM2344" s="281">
        <f>$AZ$56+1*(seat_pitch)*($AY$56*n_SA+$AW$9&lt;pax_e)</f>
        <v>26.75</v>
      </c>
      <c r="BN2344" s="281">
        <f>$AX$9+seat_w*($AY$56*n_SA+$AW$9&lt;pax_e)</f>
        <v>1.31</v>
      </c>
      <c r="BO2344" s="281">
        <f t="shared" si="170"/>
        <v>8.9395200000000017</v>
      </c>
    </row>
    <row r="2345" spans="65:67" x14ac:dyDescent="0.25">
      <c r="BM2345" s="281">
        <f>$AZ$56+0.8*(seat_pitch)*($AY$56*n_SA+$AW$9&lt;pax_e)</f>
        <v>26.588000000000001</v>
      </c>
      <c r="BN2345" s="281">
        <f>$AX$9+seat_w*($AY$56*n_SA+$AW$9&lt;pax_e)</f>
        <v>1.31</v>
      </c>
      <c r="BO2345" s="281">
        <f t="shared" si="170"/>
        <v>8.7775200000000027</v>
      </c>
    </row>
    <row r="2346" spans="65:67" x14ac:dyDescent="0.25">
      <c r="BM2346" s="281">
        <f>$AZ$56+0.8*(seat_pitch)*($AY$56*n_SA+$AW$9&lt;pax_e)</f>
        <v>26.588000000000001</v>
      </c>
      <c r="BN2346" s="281">
        <f>$AX$9</f>
        <v>0.78</v>
      </c>
      <c r="BO2346" s="281">
        <f t="shared" si="170"/>
        <v>8.7775200000000027</v>
      </c>
    </row>
    <row r="2347" spans="65:67" x14ac:dyDescent="0.25">
      <c r="BM2347" s="281">
        <f>$AZ$56+0.2*(seat_pitch)*($AY$56*n_SA+$AW$9&lt;pax_e)</f>
        <v>26.102</v>
      </c>
      <c r="BN2347" s="281">
        <f>$AX$9</f>
        <v>0.78</v>
      </c>
      <c r="BO2347" s="281">
        <f t="shared" si="170"/>
        <v>8.291520000000002</v>
      </c>
    </row>
    <row r="2348" spans="65:67" x14ac:dyDescent="0.25">
      <c r="BM2348" s="281">
        <f>$AZ$56+(seat_pitch)</f>
        <v>26.75</v>
      </c>
      <c r="BN2348" s="281">
        <f>$AX$9</f>
        <v>0.78</v>
      </c>
      <c r="BO2348" s="281">
        <f t="shared" si="170"/>
        <v>8.9395200000000017</v>
      </c>
    </row>
    <row r="2349" spans="65:67" x14ac:dyDescent="0.25">
      <c r="BM2349" s="281">
        <f>$AZ$57+0.2*(seat_pitch)*($AY$57*n_SA+$AW$9&lt;pax_e)</f>
        <v>26.102</v>
      </c>
      <c r="BN2349" s="281">
        <f>$AX$9</f>
        <v>0.78</v>
      </c>
      <c r="BO2349" s="281">
        <f t="shared" si="170"/>
        <v>8.291520000000002</v>
      </c>
    </row>
    <row r="2350" spans="65:67" x14ac:dyDescent="0.25">
      <c r="BM2350" s="281">
        <f>$AZ$57+0.2*(seat_pitch)*($AY$57*n_SA+$AW$9&lt;pax_e)</f>
        <v>26.102</v>
      </c>
      <c r="BN2350" s="281">
        <f>$AX$9+seat_w*($AY$57*n_SA+$AW$9&lt;pax_e)</f>
        <v>1.31</v>
      </c>
      <c r="BO2350" s="281">
        <f t="shared" si="170"/>
        <v>8.291520000000002</v>
      </c>
    </row>
    <row r="2351" spans="65:67" x14ac:dyDescent="0.25">
      <c r="BM2351" s="281">
        <f>$AZ$57</f>
        <v>25.94</v>
      </c>
      <c r="BN2351" s="281">
        <f>$AX$9+seat_w*($AY$57*n_SA+$AW$9&lt;pax_e)</f>
        <v>1.31</v>
      </c>
      <c r="BO2351" s="281">
        <f t="shared" si="170"/>
        <v>8.129520000000003</v>
      </c>
    </row>
    <row r="2352" spans="65:67" x14ac:dyDescent="0.25">
      <c r="BM2352" s="281">
        <f>$AZ$57+1*(seat_pitch)*($AY$57*n_SA+$AW$9&lt;pax_e)</f>
        <v>26.75</v>
      </c>
      <c r="BN2352" s="281">
        <f>$AX$9+seat_w*($AY$57*n_SA+$AW$9&lt;pax_e)</f>
        <v>1.31</v>
      </c>
      <c r="BO2352" s="281">
        <f t="shared" si="170"/>
        <v>8.9395200000000017</v>
      </c>
    </row>
    <row r="2353" spans="65:67" x14ac:dyDescent="0.25">
      <c r="BM2353" s="281">
        <f>$AZ$57+0.8*(seat_pitch)*($AY$57*n_SA+$AW$9&lt;pax_e)</f>
        <v>26.588000000000001</v>
      </c>
      <c r="BN2353" s="281">
        <f>$AX$9+seat_w*($AY$57*n_SA+$AW$9&lt;pax_e)</f>
        <v>1.31</v>
      </c>
      <c r="BO2353" s="281">
        <f t="shared" si="170"/>
        <v>8.7775200000000027</v>
      </c>
    </row>
    <row r="2354" spans="65:67" x14ac:dyDescent="0.25">
      <c r="BM2354" s="281">
        <f>$AZ$57+0.8*(seat_pitch)*($AY$57*n_SA+$AW$9&lt;pax_e)</f>
        <v>26.588000000000001</v>
      </c>
      <c r="BN2354" s="281">
        <f>$AX$9</f>
        <v>0.78</v>
      </c>
      <c r="BO2354" s="281">
        <f t="shared" si="170"/>
        <v>8.7775200000000027</v>
      </c>
    </row>
    <row r="2355" spans="65:67" x14ac:dyDescent="0.25">
      <c r="BM2355" s="281">
        <f>$AZ$57+0.2*(seat_pitch)*($AY$57*n_SA+$AW$9&lt;pax_e)</f>
        <v>26.102</v>
      </c>
      <c r="BN2355" s="281">
        <f>$AX$9</f>
        <v>0.78</v>
      </c>
      <c r="BO2355" s="281">
        <f t="shared" si="170"/>
        <v>8.291520000000002</v>
      </c>
    </row>
    <row r="2356" spans="65:67" x14ac:dyDescent="0.25">
      <c r="BM2356" s="281">
        <f>$AZ$57+(seat_pitch)</f>
        <v>26.75</v>
      </c>
      <c r="BN2356" s="281">
        <f>$AX$9</f>
        <v>0.78</v>
      </c>
      <c r="BO2356" s="281">
        <f t="shared" si="170"/>
        <v>8.9395200000000017</v>
      </c>
    </row>
    <row r="2357" spans="65:67" x14ac:dyDescent="0.25">
      <c r="BM2357" s="281">
        <f>$AZ$58+0.2*(seat_pitch)*($AY$58*n_SA+$AW$9&lt;pax_e)</f>
        <v>26.102</v>
      </c>
      <c r="BN2357" s="281">
        <f>$AX$9</f>
        <v>0.78</v>
      </c>
      <c r="BO2357" s="281">
        <f t="shared" si="170"/>
        <v>8.291520000000002</v>
      </c>
    </row>
    <row r="2358" spans="65:67" x14ac:dyDescent="0.25">
      <c r="BM2358" s="281">
        <f>$AZ$58+0.2*(seat_pitch)*($AY$58*n_SA+$AW$9&lt;pax_e)</f>
        <v>26.102</v>
      </c>
      <c r="BN2358" s="281">
        <f>$AX$9+seat_w*($AY$58*n_SA+$AW$9&lt;pax_e)</f>
        <v>1.31</v>
      </c>
      <c r="BO2358" s="281">
        <f t="shared" si="170"/>
        <v>8.291520000000002</v>
      </c>
    </row>
    <row r="2359" spans="65:67" x14ac:dyDescent="0.25">
      <c r="BM2359" s="281">
        <f>$AZ$58</f>
        <v>25.94</v>
      </c>
      <c r="BN2359" s="281">
        <f>$AX$9+seat_w*($AY$58*n_SA+$AW$9&lt;pax_e)</f>
        <v>1.31</v>
      </c>
      <c r="BO2359" s="281">
        <f t="shared" si="170"/>
        <v>8.129520000000003</v>
      </c>
    </row>
    <row r="2360" spans="65:67" x14ac:dyDescent="0.25">
      <c r="BM2360" s="281">
        <f>$AZ$58+1*(seat_pitch)*($AY$58*n_SA+$AW$9&lt;pax_e)</f>
        <v>26.75</v>
      </c>
      <c r="BN2360" s="281">
        <f>$AX$9+seat_w*($AY$58*n_SA+$AW$9&lt;pax_e)</f>
        <v>1.31</v>
      </c>
      <c r="BO2360" s="281">
        <f t="shared" si="170"/>
        <v>8.9395200000000017</v>
      </c>
    </row>
    <row r="2361" spans="65:67" x14ac:dyDescent="0.25">
      <c r="BM2361" s="281">
        <f>$AZ$58+0.8*(seat_pitch)*($AY$58*n_SA+$AW$9&lt;pax_e)</f>
        <v>26.588000000000001</v>
      </c>
      <c r="BN2361" s="281">
        <f>$AX$9+seat_w*($AY$58*n_SA+$AW$9&lt;pax_e)</f>
        <v>1.31</v>
      </c>
      <c r="BO2361" s="281">
        <f t="shared" si="170"/>
        <v>8.7775200000000027</v>
      </c>
    </row>
    <row r="2362" spans="65:67" x14ac:dyDescent="0.25">
      <c r="BM2362" s="281">
        <f>$AZ$58+0.8*(seat_pitch)*($AY$58*n_SA+$AW$9&lt;pax_e)</f>
        <v>26.588000000000001</v>
      </c>
      <c r="BN2362" s="281">
        <f>$AX$9</f>
        <v>0.78</v>
      </c>
      <c r="BO2362" s="281">
        <f t="shared" si="170"/>
        <v>8.7775200000000027</v>
      </c>
    </row>
    <row r="2363" spans="65:67" x14ac:dyDescent="0.25">
      <c r="BM2363" s="281">
        <f>$AZ$58+0.2*(seat_pitch)*($AY$58*n_SA+$AW$9&lt;pax_e)</f>
        <v>26.102</v>
      </c>
      <c r="BN2363" s="281">
        <f>$AX$9</f>
        <v>0.78</v>
      </c>
      <c r="BO2363" s="281">
        <f t="shared" si="170"/>
        <v>8.291520000000002</v>
      </c>
    </row>
    <row r="2364" spans="65:67" x14ac:dyDescent="0.25">
      <c r="BM2364" s="281">
        <f>$AZ$58+(seat_pitch)</f>
        <v>26.75</v>
      </c>
      <c r="BN2364" s="281">
        <f>$AX$9</f>
        <v>0.78</v>
      </c>
      <c r="BO2364" s="281">
        <f t="shared" si="170"/>
        <v>8.9395200000000017</v>
      </c>
    </row>
    <row r="2365" spans="65:67" x14ac:dyDescent="0.25">
      <c r="BM2365" s="281">
        <f>$AZ$59+0.2*(seat_pitch)*($AY$59*n_SA+$AW$9&lt;pax_e)</f>
        <v>26.102</v>
      </c>
      <c r="BN2365" s="281">
        <f>$AX$9</f>
        <v>0.78</v>
      </c>
      <c r="BO2365" s="281">
        <f t="shared" si="170"/>
        <v>8.291520000000002</v>
      </c>
    </row>
    <row r="2366" spans="65:67" x14ac:dyDescent="0.25">
      <c r="BM2366" s="281">
        <f>$AZ$59+0.2*(seat_pitch)*($AY$59*n_SA+$AW$9&lt;pax_e)</f>
        <v>26.102</v>
      </c>
      <c r="BN2366" s="281">
        <f>$AX$9+seat_w*($AY$59*n_SA+$AW$9&lt;pax_e)</f>
        <v>1.31</v>
      </c>
      <c r="BO2366" s="281">
        <f t="shared" si="170"/>
        <v>8.291520000000002</v>
      </c>
    </row>
    <row r="2367" spans="65:67" x14ac:dyDescent="0.25">
      <c r="BM2367" s="281">
        <f>$AZ$59</f>
        <v>25.94</v>
      </c>
      <c r="BN2367" s="281">
        <f>$AX$9+seat_w*($AY$59*n_SA+$AW$9&lt;pax_e)</f>
        <v>1.31</v>
      </c>
      <c r="BO2367" s="281">
        <f t="shared" si="170"/>
        <v>8.129520000000003</v>
      </c>
    </row>
    <row r="2368" spans="65:67" x14ac:dyDescent="0.25">
      <c r="BM2368" s="281">
        <f>$AZ$59+1*(seat_pitch)*($AY$59*n_SA+$AW$9&lt;pax_e)</f>
        <v>26.75</v>
      </c>
      <c r="BN2368" s="281">
        <f>$AX$9+seat_w*($AY$59*n_SA+$AW$9&lt;pax_e)</f>
        <v>1.31</v>
      </c>
      <c r="BO2368" s="281">
        <f t="shared" si="170"/>
        <v>8.9395200000000017</v>
      </c>
    </row>
    <row r="2369" spans="65:67" x14ac:dyDescent="0.25">
      <c r="BM2369" s="281">
        <f>$AZ$59+0.8*(seat_pitch)*($AY$59*n_SA+$AW$9&lt;pax_e)</f>
        <v>26.588000000000001</v>
      </c>
      <c r="BN2369" s="281">
        <f>$AX$9+seat_w*($AY$59*n_SA+$AW$9&lt;pax_e)</f>
        <v>1.31</v>
      </c>
      <c r="BO2369" s="281">
        <f t="shared" si="170"/>
        <v>8.7775200000000027</v>
      </c>
    </row>
    <row r="2370" spans="65:67" x14ac:dyDescent="0.25">
      <c r="BM2370" s="281">
        <f>$AZ$59+0.8*(seat_pitch)*($AY$59*n_SA+$AW$9&lt;pax_e)</f>
        <v>26.588000000000001</v>
      </c>
      <c r="BN2370" s="281">
        <f>$AX$9</f>
        <v>0.78</v>
      </c>
      <c r="BO2370" s="281">
        <f t="shared" si="170"/>
        <v>8.7775200000000027</v>
      </c>
    </row>
    <row r="2371" spans="65:67" x14ac:dyDescent="0.25">
      <c r="BM2371" s="281">
        <f>$AZ$59+0.2*(seat_pitch)*($AY$59*n_SA+$AW$9&lt;pax_e)</f>
        <v>26.102</v>
      </c>
      <c r="BN2371" s="281">
        <f>$AX$9</f>
        <v>0.78</v>
      </c>
      <c r="BO2371" s="281">
        <f t="shared" si="170"/>
        <v>8.291520000000002</v>
      </c>
    </row>
    <row r="2372" spans="65:67" x14ac:dyDescent="0.25">
      <c r="BM2372" s="281">
        <f>$AZ$59+(seat_pitch)</f>
        <v>26.75</v>
      </c>
      <c r="BN2372" s="281">
        <f>$AX$9</f>
        <v>0.78</v>
      </c>
      <c r="BO2372" s="281">
        <f t="shared" si="170"/>
        <v>8.9395200000000017</v>
      </c>
    </row>
    <row r="2373" spans="65:67" x14ac:dyDescent="0.25">
      <c r="BM2373" s="281">
        <f>$AZ$60+0.2*(seat_pitch)*($AY$60*n_SA+$AW$9&lt;pax_e)</f>
        <v>26.102</v>
      </c>
      <c r="BN2373" s="281">
        <f>$AX$9</f>
        <v>0.78</v>
      </c>
      <c r="BO2373" s="281">
        <f t="shared" ref="BO2373:BO2436" si="171">BM2373-L_fus/2</f>
        <v>8.291520000000002</v>
      </c>
    </row>
    <row r="2374" spans="65:67" x14ac:dyDescent="0.25">
      <c r="BM2374" s="281">
        <f>$AZ$60+0.2*(seat_pitch)*($AY$60*n_SA+$AW$9&lt;pax_e)</f>
        <v>26.102</v>
      </c>
      <c r="BN2374" s="281">
        <f>$AX$9+seat_w*($AY$60*n_SA+$AW$9&lt;pax_e)</f>
        <v>1.31</v>
      </c>
      <c r="BO2374" s="281">
        <f t="shared" si="171"/>
        <v>8.291520000000002</v>
      </c>
    </row>
    <row r="2375" spans="65:67" x14ac:dyDescent="0.25">
      <c r="BM2375" s="281">
        <f>$AZ$60</f>
        <v>25.94</v>
      </c>
      <c r="BN2375" s="281">
        <f>$AX$9+seat_w*($AY$60*n_SA+$AW$9&lt;pax_e)</f>
        <v>1.31</v>
      </c>
      <c r="BO2375" s="281">
        <f t="shared" si="171"/>
        <v>8.129520000000003</v>
      </c>
    </row>
    <row r="2376" spans="65:67" x14ac:dyDescent="0.25">
      <c r="BM2376" s="281">
        <f>$AZ$60+1*(seat_pitch)*($AY$60*n_SA+$AW$9&lt;pax_e)</f>
        <v>26.75</v>
      </c>
      <c r="BN2376" s="281">
        <f>$AX$9+seat_w*($AY$60*n_SA+$AW$9&lt;pax_e)</f>
        <v>1.31</v>
      </c>
      <c r="BO2376" s="281">
        <f t="shared" si="171"/>
        <v>8.9395200000000017</v>
      </c>
    </row>
    <row r="2377" spans="65:67" x14ac:dyDescent="0.25">
      <c r="BM2377" s="281">
        <f>$AZ$60+0.8*(seat_pitch)*($AY$60*n_SA+$AW$9&lt;pax_e)</f>
        <v>26.588000000000001</v>
      </c>
      <c r="BN2377" s="281">
        <f>$AX$9+seat_w*($AY$60*n_SA+$AW$9&lt;pax_e)</f>
        <v>1.31</v>
      </c>
      <c r="BO2377" s="281">
        <f t="shared" si="171"/>
        <v>8.7775200000000027</v>
      </c>
    </row>
    <row r="2378" spans="65:67" x14ac:dyDescent="0.25">
      <c r="BM2378" s="281">
        <f>$AZ$60+0.8*(seat_pitch)*($AY$60*n_SA+$AW$9&lt;pax_e)</f>
        <v>26.588000000000001</v>
      </c>
      <c r="BN2378" s="281">
        <f>$AX$9</f>
        <v>0.78</v>
      </c>
      <c r="BO2378" s="281">
        <f t="shared" si="171"/>
        <v>8.7775200000000027</v>
      </c>
    </row>
    <row r="2379" spans="65:67" x14ac:dyDescent="0.25">
      <c r="BM2379" s="281">
        <f>$AZ$60+0.2*(seat_pitch)*($AY$60*n_SA+$AW$9&lt;pax_e)</f>
        <v>26.102</v>
      </c>
      <c r="BN2379" s="281">
        <f>$AX$9</f>
        <v>0.78</v>
      </c>
      <c r="BO2379" s="281">
        <f t="shared" si="171"/>
        <v>8.291520000000002</v>
      </c>
    </row>
    <row r="2380" spans="65:67" x14ac:dyDescent="0.25">
      <c r="BM2380" s="281">
        <f>$AZ$60+(seat_pitch)</f>
        <v>26.75</v>
      </c>
      <c r="BN2380" s="281">
        <f>$AX$9</f>
        <v>0.78</v>
      </c>
      <c r="BO2380" s="281">
        <f t="shared" si="171"/>
        <v>8.9395200000000017</v>
      </c>
    </row>
    <row r="2381" spans="65:67" x14ac:dyDescent="0.25">
      <c r="BM2381" s="281">
        <f>$AZ$61+0.2*(seat_pitch)*($AY$61*n_SA+$AW$9&lt;pax_e)</f>
        <v>26.102</v>
      </c>
      <c r="BN2381" s="281">
        <f>$AX$9</f>
        <v>0.78</v>
      </c>
      <c r="BO2381" s="281">
        <f t="shared" si="171"/>
        <v>8.291520000000002</v>
      </c>
    </row>
    <row r="2382" spans="65:67" x14ac:dyDescent="0.25">
      <c r="BM2382" s="281">
        <f>$AZ$61+0.2*(seat_pitch)*($AY$61*n_SA+$AW$9&lt;pax_e)</f>
        <v>26.102</v>
      </c>
      <c r="BN2382" s="281">
        <f>$AX$9+seat_w*($AY$61*n_SA+$AW$9&lt;pax_e)</f>
        <v>1.31</v>
      </c>
      <c r="BO2382" s="281">
        <f t="shared" si="171"/>
        <v>8.291520000000002</v>
      </c>
    </row>
    <row r="2383" spans="65:67" x14ac:dyDescent="0.25">
      <c r="BM2383" s="281">
        <f>$AZ$61</f>
        <v>25.94</v>
      </c>
      <c r="BN2383" s="281">
        <f>$AX$9+seat_w*($AY$61*n_SA+$AW$9&lt;pax_e)</f>
        <v>1.31</v>
      </c>
      <c r="BO2383" s="281">
        <f t="shared" si="171"/>
        <v>8.129520000000003</v>
      </c>
    </row>
    <row r="2384" spans="65:67" x14ac:dyDescent="0.25">
      <c r="BM2384" s="281">
        <f>$AZ$61+1*(seat_pitch)*($AY$61*n_SA+$AW$9&lt;pax_e)</f>
        <v>26.75</v>
      </c>
      <c r="BN2384" s="281">
        <f>$AX$9+seat_w*($AY$61*n_SA+$AW$9&lt;pax_e)</f>
        <v>1.31</v>
      </c>
      <c r="BO2384" s="281">
        <f t="shared" si="171"/>
        <v>8.9395200000000017</v>
      </c>
    </row>
    <row r="2385" spans="65:67" x14ac:dyDescent="0.25">
      <c r="BM2385" s="281">
        <f>$AZ$61+0.8*(seat_pitch)*($AY$61*n_SA+$AW$9&lt;pax_e)</f>
        <v>26.588000000000001</v>
      </c>
      <c r="BN2385" s="281">
        <f>$AX$9+seat_w*($AY$61*n_SA+$AW$9&lt;pax_e)</f>
        <v>1.31</v>
      </c>
      <c r="BO2385" s="281">
        <f t="shared" si="171"/>
        <v>8.7775200000000027</v>
      </c>
    </row>
    <row r="2386" spans="65:67" x14ac:dyDescent="0.25">
      <c r="BM2386" s="281">
        <f>$AZ$61+0.8*(seat_pitch)*($AY$61*n_SA+$AW$9&lt;pax_e)</f>
        <v>26.588000000000001</v>
      </c>
      <c r="BN2386" s="281">
        <f>$AX$9</f>
        <v>0.78</v>
      </c>
      <c r="BO2386" s="281">
        <f t="shared" si="171"/>
        <v>8.7775200000000027</v>
      </c>
    </row>
    <row r="2387" spans="65:67" x14ac:dyDescent="0.25">
      <c r="BM2387" s="281">
        <f>$AZ$61+0.2*(seat_pitch)*($AY$61*n_SA+$AW$9&lt;pax_e)</f>
        <v>26.102</v>
      </c>
      <c r="BN2387" s="281">
        <f>$AX$9</f>
        <v>0.78</v>
      </c>
      <c r="BO2387" s="281">
        <f t="shared" si="171"/>
        <v>8.291520000000002</v>
      </c>
    </row>
    <row r="2388" spans="65:67" x14ac:dyDescent="0.25">
      <c r="BM2388" s="281">
        <f>$AZ$61+(seat_pitch)</f>
        <v>26.75</v>
      </c>
      <c r="BN2388" s="281">
        <f>$AX$9</f>
        <v>0.78</v>
      </c>
      <c r="BO2388" s="281">
        <f t="shared" si="171"/>
        <v>8.9395200000000017</v>
      </c>
    </row>
    <row r="2389" spans="65:67" x14ac:dyDescent="0.25">
      <c r="BM2389" s="281">
        <f>$AZ$62+0.2*(seat_pitch)*($AY$62*n_SA+$AW$9&lt;pax_e)</f>
        <v>26.102</v>
      </c>
      <c r="BN2389" s="281">
        <f>$AX$9</f>
        <v>0.78</v>
      </c>
      <c r="BO2389" s="281">
        <f t="shared" si="171"/>
        <v>8.291520000000002</v>
      </c>
    </row>
    <row r="2390" spans="65:67" x14ac:dyDescent="0.25">
      <c r="BM2390" s="281">
        <f>$AZ$62+0.2*(seat_pitch)*($AY$62*n_SA+$AW$9&lt;pax_e)</f>
        <v>26.102</v>
      </c>
      <c r="BN2390" s="281">
        <f>$AX$9+seat_w*($AY$62*n_SA+$AW$9&lt;pax_e)</f>
        <v>1.31</v>
      </c>
      <c r="BO2390" s="281">
        <f t="shared" si="171"/>
        <v>8.291520000000002</v>
      </c>
    </row>
    <row r="2391" spans="65:67" x14ac:dyDescent="0.25">
      <c r="BM2391" s="281">
        <f>$AZ$62</f>
        <v>25.94</v>
      </c>
      <c r="BN2391" s="281">
        <f>$AX$9+seat_w*($AY$62*n_SA+$AW$9&lt;pax_e)</f>
        <v>1.31</v>
      </c>
      <c r="BO2391" s="281">
        <f t="shared" si="171"/>
        <v>8.129520000000003</v>
      </c>
    </row>
    <row r="2392" spans="65:67" x14ac:dyDescent="0.25">
      <c r="BM2392" s="281">
        <f>$AZ$62+1*(seat_pitch)*($AY$62*n_SA+$AW$9&lt;pax_e)</f>
        <v>26.75</v>
      </c>
      <c r="BN2392" s="281">
        <f>$AX$9+seat_w*($AY$62*n_SA+$AW$9&lt;pax_e)</f>
        <v>1.31</v>
      </c>
      <c r="BO2392" s="281">
        <f t="shared" si="171"/>
        <v>8.9395200000000017</v>
      </c>
    </row>
    <row r="2393" spans="65:67" x14ac:dyDescent="0.25">
      <c r="BM2393" s="281">
        <f>$AZ$62+0.8*(seat_pitch)*($AY$62*n_SA+$AW$9&lt;pax_e)</f>
        <v>26.588000000000001</v>
      </c>
      <c r="BN2393" s="281">
        <f>$AX$9+seat_w*($AY$62*n_SA+$AW$9&lt;pax_e)</f>
        <v>1.31</v>
      </c>
      <c r="BO2393" s="281">
        <f t="shared" si="171"/>
        <v>8.7775200000000027</v>
      </c>
    </row>
    <row r="2394" spans="65:67" x14ac:dyDescent="0.25">
      <c r="BM2394" s="281">
        <f>$AZ$62+0.8*(seat_pitch)*($AY$62*n_SA+$AW$9&lt;pax_e)</f>
        <v>26.588000000000001</v>
      </c>
      <c r="BN2394" s="281">
        <f>$AX$9</f>
        <v>0.78</v>
      </c>
      <c r="BO2394" s="281">
        <f t="shared" si="171"/>
        <v>8.7775200000000027</v>
      </c>
    </row>
    <row r="2395" spans="65:67" x14ac:dyDescent="0.25">
      <c r="BM2395" s="281">
        <f>$AZ$62+0.2*(seat_pitch)*($AY$62*n_SA+$AW$9&lt;pax_e)</f>
        <v>26.102</v>
      </c>
      <c r="BN2395" s="281">
        <f>$AX$9</f>
        <v>0.78</v>
      </c>
      <c r="BO2395" s="281">
        <f t="shared" si="171"/>
        <v>8.291520000000002</v>
      </c>
    </row>
    <row r="2396" spans="65:67" x14ac:dyDescent="0.25">
      <c r="BM2396" s="281">
        <f>$AZ$62+(seat_pitch)</f>
        <v>26.75</v>
      </c>
      <c r="BN2396" s="281">
        <f>$AX$9</f>
        <v>0.78</v>
      </c>
      <c r="BO2396" s="281">
        <f t="shared" si="171"/>
        <v>8.9395200000000017</v>
      </c>
    </row>
    <row r="2397" spans="65:67" x14ac:dyDescent="0.25">
      <c r="BM2397" s="281">
        <f>$AZ$63+0.2*(seat_pitch)*($AY$63*n_SA+$AW$9&lt;pax_e)</f>
        <v>26.102</v>
      </c>
      <c r="BN2397" s="281">
        <f>$AX$9</f>
        <v>0.78</v>
      </c>
      <c r="BO2397" s="281">
        <f t="shared" si="171"/>
        <v>8.291520000000002</v>
      </c>
    </row>
    <row r="2398" spans="65:67" x14ac:dyDescent="0.25">
      <c r="BM2398" s="281">
        <f>$AZ$63+0.2*(seat_pitch)*($AY$63*n_SA+$AW$9&lt;pax_e)</f>
        <v>26.102</v>
      </c>
      <c r="BN2398" s="281">
        <f>$AX$9+seat_w*($AY$63*n_SA+$AW$9&lt;pax_e)</f>
        <v>1.31</v>
      </c>
      <c r="BO2398" s="281">
        <f t="shared" si="171"/>
        <v>8.291520000000002</v>
      </c>
    </row>
    <row r="2399" spans="65:67" x14ac:dyDescent="0.25">
      <c r="BM2399" s="281">
        <f>$AZ$63</f>
        <v>25.94</v>
      </c>
      <c r="BN2399" s="281">
        <f>$AX$9+seat_w*($AY$63*n_SA+$AW$9&lt;pax_e)</f>
        <v>1.31</v>
      </c>
      <c r="BO2399" s="281">
        <f t="shared" si="171"/>
        <v>8.129520000000003</v>
      </c>
    </row>
    <row r="2400" spans="65:67" x14ac:dyDescent="0.25">
      <c r="BM2400" s="281">
        <f>$AZ$63+1*(seat_pitch)*($AY$63*n_SA+$AW$9&lt;pax_e)</f>
        <v>26.75</v>
      </c>
      <c r="BN2400" s="281">
        <f>$AX$9+seat_w*($AY$63*n_SA+$AW$9&lt;pax_e)</f>
        <v>1.31</v>
      </c>
      <c r="BO2400" s="281">
        <f t="shared" si="171"/>
        <v>8.9395200000000017</v>
      </c>
    </row>
    <row r="2401" spans="65:67" x14ac:dyDescent="0.25">
      <c r="BM2401" s="281">
        <f>$AZ$63+0.8*(seat_pitch)*($AY$63*n_SA+$AW$9&lt;pax_e)</f>
        <v>26.588000000000001</v>
      </c>
      <c r="BN2401" s="281">
        <f>$AX$9+seat_w*($AY$63*n_SA+$AW$9&lt;pax_e)</f>
        <v>1.31</v>
      </c>
      <c r="BO2401" s="281">
        <f t="shared" si="171"/>
        <v>8.7775200000000027</v>
      </c>
    </row>
    <row r="2402" spans="65:67" x14ac:dyDescent="0.25">
      <c r="BM2402" s="281">
        <f>$AZ$63+0.8*(seat_pitch)*($AY$63*n_SA+$AW$9&lt;pax_e)</f>
        <v>26.588000000000001</v>
      </c>
      <c r="BN2402" s="281">
        <f>$AX$9</f>
        <v>0.78</v>
      </c>
      <c r="BO2402" s="281">
        <f t="shared" si="171"/>
        <v>8.7775200000000027</v>
      </c>
    </row>
    <row r="2403" spans="65:67" x14ac:dyDescent="0.25">
      <c r="BM2403" s="281">
        <f>$AZ$63+0.2*(seat_pitch)*($AY$63*n_SA+$AW$9&lt;pax_e)</f>
        <v>26.102</v>
      </c>
      <c r="BN2403" s="281">
        <f>$AX$9</f>
        <v>0.78</v>
      </c>
      <c r="BO2403" s="281">
        <f t="shared" si="171"/>
        <v>8.291520000000002</v>
      </c>
    </row>
    <row r="2404" spans="65:67" x14ac:dyDescent="0.25">
      <c r="BM2404" s="281">
        <f>$AZ$63+(seat_pitch)</f>
        <v>26.75</v>
      </c>
      <c r="BN2404" s="281">
        <f>$AX$9</f>
        <v>0.78</v>
      </c>
      <c r="BO2404" s="281">
        <f t="shared" si="171"/>
        <v>8.9395200000000017</v>
      </c>
    </row>
    <row r="2405" spans="65:67" x14ac:dyDescent="0.25">
      <c r="BM2405" s="281">
        <f>$AZ$64+0.2*(seat_pitch)*($AY$64*n_SA+$AW$9&lt;pax_e)</f>
        <v>26.102</v>
      </c>
      <c r="BN2405" s="281">
        <f>$AX$9</f>
        <v>0.78</v>
      </c>
      <c r="BO2405" s="281">
        <f t="shared" si="171"/>
        <v>8.291520000000002</v>
      </c>
    </row>
    <row r="2406" spans="65:67" x14ac:dyDescent="0.25">
      <c r="BM2406" s="281">
        <f>$AZ$64+0.2*(seat_pitch)*($AY$64*n_SA+$AW$9&lt;pax_e)</f>
        <v>26.102</v>
      </c>
      <c r="BN2406" s="281">
        <f>$AX$9+seat_w*($AY$64*n_SA+$AW$9&lt;pax_e)</f>
        <v>1.31</v>
      </c>
      <c r="BO2406" s="281">
        <f t="shared" si="171"/>
        <v>8.291520000000002</v>
      </c>
    </row>
    <row r="2407" spans="65:67" x14ac:dyDescent="0.25">
      <c r="BM2407" s="281">
        <f>$AZ$64</f>
        <v>25.94</v>
      </c>
      <c r="BN2407" s="281">
        <f>$AX$9+seat_w*($AY$64*n_SA+$AW$9&lt;pax_e)</f>
        <v>1.31</v>
      </c>
      <c r="BO2407" s="281">
        <f t="shared" si="171"/>
        <v>8.129520000000003</v>
      </c>
    </row>
    <row r="2408" spans="65:67" x14ac:dyDescent="0.25">
      <c r="BM2408" s="281">
        <f>$AZ$64+1*(seat_pitch)*($AY$64*n_SA+$AW$9&lt;pax_e)</f>
        <v>26.75</v>
      </c>
      <c r="BN2408" s="281">
        <f>$AX$9+seat_w*($AY$64*n_SA+$AW$9&lt;pax_e)</f>
        <v>1.31</v>
      </c>
      <c r="BO2408" s="281">
        <f t="shared" si="171"/>
        <v>8.9395200000000017</v>
      </c>
    </row>
    <row r="2409" spans="65:67" x14ac:dyDescent="0.25">
      <c r="BM2409" s="281">
        <f>$AZ$64+0.8*(seat_pitch)*($AY$64*n_SA+$AW$9&lt;pax_e)</f>
        <v>26.588000000000001</v>
      </c>
      <c r="BN2409" s="281">
        <f>$AX$9+seat_w*($AY$64*n_SA+$AW$9&lt;pax_e)</f>
        <v>1.31</v>
      </c>
      <c r="BO2409" s="281">
        <f t="shared" si="171"/>
        <v>8.7775200000000027</v>
      </c>
    </row>
    <row r="2410" spans="65:67" x14ac:dyDescent="0.25">
      <c r="BM2410" s="281">
        <f>$AZ$64+0.8*(seat_pitch)*($AY$64*n_SA+$AW$9&lt;pax_e)</f>
        <v>26.588000000000001</v>
      </c>
      <c r="BN2410" s="281">
        <f>$AX$9</f>
        <v>0.78</v>
      </c>
      <c r="BO2410" s="281">
        <f t="shared" si="171"/>
        <v>8.7775200000000027</v>
      </c>
    </row>
    <row r="2411" spans="65:67" x14ac:dyDescent="0.25">
      <c r="BM2411" s="281">
        <f>$AZ$64+0.2*(seat_pitch)*($AY$64*n_SA+$AW$9&lt;pax_e)</f>
        <v>26.102</v>
      </c>
      <c r="BN2411" s="281">
        <f>$AX$9</f>
        <v>0.78</v>
      </c>
      <c r="BO2411" s="281">
        <f t="shared" si="171"/>
        <v>8.291520000000002</v>
      </c>
    </row>
    <row r="2412" spans="65:67" x14ac:dyDescent="0.25">
      <c r="BM2412" s="281">
        <f>$AZ$64+(seat_pitch)</f>
        <v>26.75</v>
      </c>
      <c r="BN2412" s="281">
        <f>$AX$9</f>
        <v>0.78</v>
      </c>
      <c r="BO2412" s="281">
        <f t="shared" si="171"/>
        <v>8.9395200000000017</v>
      </c>
    </row>
    <row r="2413" spans="65:67" x14ac:dyDescent="0.25">
      <c r="BM2413" s="281">
        <f>x_seat_end</f>
        <v>26.75</v>
      </c>
      <c r="BN2413" s="281">
        <f>$AX$10</f>
        <v>1.3100000000000003</v>
      </c>
      <c r="BO2413" s="281">
        <f t="shared" si="171"/>
        <v>8.9395200000000017</v>
      </c>
    </row>
    <row r="2414" spans="65:67" x14ac:dyDescent="0.25">
      <c r="BM2414" s="281">
        <f>x_eco0</f>
        <v>6.5</v>
      </c>
      <c r="BN2414" s="281">
        <f>$AX$10</f>
        <v>1.3100000000000003</v>
      </c>
      <c r="BO2414" s="281">
        <f t="shared" si="171"/>
        <v>-11.310479999999998</v>
      </c>
    </row>
    <row r="2415" spans="65:67" x14ac:dyDescent="0.25">
      <c r="BM2415" s="281">
        <f>$AZ$5+0.2*(seat_pitch)*($AY$5*n_SA+$AW$10&lt;pax_e)</f>
        <v>6.6619999999999999</v>
      </c>
      <c r="BN2415" s="281">
        <f>$AX$10</f>
        <v>1.3100000000000003</v>
      </c>
      <c r="BO2415" s="281">
        <f t="shared" si="171"/>
        <v>-11.148479999999999</v>
      </c>
    </row>
    <row r="2416" spans="65:67" x14ac:dyDescent="0.25">
      <c r="BM2416" s="281">
        <f>$AZ$5+0.2*(seat_pitch)*($AY$5*n_SA+$AW$10&lt;pax_e)</f>
        <v>6.6619999999999999</v>
      </c>
      <c r="BN2416" s="281">
        <f>$AX$10+seat_w*($AY$5*n_SA+$AW$10&lt;pax_e)</f>
        <v>1.8400000000000003</v>
      </c>
      <c r="BO2416" s="281">
        <f t="shared" si="171"/>
        <v>-11.148479999999999</v>
      </c>
    </row>
    <row r="2417" spans="65:67" x14ac:dyDescent="0.25">
      <c r="BM2417" s="281">
        <f>$AZ$5</f>
        <v>6.5</v>
      </c>
      <c r="BN2417" s="281">
        <f>$AX$10+seat_w*($AY$5*n_SA+$AW$10&lt;pax_e)</f>
        <v>1.8400000000000003</v>
      </c>
      <c r="BO2417" s="281">
        <f t="shared" si="171"/>
        <v>-11.310479999999998</v>
      </c>
    </row>
    <row r="2418" spans="65:67" x14ac:dyDescent="0.25">
      <c r="BM2418" s="281">
        <f>$AZ$5+1*(seat_pitch)*($AY$5*n_SA+$AW$10&lt;pax_e)</f>
        <v>7.3100000000000005</v>
      </c>
      <c r="BN2418" s="281">
        <f>$AX$10+seat_w*($AY$5*n_SA+$AW$10&lt;pax_e)</f>
        <v>1.8400000000000003</v>
      </c>
      <c r="BO2418" s="281">
        <f t="shared" si="171"/>
        <v>-10.500479999999998</v>
      </c>
    </row>
    <row r="2419" spans="65:67" x14ac:dyDescent="0.25">
      <c r="BM2419" s="281">
        <f>$AZ$5+0.8*(seat_pitch)*($AY$5*n_SA+$AW$10&lt;pax_e)</f>
        <v>7.1479999999999997</v>
      </c>
      <c r="BN2419" s="281">
        <f>$AX$10+seat_w*($AY$5*n_SA+$AW$10&lt;pax_e)</f>
        <v>1.8400000000000003</v>
      </c>
      <c r="BO2419" s="281">
        <f t="shared" si="171"/>
        <v>-10.662479999999999</v>
      </c>
    </row>
    <row r="2420" spans="65:67" x14ac:dyDescent="0.25">
      <c r="BM2420" s="281">
        <f>$AZ$5+0.8*(seat_pitch)*($AY$5*n_SA+$AW$10&lt;pax_e)</f>
        <v>7.1479999999999997</v>
      </c>
      <c r="BN2420" s="281">
        <f>$AX$10</f>
        <v>1.3100000000000003</v>
      </c>
      <c r="BO2420" s="281">
        <f t="shared" si="171"/>
        <v>-10.662479999999999</v>
      </c>
    </row>
    <row r="2421" spans="65:67" x14ac:dyDescent="0.25">
      <c r="BM2421" s="281">
        <f>$AZ$5+0.2*(seat_pitch)*($AY$5*n_SA+$AW$10&lt;pax_e)</f>
        <v>6.6619999999999999</v>
      </c>
      <c r="BN2421" s="281">
        <f>$AX$10</f>
        <v>1.3100000000000003</v>
      </c>
      <c r="BO2421" s="281">
        <f t="shared" si="171"/>
        <v>-11.148479999999999</v>
      </c>
    </row>
    <row r="2422" spans="65:67" x14ac:dyDescent="0.25">
      <c r="BM2422" s="281">
        <f>$AZ$5+(seat_pitch)</f>
        <v>7.3100000000000005</v>
      </c>
      <c r="BN2422" s="281">
        <f>$AX$10</f>
        <v>1.3100000000000003</v>
      </c>
      <c r="BO2422" s="281">
        <f t="shared" si="171"/>
        <v>-10.500479999999998</v>
      </c>
    </row>
    <row r="2423" spans="65:67" x14ac:dyDescent="0.25">
      <c r="BM2423" s="281">
        <f>$AZ$6+0.2*(seat_pitch)*($AY$6*n_SA+$AW$10&lt;pax_e)</f>
        <v>7.4720000000000004</v>
      </c>
      <c r="BN2423" s="281">
        <f>$AX$10</f>
        <v>1.3100000000000003</v>
      </c>
      <c r="BO2423" s="281">
        <f t="shared" si="171"/>
        <v>-10.338479999999997</v>
      </c>
    </row>
    <row r="2424" spans="65:67" x14ac:dyDescent="0.25">
      <c r="BM2424" s="281">
        <f>$AZ$6+0.2*(seat_pitch)*($AY$6*n_SA+$AW$10&lt;pax_e)</f>
        <v>7.4720000000000004</v>
      </c>
      <c r="BN2424" s="281">
        <f>$AX$10+seat_w*($AY$6*n_SA+$AW$10&lt;pax_e)</f>
        <v>1.8400000000000003</v>
      </c>
      <c r="BO2424" s="281">
        <f t="shared" si="171"/>
        <v>-10.338479999999997</v>
      </c>
    </row>
    <row r="2425" spans="65:67" x14ac:dyDescent="0.25">
      <c r="BM2425" s="281">
        <f>$AZ$6</f>
        <v>7.3100000000000005</v>
      </c>
      <c r="BN2425" s="281">
        <f>$AX$10+seat_w*($AY$6*n_SA+$AW$10&lt;pax_e)</f>
        <v>1.8400000000000003</v>
      </c>
      <c r="BO2425" s="281">
        <f t="shared" si="171"/>
        <v>-10.500479999999998</v>
      </c>
    </row>
    <row r="2426" spans="65:67" x14ac:dyDescent="0.25">
      <c r="BM2426" s="281">
        <f>$AZ$6+1*(seat_pitch)*($AY$6*n_SA+$AW$10&lt;pax_e)</f>
        <v>8.120000000000001</v>
      </c>
      <c r="BN2426" s="281">
        <f>$AX$10+seat_w*($AY$6*n_SA+$AW$10&lt;pax_e)</f>
        <v>1.8400000000000003</v>
      </c>
      <c r="BO2426" s="281">
        <f t="shared" si="171"/>
        <v>-9.6904799999999973</v>
      </c>
    </row>
    <row r="2427" spans="65:67" x14ac:dyDescent="0.25">
      <c r="BM2427" s="281">
        <f>$AZ$6+0.8*(seat_pitch)*($AY$6*n_SA+$AW$10&lt;pax_e)</f>
        <v>7.9580000000000002</v>
      </c>
      <c r="BN2427" s="281">
        <f>$AX$10+seat_w*($AY$6*n_SA+$AW$10&lt;pax_e)</f>
        <v>1.8400000000000003</v>
      </c>
      <c r="BO2427" s="281">
        <f t="shared" si="171"/>
        <v>-9.8524799999999981</v>
      </c>
    </row>
    <row r="2428" spans="65:67" x14ac:dyDescent="0.25">
      <c r="BM2428" s="281">
        <f>$AZ$6+0.8*(seat_pitch)*($AY$6*n_SA+$AW$10&lt;pax_e)</f>
        <v>7.9580000000000002</v>
      </c>
      <c r="BN2428" s="281">
        <f>$AX$10</f>
        <v>1.3100000000000003</v>
      </c>
      <c r="BO2428" s="281">
        <f t="shared" si="171"/>
        <v>-9.8524799999999981</v>
      </c>
    </row>
    <row r="2429" spans="65:67" x14ac:dyDescent="0.25">
      <c r="BM2429" s="281">
        <f>$AZ$6+0.2*(seat_pitch)*($AY$6*n_SA+$AW$10&lt;pax_e)</f>
        <v>7.4720000000000004</v>
      </c>
      <c r="BN2429" s="281">
        <f>$AX$10</f>
        <v>1.3100000000000003</v>
      </c>
      <c r="BO2429" s="281">
        <f t="shared" si="171"/>
        <v>-10.338479999999997</v>
      </c>
    </row>
    <row r="2430" spans="65:67" x14ac:dyDescent="0.25">
      <c r="BM2430" s="281">
        <f>$AZ$6+(seat_pitch)</f>
        <v>8.120000000000001</v>
      </c>
      <c r="BN2430" s="281">
        <f>$AX$10</f>
        <v>1.3100000000000003</v>
      </c>
      <c r="BO2430" s="281">
        <f t="shared" si="171"/>
        <v>-9.6904799999999973</v>
      </c>
    </row>
    <row r="2431" spans="65:67" x14ac:dyDescent="0.25">
      <c r="BM2431" s="281">
        <f>$AZ$7+0.2*(seat_pitch)*($AY$7*n_SA+$AW$10&lt;pax_e)</f>
        <v>8.2820000000000018</v>
      </c>
      <c r="BN2431" s="281">
        <f>$AX$10</f>
        <v>1.3100000000000003</v>
      </c>
      <c r="BO2431" s="281">
        <f t="shared" si="171"/>
        <v>-9.5284799999999965</v>
      </c>
    </row>
    <row r="2432" spans="65:67" x14ac:dyDescent="0.25">
      <c r="BM2432" s="281">
        <f>$AZ$7+0.2*(seat_pitch)*($AY$7*n_SA+$AW$10&lt;pax_e)</f>
        <v>8.2820000000000018</v>
      </c>
      <c r="BN2432" s="281">
        <f>$AX$10+seat_w*($AY$7*n_SA+$AW$10&lt;pax_e)</f>
        <v>1.8400000000000003</v>
      </c>
      <c r="BO2432" s="281">
        <f t="shared" si="171"/>
        <v>-9.5284799999999965</v>
      </c>
    </row>
    <row r="2433" spans="65:67" x14ac:dyDescent="0.25">
      <c r="BM2433" s="281">
        <f>$AZ$7</f>
        <v>8.120000000000001</v>
      </c>
      <c r="BN2433" s="281">
        <f>$AX$10+seat_w*($AY$7*n_SA+$AW$10&lt;pax_e)</f>
        <v>1.8400000000000003</v>
      </c>
      <c r="BO2433" s="281">
        <f t="shared" si="171"/>
        <v>-9.6904799999999973</v>
      </c>
    </row>
    <row r="2434" spans="65:67" x14ac:dyDescent="0.25">
      <c r="BM2434" s="281">
        <f>$AZ$7+1*(seat_pitch)*($AY$7*n_SA+$AW$10&lt;pax_e)</f>
        <v>8.9300000000000015</v>
      </c>
      <c r="BN2434" s="281">
        <f>$AX$10+seat_w*($AY$7*n_SA+$AW$10&lt;pax_e)</f>
        <v>1.8400000000000003</v>
      </c>
      <c r="BO2434" s="281">
        <f t="shared" si="171"/>
        <v>-8.8804799999999968</v>
      </c>
    </row>
    <row r="2435" spans="65:67" x14ac:dyDescent="0.25">
      <c r="BM2435" s="281">
        <f>$AZ$7+0.8*(seat_pitch)*($AY$7*n_SA+$AW$10&lt;pax_e)</f>
        <v>8.7680000000000007</v>
      </c>
      <c r="BN2435" s="281">
        <f>$AX$10+seat_w*($AY$7*n_SA+$AW$10&lt;pax_e)</f>
        <v>1.8400000000000003</v>
      </c>
      <c r="BO2435" s="281">
        <f t="shared" si="171"/>
        <v>-9.0424799999999976</v>
      </c>
    </row>
    <row r="2436" spans="65:67" x14ac:dyDescent="0.25">
      <c r="BM2436" s="281">
        <f>$AZ$7+0.8*(seat_pitch)*($AY$7*n_SA+$AW$10&lt;pax_e)</f>
        <v>8.7680000000000007</v>
      </c>
      <c r="BN2436" s="281">
        <f>$AX$10</f>
        <v>1.3100000000000003</v>
      </c>
      <c r="BO2436" s="281">
        <f t="shared" si="171"/>
        <v>-9.0424799999999976</v>
      </c>
    </row>
    <row r="2437" spans="65:67" x14ac:dyDescent="0.25">
      <c r="BM2437" s="281">
        <f>$AZ$7+0.2*(seat_pitch)*($AY$7*n_SA+$AW$10&lt;pax_e)</f>
        <v>8.2820000000000018</v>
      </c>
      <c r="BN2437" s="281">
        <f>$AX$10</f>
        <v>1.3100000000000003</v>
      </c>
      <c r="BO2437" s="281">
        <f t="shared" ref="BO2437:BO2500" si="172">BM2437-L_fus/2</f>
        <v>-9.5284799999999965</v>
      </c>
    </row>
    <row r="2438" spans="65:67" x14ac:dyDescent="0.25">
      <c r="BM2438" s="281">
        <f>$AZ$7+(seat_pitch)</f>
        <v>8.9300000000000015</v>
      </c>
      <c r="BN2438" s="281">
        <f>$AX$10</f>
        <v>1.3100000000000003</v>
      </c>
      <c r="BO2438" s="281">
        <f t="shared" si="172"/>
        <v>-8.8804799999999968</v>
      </c>
    </row>
    <row r="2439" spans="65:67" x14ac:dyDescent="0.25">
      <c r="BM2439" s="281">
        <f>$AZ$8+0.2*(seat_pitch)*($AY$8*n_SA+$AW$10&lt;pax_e)</f>
        <v>9.0920000000000005</v>
      </c>
      <c r="BN2439" s="281">
        <f>$AX$10</f>
        <v>1.3100000000000003</v>
      </c>
      <c r="BO2439" s="281">
        <f t="shared" si="172"/>
        <v>-8.7184799999999978</v>
      </c>
    </row>
    <row r="2440" spans="65:67" x14ac:dyDescent="0.25">
      <c r="BM2440" s="281">
        <f>$AZ$8+0.2*(seat_pitch)*($AY$8*n_SA+$AW$10&lt;pax_e)</f>
        <v>9.0920000000000005</v>
      </c>
      <c r="BN2440" s="281">
        <f>$AX$10+seat_w*($AY$8*n_SA+$AW$10&lt;pax_e)</f>
        <v>1.8400000000000003</v>
      </c>
      <c r="BO2440" s="281">
        <f t="shared" si="172"/>
        <v>-8.7184799999999978</v>
      </c>
    </row>
    <row r="2441" spans="65:67" x14ac:dyDescent="0.25">
      <c r="BM2441" s="281">
        <f>$AZ$8</f>
        <v>8.93</v>
      </c>
      <c r="BN2441" s="281">
        <f>$AX$10+seat_w*($AY$8*n_SA+$AW$10&lt;pax_e)</f>
        <v>1.8400000000000003</v>
      </c>
      <c r="BO2441" s="281">
        <f t="shared" si="172"/>
        <v>-8.8804799999999986</v>
      </c>
    </row>
    <row r="2442" spans="65:67" x14ac:dyDescent="0.25">
      <c r="BM2442" s="281">
        <f>$AZ$8+1*(seat_pitch)*($AY$8*n_SA+$AW$10&lt;pax_e)</f>
        <v>9.74</v>
      </c>
      <c r="BN2442" s="281">
        <f>$AX$10+seat_w*($AY$8*n_SA+$AW$10&lt;pax_e)</f>
        <v>1.8400000000000003</v>
      </c>
      <c r="BO2442" s="281">
        <f t="shared" si="172"/>
        <v>-8.0704799999999981</v>
      </c>
    </row>
    <row r="2443" spans="65:67" x14ac:dyDescent="0.25">
      <c r="BM2443" s="281">
        <f>$AZ$8+0.8*(seat_pitch)*($AY$8*n_SA+$AW$10&lt;pax_e)</f>
        <v>9.5779999999999994</v>
      </c>
      <c r="BN2443" s="281">
        <f>$AX$10+seat_w*($AY$8*n_SA+$AW$10&lt;pax_e)</f>
        <v>1.8400000000000003</v>
      </c>
      <c r="BO2443" s="281">
        <f t="shared" si="172"/>
        <v>-8.2324799999999989</v>
      </c>
    </row>
    <row r="2444" spans="65:67" x14ac:dyDescent="0.25">
      <c r="BM2444" s="281">
        <f>$AZ$8+0.8*(seat_pitch)*($AY$8*n_SA+$AW$10&lt;pax_e)</f>
        <v>9.5779999999999994</v>
      </c>
      <c r="BN2444" s="281">
        <f>$AX$10</f>
        <v>1.3100000000000003</v>
      </c>
      <c r="BO2444" s="281">
        <f t="shared" si="172"/>
        <v>-8.2324799999999989</v>
      </c>
    </row>
    <row r="2445" spans="65:67" x14ac:dyDescent="0.25">
      <c r="BM2445" s="281">
        <f>$AZ$8+0.2*(seat_pitch)*($AY$8*n_SA+$AW$10&lt;pax_e)</f>
        <v>9.0920000000000005</v>
      </c>
      <c r="BN2445" s="281">
        <f>$AX$10</f>
        <v>1.3100000000000003</v>
      </c>
      <c r="BO2445" s="281">
        <f t="shared" si="172"/>
        <v>-8.7184799999999978</v>
      </c>
    </row>
    <row r="2446" spans="65:67" x14ac:dyDescent="0.25">
      <c r="BM2446" s="281">
        <f>$AZ$8+(seat_pitch)</f>
        <v>9.74</v>
      </c>
      <c r="BN2446" s="281">
        <f>$AX$10</f>
        <v>1.3100000000000003</v>
      </c>
      <c r="BO2446" s="281">
        <f t="shared" si="172"/>
        <v>-8.0704799999999981</v>
      </c>
    </row>
    <row r="2447" spans="65:67" x14ac:dyDescent="0.25">
      <c r="BM2447" s="281">
        <f>$AZ$9+0.2*(seat_pitch)*($AY$9*n_SA+$AW$10&lt;pax_e)</f>
        <v>9.902000000000001</v>
      </c>
      <c r="BN2447" s="281">
        <f>$AX$10</f>
        <v>1.3100000000000003</v>
      </c>
      <c r="BO2447" s="281">
        <f t="shared" si="172"/>
        <v>-7.9084799999999973</v>
      </c>
    </row>
    <row r="2448" spans="65:67" x14ac:dyDescent="0.25">
      <c r="BM2448" s="281">
        <f>$AZ$9+0.2*(seat_pitch)*($AY$9*n_SA+$AW$10&lt;pax_e)</f>
        <v>9.902000000000001</v>
      </c>
      <c r="BN2448" s="281">
        <f>$AX$10+seat_w*($AY$9*n_SA+$AW$10&lt;pax_e)</f>
        <v>1.8400000000000003</v>
      </c>
      <c r="BO2448" s="281">
        <f t="shared" si="172"/>
        <v>-7.9084799999999973</v>
      </c>
    </row>
    <row r="2449" spans="65:67" x14ac:dyDescent="0.25">
      <c r="BM2449" s="281">
        <f>$AZ$9</f>
        <v>9.74</v>
      </c>
      <c r="BN2449" s="281">
        <f>$AX$10+seat_w*($AY$9*n_SA+$AW$10&lt;pax_e)</f>
        <v>1.8400000000000003</v>
      </c>
      <c r="BO2449" s="281">
        <f t="shared" si="172"/>
        <v>-8.0704799999999981</v>
      </c>
    </row>
    <row r="2450" spans="65:67" x14ac:dyDescent="0.25">
      <c r="BM2450" s="281">
        <f>$AZ$9+1*(seat_pitch)*($AY$9*n_SA+$AW$10&lt;pax_e)</f>
        <v>10.55</v>
      </c>
      <c r="BN2450" s="281">
        <f>$AX$10+seat_w*($AY$9*n_SA+$AW$10&lt;pax_e)</f>
        <v>1.8400000000000003</v>
      </c>
      <c r="BO2450" s="281">
        <f t="shared" si="172"/>
        <v>-7.2604799999999976</v>
      </c>
    </row>
    <row r="2451" spans="65:67" x14ac:dyDescent="0.25">
      <c r="BM2451" s="281">
        <f>$AZ$9+0.8*(seat_pitch)*($AY$9*n_SA+$AW$10&lt;pax_e)</f>
        <v>10.388</v>
      </c>
      <c r="BN2451" s="281">
        <f>$AX$10+seat_w*($AY$9*n_SA+$AW$10&lt;pax_e)</f>
        <v>1.8400000000000003</v>
      </c>
      <c r="BO2451" s="281">
        <f t="shared" si="172"/>
        <v>-7.4224799999999984</v>
      </c>
    </row>
    <row r="2452" spans="65:67" x14ac:dyDescent="0.25">
      <c r="BM2452" s="281">
        <f>$AZ$9+0.8*(seat_pitch)*($AY$9*n_SA+$AW$10&lt;pax_e)</f>
        <v>10.388</v>
      </c>
      <c r="BN2452" s="281">
        <f>$AX$10</f>
        <v>1.3100000000000003</v>
      </c>
      <c r="BO2452" s="281">
        <f t="shared" si="172"/>
        <v>-7.4224799999999984</v>
      </c>
    </row>
    <row r="2453" spans="65:67" x14ac:dyDescent="0.25">
      <c r="BM2453" s="281">
        <f>$AZ$9+0.2*(seat_pitch)*($AY$9*n_SA+$AW$10&lt;pax_e)</f>
        <v>9.902000000000001</v>
      </c>
      <c r="BN2453" s="281">
        <f>$AX$10</f>
        <v>1.3100000000000003</v>
      </c>
      <c r="BO2453" s="281">
        <f t="shared" si="172"/>
        <v>-7.9084799999999973</v>
      </c>
    </row>
    <row r="2454" spans="65:67" x14ac:dyDescent="0.25">
      <c r="BM2454" s="281">
        <f>$AZ$9+(seat_pitch)</f>
        <v>10.55</v>
      </c>
      <c r="BN2454" s="281">
        <f>$AX$10</f>
        <v>1.3100000000000003</v>
      </c>
      <c r="BO2454" s="281">
        <f t="shared" si="172"/>
        <v>-7.2604799999999976</v>
      </c>
    </row>
    <row r="2455" spans="65:67" x14ac:dyDescent="0.25">
      <c r="BM2455" s="281">
        <f>$AZ$10+0.2*(seat_pitch)*($AY$10*n_SA+$AW$10&lt;pax_e)</f>
        <v>10.712000000000002</v>
      </c>
      <c r="BN2455" s="281">
        <f>$AX$10</f>
        <v>1.3100000000000003</v>
      </c>
      <c r="BO2455" s="281">
        <f t="shared" si="172"/>
        <v>-7.0984799999999968</v>
      </c>
    </row>
    <row r="2456" spans="65:67" x14ac:dyDescent="0.25">
      <c r="BM2456" s="281">
        <f>$AZ$10+0.2*(seat_pitch)*($AY$10*n_SA+$AW$10&lt;pax_e)</f>
        <v>10.712000000000002</v>
      </c>
      <c r="BN2456" s="281">
        <f>$AX$10+seat_w*($AY$10*n_SA+$AW$10&lt;pax_e)</f>
        <v>1.8400000000000003</v>
      </c>
      <c r="BO2456" s="281">
        <f t="shared" si="172"/>
        <v>-7.0984799999999968</v>
      </c>
    </row>
    <row r="2457" spans="65:67" x14ac:dyDescent="0.25">
      <c r="BM2457" s="281">
        <f>$AZ$10</f>
        <v>10.55</v>
      </c>
      <c r="BN2457" s="281">
        <f>$AX$10+seat_w*($AY$10*n_SA+$AW$10&lt;pax_e)</f>
        <v>1.8400000000000003</v>
      </c>
      <c r="BO2457" s="281">
        <f t="shared" si="172"/>
        <v>-7.2604799999999976</v>
      </c>
    </row>
    <row r="2458" spans="65:67" x14ac:dyDescent="0.25">
      <c r="BM2458" s="281">
        <f>$AZ$10+1*(seat_pitch)*($AY$10*n_SA+$AW$10&lt;pax_e)</f>
        <v>11.360000000000001</v>
      </c>
      <c r="BN2458" s="281">
        <f>$AX$10+seat_w*($AY$10*n_SA+$AW$10&lt;pax_e)</f>
        <v>1.8400000000000003</v>
      </c>
      <c r="BO2458" s="281">
        <f t="shared" si="172"/>
        <v>-6.4504799999999971</v>
      </c>
    </row>
    <row r="2459" spans="65:67" x14ac:dyDescent="0.25">
      <c r="BM2459" s="281">
        <f>$AZ$10+0.8*(seat_pitch)*($AY$10*n_SA+$AW$10&lt;pax_e)</f>
        <v>11.198</v>
      </c>
      <c r="BN2459" s="281">
        <f>$AX$10+seat_w*($AY$10*n_SA+$AW$10&lt;pax_e)</f>
        <v>1.8400000000000003</v>
      </c>
      <c r="BO2459" s="281">
        <f t="shared" si="172"/>
        <v>-6.6124799999999979</v>
      </c>
    </row>
    <row r="2460" spans="65:67" x14ac:dyDescent="0.25">
      <c r="BM2460" s="281">
        <f>$AZ$10+0.8*(seat_pitch)*($AY$10*n_SA+$AW$10&lt;pax_e)</f>
        <v>11.198</v>
      </c>
      <c r="BN2460" s="281">
        <f>$AX$10</f>
        <v>1.3100000000000003</v>
      </c>
      <c r="BO2460" s="281">
        <f t="shared" si="172"/>
        <v>-6.6124799999999979</v>
      </c>
    </row>
    <row r="2461" spans="65:67" x14ac:dyDescent="0.25">
      <c r="BM2461" s="281">
        <f>$AZ$10+0.2*(seat_pitch)*($AY$10*n_SA+$AW$10&lt;pax_e)</f>
        <v>10.712000000000002</v>
      </c>
      <c r="BN2461" s="281">
        <f>$AX$10</f>
        <v>1.3100000000000003</v>
      </c>
      <c r="BO2461" s="281">
        <f t="shared" si="172"/>
        <v>-7.0984799999999968</v>
      </c>
    </row>
    <row r="2462" spans="65:67" x14ac:dyDescent="0.25">
      <c r="BM2462" s="281">
        <f>$AZ$10+(seat_pitch)</f>
        <v>11.360000000000001</v>
      </c>
      <c r="BN2462" s="281">
        <f>$AX$10</f>
        <v>1.3100000000000003</v>
      </c>
      <c r="BO2462" s="281">
        <f t="shared" si="172"/>
        <v>-6.4504799999999971</v>
      </c>
    </row>
    <row r="2463" spans="65:67" x14ac:dyDescent="0.25">
      <c r="BM2463" s="281">
        <f>$AZ$11+0.2*(seat_pitch)*($AY$11*n_SA+$AW$10&lt;pax_e)</f>
        <v>11.522</v>
      </c>
      <c r="BN2463" s="281">
        <f>$AX$10</f>
        <v>1.3100000000000003</v>
      </c>
      <c r="BO2463" s="281">
        <f t="shared" si="172"/>
        <v>-6.2884799999999981</v>
      </c>
    </row>
    <row r="2464" spans="65:67" x14ac:dyDescent="0.25">
      <c r="BM2464" s="281">
        <f>$AZ$11+0.2*(seat_pitch)*($AY$11*n_SA+$AW$10&lt;pax_e)</f>
        <v>11.522</v>
      </c>
      <c r="BN2464" s="281">
        <f>$AX$10+seat_w*($AY$11*n_SA+$AW$10&lt;pax_e)</f>
        <v>1.8400000000000003</v>
      </c>
      <c r="BO2464" s="281">
        <f t="shared" si="172"/>
        <v>-6.2884799999999981</v>
      </c>
    </row>
    <row r="2465" spans="65:67" x14ac:dyDescent="0.25">
      <c r="BM2465" s="281">
        <f>$AZ$11</f>
        <v>11.36</v>
      </c>
      <c r="BN2465" s="281">
        <f>$AX$10+seat_w*($AY$11*n_SA+$AW$10&lt;pax_e)</f>
        <v>1.8400000000000003</v>
      </c>
      <c r="BO2465" s="281">
        <f t="shared" si="172"/>
        <v>-6.4504799999999989</v>
      </c>
    </row>
    <row r="2466" spans="65:67" x14ac:dyDescent="0.25">
      <c r="BM2466" s="281">
        <f>$AZ$11+1*(seat_pitch)*($AY$11*n_SA+$AW$10&lt;pax_e)</f>
        <v>12.17</v>
      </c>
      <c r="BN2466" s="281">
        <f>$AX$10+seat_w*($AY$11*n_SA+$AW$10&lt;pax_e)</f>
        <v>1.8400000000000003</v>
      </c>
      <c r="BO2466" s="281">
        <f t="shared" si="172"/>
        <v>-5.6404799999999984</v>
      </c>
    </row>
    <row r="2467" spans="65:67" x14ac:dyDescent="0.25">
      <c r="BM2467" s="281">
        <f>$AZ$11+0.8*(seat_pitch)*($AY$11*n_SA+$AW$10&lt;pax_e)</f>
        <v>12.007999999999999</v>
      </c>
      <c r="BN2467" s="281">
        <f>$AX$10+seat_w*($AY$11*n_SA+$AW$10&lt;pax_e)</f>
        <v>1.8400000000000003</v>
      </c>
      <c r="BO2467" s="281">
        <f t="shared" si="172"/>
        <v>-5.8024799999999992</v>
      </c>
    </row>
    <row r="2468" spans="65:67" x14ac:dyDescent="0.25">
      <c r="BM2468" s="281">
        <f>$AZ$11+0.8*(seat_pitch)*($AY$11*n_SA+$AW$10&lt;pax_e)</f>
        <v>12.007999999999999</v>
      </c>
      <c r="BN2468" s="281">
        <f>$AX$10</f>
        <v>1.3100000000000003</v>
      </c>
      <c r="BO2468" s="281">
        <f t="shared" si="172"/>
        <v>-5.8024799999999992</v>
      </c>
    </row>
    <row r="2469" spans="65:67" x14ac:dyDescent="0.25">
      <c r="BM2469" s="281">
        <f>$AZ$11+0.2*(seat_pitch)*($AY$11*n_SA+$AW$10&lt;pax_e)</f>
        <v>11.522</v>
      </c>
      <c r="BN2469" s="281">
        <f>$AX$10</f>
        <v>1.3100000000000003</v>
      </c>
      <c r="BO2469" s="281">
        <f t="shared" si="172"/>
        <v>-6.2884799999999981</v>
      </c>
    </row>
    <row r="2470" spans="65:67" x14ac:dyDescent="0.25">
      <c r="BM2470" s="281">
        <f>$AZ$11+(seat_pitch)</f>
        <v>12.17</v>
      </c>
      <c r="BN2470" s="281">
        <f>$AX$10</f>
        <v>1.3100000000000003</v>
      </c>
      <c r="BO2470" s="281">
        <f t="shared" si="172"/>
        <v>-5.6404799999999984</v>
      </c>
    </row>
    <row r="2471" spans="65:67" x14ac:dyDescent="0.25">
      <c r="BM2471" s="281">
        <f>$AZ$12+0.2*(seat_pitch)*($AY$12*n_SA+$AW$10&lt;pax_e)</f>
        <v>12.332000000000001</v>
      </c>
      <c r="BN2471" s="281">
        <f>$AX$10</f>
        <v>1.3100000000000003</v>
      </c>
      <c r="BO2471" s="281">
        <f t="shared" si="172"/>
        <v>-5.4784799999999976</v>
      </c>
    </row>
    <row r="2472" spans="65:67" x14ac:dyDescent="0.25">
      <c r="BM2472" s="281">
        <f>$AZ$12+0.2*(seat_pitch)*($AY$12*n_SA+$AW$10&lt;pax_e)</f>
        <v>12.332000000000001</v>
      </c>
      <c r="BN2472" s="281">
        <f>$AX$10+seat_w*($AY$12*n_SA+$AW$10&lt;pax_e)</f>
        <v>1.8400000000000003</v>
      </c>
      <c r="BO2472" s="281">
        <f t="shared" si="172"/>
        <v>-5.4784799999999976</v>
      </c>
    </row>
    <row r="2473" spans="65:67" x14ac:dyDescent="0.25">
      <c r="BM2473" s="281">
        <f>$AZ$12</f>
        <v>12.17</v>
      </c>
      <c r="BN2473" s="281">
        <f>$AX$10+seat_w*($AY$12*n_SA+$AW$10&lt;pax_e)</f>
        <v>1.8400000000000003</v>
      </c>
      <c r="BO2473" s="281">
        <f t="shared" si="172"/>
        <v>-5.6404799999999984</v>
      </c>
    </row>
    <row r="2474" spans="65:67" x14ac:dyDescent="0.25">
      <c r="BM2474" s="281">
        <f>$AZ$12+1*(seat_pitch)*($AY$12*n_SA+$AW$10&lt;pax_e)</f>
        <v>12.98</v>
      </c>
      <c r="BN2474" s="281">
        <f>$AX$10+seat_w*($AY$12*n_SA+$AW$10&lt;pax_e)</f>
        <v>1.8400000000000003</v>
      </c>
      <c r="BO2474" s="281">
        <f t="shared" si="172"/>
        <v>-4.8304799999999979</v>
      </c>
    </row>
    <row r="2475" spans="65:67" x14ac:dyDescent="0.25">
      <c r="BM2475" s="281">
        <f>$AZ$12+0.8*(seat_pitch)*($AY$12*n_SA+$AW$10&lt;pax_e)</f>
        <v>12.818</v>
      </c>
      <c r="BN2475" s="281">
        <f>$AX$10+seat_w*($AY$12*n_SA+$AW$10&lt;pax_e)</f>
        <v>1.8400000000000003</v>
      </c>
      <c r="BO2475" s="281">
        <f t="shared" si="172"/>
        <v>-4.9924799999999987</v>
      </c>
    </row>
    <row r="2476" spans="65:67" x14ac:dyDescent="0.25">
      <c r="BM2476" s="281">
        <f>$AZ$12+0.8*(seat_pitch)*($AY$12*n_SA+$AW$10&lt;pax_e)</f>
        <v>12.818</v>
      </c>
      <c r="BN2476" s="281">
        <f>$AX$10</f>
        <v>1.3100000000000003</v>
      </c>
      <c r="BO2476" s="281">
        <f t="shared" si="172"/>
        <v>-4.9924799999999987</v>
      </c>
    </row>
    <row r="2477" spans="65:67" x14ac:dyDescent="0.25">
      <c r="BM2477" s="281">
        <f>$AZ$12+0.2*(seat_pitch)*($AY$12*n_SA+$AW$10&lt;pax_e)</f>
        <v>12.332000000000001</v>
      </c>
      <c r="BN2477" s="281">
        <f>$AX$10</f>
        <v>1.3100000000000003</v>
      </c>
      <c r="BO2477" s="281">
        <f t="shared" si="172"/>
        <v>-5.4784799999999976</v>
      </c>
    </row>
    <row r="2478" spans="65:67" x14ac:dyDescent="0.25">
      <c r="BM2478" s="281">
        <f>$AZ$12+(seat_pitch)</f>
        <v>12.98</v>
      </c>
      <c r="BN2478" s="281">
        <f>$AX$10</f>
        <v>1.3100000000000003</v>
      </c>
      <c r="BO2478" s="281">
        <f t="shared" si="172"/>
        <v>-4.8304799999999979</v>
      </c>
    </row>
    <row r="2479" spans="65:67" x14ac:dyDescent="0.25">
      <c r="BM2479" s="281">
        <f>$AZ$13+0.2*(seat_pitch)*($AY$13*n_SA+$AW$10&lt;pax_e)</f>
        <v>13.142000000000001</v>
      </c>
      <c r="BN2479" s="281">
        <f>$AX$10</f>
        <v>1.3100000000000003</v>
      </c>
      <c r="BO2479" s="281">
        <f t="shared" si="172"/>
        <v>-4.6684799999999971</v>
      </c>
    </row>
    <row r="2480" spans="65:67" x14ac:dyDescent="0.25">
      <c r="BM2480" s="281">
        <f>$AZ$13+0.2*(seat_pitch)*($AY$13*n_SA+$AW$10&lt;pax_e)</f>
        <v>13.142000000000001</v>
      </c>
      <c r="BN2480" s="281">
        <f>$AX$10+seat_w*($AY$13*n_SA+$AW$10&lt;pax_e)</f>
        <v>1.8400000000000003</v>
      </c>
      <c r="BO2480" s="281">
        <f t="shared" si="172"/>
        <v>-4.6684799999999971</v>
      </c>
    </row>
    <row r="2481" spans="65:67" x14ac:dyDescent="0.25">
      <c r="BM2481" s="281">
        <f>$AZ$13</f>
        <v>12.98</v>
      </c>
      <c r="BN2481" s="281">
        <f>$AX$10+seat_w*($AY$13*n_SA+$AW$10&lt;pax_e)</f>
        <v>1.8400000000000003</v>
      </c>
      <c r="BO2481" s="281">
        <f t="shared" si="172"/>
        <v>-4.8304799999999979</v>
      </c>
    </row>
    <row r="2482" spans="65:67" x14ac:dyDescent="0.25">
      <c r="BM2482" s="281">
        <f>$AZ$13+1*(seat_pitch)*($AY$13*n_SA+$AW$10&lt;pax_e)</f>
        <v>13.790000000000001</v>
      </c>
      <c r="BN2482" s="281">
        <f>$AX$10+seat_w*($AY$13*n_SA+$AW$10&lt;pax_e)</f>
        <v>1.8400000000000003</v>
      </c>
      <c r="BO2482" s="281">
        <f t="shared" si="172"/>
        <v>-4.0204799999999974</v>
      </c>
    </row>
    <row r="2483" spans="65:67" x14ac:dyDescent="0.25">
      <c r="BM2483" s="281">
        <f>$AZ$13+0.8*(seat_pitch)*($AY$13*n_SA+$AW$10&lt;pax_e)</f>
        <v>13.628</v>
      </c>
      <c r="BN2483" s="281">
        <f>$AX$10+seat_w*($AY$13*n_SA+$AW$10&lt;pax_e)</f>
        <v>1.8400000000000003</v>
      </c>
      <c r="BO2483" s="281">
        <f t="shared" si="172"/>
        <v>-4.1824799999999982</v>
      </c>
    </row>
    <row r="2484" spans="65:67" x14ac:dyDescent="0.25">
      <c r="BM2484" s="281">
        <f>$AZ$13+0.8*(seat_pitch)*($AY$13*n_SA+$AW$10&lt;pax_e)</f>
        <v>13.628</v>
      </c>
      <c r="BN2484" s="281">
        <f>$AX$10</f>
        <v>1.3100000000000003</v>
      </c>
      <c r="BO2484" s="281">
        <f t="shared" si="172"/>
        <v>-4.1824799999999982</v>
      </c>
    </row>
    <row r="2485" spans="65:67" x14ac:dyDescent="0.25">
      <c r="BM2485" s="281">
        <f>$AZ$13+0.2*(seat_pitch)*($AY$13*n_SA+$AW$10&lt;pax_e)</f>
        <v>13.142000000000001</v>
      </c>
      <c r="BN2485" s="281">
        <f>$AX$10</f>
        <v>1.3100000000000003</v>
      </c>
      <c r="BO2485" s="281">
        <f t="shared" si="172"/>
        <v>-4.6684799999999971</v>
      </c>
    </row>
    <row r="2486" spans="65:67" x14ac:dyDescent="0.25">
      <c r="BM2486" s="281">
        <f>$AZ$13+(seat_pitch)</f>
        <v>13.790000000000001</v>
      </c>
      <c r="BN2486" s="281">
        <f>$AX$10</f>
        <v>1.3100000000000003</v>
      </c>
      <c r="BO2486" s="281">
        <f t="shared" si="172"/>
        <v>-4.0204799999999974</v>
      </c>
    </row>
    <row r="2487" spans="65:67" x14ac:dyDescent="0.25">
      <c r="BM2487" s="281">
        <f>$AZ$14+0.2*(seat_pitch)*($AY$14*n_SA+$AW$10&lt;pax_e)</f>
        <v>13.952000000000002</v>
      </c>
      <c r="BN2487" s="281">
        <f>$AX$10</f>
        <v>1.3100000000000003</v>
      </c>
      <c r="BO2487" s="281">
        <f t="shared" si="172"/>
        <v>-3.8584799999999966</v>
      </c>
    </row>
    <row r="2488" spans="65:67" x14ac:dyDescent="0.25">
      <c r="BM2488" s="281">
        <f>$AZ$14+0.2*(seat_pitch)*($AY$14*n_SA+$AW$10&lt;pax_e)</f>
        <v>13.952000000000002</v>
      </c>
      <c r="BN2488" s="281">
        <f>$AX$10+seat_w*($AY$14*n_SA+$AW$10&lt;pax_e)</f>
        <v>1.8400000000000003</v>
      </c>
      <c r="BO2488" s="281">
        <f t="shared" si="172"/>
        <v>-3.8584799999999966</v>
      </c>
    </row>
    <row r="2489" spans="65:67" x14ac:dyDescent="0.25">
      <c r="BM2489" s="281">
        <f>$AZ$14</f>
        <v>13.790000000000001</v>
      </c>
      <c r="BN2489" s="281">
        <f>$AX$10+seat_w*($AY$14*n_SA+$AW$10&lt;pax_e)</f>
        <v>1.8400000000000003</v>
      </c>
      <c r="BO2489" s="281">
        <f t="shared" si="172"/>
        <v>-4.0204799999999974</v>
      </c>
    </row>
    <row r="2490" spans="65:67" x14ac:dyDescent="0.25">
      <c r="BM2490" s="281">
        <f>$AZ$14+1*(seat_pitch)*($AY$14*n_SA+$AW$10&lt;pax_e)</f>
        <v>14.600000000000001</v>
      </c>
      <c r="BN2490" s="281">
        <f>$AX$10+seat_w*($AY$14*n_SA+$AW$10&lt;pax_e)</f>
        <v>1.8400000000000003</v>
      </c>
      <c r="BO2490" s="281">
        <f t="shared" si="172"/>
        <v>-3.2104799999999969</v>
      </c>
    </row>
    <row r="2491" spans="65:67" x14ac:dyDescent="0.25">
      <c r="BM2491" s="281">
        <f>$AZ$14+0.8*(seat_pitch)*($AY$14*n_SA+$AW$10&lt;pax_e)</f>
        <v>14.438000000000001</v>
      </c>
      <c r="BN2491" s="281">
        <f>$AX$10+seat_w*($AY$14*n_SA+$AW$10&lt;pax_e)</f>
        <v>1.8400000000000003</v>
      </c>
      <c r="BO2491" s="281">
        <f t="shared" si="172"/>
        <v>-3.3724799999999977</v>
      </c>
    </row>
    <row r="2492" spans="65:67" x14ac:dyDescent="0.25">
      <c r="BM2492" s="281">
        <f>$AZ$14+0.8*(seat_pitch)*($AY$14*n_SA+$AW$10&lt;pax_e)</f>
        <v>14.438000000000001</v>
      </c>
      <c r="BN2492" s="281">
        <f>$AX$10</f>
        <v>1.3100000000000003</v>
      </c>
      <c r="BO2492" s="281">
        <f t="shared" si="172"/>
        <v>-3.3724799999999977</v>
      </c>
    </row>
    <row r="2493" spans="65:67" x14ac:dyDescent="0.25">
      <c r="BM2493" s="281">
        <f>$AZ$14+0.2*(seat_pitch)*($AY$14*n_SA+$AW$10&lt;pax_e)</f>
        <v>13.952000000000002</v>
      </c>
      <c r="BN2493" s="281">
        <f>$AX$10</f>
        <v>1.3100000000000003</v>
      </c>
      <c r="BO2493" s="281">
        <f t="shared" si="172"/>
        <v>-3.8584799999999966</v>
      </c>
    </row>
    <row r="2494" spans="65:67" x14ac:dyDescent="0.25">
      <c r="BM2494" s="281">
        <f>$AZ$14+(seat_pitch)</f>
        <v>14.600000000000001</v>
      </c>
      <c r="BN2494" s="281">
        <f>$AX$10</f>
        <v>1.3100000000000003</v>
      </c>
      <c r="BO2494" s="281">
        <f t="shared" si="172"/>
        <v>-3.2104799999999969</v>
      </c>
    </row>
    <row r="2495" spans="65:67" x14ac:dyDescent="0.25">
      <c r="BM2495" s="281">
        <f>$AZ$15+0.2*(seat_pitch)*($AY$15*n_SA+$AW$10&lt;pax_e)</f>
        <v>14.762000000000002</v>
      </c>
      <c r="BN2495" s="281">
        <f>$AX$10</f>
        <v>1.3100000000000003</v>
      </c>
      <c r="BO2495" s="281">
        <f t="shared" si="172"/>
        <v>-3.0484799999999961</v>
      </c>
    </row>
    <row r="2496" spans="65:67" x14ac:dyDescent="0.25">
      <c r="BM2496" s="281">
        <f>$AZ$15+0.2*(seat_pitch)*($AY$15*n_SA+$AW$10&lt;pax_e)</f>
        <v>14.762000000000002</v>
      </c>
      <c r="BN2496" s="281">
        <f>$AX$10+seat_w*($AY$15*n_SA+$AW$10&lt;pax_e)</f>
        <v>1.8400000000000003</v>
      </c>
      <c r="BO2496" s="281">
        <f t="shared" si="172"/>
        <v>-3.0484799999999961</v>
      </c>
    </row>
    <row r="2497" spans="65:67" x14ac:dyDescent="0.25">
      <c r="BM2497" s="281">
        <f>$AZ$15</f>
        <v>14.600000000000001</v>
      </c>
      <c r="BN2497" s="281">
        <f>$AX$10+seat_w*($AY$15*n_SA+$AW$10&lt;pax_e)</f>
        <v>1.8400000000000003</v>
      </c>
      <c r="BO2497" s="281">
        <f t="shared" si="172"/>
        <v>-3.2104799999999969</v>
      </c>
    </row>
    <row r="2498" spans="65:67" x14ac:dyDescent="0.25">
      <c r="BM2498" s="281">
        <f>$AZ$15+1*(seat_pitch)*($AY$15*n_SA+$AW$10&lt;pax_e)</f>
        <v>15.410000000000002</v>
      </c>
      <c r="BN2498" s="281">
        <f>$AX$10+seat_w*($AY$15*n_SA+$AW$10&lt;pax_e)</f>
        <v>1.8400000000000003</v>
      </c>
      <c r="BO2498" s="281">
        <f t="shared" si="172"/>
        <v>-2.4004799999999964</v>
      </c>
    </row>
    <row r="2499" spans="65:67" x14ac:dyDescent="0.25">
      <c r="BM2499" s="281">
        <f>$AZ$15+0.8*(seat_pitch)*($AY$15*n_SA+$AW$10&lt;pax_e)</f>
        <v>15.248000000000001</v>
      </c>
      <c r="BN2499" s="281">
        <f>$AX$10+seat_w*($AY$15*n_SA+$AW$10&lt;pax_e)</f>
        <v>1.8400000000000003</v>
      </c>
      <c r="BO2499" s="281">
        <f t="shared" si="172"/>
        <v>-2.5624799999999972</v>
      </c>
    </row>
    <row r="2500" spans="65:67" x14ac:dyDescent="0.25">
      <c r="BM2500" s="281">
        <f>$AZ$15+0.8*(seat_pitch)*($AY$15*n_SA+$AW$10&lt;pax_e)</f>
        <v>15.248000000000001</v>
      </c>
      <c r="BN2500" s="281">
        <f>$AX$10</f>
        <v>1.3100000000000003</v>
      </c>
      <c r="BO2500" s="281">
        <f t="shared" si="172"/>
        <v>-2.5624799999999972</v>
      </c>
    </row>
    <row r="2501" spans="65:67" x14ac:dyDescent="0.25">
      <c r="BM2501" s="281">
        <f>$AZ$15+0.2*(seat_pitch)*($AY$15*n_SA+$AW$10&lt;pax_e)</f>
        <v>14.762000000000002</v>
      </c>
      <c r="BN2501" s="281">
        <f>$AX$10</f>
        <v>1.3100000000000003</v>
      </c>
      <c r="BO2501" s="281">
        <f t="shared" ref="BO2501:BO2564" si="173">BM2501-L_fus/2</f>
        <v>-3.0484799999999961</v>
      </c>
    </row>
    <row r="2502" spans="65:67" x14ac:dyDescent="0.25">
      <c r="BM2502" s="281">
        <f>$AZ$15+(seat_pitch)</f>
        <v>15.410000000000002</v>
      </c>
      <c r="BN2502" s="281">
        <f>$AX$10</f>
        <v>1.3100000000000003</v>
      </c>
      <c r="BO2502" s="281">
        <f t="shared" si="173"/>
        <v>-2.4004799999999964</v>
      </c>
    </row>
    <row r="2503" spans="65:67" x14ac:dyDescent="0.25">
      <c r="BM2503" s="281">
        <f>$AZ$16+0.2*(seat_pitch)*($AY$16*n_SA+$AW$10&lt;pax_e)</f>
        <v>15.572000000000001</v>
      </c>
      <c r="BN2503" s="281">
        <f>$AX$10</f>
        <v>1.3100000000000003</v>
      </c>
      <c r="BO2503" s="281">
        <f t="shared" si="173"/>
        <v>-2.2384799999999974</v>
      </c>
    </row>
    <row r="2504" spans="65:67" x14ac:dyDescent="0.25">
      <c r="BM2504" s="281">
        <f>$AZ$16+0.2*(seat_pitch)*($AY$16*n_SA+$AW$10&lt;pax_e)</f>
        <v>15.572000000000001</v>
      </c>
      <c r="BN2504" s="281">
        <f>$AX$10+seat_w*($AY$16*n_SA+$AW$10&lt;pax_e)</f>
        <v>1.8400000000000003</v>
      </c>
      <c r="BO2504" s="281">
        <f t="shared" si="173"/>
        <v>-2.2384799999999974</v>
      </c>
    </row>
    <row r="2505" spans="65:67" x14ac:dyDescent="0.25">
      <c r="BM2505" s="281">
        <f>$AZ$16</f>
        <v>15.41</v>
      </c>
      <c r="BN2505" s="281">
        <f>$AX$10+seat_w*($AY$16*n_SA+$AW$10&lt;pax_e)</f>
        <v>1.8400000000000003</v>
      </c>
      <c r="BO2505" s="281">
        <f t="shared" si="173"/>
        <v>-2.4004799999999982</v>
      </c>
    </row>
    <row r="2506" spans="65:67" x14ac:dyDescent="0.25">
      <c r="BM2506" s="281">
        <f>$AZ$16+1*(seat_pitch)*($AY$16*n_SA+$AW$10&lt;pax_e)</f>
        <v>16.22</v>
      </c>
      <c r="BN2506" s="281">
        <f>$AX$10+seat_w*($AY$16*n_SA+$AW$10&lt;pax_e)</f>
        <v>1.8400000000000003</v>
      </c>
      <c r="BO2506" s="281">
        <f t="shared" si="173"/>
        <v>-1.5904799999999994</v>
      </c>
    </row>
    <row r="2507" spans="65:67" x14ac:dyDescent="0.25">
      <c r="BM2507" s="281">
        <f>$AZ$16+0.8*(seat_pitch)*($AY$16*n_SA+$AW$10&lt;pax_e)</f>
        <v>16.058</v>
      </c>
      <c r="BN2507" s="281">
        <f>$AX$10+seat_w*($AY$16*n_SA+$AW$10&lt;pax_e)</f>
        <v>1.8400000000000003</v>
      </c>
      <c r="BO2507" s="281">
        <f t="shared" si="173"/>
        <v>-1.7524799999999985</v>
      </c>
    </row>
    <row r="2508" spans="65:67" x14ac:dyDescent="0.25">
      <c r="BM2508" s="281">
        <f>$AZ$16+0.8*(seat_pitch)*($AY$16*n_SA+$AW$10&lt;pax_e)</f>
        <v>16.058</v>
      </c>
      <c r="BN2508" s="281">
        <f>$AX$10</f>
        <v>1.3100000000000003</v>
      </c>
      <c r="BO2508" s="281">
        <f t="shared" si="173"/>
        <v>-1.7524799999999985</v>
      </c>
    </row>
    <row r="2509" spans="65:67" x14ac:dyDescent="0.25">
      <c r="BM2509" s="281">
        <f>$AZ$16+0.2*(seat_pitch)*($AY$16*n_SA+$AW$10&lt;pax_e)</f>
        <v>15.572000000000001</v>
      </c>
      <c r="BN2509" s="281">
        <f>$AX$10</f>
        <v>1.3100000000000003</v>
      </c>
      <c r="BO2509" s="281">
        <f t="shared" si="173"/>
        <v>-2.2384799999999974</v>
      </c>
    </row>
    <row r="2510" spans="65:67" x14ac:dyDescent="0.25">
      <c r="BM2510" s="281">
        <f>$AZ$16+(seat_pitch)</f>
        <v>16.22</v>
      </c>
      <c r="BN2510" s="281">
        <f>$AX$10</f>
        <v>1.3100000000000003</v>
      </c>
      <c r="BO2510" s="281">
        <f t="shared" si="173"/>
        <v>-1.5904799999999994</v>
      </c>
    </row>
    <row r="2511" spans="65:67" x14ac:dyDescent="0.25">
      <c r="BM2511" s="281">
        <f>$AZ$17+0.2*(seat_pitch)*($AY$17*n_SA+$AW$10&lt;pax_e)</f>
        <v>16.381999999999998</v>
      </c>
      <c r="BN2511" s="281">
        <f>$AX$10</f>
        <v>1.3100000000000003</v>
      </c>
      <c r="BO2511" s="281">
        <f t="shared" si="173"/>
        <v>-1.4284800000000004</v>
      </c>
    </row>
    <row r="2512" spans="65:67" x14ac:dyDescent="0.25">
      <c r="BM2512" s="281">
        <f>$AZ$17+0.2*(seat_pitch)*($AY$17*n_SA+$AW$10&lt;pax_e)</f>
        <v>16.381999999999998</v>
      </c>
      <c r="BN2512" s="281">
        <f>$AX$10+seat_w*($AY$17*n_SA+$AW$10&lt;pax_e)</f>
        <v>1.8400000000000003</v>
      </c>
      <c r="BO2512" s="281">
        <f t="shared" si="173"/>
        <v>-1.4284800000000004</v>
      </c>
    </row>
    <row r="2513" spans="65:67" x14ac:dyDescent="0.25">
      <c r="BM2513" s="281">
        <f>$AZ$17</f>
        <v>16.22</v>
      </c>
      <c r="BN2513" s="281">
        <f>$AX$10+seat_w*($AY$17*n_SA+$AW$10&lt;pax_e)</f>
        <v>1.8400000000000003</v>
      </c>
      <c r="BO2513" s="281">
        <f t="shared" si="173"/>
        <v>-1.5904799999999994</v>
      </c>
    </row>
    <row r="2514" spans="65:67" x14ac:dyDescent="0.25">
      <c r="BM2514" s="281">
        <f>$AZ$17+1*(seat_pitch)*($AY$17*n_SA+$AW$10&lt;pax_e)</f>
        <v>17.029999999999998</v>
      </c>
      <c r="BN2514" s="281">
        <f>$AX$10+seat_w*($AY$17*n_SA+$AW$10&lt;pax_e)</f>
        <v>1.8400000000000003</v>
      </c>
      <c r="BO2514" s="281">
        <f t="shared" si="173"/>
        <v>-0.78048000000000073</v>
      </c>
    </row>
    <row r="2515" spans="65:67" x14ac:dyDescent="0.25">
      <c r="BM2515" s="281">
        <f>$AZ$17+0.8*(seat_pitch)*($AY$17*n_SA+$AW$10&lt;pax_e)</f>
        <v>16.867999999999999</v>
      </c>
      <c r="BN2515" s="281">
        <f>$AX$10+seat_w*($AY$17*n_SA+$AW$10&lt;pax_e)</f>
        <v>1.8400000000000003</v>
      </c>
      <c r="BO2515" s="281">
        <f t="shared" si="173"/>
        <v>-0.94247999999999976</v>
      </c>
    </row>
    <row r="2516" spans="65:67" x14ac:dyDescent="0.25">
      <c r="BM2516" s="281">
        <f>$AZ$17+0.8*(seat_pitch)*($AY$17*n_SA+$AW$10&lt;pax_e)</f>
        <v>16.867999999999999</v>
      </c>
      <c r="BN2516" s="281">
        <f>$AX$10</f>
        <v>1.3100000000000003</v>
      </c>
      <c r="BO2516" s="281">
        <f t="shared" si="173"/>
        <v>-0.94247999999999976</v>
      </c>
    </row>
    <row r="2517" spans="65:67" x14ac:dyDescent="0.25">
      <c r="BM2517" s="281">
        <f>$AZ$17+0.2*(seat_pitch)*($AY$17*n_SA+$AW$10&lt;pax_e)</f>
        <v>16.381999999999998</v>
      </c>
      <c r="BN2517" s="281">
        <f>$AX$10</f>
        <v>1.3100000000000003</v>
      </c>
      <c r="BO2517" s="281">
        <f t="shared" si="173"/>
        <v>-1.4284800000000004</v>
      </c>
    </row>
    <row r="2518" spans="65:67" x14ac:dyDescent="0.25">
      <c r="BM2518" s="281">
        <f>$AZ$17+(seat_pitch)</f>
        <v>17.029999999999998</v>
      </c>
      <c r="BN2518" s="281">
        <f>$AX$10</f>
        <v>1.3100000000000003</v>
      </c>
      <c r="BO2518" s="281">
        <f t="shared" si="173"/>
        <v>-0.78048000000000073</v>
      </c>
    </row>
    <row r="2519" spans="65:67" x14ac:dyDescent="0.25">
      <c r="BM2519" s="281">
        <f>$AZ$18+0.2*(seat_pitch)*($AY$18*n_SA+$AW$10&lt;pax_e)</f>
        <v>17.192</v>
      </c>
      <c r="BN2519" s="281">
        <f>$AX$10</f>
        <v>1.3100000000000003</v>
      </c>
      <c r="BO2519" s="281">
        <f t="shared" si="173"/>
        <v>-0.61847999999999814</v>
      </c>
    </row>
    <row r="2520" spans="65:67" x14ac:dyDescent="0.25">
      <c r="BM2520" s="281">
        <f>$AZ$18+0.2*(seat_pitch)*($AY$18*n_SA+$AW$10&lt;pax_e)</f>
        <v>17.192</v>
      </c>
      <c r="BN2520" s="281">
        <f>$AX$10+seat_w*($AY$18*n_SA+$AW$10&lt;pax_e)</f>
        <v>1.8400000000000003</v>
      </c>
      <c r="BO2520" s="281">
        <f t="shared" si="173"/>
        <v>-0.61847999999999814</v>
      </c>
    </row>
    <row r="2521" spans="65:67" x14ac:dyDescent="0.25">
      <c r="BM2521" s="281">
        <f>$AZ$18</f>
        <v>17.03</v>
      </c>
      <c r="BN2521" s="281">
        <f>$AX$10+seat_w*($AY$18*n_SA+$AW$10&lt;pax_e)</f>
        <v>1.8400000000000003</v>
      </c>
      <c r="BO2521" s="281">
        <f t="shared" si="173"/>
        <v>-0.78047999999999718</v>
      </c>
    </row>
    <row r="2522" spans="65:67" x14ac:dyDescent="0.25">
      <c r="BM2522" s="281">
        <f>$AZ$18+1*(seat_pitch)*($AY$18*n_SA+$AW$10&lt;pax_e)</f>
        <v>17.84</v>
      </c>
      <c r="BN2522" s="281">
        <f>$AX$10+seat_w*($AY$18*n_SA+$AW$10&lt;pax_e)</f>
        <v>1.8400000000000003</v>
      </c>
      <c r="BO2522" s="281">
        <f t="shared" si="173"/>
        <v>2.9520000000001545E-2</v>
      </c>
    </row>
    <row r="2523" spans="65:67" x14ac:dyDescent="0.25">
      <c r="BM2523" s="281">
        <f>$AZ$18+0.8*(seat_pitch)*($AY$18*n_SA+$AW$10&lt;pax_e)</f>
        <v>17.678000000000001</v>
      </c>
      <c r="BN2523" s="281">
        <f>$AX$10+seat_w*($AY$18*n_SA+$AW$10&lt;pax_e)</f>
        <v>1.8400000000000003</v>
      </c>
      <c r="BO2523" s="281">
        <f t="shared" si="173"/>
        <v>-0.13247999999999749</v>
      </c>
    </row>
    <row r="2524" spans="65:67" x14ac:dyDescent="0.25">
      <c r="BM2524" s="281">
        <f>$AZ$18+0.8*(seat_pitch)*($AY$18*n_SA+$AW$10&lt;pax_e)</f>
        <v>17.678000000000001</v>
      </c>
      <c r="BN2524" s="281">
        <f>$AX$10</f>
        <v>1.3100000000000003</v>
      </c>
      <c r="BO2524" s="281">
        <f t="shared" si="173"/>
        <v>-0.13247999999999749</v>
      </c>
    </row>
    <row r="2525" spans="65:67" x14ac:dyDescent="0.25">
      <c r="BM2525" s="281">
        <f>$AZ$18+0.2*(seat_pitch)*($AY$18*n_SA+$AW$10&lt;pax_e)</f>
        <v>17.192</v>
      </c>
      <c r="BN2525" s="281">
        <f>$AX$10</f>
        <v>1.3100000000000003</v>
      </c>
      <c r="BO2525" s="281">
        <f t="shared" si="173"/>
        <v>-0.61847999999999814</v>
      </c>
    </row>
    <row r="2526" spans="65:67" x14ac:dyDescent="0.25">
      <c r="BM2526" s="281">
        <f>$AZ$18+(seat_pitch)</f>
        <v>17.84</v>
      </c>
      <c r="BN2526" s="281">
        <f>$AX$10</f>
        <v>1.3100000000000003</v>
      </c>
      <c r="BO2526" s="281">
        <f t="shared" si="173"/>
        <v>2.9520000000001545E-2</v>
      </c>
    </row>
    <row r="2527" spans="65:67" x14ac:dyDescent="0.25">
      <c r="BM2527" s="281">
        <f>$AZ$19+0.2*(seat_pitch)*($AY$19*n_SA+$AW$10&lt;pax_e)</f>
        <v>18.001999999999999</v>
      </c>
      <c r="BN2527" s="281">
        <f>$AX$10</f>
        <v>1.3100000000000003</v>
      </c>
      <c r="BO2527" s="281">
        <f t="shared" si="173"/>
        <v>0.19152000000000058</v>
      </c>
    </row>
    <row r="2528" spans="65:67" x14ac:dyDescent="0.25">
      <c r="BM2528" s="281">
        <f>$AZ$19+0.2*(seat_pitch)*($AY$19*n_SA+$AW$10&lt;pax_e)</f>
        <v>18.001999999999999</v>
      </c>
      <c r="BN2528" s="281">
        <f>$AX$10+seat_w*($AY$19*n_SA+$AW$10&lt;pax_e)</f>
        <v>1.8400000000000003</v>
      </c>
      <c r="BO2528" s="281">
        <f t="shared" si="173"/>
        <v>0.19152000000000058</v>
      </c>
    </row>
    <row r="2529" spans="65:67" x14ac:dyDescent="0.25">
      <c r="BM2529" s="281">
        <f>$AZ$19</f>
        <v>17.84</v>
      </c>
      <c r="BN2529" s="281">
        <f>$AX$10+seat_w*($AY$19*n_SA+$AW$10&lt;pax_e)</f>
        <v>1.8400000000000003</v>
      </c>
      <c r="BO2529" s="281">
        <f t="shared" si="173"/>
        <v>2.9520000000001545E-2</v>
      </c>
    </row>
    <row r="2530" spans="65:67" x14ac:dyDescent="0.25">
      <c r="BM2530" s="281">
        <f>$AZ$19+1*(seat_pitch)*($AY$19*n_SA+$AW$10&lt;pax_e)</f>
        <v>18.649999999999999</v>
      </c>
      <c r="BN2530" s="281">
        <f>$AX$10+seat_w*($AY$19*n_SA+$AW$10&lt;pax_e)</f>
        <v>1.8400000000000003</v>
      </c>
      <c r="BO2530" s="281">
        <f t="shared" si="173"/>
        <v>0.83952000000000027</v>
      </c>
    </row>
    <row r="2531" spans="65:67" x14ac:dyDescent="0.25">
      <c r="BM2531" s="281">
        <f>$AZ$19+0.8*(seat_pitch)*($AY$19*n_SA+$AW$10&lt;pax_e)</f>
        <v>18.488</v>
      </c>
      <c r="BN2531" s="281">
        <f>$AX$10+seat_w*($AY$19*n_SA+$AW$10&lt;pax_e)</f>
        <v>1.8400000000000003</v>
      </c>
      <c r="BO2531" s="281">
        <f t="shared" si="173"/>
        <v>0.67752000000000123</v>
      </c>
    </row>
    <row r="2532" spans="65:67" x14ac:dyDescent="0.25">
      <c r="BM2532" s="281">
        <f>$AZ$19+0.8*(seat_pitch)*($AY$19*n_SA+$AW$10&lt;pax_e)</f>
        <v>18.488</v>
      </c>
      <c r="BN2532" s="281">
        <f>$AX$10</f>
        <v>1.3100000000000003</v>
      </c>
      <c r="BO2532" s="281">
        <f t="shared" si="173"/>
        <v>0.67752000000000123</v>
      </c>
    </row>
    <row r="2533" spans="65:67" x14ac:dyDescent="0.25">
      <c r="BM2533" s="281">
        <f>$AZ$19+0.2*(seat_pitch)*($AY$19*n_SA+$AW$10&lt;pax_e)</f>
        <v>18.001999999999999</v>
      </c>
      <c r="BN2533" s="281">
        <f>$AX$10</f>
        <v>1.3100000000000003</v>
      </c>
      <c r="BO2533" s="281">
        <f t="shared" si="173"/>
        <v>0.19152000000000058</v>
      </c>
    </row>
    <row r="2534" spans="65:67" x14ac:dyDescent="0.25">
      <c r="BM2534" s="281">
        <f>$AZ$19+(seat_pitch)</f>
        <v>18.649999999999999</v>
      </c>
      <c r="BN2534" s="281">
        <f>$AX$10</f>
        <v>1.3100000000000003</v>
      </c>
      <c r="BO2534" s="281">
        <f t="shared" si="173"/>
        <v>0.83952000000000027</v>
      </c>
    </row>
    <row r="2535" spans="65:67" x14ac:dyDescent="0.25">
      <c r="BM2535" s="281">
        <f>$AZ$20+0.2*(seat_pitch)*($AY$20*n_SA+$AW$10&lt;pax_e)</f>
        <v>18.811999999999998</v>
      </c>
      <c r="BN2535" s="281">
        <f>$AX$10</f>
        <v>1.3100000000000003</v>
      </c>
      <c r="BO2535" s="281">
        <f t="shared" si="173"/>
        <v>1.0015199999999993</v>
      </c>
    </row>
    <row r="2536" spans="65:67" x14ac:dyDescent="0.25">
      <c r="BM2536" s="281">
        <f>$AZ$20+0.2*(seat_pitch)*($AY$20*n_SA+$AW$10&lt;pax_e)</f>
        <v>18.811999999999998</v>
      </c>
      <c r="BN2536" s="281">
        <f>$AX$10+seat_w*($AY$20*n_SA+$AW$10&lt;pax_e)</f>
        <v>1.8400000000000003</v>
      </c>
      <c r="BO2536" s="281">
        <f t="shared" si="173"/>
        <v>1.0015199999999993</v>
      </c>
    </row>
    <row r="2537" spans="65:67" x14ac:dyDescent="0.25">
      <c r="BM2537" s="281">
        <f>$AZ$20</f>
        <v>18.649999999999999</v>
      </c>
      <c r="BN2537" s="281">
        <f>$AX$10+seat_w*($AY$20*n_SA+$AW$10&lt;pax_e)</f>
        <v>1.8400000000000003</v>
      </c>
      <c r="BO2537" s="281">
        <f t="shared" si="173"/>
        <v>0.83952000000000027</v>
      </c>
    </row>
    <row r="2538" spans="65:67" x14ac:dyDescent="0.25">
      <c r="BM2538" s="281">
        <f>$AZ$20+1*(seat_pitch)*($AY$20*n_SA+$AW$10&lt;pax_e)</f>
        <v>19.459999999999997</v>
      </c>
      <c r="BN2538" s="281">
        <f>$AX$10+seat_w*($AY$20*n_SA+$AW$10&lt;pax_e)</f>
        <v>1.8400000000000003</v>
      </c>
      <c r="BO2538" s="281">
        <f t="shared" si="173"/>
        <v>1.649519999999999</v>
      </c>
    </row>
    <row r="2539" spans="65:67" x14ac:dyDescent="0.25">
      <c r="BM2539" s="281">
        <f>$AZ$20+0.8*(seat_pitch)*($AY$20*n_SA+$AW$10&lt;pax_e)</f>
        <v>19.297999999999998</v>
      </c>
      <c r="BN2539" s="281">
        <f>$AX$10+seat_w*($AY$20*n_SA+$AW$10&lt;pax_e)</f>
        <v>1.8400000000000003</v>
      </c>
      <c r="BO2539" s="281">
        <f t="shared" si="173"/>
        <v>1.48752</v>
      </c>
    </row>
    <row r="2540" spans="65:67" x14ac:dyDescent="0.25">
      <c r="BM2540" s="281">
        <f>$AZ$20+0.8*(seat_pitch)*($AY$20*n_SA+$AW$10&lt;pax_e)</f>
        <v>19.297999999999998</v>
      </c>
      <c r="BN2540" s="281">
        <f>$AX$10</f>
        <v>1.3100000000000003</v>
      </c>
      <c r="BO2540" s="281">
        <f t="shared" si="173"/>
        <v>1.48752</v>
      </c>
    </row>
    <row r="2541" spans="65:67" x14ac:dyDescent="0.25">
      <c r="BM2541" s="281">
        <f>$AZ$20+0.2*(seat_pitch)*($AY$20*n_SA+$AW$10&lt;pax_e)</f>
        <v>18.811999999999998</v>
      </c>
      <c r="BN2541" s="281">
        <f>$AX$10</f>
        <v>1.3100000000000003</v>
      </c>
      <c r="BO2541" s="281">
        <f t="shared" si="173"/>
        <v>1.0015199999999993</v>
      </c>
    </row>
    <row r="2542" spans="65:67" x14ac:dyDescent="0.25">
      <c r="BM2542" s="281">
        <f>$AZ$20+(seat_pitch)</f>
        <v>19.459999999999997</v>
      </c>
      <c r="BN2542" s="281">
        <f>$AX$10</f>
        <v>1.3100000000000003</v>
      </c>
      <c r="BO2542" s="281">
        <f t="shared" si="173"/>
        <v>1.649519999999999</v>
      </c>
    </row>
    <row r="2543" spans="65:67" x14ac:dyDescent="0.25">
      <c r="BM2543" s="281">
        <f>$AZ$21+0.2*(seat_pitch)*($AY$21*n_SA+$AW$10&lt;pax_e)</f>
        <v>19.622</v>
      </c>
      <c r="BN2543" s="281">
        <f>$AX$10</f>
        <v>1.3100000000000003</v>
      </c>
      <c r="BO2543" s="281">
        <f t="shared" si="173"/>
        <v>1.8115200000000016</v>
      </c>
    </row>
    <row r="2544" spans="65:67" x14ac:dyDescent="0.25">
      <c r="BM2544" s="281">
        <f>$AZ$21+0.2*(seat_pitch)*($AY$21*n_SA+$AW$10&lt;pax_e)</f>
        <v>19.622</v>
      </c>
      <c r="BN2544" s="281">
        <f>$AX$10+seat_w*($AY$21*n_SA+$AW$10&lt;pax_e)</f>
        <v>1.8400000000000003</v>
      </c>
      <c r="BO2544" s="281">
        <f t="shared" si="173"/>
        <v>1.8115200000000016</v>
      </c>
    </row>
    <row r="2545" spans="65:67" x14ac:dyDescent="0.25">
      <c r="BM2545" s="281">
        <f>$AZ$21</f>
        <v>19.46</v>
      </c>
      <c r="BN2545" s="281">
        <f>$AX$10+seat_w*($AY$21*n_SA+$AW$10&lt;pax_e)</f>
        <v>1.8400000000000003</v>
      </c>
      <c r="BO2545" s="281">
        <f t="shared" si="173"/>
        <v>1.6495200000000025</v>
      </c>
    </row>
    <row r="2546" spans="65:67" x14ac:dyDescent="0.25">
      <c r="BM2546" s="281">
        <f>$AZ$21+1*(seat_pitch)*($AY$21*n_SA+$AW$10&lt;pax_e)</f>
        <v>20.27</v>
      </c>
      <c r="BN2546" s="281">
        <f>$AX$10+seat_w*($AY$21*n_SA+$AW$10&lt;pax_e)</f>
        <v>1.8400000000000003</v>
      </c>
      <c r="BO2546" s="281">
        <f t="shared" si="173"/>
        <v>2.4595200000000013</v>
      </c>
    </row>
    <row r="2547" spans="65:67" x14ac:dyDescent="0.25">
      <c r="BM2547" s="281">
        <f>$AZ$21+0.8*(seat_pitch)*($AY$21*n_SA+$AW$10&lt;pax_e)</f>
        <v>20.108000000000001</v>
      </c>
      <c r="BN2547" s="281">
        <f>$AX$10+seat_w*($AY$21*n_SA+$AW$10&lt;pax_e)</f>
        <v>1.8400000000000003</v>
      </c>
      <c r="BO2547" s="281">
        <f t="shared" si="173"/>
        <v>2.2975200000000022</v>
      </c>
    </row>
    <row r="2548" spans="65:67" x14ac:dyDescent="0.25">
      <c r="BM2548" s="281">
        <f>$AZ$21+0.8*(seat_pitch)*($AY$21*n_SA+$AW$10&lt;pax_e)</f>
        <v>20.108000000000001</v>
      </c>
      <c r="BN2548" s="281">
        <f>$AX$10</f>
        <v>1.3100000000000003</v>
      </c>
      <c r="BO2548" s="281">
        <f t="shared" si="173"/>
        <v>2.2975200000000022</v>
      </c>
    </row>
    <row r="2549" spans="65:67" x14ac:dyDescent="0.25">
      <c r="BM2549" s="281">
        <f>$AZ$21+0.2*(seat_pitch)*($AY$21*n_SA+$AW$10&lt;pax_e)</f>
        <v>19.622</v>
      </c>
      <c r="BN2549" s="281">
        <f>$AX$10</f>
        <v>1.3100000000000003</v>
      </c>
      <c r="BO2549" s="281">
        <f t="shared" si="173"/>
        <v>1.8115200000000016</v>
      </c>
    </row>
    <row r="2550" spans="65:67" x14ac:dyDescent="0.25">
      <c r="BM2550" s="281">
        <f>$AZ$21+(seat_pitch)</f>
        <v>20.27</v>
      </c>
      <c r="BN2550" s="281">
        <f>$AX$10</f>
        <v>1.3100000000000003</v>
      </c>
      <c r="BO2550" s="281">
        <f t="shared" si="173"/>
        <v>2.4595200000000013</v>
      </c>
    </row>
    <row r="2551" spans="65:67" x14ac:dyDescent="0.25">
      <c r="BM2551" s="281">
        <f>$AZ$22+0.2*(seat_pitch)*($AY$22*n_SA+$AW$10&lt;pax_e)</f>
        <v>20.432000000000002</v>
      </c>
      <c r="BN2551" s="281">
        <f>$AX$10</f>
        <v>1.3100000000000003</v>
      </c>
      <c r="BO2551" s="281">
        <f t="shared" si="173"/>
        <v>2.6215200000000038</v>
      </c>
    </row>
    <row r="2552" spans="65:67" x14ac:dyDescent="0.25">
      <c r="BM2552" s="281">
        <f>$AZ$22+0.2*(seat_pitch)*($AY$22*n_SA+$AW$10&lt;pax_e)</f>
        <v>20.432000000000002</v>
      </c>
      <c r="BN2552" s="281">
        <f>$AX$10+seat_w*($AY$22*n_SA+$AW$10&lt;pax_e)</f>
        <v>1.8400000000000003</v>
      </c>
      <c r="BO2552" s="281">
        <f t="shared" si="173"/>
        <v>2.6215200000000038</v>
      </c>
    </row>
    <row r="2553" spans="65:67" x14ac:dyDescent="0.25">
      <c r="BM2553" s="281">
        <f>$AZ$22</f>
        <v>20.270000000000003</v>
      </c>
      <c r="BN2553" s="281">
        <f>$AX$10+seat_w*($AY$22*n_SA+$AW$10&lt;pax_e)</f>
        <v>1.8400000000000003</v>
      </c>
      <c r="BO2553" s="281">
        <f t="shared" si="173"/>
        <v>2.4595200000000048</v>
      </c>
    </row>
    <row r="2554" spans="65:67" x14ac:dyDescent="0.25">
      <c r="BM2554" s="281">
        <f>$AZ$22+1*(seat_pitch)*($AY$22*n_SA+$AW$10&lt;pax_e)</f>
        <v>21.080000000000002</v>
      </c>
      <c r="BN2554" s="281">
        <f>$AX$10+seat_w*($AY$22*n_SA+$AW$10&lt;pax_e)</f>
        <v>1.8400000000000003</v>
      </c>
      <c r="BO2554" s="281">
        <f t="shared" si="173"/>
        <v>3.2695200000000035</v>
      </c>
    </row>
    <row r="2555" spans="65:67" x14ac:dyDescent="0.25">
      <c r="BM2555" s="281">
        <f>$AZ$22+0.8*(seat_pitch)*($AY$22*n_SA+$AW$10&lt;pax_e)</f>
        <v>20.918000000000003</v>
      </c>
      <c r="BN2555" s="281">
        <f>$AX$10+seat_w*($AY$22*n_SA+$AW$10&lt;pax_e)</f>
        <v>1.8400000000000003</v>
      </c>
      <c r="BO2555" s="281">
        <f t="shared" si="173"/>
        <v>3.1075200000000045</v>
      </c>
    </row>
    <row r="2556" spans="65:67" x14ac:dyDescent="0.25">
      <c r="BM2556" s="281">
        <f>$AZ$22+0.8*(seat_pitch)*($AY$22*n_SA+$AW$10&lt;pax_e)</f>
        <v>20.918000000000003</v>
      </c>
      <c r="BN2556" s="281">
        <f>$AX$10</f>
        <v>1.3100000000000003</v>
      </c>
      <c r="BO2556" s="281">
        <f t="shared" si="173"/>
        <v>3.1075200000000045</v>
      </c>
    </row>
    <row r="2557" spans="65:67" x14ac:dyDescent="0.25">
      <c r="BM2557" s="281">
        <f>$AZ$22+0.2*(seat_pitch)*($AY$22*n_SA+$AW$10&lt;pax_e)</f>
        <v>20.432000000000002</v>
      </c>
      <c r="BN2557" s="281">
        <f>$AX$10</f>
        <v>1.3100000000000003</v>
      </c>
      <c r="BO2557" s="281">
        <f t="shared" si="173"/>
        <v>2.6215200000000038</v>
      </c>
    </row>
    <row r="2558" spans="65:67" x14ac:dyDescent="0.25">
      <c r="BM2558" s="281">
        <f>$AZ$22+(seat_pitch)</f>
        <v>21.080000000000002</v>
      </c>
      <c r="BN2558" s="281">
        <f>$AX$10</f>
        <v>1.3100000000000003</v>
      </c>
      <c r="BO2558" s="281">
        <f t="shared" si="173"/>
        <v>3.2695200000000035</v>
      </c>
    </row>
    <row r="2559" spans="65:67" x14ac:dyDescent="0.25">
      <c r="BM2559" s="281">
        <f>$AZ$23+0.2*(seat_pitch)*($AY$23*n_SA+$AW$10&lt;pax_e)</f>
        <v>21.242000000000001</v>
      </c>
      <c r="BN2559" s="281">
        <f>$AX$10</f>
        <v>1.3100000000000003</v>
      </c>
      <c r="BO2559" s="281">
        <f t="shared" si="173"/>
        <v>3.4315200000000026</v>
      </c>
    </row>
    <row r="2560" spans="65:67" x14ac:dyDescent="0.25">
      <c r="BM2560" s="281">
        <f>$AZ$23+0.2*(seat_pitch)*($AY$23*n_SA+$AW$10&lt;pax_e)</f>
        <v>21.242000000000001</v>
      </c>
      <c r="BN2560" s="281">
        <f>$AX$10+seat_w*($AY$23*n_SA+$AW$10&lt;pax_e)</f>
        <v>1.8400000000000003</v>
      </c>
      <c r="BO2560" s="281">
        <f t="shared" si="173"/>
        <v>3.4315200000000026</v>
      </c>
    </row>
    <row r="2561" spans="65:67" x14ac:dyDescent="0.25">
      <c r="BM2561" s="281">
        <f>$AZ$23</f>
        <v>21.080000000000002</v>
      </c>
      <c r="BN2561" s="281">
        <f>$AX$10+seat_w*($AY$23*n_SA+$AW$10&lt;pax_e)</f>
        <v>1.8400000000000003</v>
      </c>
      <c r="BO2561" s="281">
        <f t="shared" si="173"/>
        <v>3.2695200000000035</v>
      </c>
    </row>
    <row r="2562" spans="65:67" x14ac:dyDescent="0.25">
      <c r="BM2562" s="281">
        <f>$AZ$23+1*(seat_pitch)*($AY$23*n_SA+$AW$10&lt;pax_e)</f>
        <v>21.89</v>
      </c>
      <c r="BN2562" s="281">
        <f>$AX$10+seat_w*($AY$23*n_SA+$AW$10&lt;pax_e)</f>
        <v>1.8400000000000003</v>
      </c>
      <c r="BO2562" s="281">
        <f t="shared" si="173"/>
        <v>4.0795200000000023</v>
      </c>
    </row>
    <row r="2563" spans="65:67" x14ac:dyDescent="0.25">
      <c r="BM2563" s="281">
        <f>$AZ$23+0.8*(seat_pitch)*($AY$23*n_SA+$AW$10&lt;pax_e)</f>
        <v>21.728000000000002</v>
      </c>
      <c r="BN2563" s="281">
        <f>$AX$10+seat_w*($AY$23*n_SA+$AW$10&lt;pax_e)</f>
        <v>1.8400000000000003</v>
      </c>
      <c r="BO2563" s="281">
        <f t="shared" si="173"/>
        <v>3.9175200000000032</v>
      </c>
    </row>
    <row r="2564" spans="65:67" x14ac:dyDescent="0.25">
      <c r="BM2564" s="281">
        <f>$AZ$23+0.8*(seat_pitch)*($AY$23*n_SA+$AW$10&lt;pax_e)</f>
        <v>21.728000000000002</v>
      </c>
      <c r="BN2564" s="281">
        <f>$AX$10</f>
        <v>1.3100000000000003</v>
      </c>
      <c r="BO2564" s="281">
        <f t="shared" si="173"/>
        <v>3.9175200000000032</v>
      </c>
    </row>
    <row r="2565" spans="65:67" x14ac:dyDescent="0.25">
      <c r="BM2565" s="281">
        <f>$AZ$23+0.2*(seat_pitch)*($AY$23*n_SA+$AW$10&lt;pax_e)</f>
        <v>21.242000000000001</v>
      </c>
      <c r="BN2565" s="281">
        <f>$AX$10</f>
        <v>1.3100000000000003</v>
      </c>
      <c r="BO2565" s="281">
        <f t="shared" ref="BO2565:BO2628" si="174">BM2565-L_fus/2</f>
        <v>3.4315200000000026</v>
      </c>
    </row>
    <row r="2566" spans="65:67" x14ac:dyDescent="0.25">
      <c r="BM2566" s="281">
        <f>$AZ$23+(seat_pitch)</f>
        <v>21.89</v>
      </c>
      <c r="BN2566" s="281">
        <f>$AX$10</f>
        <v>1.3100000000000003</v>
      </c>
      <c r="BO2566" s="281">
        <f t="shared" si="174"/>
        <v>4.0795200000000023</v>
      </c>
    </row>
    <row r="2567" spans="65:67" x14ac:dyDescent="0.25">
      <c r="BM2567" s="281">
        <f>$AZ$24+0.2*(seat_pitch)*($AY$24*n_SA+$AW$10&lt;pax_e)</f>
        <v>22.052</v>
      </c>
      <c r="BN2567" s="281">
        <f>$AX$10</f>
        <v>1.3100000000000003</v>
      </c>
      <c r="BO2567" s="281">
        <f t="shared" si="174"/>
        <v>4.2415200000000013</v>
      </c>
    </row>
    <row r="2568" spans="65:67" x14ac:dyDescent="0.25">
      <c r="BM2568" s="281">
        <f>$AZ$24+0.2*(seat_pitch)*($AY$24*n_SA+$AW$10&lt;pax_e)</f>
        <v>22.052</v>
      </c>
      <c r="BN2568" s="281">
        <f>$AX$10+seat_w*($AY$24*n_SA+$AW$10&lt;pax_e)</f>
        <v>1.8400000000000003</v>
      </c>
      <c r="BO2568" s="281">
        <f t="shared" si="174"/>
        <v>4.2415200000000013</v>
      </c>
    </row>
    <row r="2569" spans="65:67" x14ac:dyDescent="0.25">
      <c r="BM2569" s="281">
        <f>$AZ$24</f>
        <v>21.89</v>
      </c>
      <c r="BN2569" s="281">
        <f>$AX$10+seat_w*($AY$24*n_SA+$AW$10&lt;pax_e)</f>
        <v>1.8400000000000003</v>
      </c>
      <c r="BO2569" s="281">
        <f t="shared" si="174"/>
        <v>4.0795200000000023</v>
      </c>
    </row>
    <row r="2570" spans="65:67" x14ac:dyDescent="0.25">
      <c r="BM2570" s="281">
        <f>$AZ$24+1*(seat_pitch)*($AY$24*n_SA+$AW$10&lt;pax_e)</f>
        <v>22.7</v>
      </c>
      <c r="BN2570" s="281">
        <f>$AX$10+seat_w*($AY$24*n_SA+$AW$10&lt;pax_e)</f>
        <v>1.8400000000000003</v>
      </c>
      <c r="BO2570" s="281">
        <f t="shared" si="174"/>
        <v>4.889520000000001</v>
      </c>
    </row>
    <row r="2571" spans="65:67" x14ac:dyDescent="0.25">
      <c r="BM2571" s="281">
        <f>$AZ$24+0.8*(seat_pitch)*($AY$24*n_SA+$AW$10&lt;pax_e)</f>
        <v>22.538</v>
      </c>
      <c r="BN2571" s="281">
        <f>$AX$10+seat_w*($AY$24*n_SA+$AW$10&lt;pax_e)</f>
        <v>1.8400000000000003</v>
      </c>
      <c r="BO2571" s="281">
        <f t="shared" si="174"/>
        <v>4.7275200000000019</v>
      </c>
    </row>
    <row r="2572" spans="65:67" x14ac:dyDescent="0.25">
      <c r="BM2572" s="281">
        <f>$AZ$24+0.8*(seat_pitch)*($AY$24*n_SA+$AW$10&lt;pax_e)</f>
        <v>22.538</v>
      </c>
      <c r="BN2572" s="281">
        <f>$AX$10</f>
        <v>1.3100000000000003</v>
      </c>
      <c r="BO2572" s="281">
        <f t="shared" si="174"/>
        <v>4.7275200000000019</v>
      </c>
    </row>
    <row r="2573" spans="65:67" x14ac:dyDescent="0.25">
      <c r="BM2573" s="281">
        <f>$AZ$24+0.2*(seat_pitch)*($AY$24*n_SA+$AW$10&lt;pax_e)</f>
        <v>22.052</v>
      </c>
      <c r="BN2573" s="281">
        <f>$AX$10</f>
        <v>1.3100000000000003</v>
      </c>
      <c r="BO2573" s="281">
        <f t="shared" si="174"/>
        <v>4.2415200000000013</v>
      </c>
    </row>
    <row r="2574" spans="65:67" x14ac:dyDescent="0.25">
      <c r="BM2574" s="281">
        <f>$AZ$24+(seat_pitch)</f>
        <v>22.7</v>
      </c>
      <c r="BN2574" s="281">
        <f>$AX$10</f>
        <v>1.3100000000000003</v>
      </c>
      <c r="BO2574" s="281">
        <f t="shared" si="174"/>
        <v>4.889520000000001</v>
      </c>
    </row>
    <row r="2575" spans="65:67" x14ac:dyDescent="0.25">
      <c r="BM2575" s="281">
        <f>$AZ$25+0.2*(seat_pitch)*($AY$25*n_SA+$AW$10&lt;pax_e)</f>
        <v>22.862000000000002</v>
      </c>
      <c r="BN2575" s="281">
        <f>$AX$10</f>
        <v>1.3100000000000003</v>
      </c>
      <c r="BO2575" s="281">
        <f t="shared" si="174"/>
        <v>5.0515200000000036</v>
      </c>
    </row>
    <row r="2576" spans="65:67" x14ac:dyDescent="0.25">
      <c r="BM2576" s="281">
        <f>$AZ$25+0.2*(seat_pitch)*($AY$25*n_SA+$AW$10&lt;pax_e)</f>
        <v>22.862000000000002</v>
      </c>
      <c r="BN2576" s="281">
        <f>$AX$10+seat_w*($AY$25*n_SA+$AW$10&lt;pax_e)</f>
        <v>1.8400000000000003</v>
      </c>
      <c r="BO2576" s="281">
        <f t="shared" si="174"/>
        <v>5.0515200000000036</v>
      </c>
    </row>
    <row r="2577" spans="65:67" x14ac:dyDescent="0.25">
      <c r="BM2577" s="281">
        <f>$AZ$25</f>
        <v>22.700000000000003</v>
      </c>
      <c r="BN2577" s="281">
        <f>$AX$10+seat_w*($AY$25*n_SA+$AW$10&lt;pax_e)</f>
        <v>1.8400000000000003</v>
      </c>
      <c r="BO2577" s="281">
        <f t="shared" si="174"/>
        <v>4.8895200000000045</v>
      </c>
    </row>
    <row r="2578" spans="65:67" x14ac:dyDescent="0.25">
      <c r="BM2578" s="281">
        <f>$AZ$25+1*(seat_pitch)*($AY$25*n_SA+$AW$10&lt;pax_e)</f>
        <v>23.51</v>
      </c>
      <c r="BN2578" s="281">
        <f>$AX$10+seat_w*($AY$25*n_SA+$AW$10&lt;pax_e)</f>
        <v>1.8400000000000003</v>
      </c>
      <c r="BO2578" s="281">
        <f t="shared" si="174"/>
        <v>5.6995200000000033</v>
      </c>
    </row>
    <row r="2579" spans="65:67" x14ac:dyDescent="0.25">
      <c r="BM2579" s="281">
        <f>$AZ$25+0.8*(seat_pitch)*($AY$25*n_SA+$AW$10&lt;pax_e)</f>
        <v>23.348000000000003</v>
      </c>
      <c r="BN2579" s="281">
        <f>$AX$10+seat_w*($AY$25*n_SA+$AW$10&lt;pax_e)</f>
        <v>1.8400000000000003</v>
      </c>
      <c r="BO2579" s="281">
        <f t="shared" si="174"/>
        <v>5.5375200000000042</v>
      </c>
    </row>
    <row r="2580" spans="65:67" x14ac:dyDescent="0.25">
      <c r="BM2580" s="281">
        <f>$AZ$25+0.8*(seat_pitch)*($AY$25*n_SA+$AW$10&lt;pax_e)</f>
        <v>23.348000000000003</v>
      </c>
      <c r="BN2580" s="281">
        <f>$AX$10</f>
        <v>1.3100000000000003</v>
      </c>
      <c r="BO2580" s="281">
        <f t="shared" si="174"/>
        <v>5.5375200000000042</v>
      </c>
    </row>
    <row r="2581" spans="65:67" x14ac:dyDescent="0.25">
      <c r="BM2581" s="281">
        <f>$AZ$25+0.2*(seat_pitch)*($AY$25*n_SA+$AW$10&lt;pax_e)</f>
        <v>22.862000000000002</v>
      </c>
      <c r="BN2581" s="281">
        <f>$AX$10</f>
        <v>1.3100000000000003</v>
      </c>
      <c r="BO2581" s="281">
        <f t="shared" si="174"/>
        <v>5.0515200000000036</v>
      </c>
    </row>
    <row r="2582" spans="65:67" x14ac:dyDescent="0.25">
      <c r="BM2582" s="281">
        <f>$AZ$25+(seat_pitch)</f>
        <v>23.51</v>
      </c>
      <c r="BN2582" s="281">
        <f>$AX$10</f>
        <v>1.3100000000000003</v>
      </c>
      <c r="BO2582" s="281">
        <f t="shared" si="174"/>
        <v>5.6995200000000033</v>
      </c>
    </row>
    <row r="2583" spans="65:67" x14ac:dyDescent="0.25">
      <c r="BM2583" s="281">
        <f>$AZ$26+0.2*(seat_pitch)*($AY$26*n_SA+$AW$10&lt;pax_e)</f>
        <v>23.672000000000001</v>
      </c>
      <c r="BN2583" s="281">
        <f>$AX$10</f>
        <v>1.3100000000000003</v>
      </c>
      <c r="BO2583" s="281">
        <f t="shared" si="174"/>
        <v>5.8615200000000023</v>
      </c>
    </row>
    <row r="2584" spans="65:67" x14ac:dyDescent="0.25">
      <c r="BM2584" s="281">
        <f>$AZ$26+0.2*(seat_pitch)*($AY$26*n_SA+$AW$10&lt;pax_e)</f>
        <v>23.672000000000001</v>
      </c>
      <c r="BN2584" s="281">
        <f>$AX$10+seat_w*($AY$26*n_SA+$AW$10&lt;pax_e)</f>
        <v>1.8400000000000003</v>
      </c>
      <c r="BO2584" s="281">
        <f t="shared" si="174"/>
        <v>5.8615200000000023</v>
      </c>
    </row>
    <row r="2585" spans="65:67" x14ac:dyDescent="0.25">
      <c r="BM2585" s="281">
        <f>$AZ$26</f>
        <v>23.51</v>
      </c>
      <c r="BN2585" s="281">
        <f>$AX$10+seat_w*($AY$26*n_SA+$AW$10&lt;pax_e)</f>
        <v>1.8400000000000003</v>
      </c>
      <c r="BO2585" s="281">
        <f t="shared" si="174"/>
        <v>5.6995200000000033</v>
      </c>
    </row>
    <row r="2586" spans="65:67" x14ac:dyDescent="0.25">
      <c r="BM2586" s="281">
        <f>$AZ$26+1*(seat_pitch)*($AY$26*n_SA+$AW$10&lt;pax_e)</f>
        <v>24.32</v>
      </c>
      <c r="BN2586" s="281">
        <f>$AX$10+seat_w*($AY$26*n_SA+$AW$10&lt;pax_e)</f>
        <v>1.8400000000000003</v>
      </c>
      <c r="BO2586" s="281">
        <f t="shared" si="174"/>
        <v>6.509520000000002</v>
      </c>
    </row>
    <row r="2587" spans="65:67" x14ac:dyDescent="0.25">
      <c r="BM2587" s="281">
        <f>$AZ$26+0.8*(seat_pitch)*($AY$26*n_SA+$AW$10&lt;pax_e)</f>
        <v>24.158000000000001</v>
      </c>
      <c r="BN2587" s="281">
        <f>$AX$10+seat_w*($AY$26*n_SA+$AW$10&lt;pax_e)</f>
        <v>1.8400000000000003</v>
      </c>
      <c r="BO2587" s="281">
        <f t="shared" si="174"/>
        <v>6.3475200000000029</v>
      </c>
    </row>
    <row r="2588" spans="65:67" x14ac:dyDescent="0.25">
      <c r="BM2588" s="281">
        <f>$AZ$26+0.8*(seat_pitch)*($AY$26*n_SA+$AW$10&lt;pax_e)</f>
        <v>24.158000000000001</v>
      </c>
      <c r="BN2588" s="281">
        <f>$AX$10</f>
        <v>1.3100000000000003</v>
      </c>
      <c r="BO2588" s="281">
        <f t="shared" si="174"/>
        <v>6.3475200000000029</v>
      </c>
    </row>
    <row r="2589" spans="65:67" x14ac:dyDescent="0.25">
      <c r="BM2589" s="281">
        <f>$AZ$26+0.2*(seat_pitch)*($AY$26*n_SA+$AW$10&lt;pax_e)</f>
        <v>23.672000000000001</v>
      </c>
      <c r="BN2589" s="281">
        <f>$AX$10</f>
        <v>1.3100000000000003</v>
      </c>
      <c r="BO2589" s="281">
        <f t="shared" si="174"/>
        <v>5.8615200000000023</v>
      </c>
    </row>
    <row r="2590" spans="65:67" x14ac:dyDescent="0.25">
      <c r="BM2590" s="281">
        <f>$AZ$26+(seat_pitch)</f>
        <v>24.32</v>
      </c>
      <c r="BN2590" s="281">
        <f>$AX$10</f>
        <v>1.3100000000000003</v>
      </c>
      <c r="BO2590" s="281">
        <f t="shared" si="174"/>
        <v>6.509520000000002</v>
      </c>
    </row>
    <row r="2591" spans="65:67" x14ac:dyDescent="0.25">
      <c r="BM2591" s="281">
        <f>$AZ$27+0.2*(seat_pitch)*($AY$27*n_SA+$AW$10&lt;pax_e)</f>
        <v>24.481999999999999</v>
      </c>
      <c r="BN2591" s="281">
        <f>$AX$10</f>
        <v>1.3100000000000003</v>
      </c>
      <c r="BO2591" s="281">
        <f t="shared" si="174"/>
        <v>6.671520000000001</v>
      </c>
    </row>
    <row r="2592" spans="65:67" x14ac:dyDescent="0.25">
      <c r="BM2592" s="281">
        <f>$AZ$27+0.2*(seat_pitch)*($AY$27*n_SA+$AW$10&lt;pax_e)</f>
        <v>24.481999999999999</v>
      </c>
      <c r="BN2592" s="281">
        <f>$AX$10+seat_w*($AY$27*n_SA+$AW$10&lt;pax_e)</f>
        <v>1.8400000000000003</v>
      </c>
      <c r="BO2592" s="281">
        <f t="shared" si="174"/>
        <v>6.671520000000001</v>
      </c>
    </row>
    <row r="2593" spans="65:67" x14ac:dyDescent="0.25">
      <c r="BM2593" s="281">
        <f>$AZ$27</f>
        <v>24.32</v>
      </c>
      <c r="BN2593" s="281">
        <f>$AX$10+seat_w*($AY$27*n_SA+$AW$10&lt;pax_e)</f>
        <v>1.8400000000000003</v>
      </c>
      <c r="BO2593" s="281">
        <f t="shared" si="174"/>
        <v>6.509520000000002</v>
      </c>
    </row>
    <row r="2594" spans="65:67" x14ac:dyDescent="0.25">
      <c r="BM2594" s="281">
        <f>$AZ$27+1*(seat_pitch)*($AY$27*n_SA+$AW$10&lt;pax_e)</f>
        <v>25.13</v>
      </c>
      <c r="BN2594" s="281">
        <f>$AX$10+seat_w*($AY$27*n_SA+$AW$10&lt;pax_e)</f>
        <v>1.8400000000000003</v>
      </c>
      <c r="BO2594" s="281">
        <f t="shared" si="174"/>
        <v>7.3195200000000007</v>
      </c>
    </row>
    <row r="2595" spans="65:67" x14ac:dyDescent="0.25">
      <c r="BM2595" s="281">
        <f>$AZ$27+0.8*(seat_pitch)*($AY$27*n_SA+$AW$10&lt;pax_e)</f>
        <v>24.968</v>
      </c>
      <c r="BN2595" s="281">
        <f>$AX$10+seat_w*($AY$27*n_SA+$AW$10&lt;pax_e)</f>
        <v>1.8400000000000003</v>
      </c>
      <c r="BO2595" s="281">
        <f t="shared" si="174"/>
        <v>7.1575200000000017</v>
      </c>
    </row>
    <row r="2596" spans="65:67" x14ac:dyDescent="0.25">
      <c r="BM2596" s="281">
        <f>$AZ$27+0.8*(seat_pitch)*($AY$27*n_SA+$AW$10&lt;pax_e)</f>
        <v>24.968</v>
      </c>
      <c r="BN2596" s="281">
        <f>$AX$10</f>
        <v>1.3100000000000003</v>
      </c>
      <c r="BO2596" s="281">
        <f t="shared" si="174"/>
        <v>7.1575200000000017</v>
      </c>
    </row>
    <row r="2597" spans="65:67" x14ac:dyDescent="0.25">
      <c r="BM2597" s="281">
        <f>$AZ$27+0.2*(seat_pitch)*($AY$27*n_SA+$AW$10&lt;pax_e)</f>
        <v>24.481999999999999</v>
      </c>
      <c r="BN2597" s="281">
        <f>$AX$10</f>
        <v>1.3100000000000003</v>
      </c>
      <c r="BO2597" s="281">
        <f t="shared" si="174"/>
        <v>6.671520000000001</v>
      </c>
    </row>
    <row r="2598" spans="65:67" x14ac:dyDescent="0.25">
      <c r="BM2598" s="281">
        <f>$AZ$27+(seat_pitch)</f>
        <v>25.13</v>
      </c>
      <c r="BN2598" s="281">
        <f>$AX$10</f>
        <v>1.3100000000000003</v>
      </c>
      <c r="BO2598" s="281">
        <f t="shared" si="174"/>
        <v>7.3195200000000007</v>
      </c>
    </row>
    <row r="2599" spans="65:67" x14ac:dyDescent="0.25">
      <c r="BM2599" s="281">
        <f>$AZ$28+0.2*(seat_pitch)*($AY$28*n_SA+$AW$10&lt;pax_e)</f>
        <v>25.292000000000002</v>
      </c>
      <c r="BN2599" s="281">
        <f>$AX$10</f>
        <v>1.3100000000000003</v>
      </c>
      <c r="BO2599" s="281">
        <f t="shared" si="174"/>
        <v>7.4815200000000033</v>
      </c>
    </row>
    <row r="2600" spans="65:67" x14ac:dyDescent="0.25">
      <c r="BM2600" s="281">
        <f>$AZ$28+0.2*(seat_pitch)*($AY$28*n_SA+$AW$10&lt;pax_e)</f>
        <v>25.292000000000002</v>
      </c>
      <c r="BN2600" s="281">
        <f>$AX$10+seat_w*($AY$28*n_SA+$AW$10&lt;pax_e)</f>
        <v>1.8400000000000003</v>
      </c>
      <c r="BO2600" s="281">
        <f t="shared" si="174"/>
        <v>7.4815200000000033</v>
      </c>
    </row>
    <row r="2601" spans="65:67" x14ac:dyDescent="0.25">
      <c r="BM2601" s="281">
        <f>$AZ$28</f>
        <v>25.130000000000003</v>
      </c>
      <c r="BN2601" s="281">
        <f>$AX$10+seat_w*($AY$28*n_SA+$AW$10&lt;pax_e)</f>
        <v>1.8400000000000003</v>
      </c>
      <c r="BO2601" s="281">
        <f t="shared" si="174"/>
        <v>7.3195200000000042</v>
      </c>
    </row>
    <row r="2602" spans="65:67" x14ac:dyDescent="0.25">
      <c r="BM2602" s="281">
        <f>$AZ$28+1*(seat_pitch)*($AY$28*n_SA+$AW$10&lt;pax_e)</f>
        <v>25.94</v>
      </c>
      <c r="BN2602" s="281">
        <f>$AX$10+seat_w*($AY$28*n_SA+$AW$10&lt;pax_e)</f>
        <v>1.8400000000000003</v>
      </c>
      <c r="BO2602" s="281">
        <f t="shared" si="174"/>
        <v>8.129520000000003</v>
      </c>
    </row>
    <row r="2603" spans="65:67" x14ac:dyDescent="0.25">
      <c r="BM2603" s="281">
        <f>$AZ$28+0.8*(seat_pitch)*($AY$28*n_SA+$AW$10&lt;pax_e)</f>
        <v>25.778000000000002</v>
      </c>
      <c r="BN2603" s="281">
        <f>$AX$10+seat_w*($AY$28*n_SA+$AW$10&lt;pax_e)</f>
        <v>1.8400000000000003</v>
      </c>
      <c r="BO2603" s="281">
        <f t="shared" si="174"/>
        <v>7.9675200000000039</v>
      </c>
    </row>
    <row r="2604" spans="65:67" x14ac:dyDescent="0.25">
      <c r="BM2604" s="281">
        <f>$AZ$28+0.8*(seat_pitch)*($AY$28*n_SA+$AW$10&lt;pax_e)</f>
        <v>25.778000000000002</v>
      </c>
      <c r="BN2604" s="281">
        <f>$AX$10</f>
        <v>1.3100000000000003</v>
      </c>
      <c r="BO2604" s="281">
        <f t="shared" si="174"/>
        <v>7.9675200000000039</v>
      </c>
    </row>
    <row r="2605" spans="65:67" x14ac:dyDescent="0.25">
      <c r="BM2605" s="281">
        <f>$AZ$28+0.2*(seat_pitch)*($AY$28*n_SA+$AW$10&lt;pax_e)</f>
        <v>25.292000000000002</v>
      </c>
      <c r="BN2605" s="281">
        <f>$AX$10</f>
        <v>1.3100000000000003</v>
      </c>
      <c r="BO2605" s="281">
        <f t="shared" si="174"/>
        <v>7.4815200000000033</v>
      </c>
    </row>
    <row r="2606" spans="65:67" x14ac:dyDescent="0.25">
      <c r="BM2606" s="281">
        <f>$AZ$28+(seat_pitch)</f>
        <v>25.94</v>
      </c>
      <c r="BN2606" s="281">
        <f>$AX$10</f>
        <v>1.3100000000000003</v>
      </c>
      <c r="BO2606" s="281">
        <f t="shared" si="174"/>
        <v>8.129520000000003</v>
      </c>
    </row>
    <row r="2607" spans="65:67" x14ac:dyDescent="0.25">
      <c r="BM2607" s="281">
        <f>$AZ$29+0.2*(seat_pitch)*($AY$29*n_SA+$AW$10&lt;pax_e)</f>
        <v>26.102</v>
      </c>
      <c r="BN2607" s="281">
        <f>$AX$10</f>
        <v>1.3100000000000003</v>
      </c>
      <c r="BO2607" s="281">
        <f t="shared" si="174"/>
        <v>8.291520000000002</v>
      </c>
    </row>
    <row r="2608" spans="65:67" x14ac:dyDescent="0.25">
      <c r="BM2608" s="281">
        <f>$AZ$29+0.2*(seat_pitch)*($AY$29*n_SA+$AW$10&lt;pax_e)</f>
        <v>26.102</v>
      </c>
      <c r="BN2608" s="281">
        <f>$AX$10+seat_w*($AY$29*n_SA+$AW$10&lt;pax_e)</f>
        <v>1.8400000000000003</v>
      </c>
      <c r="BO2608" s="281">
        <f t="shared" si="174"/>
        <v>8.291520000000002</v>
      </c>
    </row>
    <row r="2609" spans="65:67" x14ac:dyDescent="0.25">
      <c r="BM2609" s="281">
        <f>$AZ$29</f>
        <v>25.94</v>
      </c>
      <c r="BN2609" s="281">
        <f>$AX$10+seat_w*($AY$29*n_SA+$AW$10&lt;pax_e)</f>
        <v>1.8400000000000003</v>
      </c>
      <c r="BO2609" s="281">
        <f t="shared" si="174"/>
        <v>8.129520000000003</v>
      </c>
    </row>
    <row r="2610" spans="65:67" x14ac:dyDescent="0.25">
      <c r="BM2610" s="281">
        <f>$AZ$29+1*(seat_pitch)*($AY$29*n_SA+$AW$10&lt;pax_e)</f>
        <v>26.75</v>
      </c>
      <c r="BN2610" s="281">
        <f>$AX$10+seat_w*($AY$29*n_SA+$AW$10&lt;pax_e)</f>
        <v>1.8400000000000003</v>
      </c>
      <c r="BO2610" s="281">
        <f t="shared" si="174"/>
        <v>8.9395200000000017</v>
      </c>
    </row>
    <row r="2611" spans="65:67" x14ac:dyDescent="0.25">
      <c r="BM2611" s="281">
        <f>$AZ$29+0.8*(seat_pitch)*($AY$29*n_SA+$AW$10&lt;pax_e)</f>
        <v>26.588000000000001</v>
      </c>
      <c r="BN2611" s="281">
        <f>$AX$10+seat_w*($AY$29*n_SA+$AW$10&lt;pax_e)</f>
        <v>1.8400000000000003</v>
      </c>
      <c r="BO2611" s="281">
        <f t="shared" si="174"/>
        <v>8.7775200000000027</v>
      </c>
    </row>
    <row r="2612" spans="65:67" x14ac:dyDescent="0.25">
      <c r="BM2612" s="281">
        <f>$AZ$29+0.8*(seat_pitch)*($AY$29*n_SA+$AW$10&lt;pax_e)</f>
        <v>26.588000000000001</v>
      </c>
      <c r="BN2612" s="281">
        <f>$AX$10</f>
        <v>1.3100000000000003</v>
      </c>
      <c r="BO2612" s="281">
        <f t="shared" si="174"/>
        <v>8.7775200000000027</v>
      </c>
    </row>
    <row r="2613" spans="65:67" x14ac:dyDescent="0.25">
      <c r="BM2613" s="281">
        <f>$AZ$29+0.2*(seat_pitch)*($AY$29*n_SA+$AW$10&lt;pax_e)</f>
        <v>26.102</v>
      </c>
      <c r="BN2613" s="281">
        <f>$AX$10</f>
        <v>1.3100000000000003</v>
      </c>
      <c r="BO2613" s="281">
        <f t="shared" si="174"/>
        <v>8.291520000000002</v>
      </c>
    </row>
    <row r="2614" spans="65:67" x14ac:dyDescent="0.25">
      <c r="BM2614" s="281">
        <f>$AZ$29+(seat_pitch)</f>
        <v>26.75</v>
      </c>
      <c r="BN2614" s="281">
        <f>$AX$10</f>
        <v>1.3100000000000003</v>
      </c>
      <c r="BO2614" s="281">
        <f t="shared" si="174"/>
        <v>8.9395200000000017</v>
      </c>
    </row>
    <row r="2615" spans="65:67" x14ac:dyDescent="0.25">
      <c r="BM2615" s="281">
        <f>$AZ$30+0.2*(seat_pitch)*($AY$30*n_SA+$AW$10&lt;pax_e)</f>
        <v>26.102</v>
      </c>
      <c r="BN2615" s="281">
        <f>$AX$10</f>
        <v>1.3100000000000003</v>
      </c>
      <c r="BO2615" s="281">
        <f t="shared" si="174"/>
        <v>8.291520000000002</v>
      </c>
    </row>
    <row r="2616" spans="65:67" x14ac:dyDescent="0.25">
      <c r="BM2616" s="281">
        <f>$AZ$30+0.2*(seat_pitch)*($AY$30*n_SA+$AW$10&lt;pax_e)</f>
        <v>26.102</v>
      </c>
      <c r="BN2616" s="281">
        <f>$AX$10+seat_w*($AY$30*n_SA+$AW$10&lt;pax_e)</f>
        <v>1.8400000000000003</v>
      </c>
      <c r="BO2616" s="281">
        <f t="shared" si="174"/>
        <v>8.291520000000002</v>
      </c>
    </row>
    <row r="2617" spans="65:67" x14ac:dyDescent="0.25">
      <c r="BM2617" s="281">
        <f>$AZ$30</f>
        <v>25.94</v>
      </c>
      <c r="BN2617" s="281">
        <f>$AX$10+seat_w*($AY$30*n_SA+$AW$10&lt;pax_e)</f>
        <v>1.8400000000000003</v>
      </c>
      <c r="BO2617" s="281">
        <f t="shared" si="174"/>
        <v>8.129520000000003</v>
      </c>
    </row>
    <row r="2618" spans="65:67" x14ac:dyDescent="0.25">
      <c r="BM2618" s="281">
        <f>$AZ$30+1*(seat_pitch)*($AY$30*n_SA+$AW$10&lt;pax_e)</f>
        <v>26.75</v>
      </c>
      <c r="BN2618" s="281">
        <f>$AX$10+seat_w*($AY$30*n_SA+$AW$10&lt;pax_e)</f>
        <v>1.8400000000000003</v>
      </c>
      <c r="BO2618" s="281">
        <f t="shared" si="174"/>
        <v>8.9395200000000017</v>
      </c>
    </row>
    <row r="2619" spans="65:67" x14ac:dyDescent="0.25">
      <c r="BM2619" s="281">
        <f>$AZ$30+0.8*(seat_pitch)*($AY$30*n_SA+$AW$10&lt;pax_e)</f>
        <v>26.588000000000001</v>
      </c>
      <c r="BN2619" s="281">
        <f>$AX$10+seat_w*($AY$30*n_SA+$AW$10&lt;pax_e)</f>
        <v>1.8400000000000003</v>
      </c>
      <c r="BO2619" s="281">
        <f t="shared" si="174"/>
        <v>8.7775200000000027</v>
      </c>
    </row>
    <row r="2620" spans="65:67" x14ac:dyDescent="0.25">
      <c r="BM2620" s="281">
        <f>$AZ$30+0.8*(seat_pitch)*($AY$30*n_SA+$AW$10&lt;pax_e)</f>
        <v>26.588000000000001</v>
      </c>
      <c r="BN2620" s="281">
        <f>$AX$10</f>
        <v>1.3100000000000003</v>
      </c>
      <c r="BO2620" s="281">
        <f t="shared" si="174"/>
        <v>8.7775200000000027</v>
      </c>
    </row>
    <row r="2621" spans="65:67" x14ac:dyDescent="0.25">
      <c r="BM2621" s="281">
        <f>$AZ$30+0.2*(seat_pitch)*($AY$30*n_SA+$AW$10&lt;pax_e)</f>
        <v>26.102</v>
      </c>
      <c r="BN2621" s="281">
        <f>$AX$10</f>
        <v>1.3100000000000003</v>
      </c>
      <c r="BO2621" s="281">
        <f t="shared" si="174"/>
        <v>8.291520000000002</v>
      </c>
    </row>
    <row r="2622" spans="65:67" x14ac:dyDescent="0.25">
      <c r="BM2622" s="281">
        <f>$AZ$30+(seat_pitch)</f>
        <v>26.75</v>
      </c>
      <c r="BN2622" s="281">
        <f>$AX$10</f>
        <v>1.3100000000000003</v>
      </c>
      <c r="BO2622" s="281">
        <f t="shared" si="174"/>
        <v>8.9395200000000017</v>
      </c>
    </row>
    <row r="2623" spans="65:67" x14ac:dyDescent="0.25">
      <c r="BM2623" s="281">
        <f>$AZ$31+0.2*(seat_pitch)*($AY$31*n_SA+$AW$10&lt;pax_e)</f>
        <v>26.102</v>
      </c>
      <c r="BN2623" s="281">
        <f>$AX$10</f>
        <v>1.3100000000000003</v>
      </c>
      <c r="BO2623" s="281">
        <f t="shared" si="174"/>
        <v>8.291520000000002</v>
      </c>
    </row>
    <row r="2624" spans="65:67" x14ac:dyDescent="0.25">
      <c r="BM2624" s="281">
        <f>$AZ$31+0.2*(seat_pitch)*($AY$31*n_SA+$AW$10&lt;pax_e)</f>
        <v>26.102</v>
      </c>
      <c r="BN2624" s="281">
        <f>$AX$10+seat_w*($AY$31*n_SA+$AW$10&lt;pax_e)</f>
        <v>1.8400000000000003</v>
      </c>
      <c r="BO2624" s="281">
        <f t="shared" si="174"/>
        <v>8.291520000000002</v>
      </c>
    </row>
    <row r="2625" spans="65:67" x14ac:dyDescent="0.25">
      <c r="BM2625" s="281">
        <f>$AZ$31</f>
        <v>25.94</v>
      </c>
      <c r="BN2625" s="281">
        <f>$AX$10+seat_w*($AY$31*n_SA+$AW$10&lt;pax_e)</f>
        <v>1.8400000000000003</v>
      </c>
      <c r="BO2625" s="281">
        <f t="shared" si="174"/>
        <v>8.129520000000003</v>
      </c>
    </row>
    <row r="2626" spans="65:67" x14ac:dyDescent="0.25">
      <c r="BM2626" s="281">
        <f>$AZ$31+1*(seat_pitch)*($AY$31*n_SA+$AW$10&lt;pax_e)</f>
        <v>26.75</v>
      </c>
      <c r="BN2626" s="281">
        <f>$AX$10+seat_w*($AY$31*n_SA+$AW$10&lt;pax_e)</f>
        <v>1.8400000000000003</v>
      </c>
      <c r="BO2626" s="281">
        <f t="shared" si="174"/>
        <v>8.9395200000000017</v>
      </c>
    </row>
    <row r="2627" spans="65:67" x14ac:dyDescent="0.25">
      <c r="BM2627" s="281">
        <f>$AZ$31+0.8*(seat_pitch)*($AY$31*n_SA+$AW$10&lt;pax_e)</f>
        <v>26.588000000000001</v>
      </c>
      <c r="BN2627" s="281">
        <f>$AX$10+seat_w*($AY$31*n_SA+$AW$10&lt;pax_e)</f>
        <v>1.8400000000000003</v>
      </c>
      <c r="BO2627" s="281">
        <f t="shared" si="174"/>
        <v>8.7775200000000027</v>
      </c>
    </row>
    <row r="2628" spans="65:67" x14ac:dyDescent="0.25">
      <c r="BM2628" s="281">
        <f>$AZ$31+0.8*(seat_pitch)*($AY$31*n_SA+$AW$10&lt;pax_e)</f>
        <v>26.588000000000001</v>
      </c>
      <c r="BN2628" s="281">
        <f>$AX$10</f>
        <v>1.3100000000000003</v>
      </c>
      <c r="BO2628" s="281">
        <f t="shared" si="174"/>
        <v>8.7775200000000027</v>
      </c>
    </row>
    <row r="2629" spans="65:67" x14ac:dyDescent="0.25">
      <c r="BM2629" s="281">
        <f>$AZ$31+0.2*(seat_pitch)*($AY$31*n_SA+$AW$10&lt;pax_e)</f>
        <v>26.102</v>
      </c>
      <c r="BN2629" s="281">
        <f>$AX$10</f>
        <v>1.3100000000000003</v>
      </c>
      <c r="BO2629" s="281">
        <f t="shared" ref="BO2629:BO2692" si="175">BM2629-L_fus/2</f>
        <v>8.291520000000002</v>
      </c>
    </row>
    <row r="2630" spans="65:67" x14ac:dyDescent="0.25">
      <c r="BM2630" s="281">
        <f>$AZ$31+(seat_pitch)</f>
        <v>26.75</v>
      </c>
      <c r="BN2630" s="281">
        <f>$AX$10</f>
        <v>1.3100000000000003</v>
      </c>
      <c r="BO2630" s="281">
        <f t="shared" si="175"/>
        <v>8.9395200000000017</v>
      </c>
    </row>
    <row r="2631" spans="65:67" x14ac:dyDescent="0.25">
      <c r="BM2631" s="281">
        <f>$AZ$32+0.2*(seat_pitch)*($AY$32*n_SA+$AW$10&lt;pax_e)</f>
        <v>26.102</v>
      </c>
      <c r="BN2631" s="281">
        <f>$AX$10</f>
        <v>1.3100000000000003</v>
      </c>
      <c r="BO2631" s="281">
        <f t="shared" si="175"/>
        <v>8.291520000000002</v>
      </c>
    </row>
    <row r="2632" spans="65:67" x14ac:dyDescent="0.25">
      <c r="BM2632" s="281">
        <f>$AZ$32+0.2*(seat_pitch)*($AY$32*n_SA+$AW$10&lt;pax_e)</f>
        <v>26.102</v>
      </c>
      <c r="BN2632" s="281">
        <f>$AX$10+seat_w*($AY$32*n_SA+$AW$10&lt;pax_e)</f>
        <v>1.8400000000000003</v>
      </c>
      <c r="BO2632" s="281">
        <f t="shared" si="175"/>
        <v>8.291520000000002</v>
      </c>
    </row>
    <row r="2633" spans="65:67" x14ac:dyDescent="0.25">
      <c r="BM2633" s="281">
        <f>$AZ$32</f>
        <v>25.94</v>
      </c>
      <c r="BN2633" s="281">
        <f>$AX$10+seat_w*($AY$32*n_SA+$AW$10&lt;pax_e)</f>
        <v>1.8400000000000003</v>
      </c>
      <c r="BO2633" s="281">
        <f t="shared" si="175"/>
        <v>8.129520000000003</v>
      </c>
    </row>
    <row r="2634" spans="65:67" x14ac:dyDescent="0.25">
      <c r="BM2634" s="281">
        <f>$AZ$32+1*(seat_pitch)*($AY$32*n_SA+$AW$10&lt;pax_e)</f>
        <v>26.75</v>
      </c>
      <c r="BN2634" s="281">
        <f>$AX$10+seat_w*($AY$32*n_SA+$AW$10&lt;pax_e)</f>
        <v>1.8400000000000003</v>
      </c>
      <c r="BO2634" s="281">
        <f t="shared" si="175"/>
        <v>8.9395200000000017</v>
      </c>
    </row>
    <row r="2635" spans="65:67" x14ac:dyDescent="0.25">
      <c r="BM2635" s="281">
        <f>$AZ$32+0.8*(seat_pitch)*($AY$32*n_SA+$AW$10&lt;pax_e)</f>
        <v>26.588000000000001</v>
      </c>
      <c r="BN2635" s="281">
        <f>$AX$10+seat_w*($AY$32*n_SA+$AW$10&lt;pax_e)</f>
        <v>1.8400000000000003</v>
      </c>
      <c r="BO2635" s="281">
        <f t="shared" si="175"/>
        <v>8.7775200000000027</v>
      </c>
    </row>
    <row r="2636" spans="65:67" x14ac:dyDescent="0.25">
      <c r="BM2636" s="281">
        <f>$AZ$32+0.8*(seat_pitch)*($AY$32*n_SA+$AW$10&lt;pax_e)</f>
        <v>26.588000000000001</v>
      </c>
      <c r="BN2636" s="281">
        <f>$AX$10</f>
        <v>1.3100000000000003</v>
      </c>
      <c r="BO2636" s="281">
        <f t="shared" si="175"/>
        <v>8.7775200000000027</v>
      </c>
    </row>
    <row r="2637" spans="65:67" x14ac:dyDescent="0.25">
      <c r="BM2637" s="281">
        <f>$AZ$32+0.2*(seat_pitch)*($AY$32*n_SA+$AW$10&lt;pax_e)</f>
        <v>26.102</v>
      </c>
      <c r="BN2637" s="281">
        <f>$AX$10</f>
        <v>1.3100000000000003</v>
      </c>
      <c r="BO2637" s="281">
        <f t="shared" si="175"/>
        <v>8.291520000000002</v>
      </c>
    </row>
    <row r="2638" spans="65:67" x14ac:dyDescent="0.25">
      <c r="BM2638" s="281">
        <f>$AZ$32+(seat_pitch)</f>
        <v>26.75</v>
      </c>
      <c r="BN2638" s="281">
        <f>$AX$10</f>
        <v>1.3100000000000003</v>
      </c>
      <c r="BO2638" s="281">
        <f t="shared" si="175"/>
        <v>8.9395200000000017</v>
      </c>
    </row>
    <row r="2639" spans="65:67" x14ac:dyDescent="0.25">
      <c r="BM2639" s="281">
        <f>$AZ$33+0.2*(seat_pitch)*($AY$33*n_SA+$AW$10&lt;pax_e)</f>
        <v>26.102</v>
      </c>
      <c r="BN2639" s="281">
        <f>$AX$10</f>
        <v>1.3100000000000003</v>
      </c>
      <c r="BO2639" s="281">
        <f t="shared" si="175"/>
        <v>8.291520000000002</v>
      </c>
    </row>
    <row r="2640" spans="65:67" x14ac:dyDescent="0.25">
      <c r="BM2640" s="281">
        <f>$AZ$33+0.2*(seat_pitch)*($AY$33*n_SA+$AW$10&lt;pax_e)</f>
        <v>26.102</v>
      </c>
      <c r="BN2640" s="281">
        <f>$AX$10+seat_w*($AY$33*n_SA+$AW$10&lt;pax_e)</f>
        <v>1.8400000000000003</v>
      </c>
      <c r="BO2640" s="281">
        <f t="shared" si="175"/>
        <v>8.291520000000002</v>
      </c>
    </row>
    <row r="2641" spans="65:67" x14ac:dyDescent="0.25">
      <c r="BM2641" s="281">
        <f>$AZ$33</f>
        <v>25.94</v>
      </c>
      <c r="BN2641" s="281">
        <f>$AX$10+seat_w*($AY$33*n_SA+$AW$10&lt;pax_e)</f>
        <v>1.8400000000000003</v>
      </c>
      <c r="BO2641" s="281">
        <f t="shared" si="175"/>
        <v>8.129520000000003</v>
      </c>
    </row>
    <row r="2642" spans="65:67" x14ac:dyDescent="0.25">
      <c r="BM2642" s="281">
        <f>$AZ$33+1*(seat_pitch)*($AY$33*n_SA+$AW$10&lt;pax_e)</f>
        <v>26.75</v>
      </c>
      <c r="BN2642" s="281">
        <f>$AX$10+seat_w*($AY$33*n_SA+$AW$10&lt;pax_e)</f>
        <v>1.8400000000000003</v>
      </c>
      <c r="BO2642" s="281">
        <f t="shared" si="175"/>
        <v>8.9395200000000017</v>
      </c>
    </row>
    <row r="2643" spans="65:67" x14ac:dyDescent="0.25">
      <c r="BM2643" s="281">
        <f>$AZ$33+0.8*(seat_pitch)*($AY$33*n_SA+$AW$10&lt;pax_e)</f>
        <v>26.588000000000001</v>
      </c>
      <c r="BN2643" s="281">
        <f>$AX$10+seat_w*($AY$33*n_SA+$AW$10&lt;pax_e)</f>
        <v>1.8400000000000003</v>
      </c>
      <c r="BO2643" s="281">
        <f t="shared" si="175"/>
        <v>8.7775200000000027</v>
      </c>
    </row>
    <row r="2644" spans="65:67" x14ac:dyDescent="0.25">
      <c r="BM2644" s="281">
        <f>$AZ$33+0.8*(seat_pitch)*($AY$33*n_SA+$AW$10&lt;pax_e)</f>
        <v>26.588000000000001</v>
      </c>
      <c r="BN2644" s="281">
        <f>$AX$10</f>
        <v>1.3100000000000003</v>
      </c>
      <c r="BO2644" s="281">
        <f t="shared" si="175"/>
        <v>8.7775200000000027</v>
      </c>
    </row>
    <row r="2645" spans="65:67" x14ac:dyDescent="0.25">
      <c r="BM2645" s="281">
        <f>$AZ$33+0.2*(seat_pitch)*($AY$33*n_SA+$AW$10&lt;pax_e)</f>
        <v>26.102</v>
      </c>
      <c r="BN2645" s="281">
        <f>$AX$10</f>
        <v>1.3100000000000003</v>
      </c>
      <c r="BO2645" s="281">
        <f t="shared" si="175"/>
        <v>8.291520000000002</v>
      </c>
    </row>
    <row r="2646" spans="65:67" x14ac:dyDescent="0.25">
      <c r="BM2646" s="281">
        <f>$AZ$33+(seat_pitch)</f>
        <v>26.75</v>
      </c>
      <c r="BN2646" s="281">
        <f>$AX$10</f>
        <v>1.3100000000000003</v>
      </c>
      <c r="BO2646" s="281">
        <f t="shared" si="175"/>
        <v>8.9395200000000017</v>
      </c>
    </row>
    <row r="2647" spans="65:67" x14ac:dyDescent="0.25">
      <c r="BM2647" s="281">
        <f>$AZ$34+0.2*(seat_pitch)*($AY$34*n_SA+$AW$10&lt;pax_e)</f>
        <v>26.102</v>
      </c>
      <c r="BN2647" s="281">
        <f>$AX$10</f>
        <v>1.3100000000000003</v>
      </c>
      <c r="BO2647" s="281">
        <f t="shared" si="175"/>
        <v>8.291520000000002</v>
      </c>
    </row>
    <row r="2648" spans="65:67" x14ac:dyDescent="0.25">
      <c r="BM2648" s="281">
        <f>$AZ$34+0.2*(seat_pitch)*($AY$34*n_SA+$AW$10&lt;pax_e)</f>
        <v>26.102</v>
      </c>
      <c r="BN2648" s="281">
        <f>$AX$10+seat_w*($AY$34*n_SA+$AW$10&lt;pax_e)</f>
        <v>1.8400000000000003</v>
      </c>
      <c r="BO2648" s="281">
        <f t="shared" si="175"/>
        <v>8.291520000000002</v>
      </c>
    </row>
    <row r="2649" spans="65:67" x14ac:dyDescent="0.25">
      <c r="BM2649" s="281">
        <f>$AZ$34</f>
        <v>25.94</v>
      </c>
      <c r="BN2649" s="281">
        <f>$AX$10+seat_w*($AY$34*n_SA+$AW$10&lt;pax_e)</f>
        <v>1.8400000000000003</v>
      </c>
      <c r="BO2649" s="281">
        <f t="shared" si="175"/>
        <v>8.129520000000003</v>
      </c>
    </row>
    <row r="2650" spans="65:67" x14ac:dyDescent="0.25">
      <c r="BM2650" s="281">
        <f>$AZ$34+1*(seat_pitch)*($AY$34*n_SA+$AW$10&lt;pax_e)</f>
        <v>26.75</v>
      </c>
      <c r="BN2650" s="281">
        <f>$AX$10+seat_w*($AY$34*n_SA+$AW$10&lt;pax_e)</f>
        <v>1.8400000000000003</v>
      </c>
      <c r="BO2650" s="281">
        <f t="shared" si="175"/>
        <v>8.9395200000000017</v>
      </c>
    </row>
    <row r="2651" spans="65:67" x14ac:dyDescent="0.25">
      <c r="BM2651" s="281">
        <f>$AZ$34+0.8*(seat_pitch)*($AY$34*n_SA+$AW$10&lt;pax_e)</f>
        <v>26.588000000000001</v>
      </c>
      <c r="BN2651" s="281">
        <f>$AX$10+seat_w*($AY$34*n_SA+$AW$10&lt;pax_e)</f>
        <v>1.8400000000000003</v>
      </c>
      <c r="BO2651" s="281">
        <f t="shared" si="175"/>
        <v>8.7775200000000027</v>
      </c>
    </row>
    <row r="2652" spans="65:67" x14ac:dyDescent="0.25">
      <c r="BM2652" s="281">
        <f>$AZ$34+0.8*(seat_pitch)*($AY$34*n_SA+$AW$10&lt;pax_e)</f>
        <v>26.588000000000001</v>
      </c>
      <c r="BN2652" s="281">
        <f>$AX$10</f>
        <v>1.3100000000000003</v>
      </c>
      <c r="BO2652" s="281">
        <f t="shared" si="175"/>
        <v>8.7775200000000027</v>
      </c>
    </row>
    <row r="2653" spans="65:67" x14ac:dyDescent="0.25">
      <c r="BM2653" s="281">
        <f>$AZ$34+0.2*(seat_pitch)*($AY$34*n_SA+$AW$10&lt;pax_e)</f>
        <v>26.102</v>
      </c>
      <c r="BN2653" s="281">
        <f>$AX$10</f>
        <v>1.3100000000000003</v>
      </c>
      <c r="BO2653" s="281">
        <f t="shared" si="175"/>
        <v>8.291520000000002</v>
      </c>
    </row>
    <row r="2654" spans="65:67" x14ac:dyDescent="0.25">
      <c r="BM2654" s="281">
        <f>$AZ$34+(seat_pitch)</f>
        <v>26.75</v>
      </c>
      <c r="BN2654" s="281">
        <f>$AX$10</f>
        <v>1.3100000000000003</v>
      </c>
      <c r="BO2654" s="281">
        <f t="shared" si="175"/>
        <v>8.9395200000000017</v>
      </c>
    </row>
    <row r="2655" spans="65:67" x14ac:dyDescent="0.25">
      <c r="BM2655" s="281">
        <f>$AZ$35+0.2*(seat_pitch)*($AY$35*n_SA+$AW$10&lt;pax_e)</f>
        <v>26.102</v>
      </c>
      <c r="BN2655" s="281">
        <f>$AX$10</f>
        <v>1.3100000000000003</v>
      </c>
      <c r="BO2655" s="281">
        <f t="shared" si="175"/>
        <v>8.291520000000002</v>
      </c>
    </row>
    <row r="2656" spans="65:67" x14ac:dyDescent="0.25">
      <c r="BM2656" s="281">
        <f>$AZ$35+0.2*(seat_pitch)*($AY$35*n_SA+$AW$10&lt;pax_e)</f>
        <v>26.102</v>
      </c>
      <c r="BN2656" s="281">
        <f>$AX$10+seat_w*($AY$35*n_SA+$AW$10&lt;pax_e)</f>
        <v>1.8400000000000003</v>
      </c>
      <c r="BO2656" s="281">
        <f t="shared" si="175"/>
        <v>8.291520000000002</v>
      </c>
    </row>
    <row r="2657" spans="65:67" x14ac:dyDescent="0.25">
      <c r="BM2657" s="281">
        <f>$AZ$35</f>
        <v>25.94</v>
      </c>
      <c r="BN2657" s="281">
        <f>$AX$10+seat_w*($AY$35*n_SA+$AW$10&lt;pax_e)</f>
        <v>1.8400000000000003</v>
      </c>
      <c r="BO2657" s="281">
        <f t="shared" si="175"/>
        <v>8.129520000000003</v>
      </c>
    </row>
    <row r="2658" spans="65:67" x14ac:dyDescent="0.25">
      <c r="BM2658" s="281">
        <f>$AZ$35+1*(seat_pitch)*($AY$35*n_SA+$AW$10&lt;pax_e)</f>
        <v>26.75</v>
      </c>
      <c r="BN2658" s="281">
        <f>$AX$10+seat_w*($AY$35*n_SA+$AW$10&lt;pax_e)</f>
        <v>1.8400000000000003</v>
      </c>
      <c r="BO2658" s="281">
        <f t="shared" si="175"/>
        <v>8.9395200000000017</v>
      </c>
    </row>
    <row r="2659" spans="65:67" x14ac:dyDescent="0.25">
      <c r="BM2659" s="281">
        <f>$AZ$35+0.8*(seat_pitch)*($AY$35*n_SA+$AW$10&lt;pax_e)</f>
        <v>26.588000000000001</v>
      </c>
      <c r="BN2659" s="281">
        <f>$AX$10+seat_w*($AY$35*n_SA+$AW$10&lt;pax_e)</f>
        <v>1.8400000000000003</v>
      </c>
      <c r="BO2659" s="281">
        <f t="shared" si="175"/>
        <v>8.7775200000000027</v>
      </c>
    </row>
    <row r="2660" spans="65:67" x14ac:dyDescent="0.25">
      <c r="BM2660" s="281">
        <f>$AZ$35+0.8*(seat_pitch)*($AY$35*n_SA+$AW$10&lt;pax_e)</f>
        <v>26.588000000000001</v>
      </c>
      <c r="BN2660" s="281">
        <f>$AX$10</f>
        <v>1.3100000000000003</v>
      </c>
      <c r="BO2660" s="281">
        <f t="shared" si="175"/>
        <v>8.7775200000000027</v>
      </c>
    </row>
    <row r="2661" spans="65:67" x14ac:dyDescent="0.25">
      <c r="BM2661" s="281">
        <f>$AZ$35+0.2*(seat_pitch)*($AY$35*n_SA+$AW$10&lt;pax_e)</f>
        <v>26.102</v>
      </c>
      <c r="BN2661" s="281">
        <f>$AX$10</f>
        <v>1.3100000000000003</v>
      </c>
      <c r="BO2661" s="281">
        <f t="shared" si="175"/>
        <v>8.291520000000002</v>
      </c>
    </row>
    <row r="2662" spans="65:67" x14ac:dyDescent="0.25">
      <c r="BM2662" s="281">
        <f>$AZ$35+(seat_pitch)</f>
        <v>26.75</v>
      </c>
      <c r="BN2662" s="281">
        <f>$AX$10</f>
        <v>1.3100000000000003</v>
      </c>
      <c r="BO2662" s="281">
        <f t="shared" si="175"/>
        <v>8.9395200000000017</v>
      </c>
    </row>
    <row r="2663" spans="65:67" x14ac:dyDescent="0.25">
      <c r="BM2663" s="281">
        <f>$AZ$36+0.2*(seat_pitch)*($AY$36*n_SA+$AW$10&lt;pax_e)</f>
        <v>26.102</v>
      </c>
      <c r="BN2663" s="281">
        <f>$AX$10</f>
        <v>1.3100000000000003</v>
      </c>
      <c r="BO2663" s="281">
        <f t="shared" si="175"/>
        <v>8.291520000000002</v>
      </c>
    </row>
    <row r="2664" spans="65:67" x14ac:dyDescent="0.25">
      <c r="BM2664" s="281">
        <f>$AZ$36+0.2*(seat_pitch)*($AY$36*n_SA+$AW$10&lt;pax_e)</f>
        <v>26.102</v>
      </c>
      <c r="BN2664" s="281">
        <f>$AX$10+seat_w*($AY$36*n_SA+$AW$10&lt;pax_e)</f>
        <v>1.8400000000000003</v>
      </c>
      <c r="BO2664" s="281">
        <f t="shared" si="175"/>
        <v>8.291520000000002</v>
      </c>
    </row>
    <row r="2665" spans="65:67" x14ac:dyDescent="0.25">
      <c r="BM2665" s="281">
        <f>$AZ$36</f>
        <v>25.94</v>
      </c>
      <c r="BN2665" s="281">
        <f>$AX$10+seat_w*($AY$36*n_SA+$AW$10&lt;pax_e)</f>
        <v>1.8400000000000003</v>
      </c>
      <c r="BO2665" s="281">
        <f t="shared" si="175"/>
        <v>8.129520000000003</v>
      </c>
    </row>
    <row r="2666" spans="65:67" x14ac:dyDescent="0.25">
      <c r="BM2666" s="281">
        <f>$AZ$36+1*(seat_pitch)*($AY$36*n_SA+$AW$10&lt;pax_e)</f>
        <v>26.75</v>
      </c>
      <c r="BN2666" s="281">
        <f>$AX$10+seat_w*($AY$36*n_SA+$AW$10&lt;pax_e)</f>
        <v>1.8400000000000003</v>
      </c>
      <c r="BO2666" s="281">
        <f t="shared" si="175"/>
        <v>8.9395200000000017</v>
      </c>
    </row>
    <row r="2667" spans="65:67" x14ac:dyDescent="0.25">
      <c r="BM2667" s="281">
        <f>$AZ$36+0.8*(seat_pitch)*($AY$36*n_SA+$AW$10&lt;pax_e)</f>
        <v>26.588000000000001</v>
      </c>
      <c r="BN2667" s="281">
        <f>$AX$10+seat_w*($AY$36*n_SA+$AW$10&lt;pax_e)</f>
        <v>1.8400000000000003</v>
      </c>
      <c r="BO2667" s="281">
        <f t="shared" si="175"/>
        <v>8.7775200000000027</v>
      </c>
    </row>
    <row r="2668" spans="65:67" x14ac:dyDescent="0.25">
      <c r="BM2668" s="281">
        <f>$AZ$36+0.8*(seat_pitch)*($AY$36*n_SA+$AW$10&lt;pax_e)</f>
        <v>26.588000000000001</v>
      </c>
      <c r="BN2668" s="281">
        <f>$AX$10</f>
        <v>1.3100000000000003</v>
      </c>
      <c r="BO2668" s="281">
        <f t="shared" si="175"/>
        <v>8.7775200000000027</v>
      </c>
    </row>
    <row r="2669" spans="65:67" x14ac:dyDescent="0.25">
      <c r="BM2669" s="281">
        <f>$AZ$36+0.2*(seat_pitch)*($AY$36*n_SA+$AW$10&lt;pax_e)</f>
        <v>26.102</v>
      </c>
      <c r="BN2669" s="281">
        <f>$AX$10</f>
        <v>1.3100000000000003</v>
      </c>
      <c r="BO2669" s="281">
        <f t="shared" si="175"/>
        <v>8.291520000000002</v>
      </c>
    </row>
    <row r="2670" spans="65:67" x14ac:dyDescent="0.25">
      <c r="BM2670" s="281">
        <f>$AZ$36+(seat_pitch)</f>
        <v>26.75</v>
      </c>
      <c r="BN2670" s="281">
        <f>$AX$10</f>
        <v>1.3100000000000003</v>
      </c>
      <c r="BO2670" s="281">
        <f t="shared" si="175"/>
        <v>8.9395200000000017</v>
      </c>
    </row>
    <row r="2671" spans="65:67" x14ac:dyDescent="0.25">
      <c r="BM2671" s="281">
        <f>$AZ$37+0.2*(seat_pitch)*($AY$37*n_SA+$AW$10&lt;pax_e)</f>
        <v>26.102</v>
      </c>
      <c r="BN2671" s="281">
        <f>$AX$10</f>
        <v>1.3100000000000003</v>
      </c>
      <c r="BO2671" s="281">
        <f t="shared" si="175"/>
        <v>8.291520000000002</v>
      </c>
    </row>
    <row r="2672" spans="65:67" x14ac:dyDescent="0.25">
      <c r="BM2672" s="281">
        <f>$AZ$37+0.2*(seat_pitch)*($AY$37*n_SA+$AW$10&lt;pax_e)</f>
        <v>26.102</v>
      </c>
      <c r="BN2672" s="281">
        <f>$AX$10+seat_w*($AY$37*n_SA+$AW$10&lt;pax_e)</f>
        <v>1.8400000000000003</v>
      </c>
      <c r="BO2672" s="281">
        <f t="shared" si="175"/>
        <v>8.291520000000002</v>
      </c>
    </row>
    <row r="2673" spans="65:67" x14ac:dyDescent="0.25">
      <c r="BM2673" s="281">
        <f>$AZ$37</f>
        <v>25.94</v>
      </c>
      <c r="BN2673" s="281">
        <f>$AX$10+seat_w*($AY$37*n_SA+$AW$10&lt;pax_e)</f>
        <v>1.8400000000000003</v>
      </c>
      <c r="BO2673" s="281">
        <f t="shared" si="175"/>
        <v>8.129520000000003</v>
      </c>
    </row>
    <row r="2674" spans="65:67" x14ac:dyDescent="0.25">
      <c r="BM2674" s="281">
        <f>$AZ$37+1*(seat_pitch)*($AY$37*n_SA+$AW$10&lt;pax_e)</f>
        <v>26.75</v>
      </c>
      <c r="BN2674" s="281">
        <f>$AX$10+seat_w*($AY$37*n_SA+$AW$10&lt;pax_e)</f>
        <v>1.8400000000000003</v>
      </c>
      <c r="BO2674" s="281">
        <f t="shared" si="175"/>
        <v>8.9395200000000017</v>
      </c>
    </row>
    <row r="2675" spans="65:67" x14ac:dyDescent="0.25">
      <c r="BM2675" s="281">
        <f>$AZ$37+0.8*(seat_pitch)*($AY$37*n_SA+$AW$10&lt;pax_e)</f>
        <v>26.588000000000001</v>
      </c>
      <c r="BN2675" s="281">
        <f>$AX$10+seat_w*($AY$37*n_SA+$AW$10&lt;pax_e)</f>
        <v>1.8400000000000003</v>
      </c>
      <c r="BO2675" s="281">
        <f t="shared" si="175"/>
        <v>8.7775200000000027</v>
      </c>
    </row>
    <row r="2676" spans="65:67" x14ac:dyDescent="0.25">
      <c r="BM2676" s="281">
        <f>$AZ$37+0.8*(seat_pitch)*($AY$37*n_SA+$AW$10&lt;pax_e)</f>
        <v>26.588000000000001</v>
      </c>
      <c r="BN2676" s="281">
        <f>$AX$10</f>
        <v>1.3100000000000003</v>
      </c>
      <c r="BO2676" s="281">
        <f t="shared" si="175"/>
        <v>8.7775200000000027</v>
      </c>
    </row>
    <row r="2677" spans="65:67" x14ac:dyDescent="0.25">
      <c r="BM2677" s="281">
        <f>$AZ$37+0.2*(seat_pitch)*($AY$37*n_SA+$AW$10&lt;pax_e)</f>
        <v>26.102</v>
      </c>
      <c r="BN2677" s="281">
        <f>$AX$10</f>
        <v>1.3100000000000003</v>
      </c>
      <c r="BO2677" s="281">
        <f t="shared" si="175"/>
        <v>8.291520000000002</v>
      </c>
    </row>
    <row r="2678" spans="65:67" x14ac:dyDescent="0.25">
      <c r="BM2678" s="281">
        <f>$AZ$37+(seat_pitch)</f>
        <v>26.75</v>
      </c>
      <c r="BN2678" s="281">
        <f>$AX$10</f>
        <v>1.3100000000000003</v>
      </c>
      <c r="BO2678" s="281">
        <f t="shared" si="175"/>
        <v>8.9395200000000017</v>
      </c>
    </row>
    <row r="2679" spans="65:67" x14ac:dyDescent="0.25">
      <c r="BM2679" s="281">
        <f>$AZ$38+0.2*(seat_pitch)*($AY$38*n_SA+$AW$10&lt;pax_e)</f>
        <v>26.102</v>
      </c>
      <c r="BN2679" s="281">
        <f>$AX$10</f>
        <v>1.3100000000000003</v>
      </c>
      <c r="BO2679" s="281">
        <f t="shared" si="175"/>
        <v>8.291520000000002</v>
      </c>
    </row>
    <row r="2680" spans="65:67" x14ac:dyDescent="0.25">
      <c r="BM2680" s="281">
        <f>$AZ$38+0.2*(seat_pitch)*($AY$38*n_SA+$AW$10&lt;pax_e)</f>
        <v>26.102</v>
      </c>
      <c r="BN2680" s="281">
        <f>$AX$10+seat_w*($AY$38*n_SA+$AW$10&lt;pax_e)</f>
        <v>1.8400000000000003</v>
      </c>
      <c r="BO2680" s="281">
        <f t="shared" si="175"/>
        <v>8.291520000000002</v>
      </c>
    </row>
    <row r="2681" spans="65:67" x14ac:dyDescent="0.25">
      <c r="BM2681" s="281">
        <f>$AZ$38</f>
        <v>25.94</v>
      </c>
      <c r="BN2681" s="281">
        <f>$AX$10+seat_w*($AY$38*n_SA+$AW$10&lt;pax_e)</f>
        <v>1.8400000000000003</v>
      </c>
      <c r="BO2681" s="281">
        <f t="shared" si="175"/>
        <v>8.129520000000003</v>
      </c>
    </row>
    <row r="2682" spans="65:67" x14ac:dyDescent="0.25">
      <c r="BM2682" s="281">
        <f>$AZ$38+1*(seat_pitch)*($AY$38*n_SA+$AW$10&lt;pax_e)</f>
        <v>26.75</v>
      </c>
      <c r="BN2682" s="281">
        <f>$AX$10+seat_w*($AY$38*n_SA+$AW$10&lt;pax_e)</f>
        <v>1.8400000000000003</v>
      </c>
      <c r="BO2682" s="281">
        <f t="shared" si="175"/>
        <v>8.9395200000000017</v>
      </c>
    </row>
    <row r="2683" spans="65:67" x14ac:dyDescent="0.25">
      <c r="BM2683" s="281">
        <f>$AZ$38+0.8*(seat_pitch)*($AY$38*n_SA+$AW$10&lt;pax_e)</f>
        <v>26.588000000000001</v>
      </c>
      <c r="BN2683" s="281">
        <f>$AX$10+seat_w*($AY$38*n_SA+$AW$10&lt;pax_e)</f>
        <v>1.8400000000000003</v>
      </c>
      <c r="BO2683" s="281">
        <f t="shared" si="175"/>
        <v>8.7775200000000027</v>
      </c>
    </row>
    <row r="2684" spans="65:67" x14ac:dyDescent="0.25">
      <c r="BM2684" s="281">
        <f>$AZ$38+0.8*(seat_pitch)*($AY$38*n_SA+$AW$10&lt;pax_e)</f>
        <v>26.588000000000001</v>
      </c>
      <c r="BN2684" s="281">
        <f>$AX$10</f>
        <v>1.3100000000000003</v>
      </c>
      <c r="BO2684" s="281">
        <f t="shared" si="175"/>
        <v>8.7775200000000027</v>
      </c>
    </row>
    <row r="2685" spans="65:67" x14ac:dyDescent="0.25">
      <c r="BM2685" s="281">
        <f>$AZ$38+0.2*(seat_pitch)*($AY$38*n_SA+$AW$10&lt;pax_e)</f>
        <v>26.102</v>
      </c>
      <c r="BN2685" s="281">
        <f>$AX$10</f>
        <v>1.3100000000000003</v>
      </c>
      <c r="BO2685" s="281">
        <f t="shared" si="175"/>
        <v>8.291520000000002</v>
      </c>
    </row>
    <row r="2686" spans="65:67" x14ac:dyDescent="0.25">
      <c r="BM2686" s="281">
        <f>$AZ$38+(seat_pitch)</f>
        <v>26.75</v>
      </c>
      <c r="BN2686" s="281">
        <f>$AX$10</f>
        <v>1.3100000000000003</v>
      </c>
      <c r="BO2686" s="281">
        <f t="shared" si="175"/>
        <v>8.9395200000000017</v>
      </c>
    </row>
    <row r="2687" spans="65:67" x14ac:dyDescent="0.25">
      <c r="BM2687" s="281">
        <f>$AZ$39+0.2*(seat_pitch)*($AY$39*n_SA+$AW$10&lt;pax_e)</f>
        <v>26.102</v>
      </c>
      <c r="BN2687" s="281">
        <f>$AX$10</f>
        <v>1.3100000000000003</v>
      </c>
      <c r="BO2687" s="281">
        <f t="shared" si="175"/>
        <v>8.291520000000002</v>
      </c>
    </row>
    <row r="2688" spans="65:67" x14ac:dyDescent="0.25">
      <c r="BM2688" s="281">
        <f>$AZ$39+0.2*(seat_pitch)*($AY$39*n_SA+$AW$10&lt;pax_e)</f>
        <v>26.102</v>
      </c>
      <c r="BN2688" s="281">
        <f>$AX$10+seat_w*($AY$39*n_SA+$AW$10&lt;pax_e)</f>
        <v>1.8400000000000003</v>
      </c>
      <c r="BO2688" s="281">
        <f t="shared" si="175"/>
        <v>8.291520000000002</v>
      </c>
    </row>
    <row r="2689" spans="65:67" x14ac:dyDescent="0.25">
      <c r="BM2689" s="281">
        <f>$AZ$39</f>
        <v>25.94</v>
      </c>
      <c r="BN2689" s="281">
        <f>$AX$10+seat_w*($AY$39*n_SA+$AW$10&lt;pax_e)</f>
        <v>1.8400000000000003</v>
      </c>
      <c r="BO2689" s="281">
        <f t="shared" si="175"/>
        <v>8.129520000000003</v>
      </c>
    </row>
    <row r="2690" spans="65:67" x14ac:dyDescent="0.25">
      <c r="BM2690" s="281">
        <f>$AZ$39+1*(seat_pitch)*($AY$39*n_SA+$AW$10&lt;pax_e)</f>
        <v>26.75</v>
      </c>
      <c r="BN2690" s="281">
        <f>$AX$10+seat_w*($AY$39*n_SA+$AW$10&lt;pax_e)</f>
        <v>1.8400000000000003</v>
      </c>
      <c r="BO2690" s="281">
        <f t="shared" si="175"/>
        <v>8.9395200000000017</v>
      </c>
    </row>
    <row r="2691" spans="65:67" x14ac:dyDescent="0.25">
      <c r="BM2691" s="281">
        <f>$AZ$39+0.8*(seat_pitch)*($AY$39*n_SA+$AW$10&lt;pax_e)</f>
        <v>26.588000000000001</v>
      </c>
      <c r="BN2691" s="281">
        <f>$AX$10+seat_w*($AY$39*n_SA+$AW$10&lt;pax_e)</f>
        <v>1.8400000000000003</v>
      </c>
      <c r="BO2691" s="281">
        <f t="shared" si="175"/>
        <v>8.7775200000000027</v>
      </c>
    </row>
    <row r="2692" spans="65:67" x14ac:dyDescent="0.25">
      <c r="BM2692" s="281">
        <f>$AZ$39+0.8*(seat_pitch)*($AY$39*n_SA+$AW$10&lt;pax_e)</f>
        <v>26.588000000000001</v>
      </c>
      <c r="BN2692" s="281">
        <f>$AX$10</f>
        <v>1.3100000000000003</v>
      </c>
      <c r="BO2692" s="281">
        <f t="shared" si="175"/>
        <v>8.7775200000000027</v>
      </c>
    </row>
    <row r="2693" spans="65:67" x14ac:dyDescent="0.25">
      <c r="BM2693" s="281">
        <f>$AZ$39+0.2*(seat_pitch)*($AY$39*n_SA+$AW$10&lt;pax_e)</f>
        <v>26.102</v>
      </c>
      <c r="BN2693" s="281">
        <f>$AX$10</f>
        <v>1.3100000000000003</v>
      </c>
      <c r="BO2693" s="281">
        <f t="shared" ref="BO2693:BO2756" si="176">BM2693-L_fus/2</f>
        <v>8.291520000000002</v>
      </c>
    </row>
    <row r="2694" spans="65:67" x14ac:dyDescent="0.25">
      <c r="BM2694" s="281">
        <f>$AZ$39+(seat_pitch)</f>
        <v>26.75</v>
      </c>
      <c r="BN2694" s="281">
        <f>$AX$10</f>
        <v>1.3100000000000003</v>
      </c>
      <c r="BO2694" s="281">
        <f t="shared" si="176"/>
        <v>8.9395200000000017</v>
      </c>
    </row>
    <row r="2695" spans="65:67" x14ac:dyDescent="0.25">
      <c r="BM2695" s="281">
        <f>$AZ$40+0.2*(seat_pitch)*($AY$40*n_SA+$AW$10&lt;pax_e)</f>
        <v>26.102</v>
      </c>
      <c r="BN2695" s="281">
        <f>$AX$10</f>
        <v>1.3100000000000003</v>
      </c>
      <c r="BO2695" s="281">
        <f t="shared" si="176"/>
        <v>8.291520000000002</v>
      </c>
    </row>
    <row r="2696" spans="65:67" x14ac:dyDescent="0.25">
      <c r="BM2696" s="281">
        <f>$AZ$40+0.2*(seat_pitch)*($AY$40*n_SA+$AW$10&lt;pax_e)</f>
        <v>26.102</v>
      </c>
      <c r="BN2696" s="281">
        <f>$AX$10+seat_w*($AY$40*n_SA+$AW$10&lt;pax_e)</f>
        <v>1.8400000000000003</v>
      </c>
      <c r="BO2696" s="281">
        <f t="shared" si="176"/>
        <v>8.291520000000002</v>
      </c>
    </row>
    <row r="2697" spans="65:67" x14ac:dyDescent="0.25">
      <c r="BM2697" s="281">
        <f>$AZ$40</f>
        <v>25.94</v>
      </c>
      <c r="BN2697" s="281">
        <f>$AX$10+seat_w*($AY$40*n_SA+$AW$10&lt;pax_e)</f>
        <v>1.8400000000000003</v>
      </c>
      <c r="BO2697" s="281">
        <f t="shared" si="176"/>
        <v>8.129520000000003</v>
      </c>
    </row>
    <row r="2698" spans="65:67" x14ac:dyDescent="0.25">
      <c r="BM2698" s="281">
        <f>$AZ$40+1*(seat_pitch)*($AY$40*n_SA+$AW$10&lt;pax_e)</f>
        <v>26.75</v>
      </c>
      <c r="BN2698" s="281">
        <f>$AX$10+seat_w*($AY$40*n_SA+$AW$10&lt;pax_e)</f>
        <v>1.8400000000000003</v>
      </c>
      <c r="BO2698" s="281">
        <f t="shared" si="176"/>
        <v>8.9395200000000017</v>
      </c>
    </row>
    <row r="2699" spans="65:67" x14ac:dyDescent="0.25">
      <c r="BM2699" s="281">
        <f>$AZ$40+0.8*(seat_pitch)*($AY$40*n_SA+$AW$10&lt;pax_e)</f>
        <v>26.588000000000001</v>
      </c>
      <c r="BN2699" s="281">
        <f>$AX$10+seat_w*($AY$40*n_SA+$AW$10&lt;pax_e)</f>
        <v>1.8400000000000003</v>
      </c>
      <c r="BO2699" s="281">
        <f t="shared" si="176"/>
        <v>8.7775200000000027</v>
      </c>
    </row>
    <row r="2700" spans="65:67" x14ac:dyDescent="0.25">
      <c r="BM2700" s="281">
        <f>$AZ$40+0.8*(seat_pitch)*($AY$40*n_SA+$AW$10&lt;pax_e)</f>
        <v>26.588000000000001</v>
      </c>
      <c r="BN2700" s="281">
        <f>$AX$10</f>
        <v>1.3100000000000003</v>
      </c>
      <c r="BO2700" s="281">
        <f t="shared" si="176"/>
        <v>8.7775200000000027</v>
      </c>
    </row>
    <row r="2701" spans="65:67" x14ac:dyDescent="0.25">
      <c r="BM2701" s="281">
        <f>$AZ$40+0.2*(seat_pitch)*($AY$40*n_SA+$AW$10&lt;pax_e)</f>
        <v>26.102</v>
      </c>
      <c r="BN2701" s="281">
        <f>$AX$10</f>
        <v>1.3100000000000003</v>
      </c>
      <c r="BO2701" s="281">
        <f t="shared" si="176"/>
        <v>8.291520000000002</v>
      </c>
    </row>
    <row r="2702" spans="65:67" x14ac:dyDescent="0.25">
      <c r="BM2702" s="281">
        <f>$AZ$40+(seat_pitch)</f>
        <v>26.75</v>
      </c>
      <c r="BN2702" s="281">
        <f>$AX$10</f>
        <v>1.3100000000000003</v>
      </c>
      <c r="BO2702" s="281">
        <f t="shared" si="176"/>
        <v>8.9395200000000017</v>
      </c>
    </row>
    <row r="2703" spans="65:67" x14ac:dyDescent="0.25">
      <c r="BM2703" s="281">
        <f>$AZ$41+0.2*(seat_pitch)*($AY$41*n_SA+$AW$10&lt;pax_e)</f>
        <v>26.102</v>
      </c>
      <c r="BN2703" s="281">
        <f>$AX$10</f>
        <v>1.3100000000000003</v>
      </c>
      <c r="BO2703" s="281">
        <f t="shared" si="176"/>
        <v>8.291520000000002</v>
      </c>
    </row>
    <row r="2704" spans="65:67" x14ac:dyDescent="0.25">
      <c r="BM2704" s="281">
        <f>$AZ$41+0.2*(seat_pitch)*($AY$41*n_SA+$AW$10&lt;pax_e)</f>
        <v>26.102</v>
      </c>
      <c r="BN2704" s="281">
        <f>$AX$10+seat_w*($AY$41*n_SA+$AW$10&lt;pax_e)</f>
        <v>1.8400000000000003</v>
      </c>
      <c r="BO2704" s="281">
        <f t="shared" si="176"/>
        <v>8.291520000000002</v>
      </c>
    </row>
    <row r="2705" spans="65:67" x14ac:dyDescent="0.25">
      <c r="BM2705" s="281">
        <f>$AZ$41</f>
        <v>25.94</v>
      </c>
      <c r="BN2705" s="281">
        <f>$AX$10+seat_w*($AY$41*n_SA+$AW$10&lt;pax_e)</f>
        <v>1.8400000000000003</v>
      </c>
      <c r="BO2705" s="281">
        <f t="shared" si="176"/>
        <v>8.129520000000003</v>
      </c>
    </row>
    <row r="2706" spans="65:67" x14ac:dyDescent="0.25">
      <c r="BM2706" s="281">
        <f>$AZ$41+1*(seat_pitch)*($AY$41*n_SA+$AW$10&lt;pax_e)</f>
        <v>26.75</v>
      </c>
      <c r="BN2706" s="281">
        <f>$AX$10+seat_w*($AY$41*n_SA+$AW$10&lt;pax_e)</f>
        <v>1.8400000000000003</v>
      </c>
      <c r="BO2706" s="281">
        <f t="shared" si="176"/>
        <v>8.9395200000000017</v>
      </c>
    </row>
    <row r="2707" spans="65:67" x14ac:dyDescent="0.25">
      <c r="BM2707" s="281">
        <f>$AZ$41+0.8*(seat_pitch)*($AY$41*n_SA+$AW$10&lt;pax_e)</f>
        <v>26.588000000000001</v>
      </c>
      <c r="BN2707" s="281">
        <f>$AX$10+seat_w*($AY$41*n_SA+$AW$10&lt;pax_e)</f>
        <v>1.8400000000000003</v>
      </c>
      <c r="BO2707" s="281">
        <f t="shared" si="176"/>
        <v>8.7775200000000027</v>
      </c>
    </row>
    <row r="2708" spans="65:67" x14ac:dyDescent="0.25">
      <c r="BM2708" s="281">
        <f>$AZ$41+0.8*(seat_pitch)*($AY$41*n_SA+$AW$10&lt;pax_e)</f>
        <v>26.588000000000001</v>
      </c>
      <c r="BN2708" s="281">
        <f>$AX$10</f>
        <v>1.3100000000000003</v>
      </c>
      <c r="BO2708" s="281">
        <f t="shared" si="176"/>
        <v>8.7775200000000027</v>
      </c>
    </row>
    <row r="2709" spans="65:67" x14ac:dyDescent="0.25">
      <c r="BM2709" s="281">
        <f>$AZ$41+0.2*(seat_pitch)*($AY$41*n_SA+$AW$10&lt;pax_e)</f>
        <v>26.102</v>
      </c>
      <c r="BN2709" s="281">
        <f>$AX$10</f>
        <v>1.3100000000000003</v>
      </c>
      <c r="BO2709" s="281">
        <f t="shared" si="176"/>
        <v>8.291520000000002</v>
      </c>
    </row>
    <row r="2710" spans="65:67" x14ac:dyDescent="0.25">
      <c r="BM2710" s="281">
        <f>$AZ$41+(seat_pitch)</f>
        <v>26.75</v>
      </c>
      <c r="BN2710" s="281">
        <f>$AX$10</f>
        <v>1.3100000000000003</v>
      </c>
      <c r="BO2710" s="281">
        <f t="shared" si="176"/>
        <v>8.9395200000000017</v>
      </c>
    </row>
    <row r="2711" spans="65:67" x14ac:dyDescent="0.25">
      <c r="BM2711" s="281">
        <f>$AZ$42+0.2*(seat_pitch)*($AY$42*n_SA+$AW$10&lt;pax_e)</f>
        <v>26.102</v>
      </c>
      <c r="BN2711" s="281">
        <f>$AX$10</f>
        <v>1.3100000000000003</v>
      </c>
      <c r="BO2711" s="281">
        <f t="shared" si="176"/>
        <v>8.291520000000002</v>
      </c>
    </row>
    <row r="2712" spans="65:67" x14ac:dyDescent="0.25">
      <c r="BM2712" s="281">
        <f>$AZ$42+0.2*(seat_pitch)*($AY$42*n_SA+$AW$10&lt;pax_e)</f>
        <v>26.102</v>
      </c>
      <c r="BN2712" s="281">
        <f>$AX$10+seat_w*($AY$42*n_SA+$AW$10&lt;pax_e)</f>
        <v>1.8400000000000003</v>
      </c>
      <c r="BO2712" s="281">
        <f t="shared" si="176"/>
        <v>8.291520000000002</v>
      </c>
    </row>
    <row r="2713" spans="65:67" x14ac:dyDescent="0.25">
      <c r="BM2713" s="281">
        <f>$AZ$42</f>
        <v>25.94</v>
      </c>
      <c r="BN2713" s="281">
        <f>$AX$10+seat_w*($AY$42*n_SA+$AW$10&lt;pax_e)</f>
        <v>1.8400000000000003</v>
      </c>
      <c r="BO2713" s="281">
        <f t="shared" si="176"/>
        <v>8.129520000000003</v>
      </c>
    </row>
    <row r="2714" spans="65:67" x14ac:dyDescent="0.25">
      <c r="BM2714" s="281">
        <f>$AZ$42+1*(seat_pitch)*($AY$42*n_SA+$AW$10&lt;pax_e)</f>
        <v>26.75</v>
      </c>
      <c r="BN2714" s="281">
        <f>$AX$10+seat_w*($AY$42*n_SA+$AW$10&lt;pax_e)</f>
        <v>1.8400000000000003</v>
      </c>
      <c r="BO2714" s="281">
        <f t="shared" si="176"/>
        <v>8.9395200000000017</v>
      </c>
    </row>
    <row r="2715" spans="65:67" x14ac:dyDescent="0.25">
      <c r="BM2715" s="281">
        <f>$AZ$42+0.8*(seat_pitch)*($AY$42*n_SA+$AW$10&lt;pax_e)</f>
        <v>26.588000000000001</v>
      </c>
      <c r="BN2715" s="281">
        <f>$AX$10+seat_w*($AY$42*n_SA+$AW$10&lt;pax_e)</f>
        <v>1.8400000000000003</v>
      </c>
      <c r="BO2715" s="281">
        <f t="shared" si="176"/>
        <v>8.7775200000000027</v>
      </c>
    </row>
    <row r="2716" spans="65:67" x14ac:dyDescent="0.25">
      <c r="BM2716" s="281">
        <f>$AZ$42+0.8*(seat_pitch)*($AY$42*n_SA+$AW$10&lt;pax_e)</f>
        <v>26.588000000000001</v>
      </c>
      <c r="BN2716" s="281">
        <f>$AX$10</f>
        <v>1.3100000000000003</v>
      </c>
      <c r="BO2716" s="281">
        <f t="shared" si="176"/>
        <v>8.7775200000000027</v>
      </c>
    </row>
    <row r="2717" spans="65:67" x14ac:dyDescent="0.25">
      <c r="BM2717" s="281">
        <f>$AZ$42+0.2*(seat_pitch)*($AY$42*n_SA+$AW$10&lt;pax_e)</f>
        <v>26.102</v>
      </c>
      <c r="BN2717" s="281">
        <f>$AX$10</f>
        <v>1.3100000000000003</v>
      </c>
      <c r="BO2717" s="281">
        <f t="shared" si="176"/>
        <v>8.291520000000002</v>
      </c>
    </row>
    <row r="2718" spans="65:67" x14ac:dyDescent="0.25">
      <c r="BM2718" s="281">
        <f>$AZ$42+(seat_pitch)</f>
        <v>26.75</v>
      </c>
      <c r="BN2718" s="281">
        <f>$AX$10</f>
        <v>1.3100000000000003</v>
      </c>
      <c r="BO2718" s="281">
        <f t="shared" si="176"/>
        <v>8.9395200000000017</v>
      </c>
    </row>
    <row r="2719" spans="65:67" x14ac:dyDescent="0.25">
      <c r="BM2719" s="281">
        <f>$AZ$43+0.2*(seat_pitch)*($AY$43*n_SA+$AW$10&lt;pax_e)</f>
        <v>26.102</v>
      </c>
      <c r="BN2719" s="281">
        <f>$AX$10</f>
        <v>1.3100000000000003</v>
      </c>
      <c r="BO2719" s="281">
        <f t="shared" si="176"/>
        <v>8.291520000000002</v>
      </c>
    </row>
    <row r="2720" spans="65:67" x14ac:dyDescent="0.25">
      <c r="BM2720" s="281">
        <f>$AZ$43+0.2*(seat_pitch)*($AY$43*n_SA+$AW$10&lt;pax_e)</f>
        <v>26.102</v>
      </c>
      <c r="BN2720" s="281">
        <f>$AX$10+seat_w*($AY$43*n_SA+$AW$10&lt;pax_e)</f>
        <v>1.8400000000000003</v>
      </c>
      <c r="BO2720" s="281">
        <f t="shared" si="176"/>
        <v>8.291520000000002</v>
      </c>
    </row>
    <row r="2721" spans="65:67" x14ac:dyDescent="0.25">
      <c r="BM2721" s="281">
        <f>$AZ$43</f>
        <v>25.94</v>
      </c>
      <c r="BN2721" s="281">
        <f>$AX$10+seat_w*($AY$43*n_SA+$AW$10&lt;pax_e)</f>
        <v>1.8400000000000003</v>
      </c>
      <c r="BO2721" s="281">
        <f t="shared" si="176"/>
        <v>8.129520000000003</v>
      </c>
    </row>
    <row r="2722" spans="65:67" x14ac:dyDescent="0.25">
      <c r="BM2722" s="281">
        <f>$AZ$43+1*(seat_pitch)*($AY$43*n_SA+$AW$10&lt;pax_e)</f>
        <v>26.75</v>
      </c>
      <c r="BN2722" s="281">
        <f>$AX$10+seat_w*($AY$43*n_SA+$AW$10&lt;pax_e)</f>
        <v>1.8400000000000003</v>
      </c>
      <c r="BO2722" s="281">
        <f t="shared" si="176"/>
        <v>8.9395200000000017</v>
      </c>
    </row>
    <row r="2723" spans="65:67" x14ac:dyDescent="0.25">
      <c r="BM2723" s="281">
        <f>$AZ$43+0.8*(seat_pitch)*($AY$43*n_SA+$AW$10&lt;pax_e)</f>
        <v>26.588000000000001</v>
      </c>
      <c r="BN2723" s="281">
        <f>$AX$10+seat_w*($AY$43*n_SA+$AW$10&lt;pax_e)</f>
        <v>1.8400000000000003</v>
      </c>
      <c r="BO2723" s="281">
        <f t="shared" si="176"/>
        <v>8.7775200000000027</v>
      </c>
    </row>
    <row r="2724" spans="65:67" x14ac:dyDescent="0.25">
      <c r="BM2724" s="281">
        <f>$AZ$43+0.8*(seat_pitch)*($AY$43*n_SA+$AW$10&lt;pax_e)</f>
        <v>26.588000000000001</v>
      </c>
      <c r="BN2724" s="281">
        <f>$AX$10</f>
        <v>1.3100000000000003</v>
      </c>
      <c r="BO2724" s="281">
        <f t="shared" si="176"/>
        <v>8.7775200000000027</v>
      </c>
    </row>
    <row r="2725" spans="65:67" x14ac:dyDescent="0.25">
      <c r="BM2725" s="281">
        <f>$AZ$43+0.2*(seat_pitch)*($AY$43*n_SA+$AW$10&lt;pax_e)</f>
        <v>26.102</v>
      </c>
      <c r="BN2725" s="281">
        <f>$AX$10</f>
        <v>1.3100000000000003</v>
      </c>
      <c r="BO2725" s="281">
        <f t="shared" si="176"/>
        <v>8.291520000000002</v>
      </c>
    </row>
    <row r="2726" spans="65:67" x14ac:dyDescent="0.25">
      <c r="BM2726" s="281">
        <f>$AZ$43+(seat_pitch)</f>
        <v>26.75</v>
      </c>
      <c r="BN2726" s="281">
        <f>$AX$10</f>
        <v>1.3100000000000003</v>
      </c>
      <c r="BO2726" s="281">
        <f t="shared" si="176"/>
        <v>8.9395200000000017</v>
      </c>
    </row>
    <row r="2727" spans="65:67" x14ac:dyDescent="0.25">
      <c r="BM2727" s="281">
        <f>$AZ$44+0.2*(seat_pitch)*($AY$44*n_SA+$AW$10&lt;pax_e)</f>
        <v>26.102</v>
      </c>
      <c r="BN2727" s="281">
        <f>$AX$10</f>
        <v>1.3100000000000003</v>
      </c>
      <c r="BO2727" s="281">
        <f t="shared" si="176"/>
        <v>8.291520000000002</v>
      </c>
    </row>
    <row r="2728" spans="65:67" x14ac:dyDescent="0.25">
      <c r="BM2728" s="281">
        <f>$AZ$44+0.2*(seat_pitch)*($AY$44*n_SA+$AW$10&lt;pax_e)</f>
        <v>26.102</v>
      </c>
      <c r="BN2728" s="281">
        <f>$AX$10+seat_w*($AY$44*n_SA+$AW$10&lt;pax_e)</f>
        <v>1.8400000000000003</v>
      </c>
      <c r="BO2728" s="281">
        <f t="shared" si="176"/>
        <v>8.291520000000002</v>
      </c>
    </row>
    <row r="2729" spans="65:67" x14ac:dyDescent="0.25">
      <c r="BM2729" s="281">
        <f>$AZ$44</f>
        <v>25.94</v>
      </c>
      <c r="BN2729" s="281">
        <f>$AX$10+seat_w*($AY$44*n_SA+$AW$10&lt;pax_e)</f>
        <v>1.8400000000000003</v>
      </c>
      <c r="BO2729" s="281">
        <f t="shared" si="176"/>
        <v>8.129520000000003</v>
      </c>
    </row>
    <row r="2730" spans="65:67" x14ac:dyDescent="0.25">
      <c r="BM2730" s="281">
        <f>$AZ$44+1*(seat_pitch)*($AY$44*n_SA+$AW$10&lt;pax_e)</f>
        <v>26.75</v>
      </c>
      <c r="BN2730" s="281">
        <f>$AX$10+seat_w*($AY$44*n_SA+$AW$10&lt;pax_e)</f>
        <v>1.8400000000000003</v>
      </c>
      <c r="BO2730" s="281">
        <f t="shared" si="176"/>
        <v>8.9395200000000017</v>
      </c>
    </row>
    <row r="2731" spans="65:67" x14ac:dyDescent="0.25">
      <c r="BM2731" s="281">
        <f>$AZ$44+0.8*(seat_pitch)*($AY$44*n_SA+$AW$10&lt;pax_e)</f>
        <v>26.588000000000001</v>
      </c>
      <c r="BN2731" s="281">
        <f>$AX$10+seat_w*($AY$44*n_SA+$AW$10&lt;pax_e)</f>
        <v>1.8400000000000003</v>
      </c>
      <c r="BO2731" s="281">
        <f t="shared" si="176"/>
        <v>8.7775200000000027</v>
      </c>
    </row>
    <row r="2732" spans="65:67" x14ac:dyDescent="0.25">
      <c r="BM2732" s="281">
        <f>$AZ$44+0.8*(seat_pitch)*($AY$44*n_SA+$AW$10&lt;pax_e)</f>
        <v>26.588000000000001</v>
      </c>
      <c r="BN2732" s="281">
        <f>$AX$10</f>
        <v>1.3100000000000003</v>
      </c>
      <c r="BO2732" s="281">
        <f t="shared" si="176"/>
        <v>8.7775200000000027</v>
      </c>
    </row>
    <row r="2733" spans="65:67" x14ac:dyDescent="0.25">
      <c r="BM2733" s="281">
        <f>$AZ$44+0.2*(seat_pitch)*($AY$44*n_SA+$AW$10&lt;pax_e)</f>
        <v>26.102</v>
      </c>
      <c r="BN2733" s="281">
        <f>$AX$10</f>
        <v>1.3100000000000003</v>
      </c>
      <c r="BO2733" s="281">
        <f t="shared" si="176"/>
        <v>8.291520000000002</v>
      </c>
    </row>
    <row r="2734" spans="65:67" x14ac:dyDescent="0.25">
      <c r="BM2734" s="281">
        <f>$AZ$44+(seat_pitch)</f>
        <v>26.75</v>
      </c>
      <c r="BN2734" s="281">
        <f>$AX$10</f>
        <v>1.3100000000000003</v>
      </c>
      <c r="BO2734" s="281">
        <f t="shared" si="176"/>
        <v>8.9395200000000017</v>
      </c>
    </row>
    <row r="2735" spans="65:67" x14ac:dyDescent="0.25">
      <c r="BM2735" s="281">
        <f>$AZ$45+0.2*(seat_pitch)*($AY$45*n_SA+$AW$10&lt;pax_e)</f>
        <v>26.102</v>
      </c>
      <c r="BN2735" s="281">
        <f>$AX$10</f>
        <v>1.3100000000000003</v>
      </c>
      <c r="BO2735" s="281">
        <f t="shared" si="176"/>
        <v>8.291520000000002</v>
      </c>
    </row>
    <row r="2736" spans="65:67" x14ac:dyDescent="0.25">
      <c r="BM2736" s="281">
        <f>$AZ$45+0.2*(seat_pitch)*($AY$45*n_SA+$AW$10&lt;pax_e)</f>
        <v>26.102</v>
      </c>
      <c r="BN2736" s="281">
        <f>$AX$10+seat_w*($AY$45*n_SA+$AW$10&lt;pax_e)</f>
        <v>1.8400000000000003</v>
      </c>
      <c r="BO2736" s="281">
        <f t="shared" si="176"/>
        <v>8.291520000000002</v>
      </c>
    </row>
    <row r="2737" spans="65:67" x14ac:dyDescent="0.25">
      <c r="BM2737" s="281">
        <f>$AZ$45</f>
        <v>25.94</v>
      </c>
      <c r="BN2737" s="281">
        <f>$AX$10+seat_w*($AY$45*n_SA+$AW$10&lt;pax_e)</f>
        <v>1.8400000000000003</v>
      </c>
      <c r="BO2737" s="281">
        <f t="shared" si="176"/>
        <v>8.129520000000003</v>
      </c>
    </row>
    <row r="2738" spans="65:67" x14ac:dyDescent="0.25">
      <c r="BM2738" s="281">
        <f>$AZ$45+1*(seat_pitch)*($AY$45*n_SA+$AW$10&lt;pax_e)</f>
        <v>26.75</v>
      </c>
      <c r="BN2738" s="281">
        <f>$AX$10+seat_w*($AY$45*n_SA+$AW$10&lt;pax_e)</f>
        <v>1.8400000000000003</v>
      </c>
      <c r="BO2738" s="281">
        <f t="shared" si="176"/>
        <v>8.9395200000000017</v>
      </c>
    </row>
    <row r="2739" spans="65:67" x14ac:dyDescent="0.25">
      <c r="BM2739" s="281">
        <f>$AZ$45+0.8*(seat_pitch)*($AY$45*n_SA+$AW$10&lt;pax_e)</f>
        <v>26.588000000000001</v>
      </c>
      <c r="BN2739" s="281">
        <f>$AX$10+seat_w*($AY$45*n_SA+$AW$10&lt;pax_e)</f>
        <v>1.8400000000000003</v>
      </c>
      <c r="BO2739" s="281">
        <f t="shared" si="176"/>
        <v>8.7775200000000027</v>
      </c>
    </row>
    <row r="2740" spans="65:67" x14ac:dyDescent="0.25">
      <c r="BM2740" s="281">
        <f>$AZ$45+0.8*(seat_pitch)*($AY$45*n_SA+$AW$10&lt;pax_e)</f>
        <v>26.588000000000001</v>
      </c>
      <c r="BN2740" s="281">
        <f>$AX$10</f>
        <v>1.3100000000000003</v>
      </c>
      <c r="BO2740" s="281">
        <f t="shared" si="176"/>
        <v>8.7775200000000027</v>
      </c>
    </row>
    <row r="2741" spans="65:67" x14ac:dyDescent="0.25">
      <c r="BM2741" s="281">
        <f>$AZ$45+0.2*(seat_pitch)*($AY$45*n_SA+$AW$10&lt;pax_e)</f>
        <v>26.102</v>
      </c>
      <c r="BN2741" s="281">
        <f>$AX$10</f>
        <v>1.3100000000000003</v>
      </c>
      <c r="BO2741" s="281">
        <f t="shared" si="176"/>
        <v>8.291520000000002</v>
      </c>
    </row>
    <row r="2742" spans="65:67" x14ac:dyDescent="0.25">
      <c r="BM2742" s="281">
        <f>$AZ$45+(seat_pitch)</f>
        <v>26.75</v>
      </c>
      <c r="BN2742" s="281">
        <f>$AX$10</f>
        <v>1.3100000000000003</v>
      </c>
      <c r="BO2742" s="281">
        <f t="shared" si="176"/>
        <v>8.9395200000000017</v>
      </c>
    </row>
    <row r="2743" spans="65:67" x14ac:dyDescent="0.25">
      <c r="BM2743" s="281">
        <f>$AZ$46+0.2*(seat_pitch)*($AY$46*n_SA+$AW$10&lt;pax_e)</f>
        <v>26.102</v>
      </c>
      <c r="BN2743" s="281">
        <f>$AX$10</f>
        <v>1.3100000000000003</v>
      </c>
      <c r="BO2743" s="281">
        <f t="shared" si="176"/>
        <v>8.291520000000002</v>
      </c>
    </row>
    <row r="2744" spans="65:67" x14ac:dyDescent="0.25">
      <c r="BM2744" s="281">
        <f>$AZ$46+0.2*(seat_pitch)*($AY$46*n_SA+$AW$10&lt;pax_e)</f>
        <v>26.102</v>
      </c>
      <c r="BN2744" s="281">
        <f>$AX$10+seat_w*($AY$46*n_SA+$AW$10&lt;pax_e)</f>
        <v>1.8400000000000003</v>
      </c>
      <c r="BO2744" s="281">
        <f t="shared" si="176"/>
        <v>8.291520000000002</v>
      </c>
    </row>
    <row r="2745" spans="65:67" x14ac:dyDescent="0.25">
      <c r="BM2745" s="281">
        <f>$AZ$46</f>
        <v>25.94</v>
      </c>
      <c r="BN2745" s="281">
        <f>$AX$10+seat_w*($AY$46*n_SA+$AW$10&lt;pax_e)</f>
        <v>1.8400000000000003</v>
      </c>
      <c r="BO2745" s="281">
        <f t="shared" si="176"/>
        <v>8.129520000000003</v>
      </c>
    </row>
    <row r="2746" spans="65:67" x14ac:dyDescent="0.25">
      <c r="BM2746" s="281">
        <f>$AZ$46+1*(seat_pitch)*($AY$46*n_SA+$AW$10&lt;pax_e)</f>
        <v>26.75</v>
      </c>
      <c r="BN2746" s="281">
        <f>$AX$10+seat_w*($AY$46*n_SA+$AW$10&lt;pax_e)</f>
        <v>1.8400000000000003</v>
      </c>
      <c r="BO2746" s="281">
        <f t="shared" si="176"/>
        <v>8.9395200000000017</v>
      </c>
    </row>
    <row r="2747" spans="65:67" x14ac:dyDescent="0.25">
      <c r="BM2747" s="281">
        <f>$AZ$46+0.8*(seat_pitch)*($AY$46*n_SA+$AW$10&lt;pax_e)</f>
        <v>26.588000000000001</v>
      </c>
      <c r="BN2747" s="281">
        <f>$AX$10+seat_w*($AY$46*n_SA+$AW$10&lt;pax_e)</f>
        <v>1.8400000000000003</v>
      </c>
      <c r="BO2747" s="281">
        <f t="shared" si="176"/>
        <v>8.7775200000000027</v>
      </c>
    </row>
    <row r="2748" spans="65:67" x14ac:dyDescent="0.25">
      <c r="BM2748" s="281">
        <f>$AZ$46+0.8*(seat_pitch)*($AY$46*n_SA+$AW$10&lt;pax_e)</f>
        <v>26.588000000000001</v>
      </c>
      <c r="BN2748" s="281">
        <f>$AX$10</f>
        <v>1.3100000000000003</v>
      </c>
      <c r="BO2748" s="281">
        <f t="shared" si="176"/>
        <v>8.7775200000000027</v>
      </c>
    </row>
    <row r="2749" spans="65:67" x14ac:dyDescent="0.25">
      <c r="BM2749" s="281">
        <f>$AZ$46+0.2*(seat_pitch)*($AY$46*n_SA+$AW$10&lt;pax_e)</f>
        <v>26.102</v>
      </c>
      <c r="BN2749" s="281">
        <f>$AX$10</f>
        <v>1.3100000000000003</v>
      </c>
      <c r="BO2749" s="281">
        <f t="shared" si="176"/>
        <v>8.291520000000002</v>
      </c>
    </row>
    <row r="2750" spans="65:67" x14ac:dyDescent="0.25">
      <c r="BM2750" s="281">
        <f>$AZ$46+(seat_pitch)</f>
        <v>26.75</v>
      </c>
      <c r="BN2750" s="281">
        <f>$AX$10</f>
        <v>1.3100000000000003</v>
      </c>
      <c r="BO2750" s="281">
        <f t="shared" si="176"/>
        <v>8.9395200000000017</v>
      </c>
    </row>
    <row r="2751" spans="65:67" x14ac:dyDescent="0.25">
      <c r="BM2751" s="281">
        <f>$AZ$47+0.2*(seat_pitch)*($AY$47*n_SA+$AW$10&lt;pax_e)</f>
        <v>26.102</v>
      </c>
      <c r="BN2751" s="281">
        <f>$AX$10</f>
        <v>1.3100000000000003</v>
      </c>
      <c r="BO2751" s="281">
        <f t="shared" si="176"/>
        <v>8.291520000000002</v>
      </c>
    </row>
    <row r="2752" spans="65:67" x14ac:dyDescent="0.25">
      <c r="BM2752" s="281">
        <f>$AZ$47+0.2*(seat_pitch)*($AY$47*n_SA+$AW$10&lt;pax_e)</f>
        <v>26.102</v>
      </c>
      <c r="BN2752" s="281">
        <f>$AX$10+seat_w*($AY$47*n_SA+$AW$10&lt;pax_e)</f>
        <v>1.8400000000000003</v>
      </c>
      <c r="BO2752" s="281">
        <f t="shared" si="176"/>
        <v>8.291520000000002</v>
      </c>
    </row>
    <row r="2753" spans="65:67" x14ac:dyDescent="0.25">
      <c r="BM2753" s="281">
        <f>$AZ$47</f>
        <v>25.94</v>
      </c>
      <c r="BN2753" s="281">
        <f>$AX$10+seat_w*($AY$47*n_SA+$AW$10&lt;pax_e)</f>
        <v>1.8400000000000003</v>
      </c>
      <c r="BO2753" s="281">
        <f t="shared" si="176"/>
        <v>8.129520000000003</v>
      </c>
    </row>
    <row r="2754" spans="65:67" x14ac:dyDescent="0.25">
      <c r="BM2754" s="281">
        <f>$AZ$47+1*(seat_pitch)*($AY$47*n_SA+$AW$10&lt;pax_e)</f>
        <v>26.75</v>
      </c>
      <c r="BN2754" s="281">
        <f>$AX$10+seat_w*($AY$47*n_SA+$AW$10&lt;pax_e)</f>
        <v>1.8400000000000003</v>
      </c>
      <c r="BO2754" s="281">
        <f t="shared" si="176"/>
        <v>8.9395200000000017</v>
      </c>
    </row>
    <row r="2755" spans="65:67" x14ac:dyDescent="0.25">
      <c r="BM2755" s="281">
        <f>$AZ$47+0.8*(seat_pitch)*($AY$47*n_SA+$AW$10&lt;pax_e)</f>
        <v>26.588000000000001</v>
      </c>
      <c r="BN2755" s="281">
        <f>$AX$10+seat_w*($AY$47*n_SA+$AW$10&lt;pax_e)</f>
        <v>1.8400000000000003</v>
      </c>
      <c r="BO2755" s="281">
        <f t="shared" si="176"/>
        <v>8.7775200000000027</v>
      </c>
    </row>
    <row r="2756" spans="65:67" x14ac:dyDescent="0.25">
      <c r="BM2756" s="281">
        <f>$AZ$47+0.8*(seat_pitch)*($AY$47*n_SA+$AW$10&lt;pax_e)</f>
        <v>26.588000000000001</v>
      </c>
      <c r="BN2756" s="281">
        <f>$AX$10</f>
        <v>1.3100000000000003</v>
      </c>
      <c r="BO2756" s="281">
        <f t="shared" si="176"/>
        <v>8.7775200000000027</v>
      </c>
    </row>
    <row r="2757" spans="65:67" x14ac:dyDescent="0.25">
      <c r="BM2757" s="281">
        <f>$AZ$47+0.2*(seat_pitch)*($AY$47*n_SA+$AW$10&lt;pax_e)</f>
        <v>26.102</v>
      </c>
      <c r="BN2757" s="281">
        <f>$AX$10</f>
        <v>1.3100000000000003</v>
      </c>
      <c r="BO2757" s="281">
        <f t="shared" ref="BO2757:BO2820" si="177">BM2757-L_fus/2</f>
        <v>8.291520000000002</v>
      </c>
    </row>
    <row r="2758" spans="65:67" x14ac:dyDescent="0.25">
      <c r="BM2758" s="281">
        <f>$AZ$47+(seat_pitch)</f>
        <v>26.75</v>
      </c>
      <c r="BN2758" s="281">
        <f>$AX$10</f>
        <v>1.3100000000000003</v>
      </c>
      <c r="BO2758" s="281">
        <f t="shared" si="177"/>
        <v>8.9395200000000017</v>
      </c>
    </row>
    <row r="2759" spans="65:67" x14ac:dyDescent="0.25">
      <c r="BM2759" s="281">
        <f>$AZ$48+0.2*(seat_pitch)*($AY$48*n_SA+$AW$10&lt;pax_e)</f>
        <v>26.102</v>
      </c>
      <c r="BN2759" s="281">
        <f>$AX$10</f>
        <v>1.3100000000000003</v>
      </c>
      <c r="BO2759" s="281">
        <f t="shared" si="177"/>
        <v>8.291520000000002</v>
      </c>
    </row>
    <row r="2760" spans="65:67" x14ac:dyDescent="0.25">
      <c r="BM2760" s="281">
        <f>$AZ$48+0.2*(seat_pitch)*($AY$48*n_SA+$AW$10&lt;pax_e)</f>
        <v>26.102</v>
      </c>
      <c r="BN2760" s="281">
        <f>$AX$10+seat_w*($AY$48*n_SA+$AW$10&lt;pax_e)</f>
        <v>1.8400000000000003</v>
      </c>
      <c r="BO2760" s="281">
        <f t="shared" si="177"/>
        <v>8.291520000000002</v>
      </c>
    </row>
    <row r="2761" spans="65:67" x14ac:dyDescent="0.25">
      <c r="BM2761" s="281">
        <f>$AZ$48</f>
        <v>25.94</v>
      </c>
      <c r="BN2761" s="281">
        <f>$AX$10+seat_w*($AY$48*n_SA+$AW$10&lt;pax_e)</f>
        <v>1.8400000000000003</v>
      </c>
      <c r="BO2761" s="281">
        <f t="shared" si="177"/>
        <v>8.129520000000003</v>
      </c>
    </row>
    <row r="2762" spans="65:67" x14ac:dyDescent="0.25">
      <c r="BM2762" s="281">
        <f>$AZ$48+1*(seat_pitch)*($AY$48*n_SA+$AW$10&lt;pax_e)</f>
        <v>26.75</v>
      </c>
      <c r="BN2762" s="281">
        <f>$AX$10+seat_w*($AY$48*n_SA+$AW$10&lt;pax_e)</f>
        <v>1.8400000000000003</v>
      </c>
      <c r="BO2762" s="281">
        <f t="shared" si="177"/>
        <v>8.9395200000000017</v>
      </c>
    </row>
    <row r="2763" spans="65:67" x14ac:dyDescent="0.25">
      <c r="BM2763" s="281">
        <f>$AZ$48+0.8*(seat_pitch)*($AY$48*n_SA+$AW$10&lt;pax_e)</f>
        <v>26.588000000000001</v>
      </c>
      <c r="BN2763" s="281">
        <f>$AX$10+seat_w*($AY$48*n_SA+$AW$10&lt;pax_e)</f>
        <v>1.8400000000000003</v>
      </c>
      <c r="BO2763" s="281">
        <f t="shared" si="177"/>
        <v>8.7775200000000027</v>
      </c>
    </row>
    <row r="2764" spans="65:67" x14ac:dyDescent="0.25">
      <c r="BM2764" s="281">
        <f>$AZ$48+0.8*(seat_pitch)*($AY$48*n_SA+$AW$10&lt;pax_e)</f>
        <v>26.588000000000001</v>
      </c>
      <c r="BN2764" s="281">
        <f>$AX$10</f>
        <v>1.3100000000000003</v>
      </c>
      <c r="BO2764" s="281">
        <f t="shared" si="177"/>
        <v>8.7775200000000027</v>
      </c>
    </row>
    <row r="2765" spans="65:67" x14ac:dyDescent="0.25">
      <c r="BM2765" s="281">
        <f>$AZ$48+0.2*(seat_pitch)*($AY$48*n_SA+$AW$10&lt;pax_e)</f>
        <v>26.102</v>
      </c>
      <c r="BN2765" s="281">
        <f>$AX$10</f>
        <v>1.3100000000000003</v>
      </c>
      <c r="BO2765" s="281">
        <f t="shared" si="177"/>
        <v>8.291520000000002</v>
      </c>
    </row>
    <row r="2766" spans="65:67" x14ac:dyDescent="0.25">
      <c r="BM2766" s="281">
        <f>$AZ$48+(seat_pitch)</f>
        <v>26.75</v>
      </c>
      <c r="BN2766" s="281">
        <f>$AX$10</f>
        <v>1.3100000000000003</v>
      </c>
      <c r="BO2766" s="281">
        <f t="shared" si="177"/>
        <v>8.9395200000000017</v>
      </c>
    </row>
    <row r="2767" spans="65:67" x14ac:dyDescent="0.25">
      <c r="BM2767" s="281">
        <f>$AZ$49+0.2*(seat_pitch)*($AY$49*n_SA+$AW$10&lt;pax_e)</f>
        <v>26.102</v>
      </c>
      <c r="BN2767" s="281">
        <f>$AX$10</f>
        <v>1.3100000000000003</v>
      </c>
      <c r="BO2767" s="281">
        <f t="shared" si="177"/>
        <v>8.291520000000002</v>
      </c>
    </row>
    <row r="2768" spans="65:67" x14ac:dyDescent="0.25">
      <c r="BM2768" s="281">
        <f>$AZ$49+0.2*(seat_pitch)*($AY$49*n_SA+$AW$10&lt;pax_e)</f>
        <v>26.102</v>
      </c>
      <c r="BN2768" s="281">
        <f>$AX$10+seat_w*($AY$49*n_SA+$AW$10&lt;pax_e)</f>
        <v>1.8400000000000003</v>
      </c>
      <c r="BO2768" s="281">
        <f t="shared" si="177"/>
        <v>8.291520000000002</v>
      </c>
    </row>
    <row r="2769" spans="65:67" x14ac:dyDescent="0.25">
      <c r="BM2769" s="281">
        <f>$AZ$49</f>
        <v>25.94</v>
      </c>
      <c r="BN2769" s="281">
        <f>$AX$10+seat_w*($AY$49*n_SA+$AW$10&lt;pax_e)</f>
        <v>1.8400000000000003</v>
      </c>
      <c r="BO2769" s="281">
        <f t="shared" si="177"/>
        <v>8.129520000000003</v>
      </c>
    </row>
    <row r="2770" spans="65:67" x14ac:dyDescent="0.25">
      <c r="BM2770" s="281">
        <f>$AZ$49+1*(seat_pitch)*($AY$49*n_SA+$AW$10&lt;pax_e)</f>
        <v>26.75</v>
      </c>
      <c r="BN2770" s="281">
        <f>$AX$10+seat_w*($AY$49*n_SA+$AW$10&lt;pax_e)</f>
        <v>1.8400000000000003</v>
      </c>
      <c r="BO2770" s="281">
        <f t="shared" si="177"/>
        <v>8.9395200000000017</v>
      </c>
    </row>
    <row r="2771" spans="65:67" x14ac:dyDescent="0.25">
      <c r="BM2771" s="281">
        <f>$AZ$49+0.8*(seat_pitch)*($AY$49*n_SA+$AW$10&lt;pax_e)</f>
        <v>26.588000000000001</v>
      </c>
      <c r="BN2771" s="281">
        <f>$AX$10+seat_w*($AY$49*n_SA+$AW$10&lt;pax_e)</f>
        <v>1.8400000000000003</v>
      </c>
      <c r="BO2771" s="281">
        <f t="shared" si="177"/>
        <v>8.7775200000000027</v>
      </c>
    </row>
    <row r="2772" spans="65:67" x14ac:dyDescent="0.25">
      <c r="BM2772" s="281">
        <f>$AZ$49+0.8*(seat_pitch)*($AY$49*n_SA+$AW$10&lt;pax_e)</f>
        <v>26.588000000000001</v>
      </c>
      <c r="BN2772" s="281">
        <f>$AX$10</f>
        <v>1.3100000000000003</v>
      </c>
      <c r="BO2772" s="281">
        <f t="shared" si="177"/>
        <v>8.7775200000000027</v>
      </c>
    </row>
    <row r="2773" spans="65:67" x14ac:dyDescent="0.25">
      <c r="BM2773" s="281">
        <f>$AZ$49+0.2*(seat_pitch)*($AY$49*n_SA+$AW$10&lt;pax_e)</f>
        <v>26.102</v>
      </c>
      <c r="BN2773" s="281">
        <f>$AX$10</f>
        <v>1.3100000000000003</v>
      </c>
      <c r="BO2773" s="281">
        <f t="shared" si="177"/>
        <v>8.291520000000002</v>
      </c>
    </row>
    <row r="2774" spans="65:67" x14ac:dyDescent="0.25">
      <c r="BM2774" s="281">
        <f>$AZ$49+(seat_pitch)</f>
        <v>26.75</v>
      </c>
      <c r="BN2774" s="281">
        <f>$AX$10</f>
        <v>1.3100000000000003</v>
      </c>
      <c r="BO2774" s="281">
        <f t="shared" si="177"/>
        <v>8.9395200000000017</v>
      </c>
    </row>
    <row r="2775" spans="65:67" x14ac:dyDescent="0.25">
      <c r="BM2775" s="281">
        <f>$AZ$50+0.2*(seat_pitch)*($AY$50*n_SA+$AW$10&lt;pax_e)</f>
        <v>26.102</v>
      </c>
      <c r="BN2775" s="281">
        <f>$AX$10</f>
        <v>1.3100000000000003</v>
      </c>
      <c r="BO2775" s="281">
        <f t="shared" si="177"/>
        <v>8.291520000000002</v>
      </c>
    </row>
    <row r="2776" spans="65:67" x14ac:dyDescent="0.25">
      <c r="BM2776" s="281">
        <f>$AZ$50+0.2*(seat_pitch)*($AY$50*n_SA+$AW$10&lt;pax_e)</f>
        <v>26.102</v>
      </c>
      <c r="BN2776" s="281">
        <f>$AX$10+seat_w*($AY$50*n_SA+$AW$10&lt;pax_e)</f>
        <v>1.8400000000000003</v>
      </c>
      <c r="BO2776" s="281">
        <f t="shared" si="177"/>
        <v>8.291520000000002</v>
      </c>
    </row>
    <row r="2777" spans="65:67" x14ac:dyDescent="0.25">
      <c r="BM2777" s="281">
        <f>$AZ$50</f>
        <v>25.94</v>
      </c>
      <c r="BN2777" s="281">
        <f>$AX$10+seat_w*($AY$50*n_SA+$AW$10&lt;pax_e)</f>
        <v>1.8400000000000003</v>
      </c>
      <c r="BO2777" s="281">
        <f t="shared" si="177"/>
        <v>8.129520000000003</v>
      </c>
    </row>
    <row r="2778" spans="65:67" x14ac:dyDescent="0.25">
      <c r="BM2778" s="281">
        <f>$AZ$50+1*(seat_pitch)*($AY$50*n_SA+$AW$10&lt;pax_e)</f>
        <v>26.75</v>
      </c>
      <c r="BN2778" s="281">
        <f>$AX$10+seat_w*($AY$50*n_SA+$AW$10&lt;pax_e)</f>
        <v>1.8400000000000003</v>
      </c>
      <c r="BO2778" s="281">
        <f t="shared" si="177"/>
        <v>8.9395200000000017</v>
      </c>
    </row>
    <row r="2779" spans="65:67" x14ac:dyDescent="0.25">
      <c r="BM2779" s="281">
        <f>$AZ$50+0.8*(seat_pitch)*($AY$50*n_SA+$AW$10&lt;pax_e)</f>
        <v>26.588000000000001</v>
      </c>
      <c r="BN2779" s="281">
        <f>$AX$10+seat_w*($AY$50*n_SA+$AW$10&lt;pax_e)</f>
        <v>1.8400000000000003</v>
      </c>
      <c r="BO2779" s="281">
        <f t="shared" si="177"/>
        <v>8.7775200000000027</v>
      </c>
    </row>
    <row r="2780" spans="65:67" x14ac:dyDescent="0.25">
      <c r="BM2780" s="281">
        <f>$AZ$50+0.8*(seat_pitch)*($AY$50*n_SA+$AW$10&lt;pax_e)</f>
        <v>26.588000000000001</v>
      </c>
      <c r="BN2780" s="281">
        <f>$AX$10</f>
        <v>1.3100000000000003</v>
      </c>
      <c r="BO2780" s="281">
        <f t="shared" si="177"/>
        <v>8.7775200000000027</v>
      </c>
    </row>
    <row r="2781" spans="65:67" x14ac:dyDescent="0.25">
      <c r="BM2781" s="281">
        <f>$AZ$50+0.2*(seat_pitch)*($AY$50*n_SA+$AW$10&lt;pax_e)</f>
        <v>26.102</v>
      </c>
      <c r="BN2781" s="281">
        <f>$AX$10</f>
        <v>1.3100000000000003</v>
      </c>
      <c r="BO2781" s="281">
        <f t="shared" si="177"/>
        <v>8.291520000000002</v>
      </c>
    </row>
    <row r="2782" spans="65:67" x14ac:dyDescent="0.25">
      <c r="BM2782" s="281">
        <f>$AZ$50+(seat_pitch)</f>
        <v>26.75</v>
      </c>
      <c r="BN2782" s="281">
        <f>$AX$10</f>
        <v>1.3100000000000003</v>
      </c>
      <c r="BO2782" s="281">
        <f t="shared" si="177"/>
        <v>8.9395200000000017</v>
      </c>
    </row>
    <row r="2783" spans="65:67" x14ac:dyDescent="0.25">
      <c r="BM2783" s="281">
        <f>$AZ$51+0.2*(seat_pitch)*($AY$51*n_SA+$AW$10&lt;pax_e)</f>
        <v>26.102</v>
      </c>
      <c r="BN2783" s="281">
        <f>$AX$10</f>
        <v>1.3100000000000003</v>
      </c>
      <c r="BO2783" s="281">
        <f t="shared" si="177"/>
        <v>8.291520000000002</v>
      </c>
    </row>
    <row r="2784" spans="65:67" x14ac:dyDescent="0.25">
      <c r="BM2784" s="281">
        <f>$AZ$51+0.2*(seat_pitch)*($AY$51*n_SA+$AW$10&lt;pax_e)</f>
        <v>26.102</v>
      </c>
      <c r="BN2784" s="281">
        <f>$AX$10+seat_w*($AY$51*n_SA+$AW$10&lt;pax_e)</f>
        <v>1.8400000000000003</v>
      </c>
      <c r="BO2784" s="281">
        <f t="shared" si="177"/>
        <v>8.291520000000002</v>
      </c>
    </row>
    <row r="2785" spans="65:67" x14ac:dyDescent="0.25">
      <c r="BM2785" s="281">
        <f>$AZ$51</f>
        <v>25.94</v>
      </c>
      <c r="BN2785" s="281">
        <f>$AX$10+seat_w*($AY$51*n_SA+$AW$10&lt;pax_e)</f>
        <v>1.8400000000000003</v>
      </c>
      <c r="BO2785" s="281">
        <f t="shared" si="177"/>
        <v>8.129520000000003</v>
      </c>
    </row>
    <row r="2786" spans="65:67" x14ac:dyDescent="0.25">
      <c r="BM2786" s="281">
        <f>$AZ$51+1*(seat_pitch)*($AY$51*n_SA+$AW$10&lt;pax_e)</f>
        <v>26.75</v>
      </c>
      <c r="BN2786" s="281">
        <f>$AX$10+seat_w*($AY$51*n_SA+$AW$10&lt;pax_e)</f>
        <v>1.8400000000000003</v>
      </c>
      <c r="BO2786" s="281">
        <f t="shared" si="177"/>
        <v>8.9395200000000017</v>
      </c>
    </row>
    <row r="2787" spans="65:67" x14ac:dyDescent="0.25">
      <c r="BM2787" s="281">
        <f>$AZ$51+0.8*(seat_pitch)*($AY$51*n_SA+$AW$10&lt;pax_e)</f>
        <v>26.588000000000001</v>
      </c>
      <c r="BN2787" s="281">
        <f>$AX$10+seat_w*($AY$51*n_SA+$AW$10&lt;pax_e)</f>
        <v>1.8400000000000003</v>
      </c>
      <c r="BO2787" s="281">
        <f t="shared" si="177"/>
        <v>8.7775200000000027</v>
      </c>
    </row>
    <row r="2788" spans="65:67" x14ac:dyDescent="0.25">
      <c r="BM2788" s="281">
        <f>$AZ$51+0.8*(seat_pitch)*($AY$51*n_SA+$AW$10&lt;pax_e)</f>
        <v>26.588000000000001</v>
      </c>
      <c r="BN2788" s="281">
        <f>$AX$10</f>
        <v>1.3100000000000003</v>
      </c>
      <c r="BO2788" s="281">
        <f t="shared" si="177"/>
        <v>8.7775200000000027</v>
      </c>
    </row>
    <row r="2789" spans="65:67" x14ac:dyDescent="0.25">
      <c r="BM2789" s="281">
        <f>$AZ$51+0.2*(seat_pitch)*($AY$51*n_SA+$AW$10&lt;pax_e)</f>
        <v>26.102</v>
      </c>
      <c r="BN2789" s="281">
        <f>$AX$10</f>
        <v>1.3100000000000003</v>
      </c>
      <c r="BO2789" s="281">
        <f t="shared" si="177"/>
        <v>8.291520000000002</v>
      </c>
    </row>
    <row r="2790" spans="65:67" x14ac:dyDescent="0.25">
      <c r="BM2790" s="281">
        <f>$AZ$51+(seat_pitch)</f>
        <v>26.75</v>
      </c>
      <c r="BN2790" s="281">
        <f>$AX$10</f>
        <v>1.3100000000000003</v>
      </c>
      <c r="BO2790" s="281">
        <f t="shared" si="177"/>
        <v>8.9395200000000017</v>
      </c>
    </row>
    <row r="2791" spans="65:67" x14ac:dyDescent="0.25">
      <c r="BM2791" s="281">
        <f>$AZ$52+0.2*(seat_pitch)*($AY$52*n_SA+$AW$10&lt;pax_e)</f>
        <v>26.102</v>
      </c>
      <c r="BN2791" s="281">
        <f>$AX$10</f>
        <v>1.3100000000000003</v>
      </c>
      <c r="BO2791" s="281">
        <f t="shared" si="177"/>
        <v>8.291520000000002</v>
      </c>
    </row>
    <row r="2792" spans="65:67" x14ac:dyDescent="0.25">
      <c r="BM2792" s="281">
        <f>$AZ$52+0.2*(seat_pitch)*($AY$52*n_SA+$AW$10&lt;pax_e)</f>
        <v>26.102</v>
      </c>
      <c r="BN2792" s="281">
        <f>$AX$10+seat_w*($AY$52*n_SA+$AW$10&lt;pax_e)</f>
        <v>1.8400000000000003</v>
      </c>
      <c r="BO2792" s="281">
        <f t="shared" si="177"/>
        <v>8.291520000000002</v>
      </c>
    </row>
    <row r="2793" spans="65:67" x14ac:dyDescent="0.25">
      <c r="BM2793" s="281">
        <f>$AZ$52</f>
        <v>25.94</v>
      </c>
      <c r="BN2793" s="281">
        <f>$AX$10+seat_w*($AY$52*n_SA+$AW$10&lt;pax_e)</f>
        <v>1.8400000000000003</v>
      </c>
      <c r="BO2793" s="281">
        <f t="shared" si="177"/>
        <v>8.129520000000003</v>
      </c>
    </row>
    <row r="2794" spans="65:67" x14ac:dyDescent="0.25">
      <c r="BM2794" s="281">
        <f>$AZ$52+1*(seat_pitch)*($AY$52*n_SA+$AW$10&lt;pax_e)</f>
        <v>26.75</v>
      </c>
      <c r="BN2794" s="281">
        <f>$AX$10+seat_w*($AY$52*n_SA+$AW$10&lt;pax_e)</f>
        <v>1.8400000000000003</v>
      </c>
      <c r="BO2794" s="281">
        <f t="shared" si="177"/>
        <v>8.9395200000000017</v>
      </c>
    </row>
    <row r="2795" spans="65:67" x14ac:dyDescent="0.25">
      <c r="BM2795" s="281">
        <f>$AZ$52+0.8*(seat_pitch)*($AY$52*n_SA+$AW$10&lt;pax_e)</f>
        <v>26.588000000000001</v>
      </c>
      <c r="BN2795" s="281">
        <f>$AX$10+seat_w*($AY$52*n_SA+$AW$10&lt;pax_e)</f>
        <v>1.8400000000000003</v>
      </c>
      <c r="BO2795" s="281">
        <f t="shared" si="177"/>
        <v>8.7775200000000027</v>
      </c>
    </row>
    <row r="2796" spans="65:67" x14ac:dyDescent="0.25">
      <c r="BM2796" s="281">
        <f>$AZ$52+0.8*(seat_pitch)*($AY$52*n_SA+$AW$10&lt;pax_e)</f>
        <v>26.588000000000001</v>
      </c>
      <c r="BN2796" s="281">
        <f>$AX$10</f>
        <v>1.3100000000000003</v>
      </c>
      <c r="BO2796" s="281">
        <f t="shared" si="177"/>
        <v>8.7775200000000027</v>
      </c>
    </row>
    <row r="2797" spans="65:67" x14ac:dyDescent="0.25">
      <c r="BM2797" s="281">
        <f>$AZ$52+0.2*(seat_pitch)*($AY$52*n_SA+$AW$10&lt;pax_e)</f>
        <v>26.102</v>
      </c>
      <c r="BN2797" s="281">
        <f>$AX$10</f>
        <v>1.3100000000000003</v>
      </c>
      <c r="BO2797" s="281">
        <f t="shared" si="177"/>
        <v>8.291520000000002</v>
      </c>
    </row>
    <row r="2798" spans="65:67" x14ac:dyDescent="0.25">
      <c r="BM2798" s="281">
        <f>$AZ$52+(seat_pitch)</f>
        <v>26.75</v>
      </c>
      <c r="BN2798" s="281">
        <f>$AX$10</f>
        <v>1.3100000000000003</v>
      </c>
      <c r="BO2798" s="281">
        <f t="shared" si="177"/>
        <v>8.9395200000000017</v>
      </c>
    </row>
    <row r="2799" spans="65:67" x14ac:dyDescent="0.25">
      <c r="BM2799" s="281">
        <f>$AZ$53+0.2*(seat_pitch)*($AY$53*n_SA+$AW$10&lt;pax_e)</f>
        <v>26.102</v>
      </c>
      <c r="BN2799" s="281">
        <f>$AX$10</f>
        <v>1.3100000000000003</v>
      </c>
      <c r="BO2799" s="281">
        <f t="shared" si="177"/>
        <v>8.291520000000002</v>
      </c>
    </row>
    <row r="2800" spans="65:67" x14ac:dyDescent="0.25">
      <c r="BM2800" s="281">
        <f>$AZ$53+0.2*(seat_pitch)*($AY$53*n_SA+$AW$10&lt;pax_e)</f>
        <v>26.102</v>
      </c>
      <c r="BN2800" s="281">
        <f>$AX$10+seat_w*($AY$53*n_SA+$AW$10&lt;pax_e)</f>
        <v>1.8400000000000003</v>
      </c>
      <c r="BO2800" s="281">
        <f t="shared" si="177"/>
        <v>8.291520000000002</v>
      </c>
    </row>
    <row r="2801" spans="65:67" x14ac:dyDescent="0.25">
      <c r="BM2801" s="281">
        <f>$AZ$53</f>
        <v>25.94</v>
      </c>
      <c r="BN2801" s="281">
        <f>$AX$10+seat_w*($AY$53*n_SA+$AW$10&lt;pax_e)</f>
        <v>1.8400000000000003</v>
      </c>
      <c r="BO2801" s="281">
        <f t="shared" si="177"/>
        <v>8.129520000000003</v>
      </c>
    </row>
    <row r="2802" spans="65:67" x14ac:dyDescent="0.25">
      <c r="BM2802" s="281">
        <f>$AZ$53+1*(seat_pitch)*($AY$53*n_SA+$AW$10&lt;pax_e)</f>
        <v>26.75</v>
      </c>
      <c r="BN2802" s="281">
        <f>$AX$10+seat_w*($AY$53*n_SA+$AW$10&lt;pax_e)</f>
        <v>1.8400000000000003</v>
      </c>
      <c r="BO2802" s="281">
        <f t="shared" si="177"/>
        <v>8.9395200000000017</v>
      </c>
    </row>
    <row r="2803" spans="65:67" x14ac:dyDescent="0.25">
      <c r="BM2803" s="281">
        <f>$AZ$53+0.8*(seat_pitch)*($AY$53*n_SA+$AW$10&lt;pax_e)</f>
        <v>26.588000000000001</v>
      </c>
      <c r="BN2803" s="281">
        <f>$AX$10+seat_w*($AY$53*n_SA+$AW$10&lt;pax_e)</f>
        <v>1.8400000000000003</v>
      </c>
      <c r="BO2803" s="281">
        <f t="shared" si="177"/>
        <v>8.7775200000000027</v>
      </c>
    </row>
    <row r="2804" spans="65:67" x14ac:dyDescent="0.25">
      <c r="BM2804" s="281">
        <f>$AZ$53+0.8*(seat_pitch)*($AY$53*n_SA+$AW$10&lt;pax_e)</f>
        <v>26.588000000000001</v>
      </c>
      <c r="BN2804" s="281">
        <f>$AX$10</f>
        <v>1.3100000000000003</v>
      </c>
      <c r="BO2804" s="281">
        <f t="shared" si="177"/>
        <v>8.7775200000000027</v>
      </c>
    </row>
    <row r="2805" spans="65:67" x14ac:dyDescent="0.25">
      <c r="BM2805" s="281">
        <f>$AZ$53+0.2*(seat_pitch)*($AY$53*n_SA+$AW$10&lt;pax_e)</f>
        <v>26.102</v>
      </c>
      <c r="BN2805" s="281">
        <f>$AX$10</f>
        <v>1.3100000000000003</v>
      </c>
      <c r="BO2805" s="281">
        <f t="shared" si="177"/>
        <v>8.291520000000002</v>
      </c>
    </row>
    <row r="2806" spans="65:67" x14ac:dyDescent="0.25">
      <c r="BM2806" s="281">
        <f>$AZ$53+(seat_pitch)</f>
        <v>26.75</v>
      </c>
      <c r="BN2806" s="281">
        <f>$AX$10</f>
        <v>1.3100000000000003</v>
      </c>
      <c r="BO2806" s="281">
        <f t="shared" si="177"/>
        <v>8.9395200000000017</v>
      </c>
    </row>
    <row r="2807" spans="65:67" x14ac:dyDescent="0.25">
      <c r="BM2807" s="281">
        <f>$AZ$54+0.2*(seat_pitch)*($AY$54*n_SA+$AW$10&lt;pax_e)</f>
        <v>26.102</v>
      </c>
      <c r="BN2807" s="281">
        <f>$AX$10</f>
        <v>1.3100000000000003</v>
      </c>
      <c r="BO2807" s="281">
        <f t="shared" si="177"/>
        <v>8.291520000000002</v>
      </c>
    </row>
    <row r="2808" spans="65:67" x14ac:dyDescent="0.25">
      <c r="BM2808" s="281">
        <f>$AZ$54+0.2*(seat_pitch)*($AY$54*n_SA+$AW$10&lt;pax_e)</f>
        <v>26.102</v>
      </c>
      <c r="BN2808" s="281">
        <f>$AX$10+seat_w*($AY$54*n_SA+$AW$10&lt;pax_e)</f>
        <v>1.8400000000000003</v>
      </c>
      <c r="BO2808" s="281">
        <f t="shared" si="177"/>
        <v>8.291520000000002</v>
      </c>
    </row>
    <row r="2809" spans="65:67" x14ac:dyDescent="0.25">
      <c r="BM2809" s="281">
        <f>$AZ$54</f>
        <v>25.94</v>
      </c>
      <c r="BN2809" s="281">
        <f>$AX$10+seat_w*($AY$54*n_SA+$AW$10&lt;pax_e)</f>
        <v>1.8400000000000003</v>
      </c>
      <c r="BO2809" s="281">
        <f t="shared" si="177"/>
        <v>8.129520000000003</v>
      </c>
    </row>
    <row r="2810" spans="65:67" x14ac:dyDescent="0.25">
      <c r="BM2810" s="281">
        <f>$AZ$54+1*(seat_pitch)*($AY$54*n_SA+$AW$10&lt;pax_e)</f>
        <v>26.75</v>
      </c>
      <c r="BN2810" s="281">
        <f>$AX$10+seat_w*($AY$54*n_SA+$AW$10&lt;pax_e)</f>
        <v>1.8400000000000003</v>
      </c>
      <c r="BO2810" s="281">
        <f t="shared" si="177"/>
        <v>8.9395200000000017</v>
      </c>
    </row>
    <row r="2811" spans="65:67" x14ac:dyDescent="0.25">
      <c r="BM2811" s="281">
        <f>$AZ$54+0.8*(seat_pitch)*($AY$54*n_SA+$AW$10&lt;pax_e)</f>
        <v>26.588000000000001</v>
      </c>
      <c r="BN2811" s="281">
        <f>$AX$10+seat_w*($AY$54*n_SA+$AW$10&lt;pax_e)</f>
        <v>1.8400000000000003</v>
      </c>
      <c r="BO2811" s="281">
        <f t="shared" si="177"/>
        <v>8.7775200000000027</v>
      </c>
    </row>
    <row r="2812" spans="65:67" x14ac:dyDescent="0.25">
      <c r="BM2812" s="281">
        <f>$AZ$54+0.8*(seat_pitch)*($AY$54*n_SA+$AW$10&lt;pax_e)</f>
        <v>26.588000000000001</v>
      </c>
      <c r="BN2812" s="281">
        <f>$AX$10</f>
        <v>1.3100000000000003</v>
      </c>
      <c r="BO2812" s="281">
        <f t="shared" si="177"/>
        <v>8.7775200000000027</v>
      </c>
    </row>
    <row r="2813" spans="65:67" x14ac:dyDescent="0.25">
      <c r="BM2813" s="281">
        <f>$AZ$54+0.2*(seat_pitch)*($AY$54*n_SA+$AW$10&lt;pax_e)</f>
        <v>26.102</v>
      </c>
      <c r="BN2813" s="281">
        <f>$AX$10</f>
        <v>1.3100000000000003</v>
      </c>
      <c r="BO2813" s="281">
        <f t="shared" si="177"/>
        <v>8.291520000000002</v>
      </c>
    </row>
    <row r="2814" spans="65:67" x14ac:dyDescent="0.25">
      <c r="BM2814" s="281">
        <f>$AZ$54+(seat_pitch)</f>
        <v>26.75</v>
      </c>
      <c r="BN2814" s="281">
        <f>$AX$10</f>
        <v>1.3100000000000003</v>
      </c>
      <c r="BO2814" s="281">
        <f t="shared" si="177"/>
        <v>8.9395200000000017</v>
      </c>
    </row>
    <row r="2815" spans="65:67" x14ac:dyDescent="0.25">
      <c r="BM2815" s="281">
        <f>$AZ$55+0.2*(seat_pitch)*($AY$55*n_SA+$AW$10&lt;pax_e)</f>
        <v>26.102</v>
      </c>
      <c r="BN2815" s="281">
        <f>$AX$10</f>
        <v>1.3100000000000003</v>
      </c>
      <c r="BO2815" s="281">
        <f t="shared" si="177"/>
        <v>8.291520000000002</v>
      </c>
    </row>
    <row r="2816" spans="65:67" x14ac:dyDescent="0.25">
      <c r="BM2816" s="281">
        <f>$AZ$55+0.2*(seat_pitch)*($AY$55*n_SA+$AW$10&lt;pax_e)</f>
        <v>26.102</v>
      </c>
      <c r="BN2816" s="281">
        <f>$AX$10+seat_w*($AY$55*n_SA+$AW$10&lt;pax_e)</f>
        <v>1.8400000000000003</v>
      </c>
      <c r="BO2816" s="281">
        <f t="shared" si="177"/>
        <v>8.291520000000002</v>
      </c>
    </row>
    <row r="2817" spans="65:67" x14ac:dyDescent="0.25">
      <c r="BM2817" s="281">
        <f>$AZ$55</f>
        <v>25.94</v>
      </c>
      <c r="BN2817" s="281">
        <f>$AX$10+seat_w*($AY$55*n_SA+$AW$10&lt;pax_e)</f>
        <v>1.8400000000000003</v>
      </c>
      <c r="BO2817" s="281">
        <f t="shared" si="177"/>
        <v>8.129520000000003</v>
      </c>
    </row>
    <row r="2818" spans="65:67" x14ac:dyDescent="0.25">
      <c r="BM2818" s="281">
        <f>$AZ$55+1*(seat_pitch)*($AY$55*n_SA+$AW$10&lt;pax_e)</f>
        <v>26.75</v>
      </c>
      <c r="BN2818" s="281">
        <f>$AX$10+seat_w*($AY$55*n_SA+$AW$10&lt;pax_e)</f>
        <v>1.8400000000000003</v>
      </c>
      <c r="BO2818" s="281">
        <f t="shared" si="177"/>
        <v>8.9395200000000017</v>
      </c>
    </row>
    <row r="2819" spans="65:67" x14ac:dyDescent="0.25">
      <c r="BM2819" s="281">
        <f>$AZ$55+0.8*(seat_pitch)*($AY$55*n_SA+$AW$10&lt;pax_e)</f>
        <v>26.588000000000001</v>
      </c>
      <c r="BN2819" s="281">
        <f>$AX$10+seat_w*($AY$55*n_SA+$AW$10&lt;pax_e)</f>
        <v>1.8400000000000003</v>
      </c>
      <c r="BO2819" s="281">
        <f t="shared" si="177"/>
        <v>8.7775200000000027</v>
      </c>
    </row>
    <row r="2820" spans="65:67" x14ac:dyDescent="0.25">
      <c r="BM2820" s="281">
        <f>$AZ$55+0.8*(seat_pitch)*($AY$55*n_SA+$AW$10&lt;pax_e)</f>
        <v>26.588000000000001</v>
      </c>
      <c r="BN2820" s="281">
        <f>$AX$10</f>
        <v>1.3100000000000003</v>
      </c>
      <c r="BO2820" s="281">
        <f t="shared" si="177"/>
        <v>8.7775200000000027</v>
      </c>
    </row>
    <row r="2821" spans="65:67" x14ac:dyDescent="0.25">
      <c r="BM2821" s="281">
        <f>$AZ$55+0.2*(seat_pitch)*($AY$55*n_SA+$AW$10&lt;pax_e)</f>
        <v>26.102</v>
      </c>
      <c r="BN2821" s="281">
        <f>$AX$10</f>
        <v>1.3100000000000003</v>
      </c>
      <c r="BO2821" s="281">
        <f t="shared" ref="BO2821:BO2884" si="178">BM2821-L_fus/2</f>
        <v>8.291520000000002</v>
      </c>
    </row>
    <row r="2822" spans="65:67" x14ac:dyDescent="0.25">
      <c r="BM2822" s="281">
        <f>$AZ$55+(seat_pitch)</f>
        <v>26.75</v>
      </c>
      <c r="BN2822" s="281">
        <f>$AX$10</f>
        <v>1.3100000000000003</v>
      </c>
      <c r="BO2822" s="281">
        <f t="shared" si="178"/>
        <v>8.9395200000000017</v>
      </c>
    </row>
    <row r="2823" spans="65:67" x14ac:dyDescent="0.25">
      <c r="BM2823" s="281">
        <f>$AZ$56+0.2*(seat_pitch)*($AY$56*n_SA+$AW$10&lt;pax_e)</f>
        <v>26.102</v>
      </c>
      <c r="BN2823" s="281">
        <f>$AX$10</f>
        <v>1.3100000000000003</v>
      </c>
      <c r="BO2823" s="281">
        <f t="shared" si="178"/>
        <v>8.291520000000002</v>
      </c>
    </row>
    <row r="2824" spans="65:67" x14ac:dyDescent="0.25">
      <c r="BM2824" s="281">
        <f>$AZ$56+0.2*(seat_pitch)*($AY$56*n_SA+$AW$10&lt;pax_e)</f>
        <v>26.102</v>
      </c>
      <c r="BN2824" s="281">
        <f>$AX$10+seat_w*($AY$56*n_SA+$AW$10&lt;pax_e)</f>
        <v>1.8400000000000003</v>
      </c>
      <c r="BO2824" s="281">
        <f t="shared" si="178"/>
        <v>8.291520000000002</v>
      </c>
    </row>
    <row r="2825" spans="65:67" x14ac:dyDescent="0.25">
      <c r="BM2825" s="281">
        <f>$AZ$56</f>
        <v>25.94</v>
      </c>
      <c r="BN2825" s="281">
        <f>$AX$10+seat_w*($AY$56*n_SA+$AW$10&lt;pax_e)</f>
        <v>1.8400000000000003</v>
      </c>
      <c r="BO2825" s="281">
        <f t="shared" si="178"/>
        <v>8.129520000000003</v>
      </c>
    </row>
    <row r="2826" spans="65:67" x14ac:dyDescent="0.25">
      <c r="BM2826" s="281">
        <f>$AZ$56+1*(seat_pitch)*($AY$56*n_SA+$AW$10&lt;pax_e)</f>
        <v>26.75</v>
      </c>
      <c r="BN2826" s="281">
        <f>$AX$10+seat_w*($AY$56*n_SA+$AW$10&lt;pax_e)</f>
        <v>1.8400000000000003</v>
      </c>
      <c r="BO2826" s="281">
        <f t="shared" si="178"/>
        <v>8.9395200000000017</v>
      </c>
    </row>
    <row r="2827" spans="65:67" x14ac:dyDescent="0.25">
      <c r="BM2827" s="281">
        <f>$AZ$56+0.8*(seat_pitch)*($AY$56*n_SA+$AW$10&lt;pax_e)</f>
        <v>26.588000000000001</v>
      </c>
      <c r="BN2827" s="281">
        <f>$AX$10+seat_w*($AY$56*n_SA+$AW$10&lt;pax_e)</f>
        <v>1.8400000000000003</v>
      </c>
      <c r="BO2827" s="281">
        <f t="shared" si="178"/>
        <v>8.7775200000000027</v>
      </c>
    </row>
    <row r="2828" spans="65:67" x14ac:dyDescent="0.25">
      <c r="BM2828" s="281">
        <f>$AZ$56+0.8*(seat_pitch)*($AY$56*n_SA+$AW$10&lt;pax_e)</f>
        <v>26.588000000000001</v>
      </c>
      <c r="BN2828" s="281">
        <f>$AX$10</f>
        <v>1.3100000000000003</v>
      </c>
      <c r="BO2828" s="281">
        <f t="shared" si="178"/>
        <v>8.7775200000000027</v>
      </c>
    </row>
    <row r="2829" spans="65:67" x14ac:dyDescent="0.25">
      <c r="BM2829" s="281">
        <f>$AZ$56+0.2*(seat_pitch)*($AY$56*n_SA+$AW$10&lt;pax_e)</f>
        <v>26.102</v>
      </c>
      <c r="BN2829" s="281">
        <f>$AX$10</f>
        <v>1.3100000000000003</v>
      </c>
      <c r="BO2829" s="281">
        <f t="shared" si="178"/>
        <v>8.291520000000002</v>
      </c>
    </row>
    <row r="2830" spans="65:67" x14ac:dyDescent="0.25">
      <c r="BM2830" s="281">
        <f>$AZ$56+(seat_pitch)</f>
        <v>26.75</v>
      </c>
      <c r="BN2830" s="281">
        <f>$AX$10</f>
        <v>1.3100000000000003</v>
      </c>
      <c r="BO2830" s="281">
        <f t="shared" si="178"/>
        <v>8.9395200000000017</v>
      </c>
    </row>
    <row r="2831" spans="65:67" x14ac:dyDescent="0.25">
      <c r="BM2831" s="281">
        <f>$AZ$57+0.2*(seat_pitch)*($AY$57*n_SA+$AW$10&lt;pax_e)</f>
        <v>26.102</v>
      </c>
      <c r="BN2831" s="281">
        <f>$AX$10</f>
        <v>1.3100000000000003</v>
      </c>
      <c r="BO2831" s="281">
        <f t="shared" si="178"/>
        <v>8.291520000000002</v>
      </c>
    </row>
    <row r="2832" spans="65:67" x14ac:dyDescent="0.25">
      <c r="BM2832" s="281">
        <f>$AZ$57+0.2*(seat_pitch)*($AY$57*n_SA+$AW$10&lt;pax_e)</f>
        <v>26.102</v>
      </c>
      <c r="BN2832" s="281">
        <f>$AX$10+seat_w*($AY$57*n_SA+$AW$10&lt;pax_e)</f>
        <v>1.8400000000000003</v>
      </c>
      <c r="BO2832" s="281">
        <f t="shared" si="178"/>
        <v>8.291520000000002</v>
      </c>
    </row>
    <row r="2833" spans="65:67" x14ac:dyDescent="0.25">
      <c r="BM2833" s="281">
        <f>$AZ$57</f>
        <v>25.94</v>
      </c>
      <c r="BN2833" s="281">
        <f>$AX$10+seat_w*($AY$57*n_SA+$AW$10&lt;pax_e)</f>
        <v>1.8400000000000003</v>
      </c>
      <c r="BO2833" s="281">
        <f t="shared" si="178"/>
        <v>8.129520000000003</v>
      </c>
    </row>
    <row r="2834" spans="65:67" x14ac:dyDescent="0.25">
      <c r="BM2834" s="281">
        <f>$AZ$57+1*(seat_pitch)*($AY$57*n_SA+$AW$10&lt;pax_e)</f>
        <v>26.75</v>
      </c>
      <c r="BN2834" s="281">
        <f>$AX$10+seat_w*($AY$57*n_SA+$AW$10&lt;pax_e)</f>
        <v>1.8400000000000003</v>
      </c>
      <c r="BO2834" s="281">
        <f t="shared" si="178"/>
        <v>8.9395200000000017</v>
      </c>
    </row>
    <row r="2835" spans="65:67" x14ac:dyDescent="0.25">
      <c r="BM2835" s="281">
        <f>$AZ$57+0.8*(seat_pitch)*($AY$57*n_SA+$AW$10&lt;pax_e)</f>
        <v>26.588000000000001</v>
      </c>
      <c r="BN2835" s="281">
        <f>$AX$10+seat_w*($AY$57*n_SA+$AW$10&lt;pax_e)</f>
        <v>1.8400000000000003</v>
      </c>
      <c r="BO2835" s="281">
        <f t="shared" si="178"/>
        <v>8.7775200000000027</v>
      </c>
    </row>
    <row r="2836" spans="65:67" x14ac:dyDescent="0.25">
      <c r="BM2836" s="281">
        <f>$AZ$57+0.8*(seat_pitch)*($AY$57*n_SA+$AW$10&lt;pax_e)</f>
        <v>26.588000000000001</v>
      </c>
      <c r="BN2836" s="281">
        <f>$AX$10</f>
        <v>1.3100000000000003</v>
      </c>
      <c r="BO2836" s="281">
        <f t="shared" si="178"/>
        <v>8.7775200000000027</v>
      </c>
    </row>
    <row r="2837" spans="65:67" x14ac:dyDescent="0.25">
      <c r="BM2837" s="281">
        <f>$AZ$57+0.2*(seat_pitch)*($AY$57*n_SA+$AW$10&lt;pax_e)</f>
        <v>26.102</v>
      </c>
      <c r="BN2837" s="281">
        <f>$AX$10</f>
        <v>1.3100000000000003</v>
      </c>
      <c r="BO2837" s="281">
        <f t="shared" si="178"/>
        <v>8.291520000000002</v>
      </c>
    </row>
    <row r="2838" spans="65:67" x14ac:dyDescent="0.25">
      <c r="BM2838" s="281">
        <f>$AZ$57+(seat_pitch)</f>
        <v>26.75</v>
      </c>
      <c r="BN2838" s="281">
        <f>$AX$10</f>
        <v>1.3100000000000003</v>
      </c>
      <c r="BO2838" s="281">
        <f t="shared" si="178"/>
        <v>8.9395200000000017</v>
      </c>
    </row>
    <row r="2839" spans="65:67" x14ac:dyDescent="0.25">
      <c r="BM2839" s="281">
        <f>$AZ$58+0.2*(seat_pitch)*($AY$58*n_SA+$AW$10&lt;pax_e)</f>
        <v>26.102</v>
      </c>
      <c r="BN2839" s="281">
        <f>$AX$10</f>
        <v>1.3100000000000003</v>
      </c>
      <c r="BO2839" s="281">
        <f t="shared" si="178"/>
        <v>8.291520000000002</v>
      </c>
    </row>
    <row r="2840" spans="65:67" x14ac:dyDescent="0.25">
      <c r="BM2840" s="281">
        <f>$AZ$58+0.2*(seat_pitch)*($AY$58*n_SA+$AW$10&lt;pax_e)</f>
        <v>26.102</v>
      </c>
      <c r="BN2840" s="281">
        <f>$AX$10+seat_w*($AY$58*n_SA+$AW$10&lt;pax_e)</f>
        <v>1.8400000000000003</v>
      </c>
      <c r="BO2840" s="281">
        <f t="shared" si="178"/>
        <v>8.291520000000002</v>
      </c>
    </row>
    <row r="2841" spans="65:67" x14ac:dyDescent="0.25">
      <c r="BM2841" s="281">
        <f>$AZ$58</f>
        <v>25.94</v>
      </c>
      <c r="BN2841" s="281">
        <f>$AX$10+seat_w*($AY$58*n_SA+$AW$10&lt;pax_e)</f>
        <v>1.8400000000000003</v>
      </c>
      <c r="BO2841" s="281">
        <f t="shared" si="178"/>
        <v>8.129520000000003</v>
      </c>
    </row>
    <row r="2842" spans="65:67" x14ac:dyDescent="0.25">
      <c r="BM2842" s="281">
        <f>$AZ$58+1*(seat_pitch)*($AY$58*n_SA+$AW$10&lt;pax_e)</f>
        <v>26.75</v>
      </c>
      <c r="BN2842" s="281">
        <f>$AX$10+seat_w*($AY$58*n_SA+$AW$10&lt;pax_e)</f>
        <v>1.8400000000000003</v>
      </c>
      <c r="BO2842" s="281">
        <f t="shared" si="178"/>
        <v>8.9395200000000017</v>
      </c>
    </row>
    <row r="2843" spans="65:67" x14ac:dyDescent="0.25">
      <c r="BM2843" s="281">
        <f>$AZ$58+0.8*(seat_pitch)*($AY$58*n_SA+$AW$10&lt;pax_e)</f>
        <v>26.588000000000001</v>
      </c>
      <c r="BN2843" s="281">
        <f>$AX$10+seat_w*($AY$58*n_SA+$AW$10&lt;pax_e)</f>
        <v>1.8400000000000003</v>
      </c>
      <c r="BO2843" s="281">
        <f t="shared" si="178"/>
        <v>8.7775200000000027</v>
      </c>
    </row>
    <row r="2844" spans="65:67" x14ac:dyDescent="0.25">
      <c r="BM2844" s="281">
        <f>$AZ$58+0.8*(seat_pitch)*($AY$58*n_SA+$AW$10&lt;pax_e)</f>
        <v>26.588000000000001</v>
      </c>
      <c r="BN2844" s="281">
        <f>$AX$10</f>
        <v>1.3100000000000003</v>
      </c>
      <c r="BO2844" s="281">
        <f t="shared" si="178"/>
        <v>8.7775200000000027</v>
      </c>
    </row>
    <row r="2845" spans="65:67" x14ac:dyDescent="0.25">
      <c r="BM2845" s="281">
        <f>$AZ$58+0.2*(seat_pitch)*($AY$58*n_SA+$AW$10&lt;pax_e)</f>
        <v>26.102</v>
      </c>
      <c r="BN2845" s="281">
        <f>$AX$10</f>
        <v>1.3100000000000003</v>
      </c>
      <c r="BO2845" s="281">
        <f t="shared" si="178"/>
        <v>8.291520000000002</v>
      </c>
    </row>
    <row r="2846" spans="65:67" x14ac:dyDescent="0.25">
      <c r="BM2846" s="281">
        <f>$AZ$58+(seat_pitch)</f>
        <v>26.75</v>
      </c>
      <c r="BN2846" s="281">
        <f>$AX$10</f>
        <v>1.3100000000000003</v>
      </c>
      <c r="BO2846" s="281">
        <f t="shared" si="178"/>
        <v>8.9395200000000017</v>
      </c>
    </row>
    <row r="2847" spans="65:67" x14ac:dyDescent="0.25">
      <c r="BM2847" s="281">
        <f>$AZ$59+0.2*(seat_pitch)*($AY$59*n_SA+$AW$10&lt;pax_e)</f>
        <v>26.102</v>
      </c>
      <c r="BN2847" s="281">
        <f>$AX$10</f>
        <v>1.3100000000000003</v>
      </c>
      <c r="BO2847" s="281">
        <f t="shared" si="178"/>
        <v>8.291520000000002</v>
      </c>
    </row>
    <row r="2848" spans="65:67" x14ac:dyDescent="0.25">
      <c r="BM2848" s="281">
        <f>$AZ$59+0.2*(seat_pitch)*($AY$59*n_SA+$AW$10&lt;pax_e)</f>
        <v>26.102</v>
      </c>
      <c r="BN2848" s="281">
        <f>$AX$10+seat_w*($AY$59*n_SA+$AW$10&lt;pax_e)</f>
        <v>1.8400000000000003</v>
      </c>
      <c r="BO2848" s="281">
        <f t="shared" si="178"/>
        <v>8.291520000000002</v>
      </c>
    </row>
    <row r="2849" spans="65:67" x14ac:dyDescent="0.25">
      <c r="BM2849" s="281">
        <f>$AZ$59</f>
        <v>25.94</v>
      </c>
      <c r="BN2849" s="281">
        <f>$AX$10+seat_w*($AY$59*n_SA+$AW$10&lt;pax_e)</f>
        <v>1.8400000000000003</v>
      </c>
      <c r="BO2849" s="281">
        <f t="shared" si="178"/>
        <v>8.129520000000003</v>
      </c>
    </row>
    <row r="2850" spans="65:67" x14ac:dyDescent="0.25">
      <c r="BM2850" s="281">
        <f>$AZ$59+1*(seat_pitch)*($AY$59*n_SA+$AW$10&lt;pax_e)</f>
        <v>26.75</v>
      </c>
      <c r="BN2850" s="281">
        <f>$AX$10+seat_w*($AY$59*n_SA+$AW$10&lt;pax_e)</f>
        <v>1.8400000000000003</v>
      </c>
      <c r="BO2850" s="281">
        <f t="shared" si="178"/>
        <v>8.9395200000000017</v>
      </c>
    </row>
    <row r="2851" spans="65:67" x14ac:dyDescent="0.25">
      <c r="BM2851" s="281">
        <f>$AZ$59+0.8*(seat_pitch)*($AY$59*n_SA+$AW$10&lt;pax_e)</f>
        <v>26.588000000000001</v>
      </c>
      <c r="BN2851" s="281">
        <f>$AX$10+seat_w*($AY$59*n_SA+$AW$10&lt;pax_e)</f>
        <v>1.8400000000000003</v>
      </c>
      <c r="BO2851" s="281">
        <f t="shared" si="178"/>
        <v>8.7775200000000027</v>
      </c>
    </row>
    <row r="2852" spans="65:67" x14ac:dyDescent="0.25">
      <c r="BM2852" s="281">
        <f>$AZ$59+0.8*(seat_pitch)*($AY$59*n_SA+$AW$10&lt;pax_e)</f>
        <v>26.588000000000001</v>
      </c>
      <c r="BN2852" s="281">
        <f>$AX$10</f>
        <v>1.3100000000000003</v>
      </c>
      <c r="BO2852" s="281">
        <f t="shared" si="178"/>
        <v>8.7775200000000027</v>
      </c>
    </row>
    <row r="2853" spans="65:67" x14ac:dyDescent="0.25">
      <c r="BM2853" s="281">
        <f>$AZ$59+0.2*(seat_pitch)*($AY$59*n_SA+$AW$10&lt;pax_e)</f>
        <v>26.102</v>
      </c>
      <c r="BN2853" s="281">
        <f>$AX$10</f>
        <v>1.3100000000000003</v>
      </c>
      <c r="BO2853" s="281">
        <f t="shared" si="178"/>
        <v>8.291520000000002</v>
      </c>
    </row>
    <row r="2854" spans="65:67" x14ac:dyDescent="0.25">
      <c r="BM2854" s="281">
        <f>$AZ$59+(seat_pitch)</f>
        <v>26.75</v>
      </c>
      <c r="BN2854" s="281">
        <f>$AX$10</f>
        <v>1.3100000000000003</v>
      </c>
      <c r="BO2854" s="281">
        <f t="shared" si="178"/>
        <v>8.9395200000000017</v>
      </c>
    </row>
    <row r="2855" spans="65:67" x14ac:dyDescent="0.25">
      <c r="BM2855" s="281">
        <f>$AZ$60+0.2*(seat_pitch)*($AY$60*n_SA+$AW$10&lt;pax_e)</f>
        <v>26.102</v>
      </c>
      <c r="BN2855" s="281">
        <f>$AX$10</f>
        <v>1.3100000000000003</v>
      </c>
      <c r="BO2855" s="281">
        <f t="shared" si="178"/>
        <v>8.291520000000002</v>
      </c>
    </row>
    <row r="2856" spans="65:67" x14ac:dyDescent="0.25">
      <c r="BM2856" s="281">
        <f>$AZ$60+0.2*(seat_pitch)*($AY$60*n_SA+$AW$10&lt;pax_e)</f>
        <v>26.102</v>
      </c>
      <c r="BN2856" s="281">
        <f>$AX$10+seat_w*($AY$60*n_SA+$AW$10&lt;pax_e)</f>
        <v>1.8400000000000003</v>
      </c>
      <c r="BO2856" s="281">
        <f t="shared" si="178"/>
        <v>8.291520000000002</v>
      </c>
    </row>
    <row r="2857" spans="65:67" x14ac:dyDescent="0.25">
      <c r="BM2857" s="281">
        <f>$AZ$60</f>
        <v>25.94</v>
      </c>
      <c r="BN2857" s="281">
        <f>$AX$10+seat_w*($AY$60*n_SA+$AW$10&lt;pax_e)</f>
        <v>1.8400000000000003</v>
      </c>
      <c r="BO2857" s="281">
        <f t="shared" si="178"/>
        <v>8.129520000000003</v>
      </c>
    </row>
    <row r="2858" spans="65:67" x14ac:dyDescent="0.25">
      <c r="BM2858" s="281">
        <f>$AZ$60+1*(seat_pitch)*($AY$60*n_SA+$AW$10&lt;pax_e)</f>
        <v>26.75</v>
      </c>
      <c r="BN2858" s="281">
        <f>$AX$10+seat_w*($AY$60*n_SA+$AW$10&lt;pax_e)</f>
        <v>1.8400000000000003</v>
      </c>
      <c r="BO2858" s="281">
        <f t="shared" si="178"/>
        <v>8.9395200000000017</v>
      </c>
    </row>
    <row r="2859" spans="65:67" x14ac:dyDescent="0.25">
      <c r="BM2859" s="281">
        <f>$AZ$60+0.8*(seat_pitch)*($AY$60*n_SA+$AW$10&lt;pax_e)</f>
        <v>26.588000000000001</v>
      </c>
      <c r="BN2859" s="281">
        <f>$AX$10+seat_w*($AY$60*n_SA+$AW$10&lt;pax_e)</f>
        <v>1.8400000000000003</v>
      </c>
      <c r="BO2859" s="281">
        <f t="shared" si="178"/>
        <v>8.7775200000000027</v>
      </c>
    </row>
    <row r="2860" spans="65:67" x14ac:dyDescent="0.25">
      <c r="BM2860" s="281">
        <f>$AZ$60+0.8*(seat_pitch)*($AY$60*n_SA+$AW$10&lt;pax_e)</f>
        <v>26.588000000000001</v>
      </c>
      <c r="BN2860" s="281">
        <f>$AX$10</f>
        <v>1.3100000000000003</v>
      </c>
      <c r="BO2860" s="281">
        <f t="shared" si="178"/>
        <v>8.7775200000000027</v>
      </c>
    </row>
    <row r="2861" spans="65:67" x14ac:dyDescent="0.25">
      <c r="BM2861" s="281">
        <f>$AZ$60+0.2*(seat_pitch)*($AY$60*n_SA+$AW$10&lt;pax_e)</f>
        <v>26.102</v>
      </c>
      <c r="BN2861" s="281">
        <f>$AX$10</f>
        <v>1.3100000000000003</v>
      </c>
      <c r="BO2861" s="281">
        <f t="shared" si="178"/>
        <v>8.291520000000002</v>
      </c>
    </row>
    <row r="2862" spans="65:67" x14ac:dyDescent="0.25">
      <c r="BM2862" s="281">
        <f>$AZ$60+(seat_pitch)</f>
        <v>26.75</v>
      </c>
      <c r="BN2862" s="281">
        <f>$AX$10</f>
        <v>1.3100000000000003</v>
      </c>
      <c r="BO2862" s="281">
        <f t="shared" si="178"/>
        <v>8.9395200000000017</v>
      </c>
    </row>
    <row r="2863" spans="65:67" x14ac:dyDescent="0.25">
      <c r="BM2863" s="281">
        <f>$AZ$61+0.2*(seat_pitch)*($AY$61*n_SA+$AW$10&lt;pax_e)</f>
        <v>26.102</v>
      </c>
      <c r="BN2863" s="281">
        <f>$AX$10</f>
        <v>1.3100000000000003</v>
      </c>
      <c r="BO2863" s="281">
        <f t="shared" si="178"/>
        <v>8.291520000000002</v>
      </c>
    </row>
    <row r="2864" spans="65:67" x14ac:dyDescent="0.25">
      <c r="BM2864" s="281">
        <f>$AZ$61+0.2*(seat_pitch)*($AY$61*n_SA+$AW$10&lt;pax_e)</f>
        <v>26.102</v>
      </c>
      <c r="BN2864" s="281">
        <f>$AX$10+seat_w*($AY$61*n_SA+$AW$10&lt;pax_e)</f>
        <v>1.8400000000000003</v>
      </c>
      <c r="BO2864" s="281">
        <f t="shared" si="178"/>
        <v>8.291520000000002</v>
      </c>
    </row>
    <row r="2865" spans="65:67" x14ac:dyDescent="0.25">
      <c r="BM2865" s="281">
        <f>$AZ$61</f>
        <v>25.94</v>
      </c>
      <c r="BN2865" s="281">
        <f>$AX$10+seat_w*($AY$61*n_SA+$AW$10&lt;pax_e)</f>
        <v>1.8400000000000003</v>
      </c>
      <c r="BO2865" s="281">
        <f t="shared" si="178"/>
        <v>8.129520000000003</v>
      </c>
    </row>
    <row r="2866" spans="65:67" x14ac:dyDescent="0.25">
      <c r="BM2866" s="281">
        <f>$AZ$61+1*(seat_pitch)*($AY$61*n_SA+$AW$10&lt;pax_e)</f>
        <v>26.75</v>
      </c>
      <c r="BN2866" s="281">
        <f>$AX$10+seat_w*($AY$61*n_SA+$AW$10&lt;pax_e)</f>
        <v>1.8400000000000003</v>
      </c>
      <c r="BO2866" s="281">
        <f t="shared" si="178"/>
        <v>8.9395200000000017</v>
      </c>
    </row>
    <row r="2867" spans="65:67" x14ac:dyDescent="0.25">
      <c r="BM2867" s="281">
        <f>$AZ$61+0.8*(seat_pitch)*($AY$61*n_SA+$AW$10&lt;pax_e)</f>
        <v>26.588000000000001</v>
      </c>
      <c r="BN2867" s="281">
        <f>$AX$10+seat_w*($AY$61*n_SA+$AW$10&lt;pax_e)</f>
        <v>1.8400000000000003</v>
      </c>
      <c r="BO2867" s="281">
        <f t="shared" si="178"/>
        <v>8.7775200000000027</v>
      </c>
    </row>
    <row r="2868" spans="65:67" x14ac:dyDescent="0.25">
      <c r="BM2868" s="281">
        <f>$AZ$61+0.8*(seat_pitch)*($AY$61*n_SA+$AW$10&lt;pax_e)</f>
        <v>26.588000000000001</v>
      </c>
      <c r="BN2868" s="281">
        <f>$AX$10</f>
        <v>1.3100000000000003</v>
      </c>
      <c r="BO2868" s="281">
        <f t="shared" si="178"/>
        <v>8.7775200000000027</v>
      </c>
    </row>
    <row r="2869" spans="65:67" x14ac:dyDescent="0.25">
      <c r="BM2869" s="281">
        <f>$AZ$61+0.2*(seat_pitch)*($AY$61*n_SA+$AW$10&lt;pax_e)</f>
        <v>26.102</v>
      </c>
      <c r="BN2869" s="281">
        <f>$AX$10</f>
        <v>1.3100000000000003</v>
      </c>
      <c r="BO2869" s="281">
        <f t="shared" si="178"/>
        <v>8.291520000000002</v>
      </c>
    </row>
    <row r="2870" spans="65:67" x14ac:dyDescent="0.25">
      <c r="BM2870" s="281">
        <f>$AZ$61+(seat_pitch)</f>
        <v>26.75</v>
      </c>
      <c r="BN2870" s="281">
        <f>$AX$10</f>
        <v>1.3100000000000003</v>
      </c>
      <c r="BO2870" s="281">
        <f t="shared" si="178"/>
        <v>8.9395200000000017</v>
      </c>
    </row>
    <row r="2871" spans="65:67" x14ac:dyDescent="0.25">
      <c r="BM2871" s="281">
        <f>$AZ$62+0.2*(seat_pitch)*($AY$62*n_SA+$AW$10&lt;pax_e)</f>
        <v>26.102</v>
      </c>
      <c r="BN2871" s="281">
        <f>$AX$10</f>
        <v>1.3100000000000003</v>
      </c>
      <c r="BO2871" s="281">
        <f t="shared" si="178"/>
        <v>8.291520000000002</v>
      </c>
    </row>
    <row r="2872" spans="65:67" x14ac:dyDescent="0.25">
      <c r="BM2872" s="281">
        <f>$AZ$62+0.2*(seat_pitch)*($AY$62*n_SA+$AW$10&lt;pax_e)</f>
        <v>26.102</v>
      </c>
      <c r="BN2872" s="281">
        <f>$AX$10+seat_w*($AY$62*n_SA+$AW$10&lt;pax_e)</f>
        <v>1.8400000000000003</v>
      </c>
      <c r="BO2872" s="281">
        <f t="shared" si="178"/>
        <v>8.291520000000002</v>
      </c>
    </row>
    <row r="2873" spans="65:67" x14ac:dyDescent="0.25">
      <c r="BM2873" s="281">
        <f>$AZ$62</f>
        <v>25.94</v>
      </c>
      <c r="BN2873" s="281">
        <f>$AX$10+seat_w*($AY$62*n_SA+$AW$10&lt;pax_e)</f>
        <v>1.8400000000000003</v>
      </c>
      <c r="BO2873" s="281">
        <f t="shared" si="178"/>
        <v>8.129520000000003</v>
      </c>
    </row>
    <row r="2874" spans="65:67" x14ac:dyDescent="0.25">
      <c r="BM2874" s="281">
        <f>$AZ$62+1*(seat_pitch)*($AY$62*n_SA+$AW$10&lt;pax_e)</f>
        <v>26.75</v>
      </c>
      <c r="BN2874" s="281">
        <f>$AX$10+seat_w*($AY$62*n_SA+$AW$10&lt;pax_e)</f>
        <v>1.8400000000000003</v>
      </c>
      <c r="BO2874" s="281">
        <f t="shared" si="178"/>
        <v>8.9395200000000017</v>
      </c>
    </row>
    <row r="2875" spans="65:67" x14ac:dyDescent="0.25">
      <c r="BM2875" s="281">
        <f>$AZ$62+0.8*(seat_pitch)*($AY$62*n_SA+$AW$10&lt;pax_e)</f>
        <v>26.588000000000001</v>
      </c>
      <c r="BN2875" s="281">
        <f>$AX$10+seat_w*($AY$62*n_SA+$AW$10&lt;pax_e)</f>
        <v>1.8400000000000003</v>
      </c>
      <c r="BO2875" s="281">
        <f t="shared" si="178"/>
        <v>8.7775200000000027</v>
      </c>
    </row>
    <row r="2876" spans="65:67" x14ac:dyDescent="0.25">
      <c r="BM2876" s="281">
        <f>$AZ$62+0.8*(seat_pitch)*($AY$62*n_SA+$AW$10&lt;pax_e)</f>
        <v>26.588000000000001</v>
      </c>
      <c r="BN2876" s="281">
        <f>$AX$10</f>
        <v>1.3100000000000003</v>
      </c>
      <c r="BO2876" s="281">
        <f t="shared" si="178"/>
        <v>8.7775200000000027</v>
      </c>
    </row>
    <row r="2877" spans="65:67" x14ac:dyDescent="0.25">
      <c r="BM2877" s="281">
        <f>$AZ$62+0.2*(seat_pitch)*($AY$62*n_SA+$AW$10&lt;pax_e)</f>
        <v>26.102</v>
      </c>
      <c r="BN2877" s="281">
        <f>$AX$10</f>
        <v>1.3100000000000003</v>
      </c>
      <c r="BO2877" s="281">
        <f t="shared" si="178"/>
        <v>8.291520000000002</v>
      </c>
    </row>
    <row r="2878" spans="65:67" x14ac:dyDescent="0.25">
      <c r="BM2878" s="281">
        <f>$AZ$62+(seat_pitch)</f>
        <v>26.75</v>
      </c>
      <c r="BN2878" s="281">
        <f>$AX$10</f>
        <v>1.3100000000000003</v>
      </c>
      <c r="BO2878" s="281">
        <f t="shared" si="178"/>
        <v>8.9395200000000017</v>
      </c>
    </row>
    <row r="2879" spans="65:67" x14ac:dyDescent="0.25">
      <c r="BM2879" s="281">
        <f>$AZ$63+0.2*(seat_pitch)*($AY$63*n_SA+$AW$10&lt;pax_e)</f>
        <v>26.102</v>
      </c>
      <c r="BN2879" s="281">
        <f>$AX$10</f>
        <v>1.3100000000000003</v>
      </c>
      <c r="BO2879" s="281">
        <f t="shared" si="178"/>
        <v>8.291520000000002</v>
      </c>
    </row>
    <row r="2880" spans="65:67" x14ac:dyDescent="0.25">
      <c r="BM2880" s="281">
        <f>$AZ$63+0.2*(seat_pitch)*($AY$63*n_SA+$AW$10&lt;pax_e)</f>
        <v>26.102</v>
      </c>
      <c r="BN2880" s="281">
        <f>$AX$10+seat_w*($AY$63*n_SA+$AW$10&lt;pax_e)</f>
        <v>1.8400000000000003</v>
      </c>
      <c r="BO2880" s="281">
        <f t="shared" si="178"/>
        <v>8.291520000000002</v>
      </c>
    </row>
    <row r="2881" spans="65:67" x14ac:dyDescent="0.25">
      <c r="BM2881" s="281">
        <f>$AZ$63</f>
        <v>25.94</v>
      </c>
      <c r="BN2881" s="281">
        <f>$AX$10+seat_w*($AY$63*n_SA+$AW$10&lt;pax_e)</f>
        <v>1.8400000000000003</v>
      </c>
      <c r="BO2881" s="281">
        <f t="shared" si="178"/>
        <v>8.129520000000003</v>
      </c>
    </row>
    <row r="2882" spans="65:67" x14ac:dyDescent="0.25">
      <c r="BM2882" s="281">
        <f>$AZ$63+1*(seat_pitch)*($AY$63*n_SA+$AW$10&lt;pax_e)</f>
        <v>26.75</v>
      </c>
      <c r="BN2882" s="281">
        <f>$AX$10+seat_w*($AY$63*n_SA+$AW$10&lt;pax_e)</f>
        <v>1.8400000000000003</v>
      </c>
      <c r="BO2882" s="281">
        <f t="shared" si="178"/>
        <v>8.9395200000000017</v>
      </c>
    </row>
    <row r="2883" spans="65:67" x14ac:dyDescent="0.25">
      <c r="BM2883" s="281">
        <f>$AZ$63+0.8*(seat_pitch)*($AY$63*n_SA+$AW$10&lt;pax_e)</f>
        <v>26.588000000000001</v>
      </c>
      <c r="BN2883" s="281">
        <f>$AX$10+seat_w*($AY$63*n_SA+$AW$10&lt;pax_e)</f>
        <v>1.8400000000000003</v>
      </c>
      <c r="BO2883" s="281">
        <f t="shared" si="178"/>
        <v>8.7775200000000027</v>
      </c>
    </row>
    <row r="2884" spans="65:67" x14ac:dyDescent="0.25">
      <c r="BM2884" s="281">
        <f>$AZ$63+0.8*(seat_pitch)*($AY$63*n_SA+$AW$10&lt;pax_e)</f>
        <v>26.588000000000001</v>
      </c>
      <c r="BN2884" s="281">
        <f>$AX$10</f>
        <v>1.3100000000000003</v>
      </c>
      <c r="BO2884" s="281">
        <f t="shared" si="178"/>
        <v>8.7775200000000027</v>
      </c>
    </row>
    <row r="2885" spans="65:67" x14ac:dyDescent="0.25">
      <c r="BM2885" s="281">
        <f>$AZ$63+0.2*(seat_pitch)*($AY$63*n_SA+$AW$10&lt;pax_e)</f>
        <v>26.102</v>
      </c>
      <c r="BN2885" s="281">
        <f>$AX$10</f>
        <v>1.3100000000000003</v>
      </c>
      <c r="BO2885" s="281">
        <f t="shared" ref="BO2885:BO2948" si="179">BM2885-L_fus/2</f>
        <v>8.291520000000002</v>
      </c>
    </row>
    <row r="2886" spans="65:67" x14ac:dyDescent="0.25">
      <c r="BM2886" s="281">
        <f>$AZ$63+(seat_pitch)</f>
        <v>26.75</v>
      </c>
      <c r="BN2886" s="281">
        <f>$AX$10</f>
        <v>1.3100000000000003</v>
      </c>
      <c r="BO2886" s="281">
        <f t="shared" si="179"/>
        <v>8.9395200000000017</v>
      </c>
    </row>
    <row r="2887" spans="65:67" x14ac:dyDescent="0.25">
      <c r="BM2887" s="281">
        <f>$AZ$64+0.2*(seat_pitch)*($AY$64*n_SA+$AW$10&lt;pax_e)</f>
        <v>26.102</v>
      </c>
      <c r="BN2887" s="281">
        <f>$AX$10</f>
        <v>1.3100000000000003</v>
      </c>
      <c r="BO2887" s="281">
        <f t="shared" si="179"/>
        <v>8.291520000000002</v>
      </c>
    </row>
    <row r="2888" spans="65:67" x14ac:dyDescent="0.25">
      <c r="BM2888" s="281">
        <f>$AZ$64+0.2*(seat_pitch)*($AY$64*n_SA+$AW$10&lt;pax_e)</f>
        <v>26.102</v>
      </c>
      <c r="BN2888" s="281">
        <f>$AX$10+seat_w*($AY$64*n_SA+$AW$10&lt;pax_e)</f>
        <v>1.8400000000000003</v>
      </c>
      <c r="BO2888" s="281">
        <f t="shared" si="179"/>
        <v>8.291520000000002</v>
      </c>
    </row>
    <row r="2889" spans="65:67" x14ac:dyDescent="0.25">
      <c r="BM2889" s="281">
        <f>$AZ$64</f>
        <v>25.94</v>
      </c>
      <c r="BN2889" s="281">
        <f>$AX$10+seat_w*($AY$64*n_SA+$AW$10&lt;pax_e)</f>
        <v>1.8400000000000003</v>
      </c>
      <c r="BO2889" s="281">
        <f t="shared" si="179"/>
        <v>8.129520000000003</v>
      </c>
    </row>
    <row r="2890" spans="65:67" x14ac:dyDescent="0.25">
      <c r="BM2890" s="281">
        <f>$AZ$64+1*(seat_pitch)*($AY$64*n_SA+$AW$10&lt;pax_e)</f>
        <v>26.75</v>
      </c>
      <c r="BN2890" s="281">
        <f>$AX$10+seat_w*($AY$64*n_SA+$AW$10&lt;pax_e)</f>
        <v>1.8400000000000003</v>
      </c>
      <c r="BO2890" s="281">
        <f t="shared" si="179"/>
        <v>8.9395200000000017</v>
      </c>
    </row>
    <row r="2891" spans="65:67" x14ac:dyDescent="0.25">
      <c r="BM2891" s="281">
        <f>$AZ$64+0.8*(seat_pitch)*($AY$64*n_SA+$AW$10&lt;pax_e)</f>
        <v>26.588000000000001</v>
      </c>
      <c r="BN2891" s="281">
        <f>$AX$10+seat_w*($AY$64*n_SA+$AW$10&lt;pax_e)</f>
        <v>1.8400000000000003</v>
      </c>
      <c r="BO2891" s="281">
        <f t="shared" si="179"/>
        <v>8.7775200000000027</v>
      </c>
    </row>
    <row r="2892" spans="65:67" x14ac:dyDescent="0.25">
      <c r="BM2892" s="281">
        <f>$AZ$64+0.8*(seat_pitch)*($AY$64*n_SA+$AW$10&lt;pax_e)</f>
        <v>26.588000000000001</v>
      </c>
      <c r="BN2892" s="281">
        <f>$AX$10</f>
        <v>1.3100000000000003</v>
      </c>
      <c r="BO2892" s="281">
        <f t="shared" si="179"/>
        <v>8.7775200000000027</v>
      </c>
    </row>
    <row r="2893" spans="65:67" x14ac:dyDescent="0.25">
      <c r="BM2893" s="281">
        <f>$AZ$64+0.2*(seat_pitch)*($AY$64*n_SA+$AW$10&lt;pax_e)</f>
        <v>26.102</v>
      </c>
      <c r="BN2893" s="281">
        <f>$AX$10</f>
        <v>1.3100000000000003</v>
      </c>
      <c r="BO2893" s="281">
        <f t="shared" si="179"/>
        <v>8.291520000000002</v>
      </c>
    </row>
    <row r="2894" spans="65:67" x14ac:dyDescent="0.25">
      <c r="BM2894" s="281">
        <f>$AZ$64+(seat_pitch)</f>
        <v>26.75</v>
      </c>
      <c r="BN2894" s="281">
        <f>$AX$10</f>
        <v>1.3100000000000003</v>
      </c>
      <c r="BO2894" s="281">
        <f t="shared" si="179"/>
        <v>8.9395200000000017</v>
      </c>
    </row>
    <row r="2895" spans="65:67" x14ac:dyDescent="0.25">
      <c r="BM2895" s="281">
        <f>x_seat_end</f>
        <v>26.75</v>
      </c>
      <c r="BN2895" s="281">
        <f>$AX$11</f>
        <v>1.3100000000000003</v>
      </c>
      <c r="BO2895" s="281">
        <f t="shared" si="179"/>
        <v>8.9395200000000017</v>
      </c>
    </row>
    <row r="2896" spans="65:67" x14ac:dyDescent="0.25">
      <c r="BM2896" s="281">
        <f>x_eco0</f>
        <v>6.5</v>
      </c>
      <c r="BN2896" s="281">
        <f>$AX$11</f>
        <v>1.3100000000000003</v>
      </c>
      <c r="BO2896" s="281">
        <f t="shared" si="179"/>
        <v>-11.310479999999998</v>
      </c>
    </row>
    <row r="2897" spans="65:67" x14ac:dyDescent="0.25">
      <c r="BM2897" s="281">
        <f>$AZ$5+0.2*(seat_pitch)*($AY$5*n_SA+$AW$11&lt;pax_e)</f>
        <v>6.6619999999999999</v>
      </c>
      <c r="BN2897" s="281">
        <f>$AX$11</f>
        <v>1.3100000000000003</v>
      </c>
      <c r="BO2897" s="281">
        <f t="shared" si="179"/>
        <v>-11.148479999999999</v>
      </c>
    </row>
    <row r="2898" spans="65:67" x14ac:dyDescent="0.25">
      <c r="BM2898" s="281">
        <f>$AZ$5+0.2*(seat_pitch)*($AY$5*n_SA+$AW$11&lt;pax_e)</f>
        <v>6.6619999999999999</v>
      </c>
      <c r="BN2898" s="281">
        <f>$AX$11+seat_w*($AY$5*n_SA+$AW$11&lt;pax_e)</f>
        <v>1.8400000000000003</v>
      </c>
      <c r="BO2898" s="281">
        <f t="shared" si="179"/>
        <v>-11.148479999999999</v>
      </c>
    </row>
    <row r="2899" spans="65:67" x14ac:dyDescent="0.25">
      <c r="BM2899" s="281">
        <f>$AZ$5</f>
        <v>6.5</v>
      </c>
      <c r="BN2899" s="281">
        <f>$AX$11+seat_w*($AY$5*n_SA+$AW$11&lt;pax_e)</f>
        <v>1.8400000000000003</v>
      </c>
      <c r="BO2899" s="281">
        <f t="shared" si="179"/>
        <v>-11.310479999999998</v>
      </c>
    </row>
    <row r="2900" spans="65:67" x14ac:dyDescent="0.25">
      <c r="BM2900" s="281">
        <f>$AZ$5+1*(seat_pitch)*($AY$5*n_SA+$AW$11&lt;pax_e)</f>
        <v>7.3100000000000005</v>
      </c>
      <c r="BN2900" s="281">
        <f>$AX$11+seat_w*($AY$5*n_SA+$AW$11&lt;pax_e)</f>
        <v>1.8400000000000003</v>
      </c>
      <c r="BO2900" s="281">
        <f t="shared" si="179"/>
        <v>-10.500479999999998</v>
      </c>
    </row>
    <row r="2901" spans="65:67" x14ac:dyDescent="0.25">
      <c r="BM2901" s="281">
        <f>$AZ$5+0.8*(seat_pitch)*($AY$5*n_SA+$AW$11&lt;pax_e)</f>
        <v>7.1479999999999997</v>
      </c>
      <c r="BN2901" s="281">
        <f>$AX$11+seat_w*($AY$5*n_SA+$AW$11&lt;pax_e)</f>
        <v>1.8400000000000003</v>
      </c>
      <c r="BO2901" s="281">
        <f t="shared" si="179"/>
        <v>-10.662479999999999</v>
      </c>
    </row>
    <row r="2902" spans="65:67" x14ac:dyDescent="0.25">
      <c r="BM2902" s="281">
        <f>$AZ$5+0.8*(seat_pitch)*($AY$5*n_SA+$AW$11&lt;pax_e)</f>
        <v>7.1479999999999997</v>
      </c>
      <c r="BN2902" s="281">
        <f>$AX$11</f>
        <v>1.3100000000000003</v>
      </c>
      <c r="BO2902" s="281">
        <f t="shared" si="179"/>
        <v>-10.662479999999999</v>
      </c>
    </row>
    <row r="2903" spans="65:67" x14ac:dyDescent="0.25">
      <c r="BM2903" s="281">
        <f>$AZ$5+0.2*(seat_pitch)*($AY$5*n_SA+$AW$11&lt;pax_e)</f>
        <v>6.6619999999999999</v>
      </c>
      <c r="BN2903" s="281">
        <f>$AX$11</f>
        <v>1.3100000000000003</v>
      </c>
      <c r="BO2903" s="281">
        <f t="shared" si="179"/>
        <v>-11.148479999999999</v>
      </c>
    </row>
    <row r="2904" spans="65:67" x14ac:dyDescent="0.25">
      <c r="BM2904" s="281">
        <f>$AZ$5+(seat_pitch)</f>
        <v>7.3100000000000005</v>
      </c>
      <c r="BN2904" s="281">
        <f>$AX$11</f>
        <v>1.3100000000000003</v>
      </c>
      <c r="BO2904" s="281">
        <f t="shared" si="179"/>
        <v>-10.500479999999998</v>
      </c>
    </row>
    <row r="2905" spans="65:67" x14ac:dyDescent="0.25">
      <c r="BM2905" s="281">
        <f>$AZ$6+0.2*(seat_pitch)*($AY$6*n_SA+$AW$11&lt;pax_e)</f>
        <v>7.4720000000000004</v>
      </c>
      <c r="BN2905" s="281">
        <f>$AX$11</f>
        <v>1.3100000000000003</v>
      </c>
      <c r="BO2905" s="281">
        <f t="shared" si="179"/>
        <v>-10.338479999999997</v>
      </c>
    </row>
    <row r="2906" spans="65:67" x14ac:dyDescent="0.25">
      <c r="BM2906" s="281">
        <f>$AZ$6+0.2*(seat_pitch)*($AY$6*n_SA+$AW$11&lt;pax_e)</f>
        <v>7.4720000000000004</v>
      </c>
      <c r="BN2906" s="281">
        <f>$AX$11+seat_w*($AY$6*n_SA+$AW$11&lt;pax_e)</f>
        <v>1.8400000000000003</v>
      </c>
      <c r="BO2906" s="281">
        <f t="shared" si="179"/>
        <v>-10.338479999999997</v>
      </c>
    </row>
    <row r="2907" spans="65:67" x14ac:dyDescent="0.25">
      <c r="BM2907" s="281">
        <f>$AZ$6</f>
        <v>7.3100000000000005</v>
      </c>
      <c r="BN2907" s="281">
        <f>$AX$11+seat_w*($AY$6*n_SA+$AW$11&lt;pax_e)</f>
        <v>1.8400000000000003</v>
      </c>
      <c r="BO2907" s="281">
        <f t="shared" si="179"/>
        <v>-10.500479999999998</v>
      </c>
    </row>
    <row r="2908" spans="65:67" x14ac:dyDescent="0.25">
      <c r="BM2908" s="281">
        <f>$AZ$6+1*(seat_pitch)*($AY$6*n_SA+$AW$11&lt;pax_e)</f>
        <v>8.120000000000001</v>
      </c>
      <c r="BN2908" s="281">
        <f>$AX$11+seat_w*($AY$6*n_SA+$AW$11&lt;pax_e)</f>
        <v>1.8400000000000003</v>
      </c>
      <c r="BO2908" s="281">
        <f t="shared" si="179"/>
        <v>-9.6904799999999973</v>
      </c>
    </row>
    <row r="2909" spans="65:67" x14ac:dyDescent="0.25">
      <c r="BM2909" s="281">
        <f>$AZ$6+0.8*(seat_pitch)*($AY$6*n_SA+$AW$11&lt;pax_e)</f>
        <v>7.9580000000000002</v>
      </c>
      <c r="BN2909" s="281">
        <f>$AX$11+seat_w*($AY$6*n_SA+$AW$11&lt;pax_e)</f>
        <v>1.8400000000000003</v>
      </c>
      <c r="BO2909" s="281">
        <f t="shared" si="179"/>
        <v>-9.8524799999999981</v>
      </c>
    </row>
    <row r="2910" spans="65:67" x14ac:dyDescent="0.25">
      <c r="BM2910" s="281">
        <f>$AZ$6+0.8*(seat_pitch)*($AY$6*n_SA+$AW$11&lt;pax_e)</f>
        <v>7.9580000000000002</v>
      </c>
      <c r="BN2910" s="281">
        <f>$AX$11</f>
        <v>1.3100000000000003</v>
      </c>
      <c r="BO2910" s="281">
        <f t="shared" si="179"/>
        <v>-9.8524799999999981</v>
      </c>
    </row>
    <row r="2911" spans="65:67" x14ac:dyDescent="0.25">
      <c r="BM2911" s="281">
        <f>$AZ$6+0.2*(seat_pitch)*($AY$6*n_SA+$AW$11&lt;pax_e)</f>
        <v>7.4720000000000004</v>
      </c>
      <c r="BN2911" s="281">
        <f>$AX$11</f>
        <v>1.3100000000000003</v>
      </c>
      <c r="BO2911" s="281">
        <f t="shared" si="179"/>
        <v>-10.338479999999997</v>
      </c>
    </row>
    <row r="2912" spans="65:67" x14ac:dyDescent="0.25">
      <c r="BM2912" s="281">
        <f>$AZ$6+(seat_pitch)</f>
        <v>8.120000000000001</v>
      </c>
      <c r="BN2912" s="281">
        <f>$AX$11</f>
        <v>1.3100000000000003</v>
      </c>
      <c r="BO2912" s="281">
        <f t="shared" si="179"/>
        <v>-9.6904799999999973</v>
      </c>
    </row>
    <row r="2913" spans="65:67" x14ac:dyDescent="0.25">
      <c r="BM2913" s="281">
        <f>$AZ$7+0.2*(seat_pitch)*($AY$7*n_SA+$AW$11&lt;pax_e)</f>
        <v>8.2820000000000018</v>
      </c>
      <c r="BN2913" s="281">
        <f>$AX$11</f>
        <v>1.3100000000000003</v>
      </c>
      <c r="BO2913" s="281">
        <f t="shared" si="179"/>
        <v>-9.5284799999999965</v>
      </c>
    </row>
    <row r="2914" spans="65:67" x14ac:dyDescent="0.25">
      <c r="BM2914" s="281">
        <f>$AZ$7+0.2*(seat_pitch)*($AY$7*n_SA+$AW$11&lt;pax_e)</f>
        <v>8.2820000000000018</v>
      </c>
      <c r="BN2914" s="281">
        <f>$AX$11+seat_w*($AY$7*n_SA+$AW$11&lt;pax_e)</f>
        <v>1.8400000000000003</v>
      </c>
      <c r="BO2914" s="281">
        <f t="shared" si="179"/>
        <v>-9.5284799999999965</v>
      </c>
    </row>
    <row r="2915" spans="65:67" x14ac:dyDescent="0.25">
      <c r="BM2915" s="281">
        <f>$AZ$7</f>
        <v>8.120000000000001</v>
      </c>
      <c r="BN2915" s="281">
        <f>$AX$11+seat_w*($AY$7*n_SA+$AW$11&lt;pax_e)</f>
        <v>1.8400000000000003</v>
      </c>
      <c r="BO2915" s="281">
        <f t="shared" si="179"/>
        <v>-9.6904799999999973</v>
      </c>
    </row>
    <row r="2916" spans="65:67" x14ac:dyDescent="0.25">
      <c r="BM2916" s="281">
        <f>$AZ$7+1*(seat_pitch)*($AY$7*n_SA+$AW$11&lt;pax_e)</f>
        <v>8.9300000000000015</v>
      </c>
      <c r="BN2916" s="281">
        <f>$AX$11+seat_w*($AY$7*n_SA+$AW$11&lt;pax_e)</f>
        <v>1.8400000000000003</v>
      </c>
      <c r="BO2916" s="281">
        <f t="shared" si="179"/>
        <v>-8.8804799999999968</v>
      </c>
    </row>
    <row r="2917" spans="65:67" x14ac:dyDescent="0.25">
      <c r="BM2917" s="281">
        <f>$AZ$7+0.8*(seat_pitch)*($AY$7*n_SA+$AW$11&lt;pax_e)</f>
        <v>8.7680000000000007</v>
      </c>
      <c r="BN2917" s="281">
        <f>$AX$11+seat_w*($AY$7*n_SA+$AW$11&lt;pax_e)</f>
        <v>1.8400000000000003</v>
      </c>
      <c r="BO2917" s="281">
        <f t="shared" si="179"/>
        <v>-9.0424799999999976</v>
      </c>
    </row>
    <row r="2918" spans="65:67" x14ac:dyDescent="0.25">
      <c r="BM2918" s="281">
        <f>$AZ$7+0.8*(seat_pitch)*($AY$7*n_SA+$AW$11&lt;pax_e)</f>
        <v>8.7680000000000007</v>
      </c>
      <c r="BN2918" s="281">
        <f>$AX$11</f>
        <v>1.3100000000000003</v>
      </c>
      <c r="BO2918" s="281">
        <f t="shared" si="179"/>
        <v>-9.0424799999999976</v>
      </c>
    </row>
    <row r="2919" spans="65:67" x14ac:dyDescent="0.25">
      <c r="BM2919" s="281">
        <f>$AZ$7+0.2*(seat_pitch)*($AY$7*n_SA+$AW$11&lt;pax_e)</f>
        <v>8.2820000000000018</v>
      </c>
      <c r="BN2919" s="281">
        <f>$AX$11</f>
        <v>1.3100000000000003</v>
      </c>
      <c r="BO2919" s="281">
        <f t="shared" si="179"/>
        <v>-9.5284799999999965</v>
      </c>
    </row>
    <row r="2920" spans="65:67" x14ac:dyDescent="0.25">
      <c r="BM2920" s="281">
        <f>$AZ$7+(seat_pitch)</f>
        <v>8.9300000000000015</v>
      </c>
      <c r="BN2920" s="281">
        <f>$AX$11</f>
        <v>1.3100000000000003</v>
      </c>
      <c r="BO2920" s="281">
        <f t="shared" si="179"/>
        <v>-8.8804799999999968</v>
      </c>
    </row>
    <row r="2921" spans="65:67" x14ac:dyDescent="0.25">
      <c r="BM2921" s="281">
        <f>$AZ$8+0.2*(seat_pitch)*($AY$8*n_SA+$AW$11&lt;pax_e)</f>
        <v>9.0920000000000005</v>
      </c>
      <c r="BN2921" s="281">
        <f>$AX$11</f>
        <v>1.3100000000000003</v>
      </c>
      <c r="BO2921" s="281">
        <f t="shared" si="179"/>
        <v>-8.7184799999999978</v>
      </c>
    </row>
    <row r="2922" spans="65:67" x14ac:dyDescent="0.25">
      <c r="BM2922" s="281">
        <f>$AZ$8+0.2*(seat_pitch)*($AY$8*n_SA+$AW$11&lt;pax_e)</f>
        <v>9.0920000000000005</v>
      </c>
      <c r="BN2922" s="281">
        <f>$AX$11+seat_w*($AY$8*n_SA+$AW$11&lt;pax_e)</f>
        <v>1.8400000000000003</v>
      </c>
      <c r="BO2922" s="281">
        <f t="shared" si="179"/>
        <v>-8.7184799999999978</v>
      </c>
    </row>
    <row r="2923" spans="65:67" x14ac:dyDescent="0.25">
      <c r="BM2923" s="281">
        <f>$AZ$8</f>
        <v>8.93</v>
      </c>
      <c r="BN2923" s="281">
        <f>$AX$11+seat_w*($AY$8*n_SA+$AW$11&lt;pax_e)</f>
        <v>1.8400000000000003</v>
      </c>
      <c r="BO2923" s="281">
        <f t="shared" si="179"/>
        <v>-8.8804799999999986</v>
      </c>
    </row>
    <row r="2924" spans="65:67" x14ac:dyDescent="0.25">
      <c r="BM2924" s="281">
        <f>$AZ$8+1*(seat_pitch)*($AY$8*n_SA+$AW$11&lt;pax_e)</f>
        <v>9.74</v>
      </c>
      <c r="BN2924" s="281">
        <f>$AX$11+seat_w*($AY$8*n_SA+$AW$11&lt;pax_e)</f>
        <v>1.8400000000000003</v>
      </c>
      <c r="BO2924" s="281">
        <f t="shared" si="179"/>
        <v>-8.0704799999999981</v>
      </c>
    </row>
    <row r="2925" spans="65:67" x14ac:dyDescent="0.25">
      <c r="BM2925" s="281">
        <f>$AZ$8+0.8*(seat_pitch)*($AY$8*n_SA+$AW$11&lt;pax_e)</f>
        <v>9.5779999999999994</v>
      </c>
      <c r="BN2925" s="281">
        <f>$AX$11+seat_w*($AY$8*n_SA+$AW$11&lt;pax_e)</f>
        <v>1.8400000000000003</v>
      </c>
      <c r="BO2925" s="281">
        <f t="shared" si="179"/>
        <v>-8.2324799999999989</v>
      </c>
    </row>
    <row r="2926" spans="65:67" x14ac:dyDescent="0.25">
      <c r="BM2926" s="281">
        <f>$AZ$8+0.8*(seat_pitch)*($AY$8*n_SA+$AW$11&lt;pax_e)</f>
        <v>9.5779999999999994</v>
      </c>
      <c r="BN2926" s="281">
        <f>$AX$11</f>
        <v>1.3100000000000003</v>
      </c>
      <c r="BO2926" s="281">
        <f t="shared" si="179"/>
        <v>-8.2324799999999989</v>
      </c>
    </row>
    <row r="2927" spans="65:67" x14ac:dyDescent="0.25">
      <c r="BM2927" s="281">
        <f>$AZ$8+0.2*(seat_pitch)*($AY$8*n_SA+$AW$11&lt;pax_e)</f>
        <v>9.0920000000000005</v>
      </c>
      <c r="BN2927" s="281">
        <f>$AX$11</f>
        <v>1.3100000000000003</v>
      </c>
      <c r="BO2927" s="281">
        <f t="shared" si="179"/>
        <v>-8.7184799999999978</v>
      </c>
    </row>
    <row r="2928" spans="65:67" x14ac:dyDescent="0.25">
      <c r="BM2928" s="281">
        <f>$AZ$8+(seat_pitch)</f>
        <v>9.74</v>
      </c>
      <c r="BN2928" s="281">
        <f>$AX$11</f>
        <v>1.3100000000000003</v>
      </c>
      <c r="BO2928" s="281">
        <f t="shared" si="179"/>
        <v>-8.0704799999999981</v>
      </c>
    </row>
    <row r="2929" spans="65:67" x14ac:dyDescent="0.25">
      <c r="BM2929" s="281">
        <f>$AZ$9+0.2*(seat_pitch)*($AY$9*n_SA+$AW$11&lt;pax_e)</f>
        <v>9.902000000000001</v>
      </c>
      <c r="BN2929" s="281">
        <f>$AX$11</f>
        <v>1.3100000000000003</v>
      </c>
      <c r="BO2929" s="281">
        <f t="shared" si="179"/>
        <v>-7.9084799999999973</v>
      </c>
    </row>
    <row r="2930" spans="65:67" x14ac:dyDescent="0.25">
      <c r="BM2930" s="281">
        <f>$AZ$9+0.2*(seat_pitch)*($AY$9*n_SA+$AW$11&lt;pax_e)</f>
        <v>9.902000000000001</v>
      </c>
      <c r="BN2930" s="281">
        <f>$AX$11+seat_w*($AY$9*n_SA+$AW$11&lt;pax_e)</f>
        <v>1.8400000000000003</v>
      </c>
      <c r="BO2930" s="281">
        <f t="shared" si="179"/>
        <v>-7.9084799999999973</v>
      </c>
    </row>
    <row r="2931" spans="65:67" x14ac:dyDescent="0.25">
      <c r="BM2931" s="281">
        <f>$AZ$9</f>
        <v>9.74</v>
      </c>
      <c r="BN2931" s="281">
        <f>$AX$11+seat_w*($AY$9*n_SA+$AW$11&lt;pax_e)</f>
        <v>1.8400000000000003</v>
      </c>
      <c r="BO2931" s="281">
        <f t="shared" si="179"/>
        <v>-8.0704799999999981</v>
      </c>
    </row>
    <row r="2932" spans="65:67" x14ac:dyDescent="0.25">
      <c r="BM2932" s="281">
        <f>$AZ$9+1*(seat_pitch)*($AY$9*n_SA+$AW$11&lt;pax_e)</f>
        <v>10.55</v>
      </c>
      <c r="BN2932" s="281">
        <f>$AX$11+seat_w*($AY$9*n_SA+$AW$11&lt;pax_e)</f>
        <v>1.8400000000000003</v>
      </c>
      <c r="BO2932" s="281">
        <f t="shared" si="179"/>
        <v>-7.2604799999999976</v>
      </c>
    </row>
    <row r="2933" spans="65:67" x14ac:dyDescent="0.25">
      <c r="BM2933" s="281">
        <f>$AZ$9+0.8*(seat_pitch)*($AY$9*n_SA+$AW$11&lt;pax_e)</f>
        <v>10.388</v>
      </c>
      <c r="BN2933" s="281">
        <f>$AX$11+seat_w*($AY$9*n_SA+$AW$11&lt;pax_e)</f>
        <v>1.8400000000000003</v>
      </c>
      <c r="BO2933" s="281">
        <f t="shared" si="179"/>
        <v>-7.4224799999999984</v>
      </c>
    </row>
    <row r="2934" spans="65:67" x14ac:dyDescent="0.25">
      <c r="BM2934" s="281">
        <f>$AZ$9+0.8*(seat_pitch)*($AY$9*n_SA+$AW$11&lt;pax_e)</f>
        <v>10.388</v>
      </c>
      <c r="BN2934" s="281">
        <f>$AX$11</f>
        <v>1.3100000000000003</v>
      </c>
      <c r="BO2934" s="281">
        <f t="shared" si="179"/>
        <v>-7.4224799999999984</v>
      </c>
    </row>
    <row r="2935" spans="65:67" x14ac:dyDescent="0.25">
      <c r="BM2935" s="281">
        <f>$AZ$9+0.2*(seat_pitch)*($AY$9*n_SA+$AW$11&lt;pax_e)</f>
        <v>9.902000000000001</v>
      </c>
      <c r="BN2935" s="281">
        <f>$AX$11</f>
        <v>1.3100000000000003</v>
      </c>
      <c r="BO2935" s="281">
        <f t="shared" si="179"/>
        <v>-7.9084799999999973</v>
      </c>
    </row>
    <row r="2936" spans="65:67" x14ac:dyDescent="0.25">
      <c r="BM2936" s="281">
        <f>$AZ$9+(seat_pitch)</f>
        <v>10.55</v>
      </c>
      <c r="BN2936" s="281">
        <f>$AX$11</f>
        <v>1.3100000000000003</v>
      </c>
      <c r="BO2936" s="281">
        <f t="shared" si="179"/>
        <v>-7.2604799999999976</v>
      </c>
    </row>
    <row r="2937" spans="65:67" x14ac:dyDescent="0.25">
      <c r="BM2937" s="281">
        <f>$AZ$10+0.2*(seat_pitch)*($AY$10*n_SA+$AW$11&lt;pax_e)</f>
        <v>10.712000000000002</v>
      </c>
      <c r="BN2937" s="281">
        <f>$AX$11</f>
        <v>1.3100000000000003</v>
      </c>
      <c r="BO2937" s="281">
        <f t="shared" si="179"/>
        <v>-7.0984799999999968</v>
      </c>
    </row>
    <row r="2938" spans="65:67" x14ac:dyDescent="0.25">
      <c r="BM2938" s="281">
        <f>$AZ$10+0.2*(seat_pitch)*($AY$10*n_SA+$AW$11&lt;pax_e)</f>
        <v>10.712000000000002</v>
      </c>
      <c r="BN2938" s="281">
        <f>$AX$11+seat_w*($AY$10*n_SA+$AW$11&lt;pax_e)</f>
        <v>1.8400000000000003</v>
      </c>
      <c r="BO2938" s="281">
        <f t="shared" si="179"/>
        <v>-7.0984799999999968</v>
      </c>
    </row>
    <row r="2939" spans="65:67" x14ac:dyDescent="0.25">
      <c r="BM2939" s="281">
        <f>$AZ$10</f>
        <v>10.55</v>
      </c>
      <c r="BN2939" s="281">
        <f>$AX$11+seat_w*($AY$10*n_SA+$AW$11&lt;pax_e)</f>
        <v>1.8400000000000003</v>
      </c>
      <c r="BO2939" s="281">
        <f t="shared" si="179"/>
        <v>-7.2604799999999976</v>
      </c>
    </row>
    <row r="2940" spans="65:67" x14ac:dyDescent="0.25">
      <c r="BM2940" s="281">
        <f>$AZ$10+1*(seat_pitch)*($AY$10*n_SA+$AW$11&lt;pax_e)</f>
        <v>11.360000000000001</v>
      </c>
      <c r="BN2940" s="281">
        <f>$AX$11+seat_w*($AY$10*n_SA+$AW$11&lt;pax_e)</f>
        <v>1.8400000000000003</v>
      </c>
      <c r="BO2940" s="281">
        <f t="shared" si="179"/>
        <v>-6.4504799999999971</v>
      </c>
    </row>
    <row r="2941" spans="65:67" x14ac:dyDescent="0.25">
      <c r="BM2941" s="281">
        <f>$AZ$10+0.8*(seat_pitch)*($AY$10*n_SA+$AW$11&lt;pax_e)</f>
        <v>11.198</v>
      </c>
      <c r="BN2941" s="281">
        <f>$AX$11+seat_w*($AY$10*n_SA+$AW$11&lt;pax_e)</f>
        <v>1.8400000000000003</v>
      </c>
      <c r="BO2941" s="281">
        <f t="shared" si="179"/>
        <v>-6.6124799999999979</v>
      </c>
    </row>
    <row r="2942" spans="65:67" x14ac:dyDescent="0.25">
      <c r="BM2942" s="281">
        <f>$AZ$10+0.8*(seat_pitch)*($AY$10*n_SA+$AW$11&lt;pax_e)</f>
        <v>11.198</v>
      </c>
      <c r="BN2942" s="281">
        <f>$AX$11</f>
        <v>1.3100000000000003</v>
      </c>
      <c r="BO2942" s="281">
        <f t="shared" si="179"/>
        <v>-6.6124799999999979</v>
      </c>
    </row>
    <row r="2943" spans="65:67" x14ac:dyDescent="0.25">
      <c r="BM2943" s="281">
        <f>$AZ$10+0.2*(seat_pitch)*($AY$10*n_SA+$AW$11&lt;pax_e)</f>
        <v>10.712000000000002</v>
      </c>
      <c r="BN2943" s="281">
        <f>$AX$11</f>
        <v>1.3100000000000003</v>
      </c>
      <c r="BO2943" s="281">
        <f t="shared" si="179"/>
        <v>-7.0984799999999968</v>
      </c>
    </row>
    <row r="2944" spans="65:67" x14ac:dyDescent="0.25">
      <c r="BM2944" s="281">
        <f>$AZ$10+(seat_pitch)</f>
        <v>11.360000000000001</v>
      </c>
      <c r="BN2944" s="281">
        <f>$AX$11</f>
        <v>1.3100000000000003</v>
      </c>
      <c r="BO2944" s="281">
        <f t="shared" si="179"/>
        <v>-6.4504799999999971</v>
      </c>
    </row>
    <row r="2945" spans="65:67" x14ac:dyDescent="0.25">
      <c r="BM2945" s="281">
        <f>$AZ$11+0.2*(seat_pitch)*($AY$11*n_SA+$AW$11&lt;pax_e)</f>
        <v>11.522</v>
      </c>
      <c r="BN2945" s="281">
        <f>$AX$11</f>
        <v>1.3100000000000003</v>
      </c>
      <c r="BO2945" s="281">
        <f t="shared" si="179"/>
        <v>-6.2884799999999981</v>
      </c>
    </row>
    <row r="2946" spans="65:67" x14ac:dyDescent="0.25">
      <c r="BM2946" s="281">
        <f>$AZ$11+0.2*(seat_pitch)*($AY$11*n_SA+$AW$11&lt;pax_e)</f>
        <v>11.522</v>
      </c>
      <c r="BN2946" s="281">
        <f>$AX$11+seat_w*($AY$11*n_SA+$AW$11&lt;pax_e)</f>
        <v>1.8400000000000003</v>
      </c>
      <c r="BO2946" s="281">
        <f t="shared" si="179"/>
        <v>-6.2884799999999981</v>
      </c>
    </row>
    <row r="2947" spans="65:67" x14ac:dyDescent="0.25">
      <c r="BM2947" s="281">
        <f>$AZ$11</f>
        <v>11.36</v>
      </c>
      <c r="BN2947" s="281">
        <f>$AX$11+seat_w*($AY$11*n_SA+$AW$11&lt;pax_e)</f>
        <v>1.8400000000000003</v>
      </c>
      <c r="BO2947" s="281">
        <f t="shared" si="179"/>
        <v>-6.4504799999999989</v>
      </c>
    </row>
    <row r="2948" spans="65:67" x14ac:dyDescent="0.25">
      <c r="BM2948" s="281">
        <f>$AZ$11+1*(seat_pitch)*($AY$11*n_SA+$AW$11&lt;pax_e)</f>
        <v>12.17</v>
      </c>
      <c r="BN2948" s="281">
        <f>$AX$11+seat_w*($AY$11*n_SA+$AW$11&lt;pax_e)</f>
        <v>1.8400000000000003</v>
      </c>
      <c r="BO2948" s="281">
        <f t="shared" si="179"/>
        <v>-5.6404799999999984</v>
      </c>
    </row>
    <row r="2949" spans="65:67" x14ac:dyDescent="0.25">
      <c r="BM2949" s="281">
        <f>$AZ$11+0.8*(seat_pitch)*($AY$11*n_SA+$AW$11&lt;pax_e)</f>
        <v>12.007999999999999</v>
      </c>
      <c r="BN2949" s="281">
        <f>$AX$11+seat_w*($AY$11*n_SA+$AW$11&lt;pax_e)</f>
        <v>1.8400000000000003</v>
      </c>
      <c r="BO2949" s="281">
        <f t="shared" ref="BO2949:BO3012" si="180">BM2949-L_fus/2</f>
        <v>-5.8024799999999992</v>
      </c>
    </row>
    <row r="2950" spans="65:67" x14ac:dyDescent="0.25">
      <c r="BM2950" s="281">
        <f>$AZ$11+0.8*(seat_pitch)*($AY$11*n_SA+$AW$11&lt;pax_e)</f>
        <v>12.007999999999999</v>
      </c>
      <c r="BN2950" s="281">
        <f>$AX$11</f>
        <v>1.3100000000000003</v>
      </c>
      <c r="BO2950" s="281">
        <f t="shared" si="180"/>
        <v>-5.8024799999999992</v>
      </c>
    </row>
    <row r="2951" spans="65:67" x14ac:dyDescent="0.25">
      <c r="BM2951" s="281">
        <f>$AZ$11+0.2*(seat_pitch)*($AY$11*n_SA+$AW$11&lt;pax_e)</f>
        <v>11.522</v>
      </c>
      <c r="BN2951" s="281">
        <f>$AX$11</f>
        <v>1.3100000000000003</v>
      </c>
      <c r="BO2951" s="281">
        <f t="shared" si="180"/>
        <v>-6.2884799999999981</v>
      </c>
    </row>
    <row r="2952" spans="65:67" x14ac:dyDescent="0.25">
      <c r="BM2952" s="281">
        <f>$AZ$11+(seat_pitch)</f>
        <v>12.17</v>
      </c>
      <c r="BN2952" s="281">
        <f>$AX$11</f>
        <v>1.3100000000000003</v>
      </c>
      <c r="BO2952" s="281">
        <f t="shared" si="180"/>
        <v>-5.6404799999999984</v>
      </c>
    </row>
    <row r="2953" spans="65:67" x14ac:dyDescent="0.25">
      <c r="BM2953" s="281">
        <f>$AZ$12+0.2*(seat_pitch)*($AY$12*n_SA+$AW$11&lt;pax_e)</f>
        <v>12.332000000000001</v>
      </c>
      <c r="BN2953" s="281">
        <f>$AX$11</f>
        <v>1.3100000000000003</v>
      </c>
      <c r="BO2953" s="281">
        <f t="shared" si="180"/>
        <v>-5.4784799999999976</v>
      </c>
    </row>
    <row r="2954" spans="65:67" x14ac:dyDescent="0.25">
      <c r="BM2954" s="281">
        <f>$AZ$12+0.2*(seat_pitch)*($AY$12*n_SA+$AW$11&lt;pax_e)</f>
        <v>12.332000000000001</v>
      </c>
      <c r="BN2954" s="281">
        <f>$AX$11+seat_w*($AY$12*n_SA+$AW$11&lt;pax_e)</f>
        <v>1.8400000000000003</v>
      </c>
      <c r="BO2954" s="281">
        <f t="shared" si="180"/>
        <v>-5.4784799999999976</v>
      </c>
    </row>
    <row r="2955" spans="65:67" x14ac:dyDescent="0.25">
      <c r="BM2955" s="281">
        <f>$AZ$12</f>
        <v>12.17</v>
      </c>
      <c r="BN2955" s="281">
        <f>$AX$11+seat_w*($AY$12*n_SA+$AW$11&lt;pax_e)</f>
        <v>1.8400000000000003</v>
      </c>
      <c r="BO2955" s="281">
        <f t="shared" si="180"/>
        <v>-5.6404799999999984</v>
      </c>
    </row>
    <row r="2956" spans="65:67" x14ac:dyDescent="0.25">
      <c r="BM2956" s="281">
        <f>$AZ$12+1*(seat_pitch)*($AY$12*n_SA+$AW$11&lt;pax_e)</f>
        <v>12.98</v>
      </c>
      <c r="BN2956" s="281">
        <f>$AX$11+seat_w*($AY$12*n_SA+$AW$11&lt;pax_e)</f>
        <v>1.8400000000000003</v>
      </c>
      <c r="BO2956" s="281">
        <f t="shared" si="180"/>
        <v>-4.8304799999999979</v>
      </c>
    </row>
    <row r="2957" spans="65:67" x14ac:dyDescent="0.25">
      <c r="BM2957" s="281">
        <f>$AZ$12+0.8*(seat_pitch)*($AY$12*n_SA+$AW$11&lt;pax_e)</f>
        <v>12.818</v>
      </c>
      <c r="BN2957" s="281">
        <f>$AX$11+seat_w*($AY$12*n_SA+$AW$11&lt;pax_e)</f>
        <v>1.8400000000000003</v>
      </c>
      <c r="BO2957" s="281">
        <f t="shared" si="180"/>
        <v>-4.9924799999999987</v>
      </c>
    </row>
    <row r="2958" spans="65:67" x14ac:dyDescent="0.25">
      <c r="BM2958" s="281">
        <f>$AZ$12+0.8*(seat_pitch)*($AY$12*n_SA+$AW$11&lt;pax_e)</f>
        <v>12.818</v>
      </c>
      <c r="BN2958" s="281">
        <f>$AX$11</f>
        <v>1.3100000000000003</v>
      </c>
      <c r="BO2958" s="281">
        <f t="shared" si="180"/>
        <v>-4.9924799999999987</v>
      </c>
    </row>
    <row r="2959" spans="65:67" x14ac:dyDescent="0.25">
      <c r="BM2959" s="281">
        <f>$AZ$12+0.2*(seat_pitch)*($AY$12*n_SA+$AW$11&lt;pax_e)</f>
        <v>12.332000000000001</v>
      </c>
      <c r="BN2959" s="281">
        <f>$AX$11</f>
        <v>1.3100000000000003</v>
      </c>
      <c r="BO2959" s="281">
        <f t="shared" si="180"/>
        <v>-5.4784799999999976</v>
      </c>
    </row>
    <row r="2960" spans="65:67" x14ac:dyDescent="0.25">
      <c r="BM2960" s="281">
        <f>$AZ$12+(seat_pitch)</f>
        <v>12.98</v>
      </c>
      <c r="BN2960" s="281">
        <f>$AX$11</f>
        <v>1.3100000000000003</v>
      </c>
      <c r="BO2960" s="281">
        <f t="shared" si="180"/>
        <v>-4.8304799999999979</v>
      </c>
    </row>
    <row r="2961" spans="65:67" x14ac:dyDescent="0.25">
      <c r="BM2961" s="281">
        <f>$AZ$13+0.2*(seat_pitch)*($AY$13*n_SA+$AW$11&lt;pax_e)</f>
        <v>13.142000000000001</v>
      </c>
      <c r="BN2961" s="281">
        <f>$AX$11</f>
        <v>1.3100000000000003</v>
      </c>
      <c r="BO2961" s="281">
        <f t="shared" si="180"/>
        <v>-4.6684799999999971</v>
      </c>
    </row>
    <row r="2962" spans="65:67" x14ac:dyDescent="0.25">
      <c r="BM2962" s="281">
        <f>$AZ$13+0.2*(seat_pitch)*($AY$13*n_SA+$AW$11&lt;pax_e)</f>
        <v>13.142000000000001</v>
      </c>
      <c r="BN2962" s="281">
        <f>$AX$11+seat_w*($AY$13*n_SA+$AW$11&lt;pax_e)</f>
        <v>1.8400000000000003</v>
      </c>
      <c r="BO2962" s="281">
        <f t="shared" si="180"/>
        <v>-4.6684799999999971</v>
      </c>
    </row>
    <row r="2963" spans="65:67" x14ac:dyDescent="0.25">
      <c r="BM2963" s="281">
        <f>$AZ$13</f>
        <v>12.98</v>
      </c>
      <c r="BN2963" s="281">
        <f>$AX$11+seat_w*($AY$13*n_SA+$AW$11&lt;pax_e)</f>
        <v>1.8400000000000003</v>
      </c>
      <c r="BO2963" s="281">
        <f t="shared" si="180"/>
        <v>-4.8304799999999979</v>
      </c>
    </row>
    <row r="2964" spans="65:67" x14ac:dyDescent="0.25">
      <c r="BM2964" s="281">
        <f>$AZ$13+1*(seat_pitch)*($AY$13*n_SA+$AW$11&lt;pax_e)</f>
        <v>13.790000000000001</v>
      </c>
      <c r="BN2964" s="281">
        <f>$AX$11+seat_w*($AY$13*n_SA+$AW$11&lt;pax_e)</f>
        <v>1.8400000000000003</v>
      </c>
      <c r="BO2964" s="281">
        <f t="shared" si="180"/>
        <v>-4.0204799999999974</v>
      </c>
    </row>
    <row r="2965" spans="65:67" x14ac:dyDescent="0.25">
      <c r="BM2965" s="281">
        <f>$AZ$13+0.8*(seat_pitch)*($AY$13*n_SA+$AW$11&lt;pax_e)</f>
        <v>13.628</v>
      </c>
      <c r="BN2965" s="281">
        <f>$AX$11+seat_w*($AY$13*n_SA+$AW$11&lt;pax_e)</f>
        <v>1.8400000000000003</v>
      </c>
      <c r="BO2965" s="281">
        <f t="shared" si="180"/>
        <v>-4.1824799999999982</v>
      </c>
    </row>
    <row r="2966" spans="65:67" x14ac:dyDescent="0.25">
      <c r="BM2966" s="281">
        <f>$AZ$13+0.8*(seat_pitch)*($AY$13*n_SA+$AW$11&lt;pax_e)</f>
        <v>13.628</v>
      </c>
      <c r="BN2966" s="281">
        <f>$AX$11</f>
        <v>1.3100000000000003</v>
      </c>
      <c r="BO2966" s="281">
        <f t="shared" si="180"/>
        <v>-4.1824799999999982</v>
      </c>
    </row>
    <row r="2967" spans="65:67" x14ac:dyDescent="0.25">
      <c r="BM2967" s="281">
        <f>$AZ$13+0.2*(seat_pitch)*($AY$13*n_SA+$AW$11&lt;pax_e)</f>
        <v>13.142000000000001</v>
      </c>
      <c r="BN2967" s="281">
        <f>$AX$11</f>
        <v>1.3100000000000003</v>
      </c>
      <c r="BO2967" s="281">
        <f t="shared" si="180"/>
        <v>-4.6684799999999971</v>
      </c>
    </row>
    <row r="2968" spans="65:67" x14ac:dyDescent="0.25">
      <c r="BM2968" s="281">
        <f>$AZ$13+(seat_pitch)</f>
        <v>13.790000000000001</v>
      </c>
      <c r="BN2968" s="281">
        <f>$AX$11</f>
        <v>1.3100000000000003</v>
      </c>
      <c r="BO2968" s="281">
        <f t="shared" si="180"/>
        <v>-4.0204799999999974</v>
      </c>
    </row>
    <row r="2969" spans="65:67" x14ac:dyDescent="0.25">
      <c r="BM2969" s="281">
        <f>$AZ$14+0.2*(seat_pitch)*($AY$14*n_SA+$AW$11&lt;pax_e)</f>
        <v>13.952000000000002</v>
      </c>
      <c r="BN2969" s="281">
        <f>$AX$11</f>
        <v>1.3100000000000003</v>
      </c>
      <c r="BO2969" s="281">
        <f t="shared" si="180"/>
        <v>-3.8584799999999966</v>
      </c>
    </row>
    <row r="2970" spans="65:67" x14ac:dyDescent="0.25">
      <c r="BM2970" s="281">
        <f>$AZ$14+0.2*(seat_pitch)*($AY$14*n_SA+$AW$11&lt;pax_e)</f>
        <v>13.952000000000002</v>
      </c>
      <c r="BN2970" s="281">
        <f>$AX$11+seat_w*($AY$14*n_SA+$AW$11&lt;pax_e)</f>
        <v>1.8400000000000003</v>
      </c>
      <c r="BO2970" s="281">
        <f t="shared" si="180"/>
        <v>-3.8584799999999966</v>
      </c>
    </row>
    <row r="2971" spans="65:67" x14ac:dyDescent="0.25">
      <c r="BM2971" s="281">
        <f>$AZ$14</f>
        <v>13.790000000000001</v>
      </c>
      <c r="BN2971" s="281">
        <f>$AX$11+seat_w*($AY$14*n_SA+$AW$11&lt;pax_e)</f>
        <v>1.8400000000000003</v>
      </c>
      <c r="BO2971" s="281">
        <f t="shared" si="180"/>
        <v>-4.0204799999999974</v>
      </c>
    </row>
    <row r="2972" spans="65:67" x14ac:dyDescent="0.25">
      <c r="BM2972" s="281">
        <f>$AZ$14+1*(seat_pitch)*($AY$14*n_SA+$AW$11&lt;pax_e)</f>
        <v>14.600000000000001</v>
      </c>
      <c r="BN2972" s="281">
        <f>$AX$11+seat_w*($AY$14*n_SA+$AW$11&lt;pax_e)</f>
        <v>1.8400000000000003</v>
      </c>
      <c r="BO2972" s="281">
        <f t="shared" si="180"/>
        <v>-3.2104799999999969</v>
      </c>
    </row>
    <row r="2973" spans="65:67" x14ac:dyDescent="0.25">
      <c r="BM2973" s="281">
        <f>$AZ$14+0.8*(seat_pitch)*($AY$14*n_SA+$AW$11&lt;pax_e)</f>
        <v>14.438000000000001</v>
      </c>
      <c r="BN2973" s="281">
        <f>$AX$11+seat_w*($AY$14*n_SA+$AW$11&lt;pax_e)</f>
        <v>1.8400000000000003</v>
      </c>
      <c r="BO2973" s="281">
        <f t="shared" si="180"/>
        <v>-3.3724799999999977</v>
      </c>
    </row>
    <row r="2974" spans="65:67" x14ac:dyDescent="0.25">
      <c r="BM2974" s="281">
        <f>$AZ$14+0.8*(seat_pitch)*($AY$14*n_SA+$AW$11&lt;pax_e)</f>
        <v>14.438000000000001</v>
      </c>
      <c r="BN2974" s="281">
        <f>$AX$11</f>
        <v>1.3100000000000003</v>
      </c>
      <c r="BO2974" s="281">
        <f t="shared" si="180"/>
        <v>-3.3724799999999977</v>
      </c>
    </row>
    <row r="2975" spans="65:67" x14ac:dyDescent="0.25">
      <c r="BM2975" s="281">
        <f>$AZ$14+0.2*(seat_pitch)*($AY$14*n_SA+$AW$11&lt;pax_e)</f>
        <v>13.952000000000002</v>
      </c>
      <c r="BN2975" s="281">
        <f>$AX$11</f>
        <v>1.3100000000000003</v>
      </c>
      <c r="BO2975" s="281">
        <f t="shared" si="180"/>
        <v>-3.8584799999999966</v>
      </c>
    </row>
    <row r="2976" spans="65:67" x14ac:dyDescent="0.25">
      <c r="BM2976" s="281">
        <f>$AZ$14+(seat_pitch)</f>
        <v>14.600000000000001</v>
      </c>
      <c r="BN2976" s="281">
        <f>$AX$11</f>
        <v>1.3100000000000003</v>
      </c>
      <c r="BO2976" s="281">
        <f t="shared" si="180"/>
        <v>-3.2104799999999969</v>
      </c>
    </row>
    <row r="2977" spans="65:67" x14ac:dyDescent="0.25">
      <c r="BM2977" s="281">
        <f>$AZ$15+0.2*(seat_pitch)*($AY$15*n_SA+$AW$11&lt;pax_e)</f>
        <v>14.762000000000002</v>
      </c>
      <c r="BN2977" s="281">
        <f>$AX$11</f>
        <v>1.3100000000000003</v>
      </c>
      <c r="BO2977" s="281">
        <f t="shared" si="180"/>
        <v>-3.0484799999999961</v>
      </c>
    </row>
    <row r="2978" spans="65:67" x14ac:dyDescent="0.25">
      <c r="BM2978" s="281">
        <f>$AZ$15+0.2*(seat_pitch)*($AY$15*n_SA+$AW$11&lt;pax_e)</f>
        <v>14.762000000000002</v>
      </c>
      <c r="BN2978" s="281">
        <f>$AX$11+seat_w*($AY$15*n_SA+$AW$11&lt;pax_e)</f>
        <v>1.8400000000000003</v>
      </c>
      <c r="BO2978" s="281">
        <f t="shared" si="180"/>
        <v>-3.0484799999999961</v>
      </c>
    </row>
    <row r="2979" spans="65:67" x14ac:dyDescent="0.25">
      <c r="BM2979" s="281">
        <f>$AZ$15</f>
        <v>14.600000000000001</v>
      </c>
      <c r="BN2979" s="281">
        <f>$AX$11+seat_w*($AY$15*n_SA+$AW$11&lt;pax_e)</f>
        <v>1.8400000000000003</v>
      </c>
      <c r="BO2979" s="281">
        <f t="shared" si="180"/>
        <v>-3.2104799999999969</v>
      </c>
    </row>
    <row r="2980" spans="65:67" x14ac:dyDescent="0.25">
      <c r="BM2980" s="281">
        <f>$AZ$15+1*(seat_pitch)*($AY$15*n_SA+$AW$11&lt;pax_e)</f>
        <v>15.410000000000002</v>
      </c>
      <c r="BN2980" s="281">
        <f>$AX$11+seat_w*($AY$15*n_SA+$AW$11&lt;pax_e)</f>
        <v>1.8400000000000003</v>
      </c>
      <c r="BO2980" s="281">
        <f t="shared" si="180"/>
        <v>-2.4004799999999964</v>
      </c>
    </row>
    <row r="2981" spans="65:67" x14ac:dyDescent="0.25">
      <c r="BM2981" s="281">
        <f>$AZ$15+0.8*(seat_pitch)*($AY$15*n_SA+$AW$11&lt;pax_e)</f>
        <v>15.248000000000001</v>
      </c>
      <c r="BN2981" s="281">
        <f>$AX$11+seat_w*($AY$15*n_SA+$AW$11&lt;pax_e)</f>
        <v>1.8400000000000003</v>
      </c>
      <c r="BO2981" s="281">
        <f t="shared" si="180"/>
        <v>-2.5624799999999972</v>
      </c>
    </row>
    <row r="2982" spans="65:67" x14ac:dyDescent="0.25">
      <c r="BM2982" s="281">
        <f>$AZ$15+0.8*(seat_pitch)*($AY$15*n_SA+$AW$11&lt;pax_e)</f>
        <v>15.248000000000001</v>
      </c>
      <c r="BN2982" s="281">
        <f>$AX$11</f>
        <v>1.3100000000000003</v>
      </c>
      <c r="BO2982" s="281">
        <f t="shared" si="180"/>
        <v>-2.5624799999999972</v>
      </c>
    </row>
    <row r="2983" spans="65:67" x14ac:dyDescent="0.25">
      <c r="BM2983" s="281">
        <f>$AZ$15+0.2*(seat_pitch)*($AY$15*n_SA+$AW$11&lt;pax_e)</f>
        <v>14.762000000000002</v>
      </c>
      <c r="BN2983" s="281">
        <f>$AX$11</f>
        <v>1.3100000000000003</v>
      </c>
      <c r="BO2983" s="281">
        <f t="shared" si="180"/>
        <v>-3.0484799999999961</v>
      </c>
    </row>
    <row r="2984" spans="65:67" x14ac:dyDescent="0.25">
      <c r="BM2984" s="281">
        <f>$AZ$15+(seat_pitch)</f>
        <v>15.410000000000002</v>
      </c>
      <c r="BN2984" s="281">
        <f>$AX$11</f>
        <v>1.3100000000000003</v>
      </c>
      <c r="BO2984" s="281">
        <f t="shared" si="180"/>
        <v>-2.4004799999999964</v>
      </c>
    </row>
    <row r="2985" spans="65:67" x14ac:dyDescent="0.25">
      <c r="BM2985" s="281">
        <f>$AZ$16+0.2*(seat_pitch)*($AY$16*n_SA+$AW$11&lt;pax_e)</f>
        <v>15.572000000000001</v>
      </c>
      <c r="BN2985" s="281">
        <f>$AX$11</f>
        <v>1.3100000000000003</v>
      </c>
      <c r="BO2985" s="281">
        <f t="shared" si="180"/>
        <v>-2.2384799999999974</v>
      </c>
    </row>
    <row r="2986" spans="65:67" x14ac:dyDescent="0.25">
      <c r="BM2986" s="281">
        <f>$AZ$16+0.2*(seat_pitch)*($AY$16*n_SA+$AW$11&lt;pax_e)</f>
        <v>15.572000000000001</v>
      </c>
      <c r="BN2986" s="281">
        <f>$AX$11+seat_w*($AY$16*n_SA+$AW$11&lt;pax_e)</f>
        <v>1.8400000000000003</v>
      </c>
      <c r="BO2986" s="281">
        <f t="shared" si="180"/>
        <v>-2.2384799999999974</v>
      </c>
    </row>
    <row r="2987" spans="65:67" x14ac:dyDescent="0.25">
      <c r="BM2987" s="281">
        <f>$AZ$16</f>
        <v>15.41</v>
      </c>
      <c r="BN2987" s="281">
        <f>$AX$11+seat_w*($AY$16*n_SA+$AW$11&lt;pax_e)</f>
        <v>1.8400000000000003</v>
      </c>
      <c r="BO2987" s="281">
        <f t="shared" si="180"/>
        <v>-2.4004799999999982</v>
      </c>
    </row>
    <row r="2988" spans="65:67" x14ac:dyDescent="0.25">
      <c r="BM2988" s="281">
        <f>$AZ$16+1*(seat_pitch)*($AY$16*n_SA+$AW$11&lt;pax_e)</f>
        <v>16.22</v>
      </c>
      <c r="BN2988" s="281">
        <f>$AX$11+seat_w*($AY$16*n_SA+$AW$11&lt;pax_e)</f>
        <v>1.8400000000000003</v>
      </c>
      <c r="BO2988" s="281">
        <f t="shared" si="180"/>
        <v>-1.5904799999999994</v>
      </c>
    </row>
    <row r="2989" spans="65:67" x14ac:dyDescent="0.25">
      <c r="BM2989" s="281">
        <f>$AZ$16+0.8*(seat_pitch)*($AY$16*n_SA+$AW$11&lt;pax_e)</f>
        <v>16.058</v>
      </c>
      <c r="BN2989" s="281">
        <f>$AX$11+seat_w*($AY$16*n_SA+$AW$11&lt;pax_e)</f>
        <v>1.8400000000000003</v>
      </c>
      <c r="BO2989" s="281">
        <f t="shared" si="180"/>
        <v>-1.7524799999999985</v>
      </c>
    </row>
    <row r="2990" spans="65:67" x14ac:dyDescent="0.25">
      <c r="BM2990" s="281">
        <f>$AZ$16+0.8*(seat_pitch)*($AY$16*n_SA+$AW$11&lt;pax_e)</f>
        <v>16.058</v>
      </c>
      <c r="BN2990" s="281">
        <f>$AX$11</f>
        <v>1.3100000000000003</v>
      </c>
      <c r="BO2990" s="281">
        <f t="shared" si="180"/>
        <v>-1.7524799999999985</v>
      </c>
    </row>
    <row r="2991" spans="65:67" x14ac:dyDescent="0.25">
      <c r="BM2991" s="281">
        <f>$AZ$16+0.2*(seat_pitch)*($AY$16*n_SA+$AW$11&lt;pax_e)</f>
        <v>15.572000000000001</v>
      </c>
      <c r="BN2991" s="281">
        <f>$AX$11</f>
        <v>1.3100000000000003</v>
      </c>
      <c r="BO2991" s="281">
        <f t="shared" si="180"/>
        <v>-2.2384799999999974</v>
      </c>
    </row>
    <row r="2992" spans="65:67" x14ac:dyDescent="0.25">
      <c r="BM2992" s="281">
        <f>$AZ$16+(seat_pitch)</f>
        <v>16.22</v>
      </c>
      <c r="BN2992" s="281">
        <f>$AX$11</f>
        <v>1.3100000000000003</v>
      </c>
      <c r="BO2992" s="281">
        <f t="shared" si="180"/>
        <v>-1.5904799999999994</v>
      </c>
    </row>
    <row r="2993" spans="65:67" x14ac:dyDescent="0.25">
      <c r="BM2993" s="281">
        <f>$AZ$17+0.2*(seat_pitch)*($AY$17*n_SA+$AW$11&lt;pax_e)</f>
        <v>16.381999999999998</v>
      </c>
      <c r="BN2993" s="281">
        <f>$AX$11</f>
        <v>1.3100000000000003</v>
      </c>
      <c r="BO2993" s="281">
        <f t="shared" si="180"/>
        <v>-1.4284800000000004</v>
      </c>
    </row>
    <row r="2994" spans="65:67" x14ac:dyDescent="0.25">
      <c r="BM2994" s="281">
        <f>$AZ$17+0.2*(seat_pitch)*($AY$17*n_SA+$AW$11&lt;pax_e)</f>
        <v>16.381999999999998</v>
      </c>
      <c r="BN2994" s="281">
        <f>$AX$11+seat_w*($AY$17*n_SA+$AW$11&lt;pax_e)</f>
        <v>1.8400000000000003</v>
      </c>
      <c r="BO2994" s="281">
        <f t="shared" si="180"/>
        <v>-1.4284800000000004</v>
      </c>
    </row>
    <row r="2995" spans="65:67" x14ac:dyDescent="0.25">
      <c r="BM2995" s="281">
        <f>$AZ$17</f>
        <v>16.22</v>
      </c>
      <c r="BN2995" s="281">
        <f>$AX$11+seat_w*($AY$17*n_SA+$AW$11&lt;pax_e)</f>
        <v>1.8400000000000003</v>
      </c>
      <c r="BO2995" s="281">
        <f t="shared" si="180"/>
        <v>-1.5904799999999994</v>
      </c>
    </row>
    <row r="2996" spans="65:67" x14ac:dyDescent="0.25">
      <c r="BM2996" s="281">
        <f>$AZ$17+1*(seat_pitch)*($AY$17*n_SA+$AW$11&lt;pax_e)</f>
        <v>17.029999999999998</v>
      </c>
      <c r="BN2996" s="281">
        <f>$AX$11+seat_w*($AY$17*n_SA+$AW$11&lt;pax_e)</f>
        <v>1.8400000000000003</v>
      </c>
      <c r="BO2996" s="281">
        <f t="shared" si="180"/>
        <v>-0.78048000000000073</v>
      </c>
    </row>
    <row r="2997" spans="65:67" x14ac:dyDescent="0.25">
      <c r="BM2997" s="281">
        <f>$AZ$17+0.8*(seat_pitch)*($AY$17*n_SA+$AW$11&lt;pax_e)</f>
        <v>16.867999999999999</v>
      </c>
      <c r="BN2997" s="281">
        <f>$AX$11+seat_w*($AY$17*n_SA+$AW$11&lt;pax_e)</f>
        <v>1.8400000000000003</v>
      </c>
      <c r="BO2997" s="281">
        <f t="shared" si="180"/>
        <v>-0.94247999999999976</v>
      </c>
    </row>
    <row r="2998" spans="65:67" x14ac:dyDescent="0.25">
      <c r="BM2998" s="281">
        <f>$AZ$17+0.8*(seat_pitch)*($AY$17*n_SA+$AW$11&lt;pax_e)</f>
        <v>16.867999999999999</v>
      </c>
      <c r="BN2998" s="281">
        <f>$AX$11</f>
        <v>1.3100000000000003</v>
      </c>
      <c r="BO2998" s="281">
        <f t="shared" si="180"/>
        <v>-0.94247999999999976</v>
      </c>
    </row>
    <row r="2999" spans="65:67" x14ac:dyDescent="0.25">
      <c r="BM2999" s="281">
        <f>$AZ$17+0.2*(seat_pitch)*($AY$17*n_SA+$AW$11&lt;pax_e)</f>
        <v>16.381999999999998</v>
      </c>
      <c r="BN2999" s="281">
        <f>$AX$11</f>
        <v>1.3100000000000003</v>
      </c>
      <c r="BO2999" s="281">
        <f t="shared" si="180"/>
        <v>-1.4284800000000004</v>
      </c>
    </row>
    <row r="3000" spans="65:67" x14ac:dyDescent="0.25">
      <c r="BM3000" s="281">
        <f>$AZ$17+(seat_pitch)</f>
        <v>17.029999999999998</v>
      </c>
      <c r="BN3000" s="281">
        <f>$AX$11</f>
        <v>1.3100000000000003</v>
      </c>
      <c r="BO3000" s="281">
        <f t="shared" si="180"/>
        <v>-0.78048000000000073</v>
      </c>
    </row>
    <row r="3001" spans="65:67" x14ac:dyDescent="0.25">
      <c r="BM3001" s="281">
        <f>$AZ$18+0.2*(seat_pitch)*($AY$18*n_SA+$AW$11&lt;pax_e)</f>
        <v>17.192</v>
      </c>
      <c r="BN3001" s="281">
        <f>$AX$11</f>
        <v>1.3100000000000003</v>
      </c>
      <c r="BO3001" s="281">
        <f t="shared" si="180"/>
        <v>-0.61847999999999814</v>
      </c>
    </row>
    <row r="3002" spans="65:67" x14ac:dyDescent="0.25">
      <c r="BM3002" s="281">
        <f>$AZ$18+0.2*(seat_pitch)*($AY$18*n_SA+$AW$11&lt;pax_e)</f>
        <v>17.192</v>
      </c>
      <c r="BN3002" s="281">
        <f>$AX$11+seat_w*($AY$18*n_SA+$AW$11&lt;pax_e)</f>
        <v>1.8400000000000003</v>
      </c>
      <c r="BO3002" s="281">
        <f t="shared" si="180"/>
        <v>-0.61847999999999814</v>
      </c>
    </row>
    <row r="3003" spans="65:67" x14ac:dyDescent="0.25">
      <c r="BM3003" s="281">
        <f>$AZ$18</f>
        <v>17.03</v>
      </c>
      <c r="BN3003" s="281">
        <f>$AX$11+seat_w*($AY$18*n_SA+$AW$11&lt;pax_e)</f>
        <v>1.8400000000000003</v>
      </c>
      <c r="BO3003" s="281">
        <f t="shared" si="180"/>
        <v>-0.78047999999999718</v>
      </c>
    </row>
    <row r="3004" spans="65:67" x14ac:dyDescent="0.25">
      <c r="BM3004" s="281">
        <f>$AZ$18+1*(seat_pitch)*($AY$18*n_SA+$AW$11&lt;pax_e)</f>
        <v>17.84</v>
      </c>
      <c r="BN3004" s="281">
        <f>$AX$11+seat_w*($AY$18*n_SA+$AW$11&lt;pax_e)</f>
        <v>1.8400000000000003</v>
      </c>
      <c r="BO3004" s="281">
        <f t="shared" si="180"/>
        <v>2.9520000000001545E-2</v>
      </c>
    </row>
    <row r="3005" spans="65:67" x14ac:dyDescent="0.25">
      <c r="BM3005" s="281">
        <f>$AZ$18+0.8*(seat_pitch)*($AY$18*n_SA+$AW$11&lt;pax_e)</f>
        <v>17.678000000000001</v>
      </c>
      <c r="BN3005" s="281">
        <f>$AX$11+seat_w*($AY$18*n_SA+$AW$11&lt;pax_e)</f>
        <v>1.8400000000000003</v>
      </c>
      <c r="BO3005" s="281">
        <f t="shared" si="180"/>
        <v>-0.13247999999999749</v>
      </c>
    </row>
    <row r="3006" spans="65:67" x14ac:dyDescent="0.25">
      <c r="BM3006" s="281">
        <f>$AZ$18+0.8*(seat_pitch)*($AY$18*n_SA+$AW$11&lt;pax_e)</f>
        <v>17.678000000000001</v>
      </c>
      <c r="BN3006" s="281">
        <f>$AX$11</f>
        <v>1.3100000000000003</v>
      </c>
      <c r="BO3006" s="281">
        <f t="shared" si="180"/>
        <v>-0.13247999999999749</v>
      </c>
    </row>
    <row r="3007" spans="65:67" x14ac:dyDescent="0.25">
      <c r="BM3007" s="281">
        <f>$AZ$18+0.2*(seat_pitch)*($AY$18*n_SA+$AW$11&lt;pax_e)</f>
        <v>17.192</v>
      </c>
      <c r="BN3007" s="281">
        <f>$AX$11</f>
        <v>1.3100000000000003</v>
      </c>
      <c r="BO3007" s="281">
        <f t="shared" si="180"/>
        <v>-0.61847999999999814</v>
      </c>
    </row>
    <row r="3008" spans="65:67" x14ac:dyDescent="0.25">
      <c r="BM3008" s="281">
        <f>$AZ$18+(seat_pitch)</f>
        <v>17.84</v>
      </c>
      <c r="BN3008" s="281">
        <f>$AX$11</f>
        <v>1.3100000000000003</v>
      </c>
      <c r="BO3008" s="281">
        <f t="shared" si="180"/>
        <v>2.9520000000001545E-2</v>
      </c>
    </row>
    <row r="3009" spans="65:67" x14ac:dyDescent="0.25">
      <c r="BM3009" s="281">
        <f>$AZ$19+0.2*(seat_pitch)*($AY$19*n_SA+$AW$11&lt;pax_e)</f>
        <v>18.001999999999999</v>
      </c>
      <c r="BN3009" s="281">
        <f>$AX$11</f>
        <v>1.3100000000000003</v>
      </c>
      <c r="BO3009" s="281">
        <f t="shared" si="180"/>
        <v>0.19152000000000058</v>
      </c>
    </row>
    <row r="3010" spans="65:67" x14ac:dyDescent="0.25">
      <c r="BM3010" s="281">
        <f>$AZ$19+0.2*(seat_pitch)*($AY$19*n_SA+$AW$11&lt;pax_e)</f>
        <v>18.001999999999999</v>
      </c>
      <c r="BN3010" s="281">
        <f>$AX$11+seat_w*($AY$19*n_SA+$AW$11&lt;pax_e)</f>
        <v>1.8400000000000003</v>
      </c>
      <c r="BO3010" s="281">
        <f t="shared" si="180"/>
        <v>0.19152000000000058</v>
      </c>
    </row>
    <row r="3011" spans="65:67" x14ac:dyDescent="0.25">
      <c r="BM3011" s="281">
        <f>$AZ$19</f>
        <v>17.84</v>
      </c>
      <c r="BN3011" s="281">
        <f>$AX$11+seat_w*($AY$19*n_SA+$AW$11&lt;pax_e)</f>
        <v>1.8400000000000003</v>
      </c>
      <c r="BO3011" s="281">
        <f t="shared" si="180"/>
        <v>2.9520000000001545E-2</v>
      </c>
    </row>
    <row r="3012" spans="65:67" x14ac:dyDescent="0.25">
      <c r="BM3012" s="281">
        <f>$AZ$19+1*(seat_pitch)*($AY$19*n_SA+$AW$11&lt;pax_e)</f>
        <v>18.649999999999999</v>
      </c>
      <c r="BN3012" s="281">
        <f>$AX$11+seat_w*($AY$19*n_SA+$AW$11&lt;pax_e)</f>
        <v>1.8400000000000003</v>
      </c>
      <c r="BO3012" s="281">
        <f t="shared" si="180"/>
        <v>0.83952000000000027</v>
      </c>
    </row>
    <row r="3013" spans="65:67" x14ac:dyDescent="0.25">
      <c r="BM3013" s="281">
        <f>$AZ$19+0.8*(seat_pitch)*($AY$19*n_SA+$AW$11&lt;pax_e)</f>
        <v>18.488</v>
      </c>
      <c r="BN3013" s="281">
        <f>$AX$11+seat_w*($AY$19*n_SA+$AW$11&lt;pax_e)</f>
        <v>1.8400000000000003</v>
      </c>
      <c r="BO3013" s="281">
        <f t="shared" ref="BO3013:BO3076" si="181">BM3013-L_fus/2</f>
        <v>0.67752000000000123</v>
      </c>
    </row>
    <row r="3014" spans="65:67" x14ac:dyDescent="0.25">
      <c r="BM3014" s="281">
        <f>$AZ$19+0.8*(seat_pitch)*($AY$19*n_SA+$AW$11&lt;pax_e)</f>
        <v>18.488</v>
      </c>
      <c r="BN3014" s="281">
        <f>$AX$11</f>
        <v>1.3100000000000003</v>
      </c>
      <c r="BO3014" s="281">
        <f t="shared" si="181"/>
        <v>0.67752000000000123</v>
      </c>
    </row>
    <row r="3015" spans="65:67" x14ac:dyDescent="0.25">
      <c r="BM3015" s="281">
        <f>$AZ$19+0.2*(seat_pitch)*($AY$19*n_SA+$AW$11&lt;pax_e)</f>
        <v>18.001999999999999</v>
      </c>
      <c r="BN3015" s="281">
        <f>$AX$11</f>
        <v>1.3100000000000003</v>
      </c>
      <c r="BO3015" s="281">
        <f t="shared" si="181"/>
        <v>0.19152000000000058</v>
      </c>
    </row>
    <row r="3016" spans="65:67" x14ac:dyDescent="0.25">
      <c r="BM3016" s="281">
        <f>$AZ$19+(seat_pitch)</f>
        <v>18.649999999999999</v>
      </c>
      <c r="BN3016" s="281">
        <f>$AX$11</f>
        <v>1.3100000000000003</v>
      </c>
      <c r="BO3016" s="281">
        <f t="shared" si="181"/>
        <v>0.83952000000000027</v>
      </c>
    </row>
    <row r="3017" spans="65:67" x14ac:dyDescent="0.25">
      <c r="BM3017" s="281">
        <f>$AZ$20+0.2*(seat_pitch)*($AY$20*n_SA+$AW$11&lt;pax_e)</f>
        <v>18.811999999999998</v>
      </c>
      <c r="BN3017" s="281">
        <f>$AX$11</f>
        <v>1.3100000000000003</v>
      </c>
      <c r="BO3017" s="281">
        <f t="shared" si="181"/>
        <v>1.0015199999999993</v>
      </c>
    </row>
    <row r="3018" spans="65:67" x14ac:dyDescent="0.25">
      <c r="BM3018" s="281">
        <f>$AZ$20+0.2*(seat_pitch)*($AY$20*n_SA+$AW$11&lt;pax_e)</f>
        <v>18.811999999999998</v>
      </c>
      <c r="BN3018" s="281">
        <f>$AX$11+seat_w*($AY$20*n_SA+$AW$11&lt;pax_e)</f>
        <v>1.8400000000000003</v>
      </c>
      <c r="BO3018" s="281">
        <f t="shared" si="181"/>
        <v>1.0015199999999993</v>
      </c>
    </row>
    <row r="3019" spans="65:67" x14ac:dyDescent="0.25">
      <c r="BM3019" s="281">
        <f>$AZ$20</f>
        <v>18.649999999999999</v>
      </c>
      <c r="BN3019" s="281">
        <f>$AX$11+seat_w*($AY$20*n_SA+$AW$11&lt;pax_e)</f>
        <v>1.8400000000000003</v>
      </c>
      <c r="BO3019" s="281">
        <f t="shared" si="181"/>
        <v>0.83952000000000027</v>
      </c>
    </row>
    <row r="3020" spans="65:67" x14ac:dyDescent="0.25">
      <c r="BM3020" s="281">
        <f>$AZ$20+1*(seat_pitch)*($AY$20*n_SA+$AW$11&lt;pax_e)</f>
        <v>19.459999999999997</v>
      </c>
      <c r="BN3020" s="281">
        <f>$AX$11+seat_w*($AY$20*n_SA+$AW$11&lt;pax_e)</f>
        <v>1.8400000000000003</v>
      </c>
      <c r="BO3020" s="281">
        <f t="shared" si="181"/>
        <v>1.649519999999999</v>
      </c>
    </row>
    <row r="3021" spans="65:67" x14ac:dyDescent="0.25">
      <c r="BM3021" s="281">
        <f>$AZ$20+0.8*(seat_pitch)*($AY$20*n_SA+$AW$11&lt;pax_e)</f>
        <v>19.297999999999998</v>
      </c>
      <c r="BN3021" s="281">
        <f>$AX$11+seat_w*($AY$20*n_SA+$AW$11&lt;pax_e)</f>
        <v>1.8400000000000003</v>
      </c>
      <c r="BO3021" s="281">
        <f t="shared" si="181"/>
        <v>1.48752</v>
      </c>
    </row>
    <row r="3022" spans="65:67" x14ac:dyDescent="0.25">
      <c r="BM3022" s="281">
        <f>$AZ$20+0.8*(seat_pitch)*($AY$20*n_SA+$AW$11&lt;pax_e)</f>
        <v>19.297999999999998</v>
      </c>
      <c r="BN3022" s="281">
        <f>$AX$11</f>
        <v>1.3100000000000003</v>
      </c>
      <c r="BO3022" s="281">
        <f t="shared" si="181"/>
        <v>1.48752</v>
      </c>
    </row>
    <row r="3023" spans="65:67" x14ac:dyDescent="0.25">
      <c r="BM3023" s="281">
        <f>$AZ$20+0.2*(seat_pitch)*($AY$20*n_SA+$AW$11&lt;pax_e)</f>
        <v>18.811999999999998</v>
      </c>
      <c r="BN3023" s="281">
        <f>$AX$11</f>
        <v>1.3100000000000003</v>
      </c>
      <c r="BO3023" s="281">
        <f t="shared" si="181"/>
        <v>1.0015199999999993</v>
      </c>
    </row>
    <row r="3024" spans="65:67" x14ac:dyDescent="0.25">
      <c r="BM3024" s="281">
        <f>$AZ$20+(seat_pitch)</f>
        <v>19.459999999999997</v>
      </c>
      <c r="BN3024" s="281">
        <f>$AX$11</f>
        <v>1.3100000000000003</v>
      </c>
      <c r="BO3024" s="281">
        <f t="shared" si="181"/>
        <v>1.649519999999999</v>
      </c>
    </row>
    <row r="3025" spans="65:67" x14ac:dyDescent="0.25">
      <c r="BM3025" s="281">
        <f>$AZ$21+0.2*(seat_pitch)*($AY$21*n_SA+$AW$11&lt;pax_e)</f>
        <v>19.622</v>
      </c>
      <c r="BN3025" s="281">
        <f>$AX$11</f>
        <v>1.3100000000000003</v>
      </c>
      <c r="BO3025" s="281">
        <f t="shared" si="181"/>
        <v>1.8115200000000016</v>
      </c>
    </row>
    <row r="3026" spans="65:67" x14ac:dyDescent="0.25">
      <c r="BM3026" s="281">
        <f>$AZ$21+0.2*(seat_pitch)*($AY$21*n_SA+$AW$11&lt;pax_e)</f>
        <v>19.622</v>
      </c>
      <c r="BN3026" s="281">
        <f>$AX$11+seat_w*($AY$21*n_SA+$AW$11&lt;pax_e)</f>
        <v>1.8400000000000003</v>
      </c>
      <c r="BO3026" s="281">
        <f t="shared" si="181"/>
        <v>1.8115200000000016</v>
      </c>
    </row>
    <row r="3027" spans="65:67" x14ac:dyDescent="0.25">
      <c r="BM3027" s="281">
        <f>$AZ$21</f>
        <v>19.46</v>
      </c>
      <c r="BN3027" s="281">
        <f>$AX$11+seat_w*($AY$21*n_SA+$AW$11&lt;pax_e)</f>
        <v>1.8400000000000003</v>
      </c>
      <c r="BO3027" s="281">
        <f t="shared" si="181"/>
        <v>1.6495200000000025</v>
      </c>
    </row>
    <row r="3028" spans="65:67" x14ac:dyDescent="0.25">
      <c r="BM3028" s="281">
        <f>$AZ$21+1*(seat_pitch)*($AY$21*n_SA+$AW$11&lt;pax_e)</f>
        <v>20.27</v>
      </c>
      <c r="BN3028" s="281">
        <f>$AX$11+seat_w*($AY$21*n_SA+$AW$11&lt;pax_e)</f>
        <v>1.8400000000000003</v>
      </c>
      <c r="BO3028" s="281">
        <f t="shared" si="181"/>
        <v>2.4595200000000013</v>
      </c>
    </row>
    <row r="3029" spans="65:67" x14ac:dyDescent="0.25">
      <c r="BM3029" s="281">
        <f>$AZ$21+0.8*(seat_pitch)*($AY$21*n_SA+$AW$11&lt;pax_e)</f>
        <v>20.108000000000001</v>
      </c>
      <c r="BN3029" s="281">
        <f>$AX$11+seat_w*($AY$21*n_SA+$AW$11&lt;pax_e)</f>
        <v>1.8400000000000003</v>
      </c>
      <c r="BO3029" s="281">
        <f t="shared" si="181"/>
        <v>2.2975200000000022</v>
      </c>
    </row>
    <row r="3030" spans="65:67" x14ac:dyDescent="0.25">
      <c r="BM3030" s="281">
        <f>$AZ$21+0.8*(seat_pitch)*($AY$21*n_SA+$AW$11&lt;pax_e)</f>
        <v>20.108000000000001</v>
      </c>
      <c r="BN3030" s="281">
        <f>$AX$11</f>
        <v>1.3100000000000003</v>
      </c>
      <c r="BO3030" s="281">
        <f t="shared" si="181"/>
        <v>2.2975200000000022</v>
      </c>
    </row>
    <row r="3031" spans="65:67" x14ac:dyDescent="0.25">
      <c r="BM3031" s="281">
        <f>$AZ$21+0.2*(seat_pitch)*($AY$21*n_SA+$AW$11&lt;pax_e)</f>
        <v>19.622</v>
      </c>
      <c r="BN3031" s="281">
        <f>$AX$11</f>
        <v>1.3100000000000003</v>
      </c>
      <c r="BO3031" s="281">
        <f t="shared" si="181"/>
        <v>1.8115200000000016</v>
      </c>
    </row>
    <row r="3032" spans="65:67" x14ac:dyDescent="0.25">
      <c r="BM3032" s="281">
        <f>$AZ$21+(seat_pitch)</f>
        <v>20.27</v>
      </c>
      <c r="BN3032" s="281">
        <f>$AX$11</f>
        <v>1.3100000000000003</v>
      </c>
      <c r="BO3032" s="281">
        <f t="shared" si="181"/>
        <v>2.4595200000000013</v>
      </c>
    </row>
    <row r="3033" spans="65:67" x14ac:dyDescent="0.25">
      <c r="BM3033" s="281">
        <f>$AZ$22+0.2*(seat_pitch)*($AY$22*n_SA+$AW$11&lt;pax_e)</f>
        <v>20.432000000000002</v>
      </c>
      <c r="BN3033" s="281">
        <f>$AX$11</f>
        <v>1.3100000000000003</v>
      </c>
      <c r="BO3033" s="281">
        <f t="shared" si="181"/>
        <v>2.6215200000000038</v>
      </c>
    </row>
    <row r="3034" spans="65:67" x14ac:dyDescent="0.25">
      <c r="BM3034" s="281">
        <f>$AZ$22+0.2*(seat_pitch)*($AY$22*n_SA+$AW$11&lt;pax_e)</f>
        <v>20.432000000000002</v>
      </c>
      <c r="BN3034" s="281">
        <f>$AX$11+seat_w*($AY$22*n_SA+$AW$11&lt;pax_e)</f>
        <v>1.8400000000000003</v>
      </c>
      <c r="BO3034" s="281">
        <f t="shared" si="181"/>
        <v>2.6215200000000038</v>
      </c>
    </row>
    <row r="3035" spans="65:67" x14ac:dyDescent="0.25">
      <c r="BM3035" s="281">
        <f>$AZ$22</f>
        <v>20.270000000000003</v>
      </c>
      <c r="BN3035" s="281">
        <f>$AX$11+seat_w*($AY$22*n_SA+$AW$11&lt;pax_e)</f>
        <v>1.8400000000000003</v>
      </c>
      <c r="BO3035" s="281">
        <f t="shared" si="181"/>
        <v>2.4595200000000048</v>
      </c>
    </row>
    <row r="3036" spans="65:67" x14ac:dyDescent="0.25">
      <c r="BM3036" s="281">
        <f>$AZ$22+1*(seat_pitch)*($AY$22*n_SA+$AW$11&lt;pax_e)</f>
        <v>21.080000000000002</v>
      </c>
      <c r="BN3036" s="281">
        <f>$AX$11+seat_w*($AY$22*n_SA+$AW$11&lt;pax_e)</f>
        <v>1.8400000000000003</v>
      </c>
      <c r="BO3036" s="281">
        <f t="shared" si="181"/>
        <v>3.2695200000000035</v>
      </c>
    </row>
    <row r="3037" spans="65:67" x14ac:dyDescent="0.25">
      <c r="BM3037" s="281">
        <f>$AZ$22+0.8*(seat_pitch)*($AY$22*n_SA+$AW$11&lt;pax_e)</f>
        <v>20.918000000000003</v>
      </c>
      <c r="BN3037" s="281">
        <f>$AX$11+seat_w*($AY$22*n_SA+$AW$11&lt;pax_e)</f>
        <v>1.8400000000000003</v>
      </c>
      <c r="BO3037" s="281">
        <f t="shared" si="181"/>
        <v>3.1075200000000045</v>
      </c>
    </row>
    <row r="3038" spans="65:67" x14ac:dyDescent="0.25">
      <c r="BM3038" s="281">
        <f>$AZ$22+0.8*(seat_pitch)*($AY$22*n_SA+$AW$11&lt;pax_e)</f>
        <v>20.918000000000003</v>
      </c>
      <c r="BN3038" s="281">
        <f>$AX$11</f>
        <v>1.3100000000000003</v>
      </c>
      <c r="BO3038" s="281">
        <f t="shared" si="181"/>
        <v>3.1075200000000045</v>
      </c>
    </row>
    <row r="3039" spans="65:67" x14ac:dyDescent="0.25">
      <c r="BM3039" s="281">
        <f>$AZ$22+0.2*(seat_pitch)*($AY$22*n_SA+$AW$11&lt;pax_e)</f>
        <v>20.432000000000002</v>
      </c>
      <c r="BN3039" s="281">
        <f>$AX$11</f>
        <v>1.3100000000000003</v>
      </c>
      <c r="BO3039" s="281">
        <f t="shared" si="181"/>
        <v>2.6215200000000038</v>
      </c>
    </row>
    <row r="3040" spans="65:67" x14ac:dyDescent="0.25">
      <c r="BM3040" s="281">
        <f>$AZ$22+(seat_pitch)</f>
        <v>21.080000000000002</v>
      </c>
      <c r="BN3040" s="281">
        <f>$AX$11</f>
        <v>1.3100000000000003</v>
      </c>
      <c r="BO3040" s="281">
        <f t="shared" si="181"/>
        <v>3.2695200000000035</v>
      </c>
    </row>
    <row r="3041" spans="65:67" x14ac:dyDescent="0.25">
      <c r="BM3041" s="281">
        <f>$AZ$23+0.2*(seat_pitch)*($AY$23*n_SA+$AW$11&lt;pax_e)</f>
        <v>21.242000000000001</v>
      </c>
      <c r="BN3041" s="281">
        <f>$AX$11</f>
        <v>1.3100000000000003</v>
      </c>
      <c r="BO3041" s="281">
        <f t="shared" si="181"/>
        <v>3.4315200000000026</v>
      </c>
    </row>
    <row r="3042" spans="65:67" x14ac:dyDescent="0.25">
      <c r="BM3042" s="281">
        <f>$AZ$23+0.2*(seat_pitch)*($AY$23*n_SA+$AW$11&lt;pax_e)</f>
        <v>21.242000000000001</v>
      </c>
      <c r="BN3042" s="281">
        <f>$AX$11+seat_w*($AY$23*n_SA+$AW$11&lt;pax_e)</f>
        <v>1.8400000000000003</v>
      </c>
      <c r="BO3042" s="281">
        <f t="shared" si="181"/>
        <v>3.4315200000000026</v>
      </c>
    </row>
    <row r="3043" spans="65:67" x14ac:dyDescent="0.25">
      <c r="BM3043" s="281">
        <f>$AZ$23</f>
        <v>21.080000000000002</v>
      </c>
      <c r="BN3043" s="281">
        <f>$AX$11+seat_w*($AY$23*n_SA+$AW$11&lt;pax_e)</f>
        <v>1.8400000000000003</v>
      </c>
      <c r="BO3043" s="281">
        <f t="shared" si="181"/>
        <v>3.2695200000000035</v>
      </c>
    </row>
    <row r="3044" spans="65:67" x14ac:dyDescent="0.25">
      <c r="BM3044" s="281">
        <f>$AZ$23+1*(seat_pitch)*($AY$23*n_SA+$AW$11&lt;pax_e)</f>
        <v>21.89</v>
      </c>
      <c r="BN3044" s="281">
        <f>$AX$11+seat_w*($AY$23*n_SA+$AW$11&lt;pax_e)</f>
        <v>1.8400000000000003</v>
      </c>
      <c r="BO3044" s="281">
        <f t="shared" si="181"/>
        <v>4.0795200000000023</v>
      </c>
    </row>
    <row r="3045" spans="65:67" x14ac:dyDescent="0.25">
      <c r="BM3045" s="281">
        <f>$AZ$23+0.8*(seat_pitch)*($AY$23*n_SA+$AW$11&lt;pax_e)</f>
        <v>21.728000000000002</v>
      </c>
      <c r="BN3045" s="281">
        <f>$AX$11+seat_w*($AY$23*n_SA+$AW$11&lt;pax_e)</f>
        <v>1.8400000000000003</v>
      </c>
      <c r="BO3045" s="281">
        <f t="shared" si="181"/>
        <v>3.9175200000000032</v>
      </c>
    </row>
    <row r="3046" spans="65:67" x14ac:dyDescent="0.25">
      <c r="BM3046" s="281">
        <f>$AZ$23+0.8*(seat_pitch)*($AY$23*n_SA+$AW$11&lt;pax_e)</f>
        <v>21.728000000000002</v>
      </c>
      <c r="BN3046" s="281">
        <f>$AX$11</f>
        <v>1.3100000000000003</v>
      </c>
      <c r="BO3046" s="281">
        <f t="shared" si="181"/>
        <v>3.9175200000000032</v>
      </c>
    </row>
    <row r="3047" spans="65:67" x14ac:dyDescent="0.25">
      <c r="BM3047" s="281">
        <f>$AZ$23+0.2*(seat_pitch)*($AY$23*n_SA+$AW$11&lt;pax_e)</f>
        <v>21.242000000000001</v>
      </c>
      <c r="BN3047" s="281">
        <f>$AX$11</f>
        <v>1.3100000000000003</v>
      </c>
      <c r="BO3047" s="281">
        <f t="shared" si="181"/>
        <v>3.4315200000000026</v>
      </c>
    </row>
    <row r="3048" spans="65:67" x14ac:dyDescent="0.25">
      <c r="BM3048" s="281">
        <f>$AZ$23+(seat_pitch)</f>
        <v>21.89</v>
      </c>
      <c r="BN3048" s="281">
        <f>$AX$11</f>
        <v>1.3100000000000003</v>
      </c>
      <c r="BO3048" s="281">
        <f t="shared" si="181"/>
        <v>4.0795200000000023</v>
      </c>
    </row>
    <row r="3049" spans="65:67" x14ac:dyDescent="0.25">
      <c r="BM3049" s="281">
        <f>$AZ$24+0.2*(seat_pitch)*($AY$24*n_SA+$AW$11&lt;pax_e)</f>
        <v>22.052</v>
      </c>
      <c r="BN3049" s="281">
        <f>$AX$11</f>
        <v>1.3100000000000003</v>
      </c>
      <c r="BO3049" s="281">
        <f t="shared" si="181"/>
        <v>4.2415200000000013</v>
      </c>
    </row>
    <row r="3050" spans="65:67" x14ac:dyDescent="0.25">
      <c r="BM3050" s="281">
        <f>$AZ$24+0.2*(seat_pitch)*($AY$24*n_SA+$AW$11&lt;pax_e)</f>
        <v>22.052</v>
      </c>
      <c r="BN3050" s="281">
        <f>$AX$11+seat_w*($AY$24*n_SA+$AW$11&lt;pax_e)</f>
        <v>1.8400000000000003</v>
      </c>
      <c r="BO3050" s="281">
        <f t="shared" si="181"/>
        <v>4.2415200000000013</v>
      </c>
    </row>
    <row r="3051" spans="65:67" x14ac:dyDescent="0.25">
      <c r="BM3051" s="281">
        <f>$AZ$24</f>
        <v>21.89</v>
      </c>
      <c r="BN3051" s="281">
        <f>$AX$11+seat_w*($AY$24*n_SA+$AW$11&lt;pax_e)</f>
        <v>1.8400000000000003</v>
      </c>
      <c r="BO3051" s="281">
        <f t="shared" si="181"/>
        <v>4.0795200000000023</v>
      </c>
    </row>
    <row r="3052" spans="65:67" x14ac:dyDescent="0.25">
      <c r="BM3052" s="281">
        <f>$AZ$24+1*(seat_pitch)*($AY$24*n_SA+$AW$11&lt;pax_e)</f>
        <v>22.7</v>
      </c>
      <c r="BN3052" s="281">
        <f>$AX$11+seat_w*($AY$24*n_SA+$AW$11&lt;pax_e)</f>
        <v>1.8400000000000003</v>
      </c>
      <c r="BO3052" s="281">
        <f t="shared" si="181"/>
        <v>4.889520000000001</v>
      </c>
    </row>
    <row r="3053" spans="65:67" x14ac:dyDescent="0.25">
      <c r="BM3053" s="281">
        <f>$AZ$24+0.8*(seat_pitch)*($AY$24*n_SA+$AW$11&lt;pax_e)</f>
        <v>22.538</v>
      </c>
      <c r="BN3053" s="281">
        <f>$AX$11+seat_w*($AY$24*n_SA+$AW$11&lt;pax_e)</f>
        <v>1.8400000000000003</v>
      </c>
      <c r="BO3053" s="281">
        <f t="shared" si="181"/>
        <v>4.7275200000000019</v>
      </c>
    </row>
    <row r="3054" spans="65:67" x14ac:dyDescent="0.25">
      <c r="BM3054" s="281">
        <f>$AZ$24+0.8*(seat_pitch)*($AY$24*n_SA+$AW$11&lt;pax_e)</f>
        <v>22.538</v>
      </c>
      <c r="BN3054" s="281">
        <f>$AX$11</f>
        <v>1.3100000000000003</v>
      </c>
      <c r="BO3054" s="281">
        <f t="shared" si="181"/>
        <v>4.7275200000000019</v>
      </c>
    </row>
    <row r="3055" spans="65:67" x14ac:dyDescent="0.25">
      <c r="BM3055" s="281">
        <f>$AZ$24+0.2*(seat_pitch)*($AY$24*n_SA+$AW$11&lt;pax_e)</f>
        <v>22.052</v>
      </c>
      <c r="BN3055" s="281">
        <f>$AX$11</f>
        <v>1.3100000000000003</v>
      </c>
      <c r="BO3055" s="281">
        <f t="shared" si="181"/>
        <v>4.2415200000000013</v>
      </c>
    </row>
    <row r="3056" spans="65:67" x14ac:dyDescent="0.25">
      <c r="BM3056" s="281">
        <f>$AZ$24+(seat_pitch)</f>
        <v>22.7</v>
      </c>
      <c r="BN3056" s="281">
        <f>$AX$11</f>
        <v>1.3100000000000003</v>
      </c>
      <c r="BO3056" s="281">
        <f t="shared" si="181"/>
        <v>4.889520000000001</v>
      </c>
    </row>
    <row r="3057" spans="65:67" x14ac:dyDescent="0.25">
      <c r="BM3057" s="281">
        <f>$AZ$25+0.2*(seat_pitch)*($AY$25*n_SA+$AW$11&lt;pax_e)</f>
        <v>22.862000000000002</v>
      </c>
      <c r="BN3057" s="281">
        <f>$AX$11</f>
        <v>1.3100000000000003</v>
      </c>
      <c r="BO3057" s="281">
        <f t="shared" si="181"/>
        <v>5.0515200000000036</v>
      </c>
    </row>
    <row r="3058" spans="65:67" x14ac:dyDescent="0.25">
      <c r="BM3058" s="281">
        <f>$AZ$25+0.2*(seat_pitch)*($AY$25*n_SA+$AW$11&lt;pax_e)</f>
        <v>22.862000000000002</v>
      </c>
      <c r="BN3058" s="281">
        <f>$AX$11+seat_w*($AY$25*n_SA+$AW$11&lt;pax_e)</f>
        <v>1.8400000000000003</v>
      </c>
      <c r="BO3058" s="281">
        <f t="shared" si="181"/>
        <v>5.0515200000000036</v>
      </c>
    </row>
    <row r="3059" spans="65:67" x14ac:dyDescent="0.25">
      <c r="BM3059" s="281">
        <f>$AZ$25</f>
        <v>22.700000000000003</v>
      </c>
      <c r="BN3059" s="281">
        <f>$AX$11+seat_w*($AY$25*n_SA+$AW$11&lt;pax_e)</f>
        <v>1.8400000000000003</v>
      </c>
      <c r="BO3059" s="281">
        <f t="shared" si="181"/>
        <v>4.8895200000000045</v>
      </c>
    </row>
    <row r="3060" spans="65:67" x14ac:dyDescent="0.25">
      <c r="BM3060" s="281">
        <f>$AZ$25+1*(seat_pitch)*($AY$25*n_SA+$AW$11&lt;pax_e)</f>
        <v>23.51</v>
      </c>
      <c r="BN3060" s="281">
        <f>$AX$11+seat_w*($AY$25*n_SA+$AW$11&lt;pax_e)</f>
        <v>1.8400000000000003</v>
      </c>
      <c r="BO3060" s="281">
        <f t="shared" si="181"/>
        <v>5.6995200000000033</v>
      </c>
    </row>
    <row r="3061" spans="65:67" x14ac:dyDescent="0.25">
      <c r="BM3061" s="281">
        <f>$AZ$25+0.8*(seat_pitch)*($AY$25*n_SA+$AW$11&lt;pax_e)</f>
        <v>23.348000000000003</v>
      </c>
      <c r="BN3061" s="281">
        <f>$AX$11+seat_w*($AY$25*n_SA+$AW$11&lt;pax_e)</f>
        <v>1.8400000000000003</v>
      </c>
      <c r="BO3061" s="281">
        <f t="shared" si="181"/>
        <v>5.5375200000000042</v>
      </c>
    </row>
    <row r="3062" spans="65:67" x14ac:dyDescent="0.25">
      <c r="BM3062" s="281">
        <f>$AZ$25+0.8*(seat_pitch)*($AY$25*n_SA+$AW$11&lt;pax_e)</f>
        <v>23.348000000000003</v>
      </c>
      <c r="BN3062" s="281">
        <f>$AX$11</f>
        <v>1.3100000000000003</v>
      </c>
      <c r="BO3062" s="281">
        <f t="shared" si="181"/>
        <v>5.5375200000000042</v>
      </c>
    </row>
    <row r="3063" spans="65:67" x14ac:dyDescent="0.25">
      <c r="BM3063" s="281">
        <f>$AZ$25+0.2*(seat_pitch)*($AY$25*n_SA+$AW$11&lt;pax_e)</f>
        <v>22.862000000000002</v>
      </c>
      <c r="BN3063" s="281">
        <f>$AX$11</f>
        <v>1.3100000000000003</v>
      </c>
      <c r="BO3063" s="281">
        <f t="shared" si="181"/>
        <v>5.0515200000000036</v>
      </c>
    </row>
    <row r="3064" spans="65:67" x14ac:dyDescent="0.25">
      <c r="BM3064" s="281">
        <f>$AZ$25+(seat_pitch)</f>
        <v>23.51</v>
      </c>
      <c r="BN3064" s="281">
        <f>$AX$11</f>
        <v>1.3100000000000003</v>
      </c>
      <c r="BO3064" s="281">
        <f t="shared" si="181"/>
        <v>5.6995200000000033</v>
      </c>
    </row>
    <row r="3065" spans="65:67" x14ac:dyDescent="0.25">
      <c r="BM3065" s="281">
        <f>$AZ$26+0.2*(seat_pitch)*($AY$26*n_SA+$AW$11&lt;pax_e)</f>
        <v>23.672000000000001</v>
      </c>
      <c r="BN3065" s="281">
        <f>$AX$11</f>
        <v>1.3100000000000003</v>
      </c>
      <c r="BO3065" s="281">
        <f t="shared" si="181"/>
        <v>5.8615200000000023</v>
      </c>
    </row>
    <row r="3066" spans="65:67" x14ac:dyDescent="0.25">
      <c r="BM3066" s="281">
        <f>$AZ$26+0.2*(seat_pitch)*($AY$26*n_SA+$AW$11&lt;pax_e)</f>
        <v>23.672000000000001</v>
      </c>
      <c r="BN3066" s="281">
        <f>$AX$11+seat_w*($AY$26*n_SA+$AW$11&lt;pax_e)</f>
        <v>1.8400000000000003</v>
      </c>
      <c r="BO3066" s="281">
        <f t="shared" si="181"/>
        <v>5.8615200000000023</v>
      </c>
    </row>
    <row r="3067" spans="65:67" x14ac:dyDescent="0.25">
      <c r="BM3067" s="281">
        <f>$AZ$26</f>
        <v>23.51</v>
      </c>
      <c r="BN3067" s="281">
        <f>$AX$11+seat_w*($AY$26*n_SA+$AW$11&lt;pax_e)</f>
        <v>1.8400000000000003</v>
      </c>
      <c r="BO3067" s="281">
        <f t="shared" si="181"/>
        <v>5.6995200000000033</v>
      </c>
    </row>
    <row r="3068" spans="65:67" x14ac:dyDescent="0.25">
      <c r="BM3068" s="281">
        <f>$AZ$26+1*(seat_pitch)*($AY$26*n_SA+$AW$11&lt;pax_e)</f>
        <v>24.32</v>
      </c>
      <c r="BN3068" s="281">
        <f>$AX$11+seat_w*($AY$26*n_SA+$AW$11&lt;pax_e)</f>
        <v>1.8400000000000003</v>
      </c>
      <c r="BO3068" s="281">
        <f t="shared" si="181"/>
        <v>6.509520000000002</v>
      </c>
    </row>
    <row r="3069" spans="65:67" x14ac:dyDescent="0.25">
      <c r="BM3069" s="281">
        <f>$AZ$26+0.8*(seat_pitch)*($AY$26*n_SA+$AW$11&lt;pax_e)</f>
        <v>24.158000000000001</v>
      </c>
      <c r="BN3069" s="281">
        <f>$AX$11+seat_w*($AY$26*n_SA+$AW$11&lt;pax_e)</f>
        <v>1.8400000000000003</v>
      </c>
      <c r="BO3069" s="281">
        <f t="shared" si="181"/>
        <v>6.3475200000000029</v>
      </c>
    </row>
    <row r="3070" spans="65:67" x14ac:dyDescent="0.25">
      <c r="BM3070" s="281">
        <f>$AZ$26+0.8*(seat_pitch)*($AY$26*n_SA+$AW$11&lt;pax_e)</f>
        <v>24.158000000000001</v>
      </c>
      <c r="BN3070" s="281">
        <f>$AX$11</f>
        <v>1.3100000000000003</v>
      </c>
      <c r="BO3070" s="281">
        <f t="shared" si="181"/>
        <v>6.3475200000000029</v>
      </c>
    </row>
    <row r="3071" spans="65:67" x14ac:dyDescent="0.25">
      <c r="BM3071" s="281">
        <f>$AZ$26+0.2*(seat_pitch)*($AY$26*n_SA+$AW$11&lt;pax_e)</f>
        <v>23.672000000000001</v>
      </c>
      <c r="BN3071" s="281">
        <f>$AX$11</f>
        <v>1.3100000000000003</v>
      </c>
      <c r="BO3071" s="281">
        <f t="shared" si="181"/>
        <v>5.8615200000000023</v>
      </c>
    </row>
    <row r="3072" spans="65:67" x14ac:dyDescent="0.25">
      <c r="BM3072" s="281">
        <f>$AZ$26+(seat_pitch)</f>
        <v>24.32</v>
      </c>
      <c r="BN3072" s="281">
        <f>$AX$11</f>
        <v>1.3100000000000003</v>
      </c>
      <c r="BO3072" s="281">
        <f t="shared" si="181"/>
        <v>6.509520000000002</v>
      </c>
    </row>
    <row r="3073" spans="65:67" x14ac:dyDescent="0.25">
      <c r="BM3073" s="281">
        <f>$AZ$27+0.2*(seat_pitch)*($AY$27*n_SA+$AW$11&lt;pax_e)</f>
        <v>24.481999999999999</v>
      </c>
      <c r="BN3073" s="281">
        <f>$AX$11</f>
        <v>1.3100000000000003</v>
      </c>
      <c r="BO3073" s="281">
        <f t="shared" si="181"/>
        <v>6.671520000000001</v>
      </c>
    </row>
    <row r="3074" spans="65:67" x14ac:dyDescent="0.25">
      <c r="BM3074" s="281">
        <f>$AZ$27+0.2*(seat_pitch)*($AY$27*n_SA+$AW$11&lt;pax_e)</f>
        <v>24.481999999999999</v>
      </c>
      <c r="BN3074" s="281">
        <f>$AX$11+seat_w*($AY$27*n_SA+$AW$11&lt;pax_e)</f>
        <v>1.8400000000000003</v>
      </c>
      <c r="BO3074" s="281">
        <f t="shared" si="181"/>
        <v>6.671520000000001</v>
      </c>
    </row>
    <row r="3075" spans="65:67" x14ac:dyDescent="0.25">
      <c r="BM3075" s="281">
        <f>$AZ$27</f>
        <v>24.32</v>
      </c>
      <c r="BN3075" s="281">
        <f>$AX$11+seat_w*($AY$27*n_SA+$AW$11&lt;pax_e)</f>
        <v>1.8400000000000003</v>
      </c>
      <c r="BO3075" s="281">
        <f t="shared" si="181"/>
        <v>6.509520000000002</v>
      </c>
    </row>
    <row r="3076" spans="65:67" x14ac:dyDescent="0.25">
      <c r="BM3076" s="281">
        <f>$AZ$27+1*(seat_pitch)*($AY$27*n_SA+$AW$11&lt;pax_e)</f>
        <v>25.13</v>
      </c>
      <c r="BN3076" s="281">
        <f>$AX$11+seat_w*($AY$27*n_SA+$AW$11&lt;pax_e)</f>
        <v>1.8400000000000003</v>
      </c>
      <c r="BO3076" s="281">
        <f t="shared" si="181"/>
        <v>7.3195200000000007</v>
      </c>
    </row>
    <row r="3077" spans="65:67" x14ac:dyDescent="0.25">
      <c r="BM3077" s="281">
        <f>$AZ$27+0.8*(seat_pitch)*($AY$27*n_SA+$AW$11&lt;pax_e)</f>
        <v>24.968</v>
      </c>
      <c r="BN3077" s="281">
        <f>$AX$11+seat_w*($AY$27*n_SA+$AW$11&lt;pax_e)</f>
        <v>1.8400000000000003</v>
      </c>
      <c r="BO3077" s="281">
        <f t="shared" ref="BO3077:BO3140" si="182">BM3077-L_fus/2</f>
        <v>7.1575200000000017</v>
      </c>
    </row>
    <row r="3078" spans="65:67" x14ac:dyDescent="0.25">
      <c r="BM3078" s="281">
        <f>$AZ$27+0.8*(seat_pitch)*($AY$27*n_SA+$AW$11&lt;pax_e)</f>
        <v>24.968</v>
      </c>
      <c r="BN3078" s="281">
        <f>$AX$11</f>
        <v>1.3100000000000003</v>
      </c>
      <c r="BO3078" s="281">
        <f t="shared" si="182"/>
        <v>7.1575200000000017</v>
      </c>
    </row>
    <row r="3079" spans="65:67" x14ac:dyDescent="0.25">
      <c r="BM3079" s="281">
        <f>$AZ$27+0.2*(seat_pitch)*($AY$27*n_SA+$AW$11&lt;pax_e)</f>
        <v>24.481999999999999</v>
      </c>
      <c r="BN3079" s="281">
        <f>$AX$11</f>
        <v>1.3100000000000003</v>
      </c>
      <c r="BO3079" s="281">
        <f t="shared" si="182"/>
        <v>6.671520000000001</v>
      </c>
    </row>
    <row r="3080" spans="65:67" x14ac:dyDescent="0.25">
      <c r="BM3080" s="281">
        <f>$AZ$27+(seat_pitch)</f>
        <v>25.13</v>
      </c>
      <c r="BN3080" s="281">
        <f>$AX$11</f>
        <v>1.3100000000000003</v>
      </c>
      <c r="BO3080" s="281">
        <f t="shared" si="182"/>
        <v>7.3195200000000007</v>
      </c>
    </row>
    <row r="3081" spans="65:67" x14ac:dyDescent="0.25">
      <c r="BM3081" s="281">
        <f>$AZ$28+0.2*(seat_pitch)*($AY$28*n_SA+$AW$11&lt;pax_e)</f>
        <v>25.292000000000002</v>
      </c>
      <c r="BN3081" s="281">
        <f>$AX$11</f>
        <v>1.3100000000000003</v>
      </c>
      <c r="BO3081" s="281">
        <f t="shared" si="182"/>
        <v>7.4815200000000033</v>
      </c>
    </row>
    <row r="3082" spans="65:67" x14ac:dyDescent="0.25">
      <c r="BM3082" s="281">
        <f>$AZ$28+0.2*(seat_pitch)*($AY$28*n_SA+$AW$11&lt;pax_e)</f>
        <v>25.292000000000002</v>
      </c>
      <c r="BN3082" s="281">
        <f>$AX$11+seat_w*($AY$28*n_SA+$AW$11&lt;pax_e)</f>
        <v>1.8400000000000003</v>
      </c>
      <c r="BO3082" s="281">
        <f t="shared" si="182"/>
        <v>7.4815200000000033</v>
      </c>
    </row>
    <row r="3083" spans="65:67" x14ac:dyDescent="0.25">
      <c r="BM3083" s="281">
        <f>$AZ$28</f>
        <v>25.130000000000003</v>
      </c>
      <c r="BN3083" s="281">
        <f>$AX$11+seat_w*($AY$28*n_SA+$AW$11&lt;pax_e)</f>
        <v>1.8400000000000003</v>
      </c>
      <c r="BO3083" s="281">
        <f t="shared" si="182"/>
        <v>7.3195200000000042</v>
      </c>
    </row>
    <row r="3084" spans="65:67" x14ac:dyDescent="0.25">
      <c r="BM3084" s="281">
        <f>$AZ$28+1*(seat_pitch)*($AY$28*n_SA+$AW$11&lt;pax_e)</f>
        <v>25.94</v>
      </c>
      <c r="BN3084" s="281">
        <f>$AX$11+seat_w*($AY$28*n_SA+$AW$11&lt;pax_e)</f>
        <v>1.8400000000000003</v>
      </c>
      <c r="BO3084" s="281">
        <f t="shared" si="182"/>
        <v>8.129520000000003</v>
      </c>
    </row>
    <row r="3085" spans="65:67" x14ac:dyDescent="0.25">
      <c r="BM3085" s="281">
        <f>$AZ$28+0.8*(seat_pitch)*($AY$28*n_SA+$AW$11&lt;pax_e)</f>
        <v>25.778000000000002</v>
      </c>
      <c r="BN3085" s="281">
        <f>$AX$11+seat_w*($AY$28*n_SA+$AW$11&lt;pax_e)</f>
        <v>1.8400000000000003</v>
      </c>
      <c r="BO3085" s="281">
        <f t="shared" si="182"/>
        <v>7.9675200000000039</v>
      </c>
    </row>
    <row r="3086" spans="65:67" x14ac:dyDescent="0.25">
      <c r="BM3086" s="281">
        <f>$AZ$28+0.8*(seat_pitch)*($AY$28*n_SA+$AW$11&lt;pax_e)</f>
        <v>25.778000000000002</v>
      </c>
      <c r="BN3086" s="281">
        <f>$AX$11</f>
        <v>1.3100000000000003</v>
      </c>
      <c r="BO3086" s="281">
        <f t="shared" si="182"/>
        <v>7.9675200000000039</v>
      </c>
    </row>
    <row r="3087" spans="65:67" x14ac:dyDescent="0.25">
      <c r="BM3087" s="281">
        <f>$AZ$28+0.2*(seat_pitch)*($AY$28*n_SA+$AW$11&lt;pax_e)</f>
        <v>25.292000000000002</v>
      </c>
      <c r="BN3087" s="281">
        <f>$AX$11</f>
        <v>1.3100000000000003</v>
      </c>
      <c r="BO3087" s="281">
        <f t="shared" si="182"/>
        <v>7.4815200000000033</v>
      </c>
    </row>
    <row r="3088" spans="65:67" x14ac:dyDescent="0.25">
      <c r="BM3088" s="281">
        <f>$AZ$28+(seat_pitch)</f>
        <v>25.94</v>
      </c>
      <c r="BN3088" s="281">
        <f>$AX$11</f>
        <v>1.3100000000000003</v>
      </c>
      <c r="BO3088" s="281">
        <f t="shared" si="182"/>
        <v>8.129520000000003</v>
      </c>
    </row>
    <row r="3089" spans="65:67" x14ac:dyDescent="0.25">
      <c r="BM3089" s="281">
        <f>$AZ$29+0.2*(seat_pitch)*($AY$29*n_SA+$AW$11&lt;pax_e)</f>
        <v>26.102</v>
      </c>
      <c r="BN3089" s="281">
        <f>$AX$11</f>
        <v>1.3100000000000003</v>
      </c>
      <c r="BO3089" s="281">
        <f t="shared" si="182"/>
        <v>8.291520000000002</v>
      </c>
    </row>
    <row r="3090" spans="65:67" x14ac:dyDescent="0.25">
      <c r="BM3090" s="281">
        <f>$AZ$29+0.2*(seat_pitch)*($AY$29*n_SA+$AW$11&lt;pax_e)</f>
        <v>26.102</v>
      </c>
      <c r="BN3090" s="281">
        <f>$AX$11+seat_w*($AY$29*n_SA+$AW$11&lt;pax_e)</f>
        <v>1.8400000000000003</v>
      </c>
      <c r="BO3090" s="281">
        <f t="shared" si="182"/>
        <v>8.291520000000002</v>
      </c>
    </row>
    <row r="3091" spans="65:67" x14ac:dyDescent="0.25">
      <c r="BM3091" s="281">
        <f>$AZ$29</f>
        <v>25.94</v>
      </c>
      <c r="BN3091" s="281">
        <f>$AX$11+seat_w*($AY$29*n_SA+$AW$11&lt;pax_e)</f>
        <v>1.8400000000000003</v>
      </c>
      <c r="BO3091" s="281">
        <f t="shared" si="182"/>
        <v>8.129520000000003</v>
      </c>
    </row>
    <row r="3092" spans="65:67" x14ac:dyDescent="0.25">
      <c r="BM3092" s="281">
        <f>$AZ$29+1*(seat_pitch)*($AY$29*n_SA+$AW$11&lt;pax_e)</f>
        <v>26.75</v>
      </c>
      <c r="BN3092" s="281">
        <f>$AX$11+seat_w*($AY$29*n_SA+$AW$11&lt;pax_e)</f>
        <v>1.8400000000000003</v>
      </c>
      <c r="BO3092" s="281">
        <f t="shared" si="182"/>
        <v>8.9395200000000017</v>
      </c>
    </row>
    <row r="3093" spans="65:67" x14ac:dyDescent="0.25">
      <c r="BM3093" s="281">
        <f>$AZ$29+0.8*(seat_pitch)*($AY$29*n_SA+$AW$11&lt;pax_e)</f>
        <v>26.588000000000001</v>
      </c>
      <c r="BN3093" s="281">
        <f>$AX$11+seat_w*($AY$29*n_SA+$AW$11&lt;pax_e)</f>
        <v>1.8400000000000003</v>
      </c>
      <c r="BO3093" s="281">
        <f t="shared" si="182"/>
        <v>8.7775200000000027</v>
      </c>
    </row>
    <row r="3094" spans="65:67" x14ac:dyDescent="0.25">
      <c r="BM3094" s="281">
        <f>$AZ$29+0.8*(seat_pitch)*($AY$29*n_SA+$AW$11&lt;pax_e)</f>
        <v>26.588000000000001</v>
      </c>
      <c r="BN3094" s="281">
        <f>$AX$11</f>
        <v>1.3100000000000003</v>
      </c>
      <c r="BO3094" s="281">
        <f t="shared" si="182"/>
        <v>8.7775200000000027</v>
      </c>
    </row>
    <row r="3095" spans="65:67" x14ac:dyDescent="0.25">
      <c r="BM3095" s="281">
        <f>$AZ$29+0.2*(seat_pitch)*($AY$29*n_SA+$AW$11&lt;pax_e)</f>
        <v>26.102</v>
      </c>
      <c r="BN3095" s="281">
        <f>$AX$11</f>
        <v>1.3100000000000003</v>
      </c>
      <c r="BO3095" s="281">
        <f t="shared" si="182"/>
        <v>8.291520000000002</v>
      </c>
    </row>
    <row r="3096" spans="65:67" x14ac:dyDescent="0.25">
      <c r="BM3096" s="281">
        <f>$AZ$29+(seat_pitch)</f>
        <v>26.75</v>
      </c>
      <c r="BN3096" s="281">
        <f>$AX$11</f>
        <v>1.3100000000000003</v>
      </c>
      <c r="BO3096" s="281">
        <f t="shared" si="182"/>
        <v>8.9395200000000017</v>
      </c>
    </row>
    <row r="3097" spans="65:67" x14ac:dyDescent="0.25">
      <c r="BM3097" s="281">
        <f>$AZ$30+0.2*(seat_pitch)*($AY$30*n_SA+$AW$11&lt;pax_e)</f>
        <v>26.102</v>
      </c>
      <c r="BN3097" s="281">
        <f>$AX$11</f>
        <v>1.3100000000000003</v>
      </c>
      <c r="BO3097" s="281">
        <f t="shared" si="182"/>
        <v>8.291520000000002</v>
      </c>
    </row>
    <row r="3098" spans="65:67" x14ac:dyDescent="0.25">
      <c r="BM3098" s="281">
        <f>$AZ$30+0.2*(seat_pitch)*($AY$30*n_SA+$AW$11&lt;pax_e)</f>
        <v>26.102</v>
      </c>
      <c r="BN3098" s="281">
        <f>$AX$11+seat_w*($AY$30*n_SA+$AW$11&lt;pax_e)</f>
        <v>1.8400000000000003</v>
      </c>
      <c r="BO3098" s="281">
        <f t="shared" si="182"/>
        <v>8.291520000000002</v>
      </c>
    </row>
    <row r="3099" spans="65:67" x14ac:dyDescent="0.25">
      <c r="BM3099" s="281">
        <f>$AZ$30</f>
        <v>25.94</v>
      </c>
      <c r="BN3099" s="281">
        <f>$AX$11+seat_w*($AY$30*n_SA+$AW$11&lt;pax_e)</f>
        <v>1.8400000000000003</v>
      </c>
      <c r="BO3099" s="281">
        <f t="shared" si="182"/>
        <v>8.129520000000003</v>
      </c>
    </row>
    <row r="3100" spans="65:67" x14ac:dyDescent="0.25">
      <c r="BM3100" s="281">
        <f>$AZ$30+1*(seat_pitch)*($AY$30*n_SA+$AW$11&lt;pax_e)</f>
        <v>26.75</v>
      </c>
      <c r="BN3100" s="281">
        <f>$AX$11+seat_w*($AY$30*n_SA+$AW$11&lt;pax_e)</f>
        <v>1.8400000000000003</v>
      </c>
      <c r="BO3100" s="281">
        <f t="shared" si="182"/>
        <v>8.9395200000000017</v>
      </c>
    </row>
    <row r="3101" spans="65:67" x14ac:dyDescent="0.25">
      <c r="BM3101" s="281">
        <f>$AZ$30+0.8*(seat_pitch)*($AY$30*n_SA+$AW$11&lt;pax_e)</f>
        <v>26.588000000000001</v>
      </c>
      <c r="BN3101" s="281">
        <f>$AX$11+seat_w*($AY$30*n_SA+$AW$11&lt;pax_e)</f>
        <v>1.8400000000000003</v>
      </c>
      <c r="BO3101" s="281">
        <f t="shared" si="182"/>
        <v>8.7775200000000027</v>
      </c>
    </row>
    <row r="3102" spans="65:67" x14ac:dyDescent="0.25">
      <c r="BM3102" s="281">
        <f>$AZ$30+0.8*(seat_pitch)*($AY$30*n_SA+$AW$11&lt;pax_e)</f>
        <v>26.588000000000001</v>
      </c>
      <c r="BN3102" s="281">
        <f>$AX$11</f>
        <v>1.3100000000000003</v>
      </c>
      <c r="BO3102" s="281">
        <f t="shared" si="182"/>
        <v>8.7775200000000027</v>
      </c>
    </row>
    <row r="3103" spans="65:67" x14ac:dyDescent="0.25">
      <c r="BM3103" s="281">
        <f>$AZ$30+0.2*(seat_pitch)*($AY$30*n_SA+$AW$11&lt;pax_e)</f>
        <v>26.102</v>
      </c>
      <c r="BN3103" s="281">
        <f>$AX$11</f>
        <v>1.3100000000000003</v>
      </c>
      <c r="BO3103" s="281">
        <f t="shared" si="182"/>
        <v>8.291520000000002</v>
      </c>
    </row>
    <row r="3104" spans="65:67" x14ac:dyDescent="0.25">
      <c r="BM3104" s="281">
        <f>$AZ$30+(seat_pitch)</f>
        <v>26.75</v>
      </c>
      <c r="BN3104" s="281">
        <f>$AX$11</f>
        <v>1.3100000000000003</v>
      </c>
      <c r="BO3104" s="281">
        <f t="shared" si="182"/>
        <v>8.9395200000000017</v>
      </c>
    </row>
    <row r="3105" spans="65:67" x14ac:dyDescent="0.25">
      <c r="BM3105" s="281">
        <f>$AZ$31+0.2*(seat_pitch)*($AY$31*n_SA+$AW$11&lt;pax_e)</f>
        <v>26.102</v>
      </c>
      <c r="BN3105" s="281">
        <f>$AX$11</f>
        <v>1.3100000000000003</v>
      </c>
      <c r="BO3105" s="281">
        <f t="shared" si="182"/>
        <v>8.291520000000002</v>
      </c>
    </row>
    <row r="3106" spans="65:67" x14ac:dyDescent="0.25">
      <c r="BM3106" s="281">
        <f>$AZ$31+0.2*(seat_pitch)*($AY$31*n_SA+$AW$11&lt;pax_e)</f>
        <v>26.102</v>
      </c>
      <c r="BN3106" s="281">
        <f>$AX$11+seat_w*($AY$31*n_SA+$AW$11&lt;pax_e)</f>
        <v>1.8400000000000003</v>
      </c>
      <c r="BO3106" s="281">
        <f t="shared" si="182"/>
        <v>8.291520000000002</v>
      </c>
    </row>
    <row r="3107" spans="65:67" x14ac:dyDescent="0.25">
      <c r="BM3107" s="281">
        <f>$AZ$31</f>
        <v>25.94</v>
      </c>
      <c r="BN3107" s="281">
        <f>$AX$11+seat_w*($AY$31*n_SA+$AW$11&lt;pax_e)</f>
        <v>1.8400000000000003</v>
      </c>
      <c r="BO3107" s="281">
        <f t="shared" si="182"/>
        <v>8.129520000000003</v>
      </c>
    </row>
    <row r="3108" spans="65:67" x14ac:dyDescent="0.25">
      <c r="BM3108" s="281">
        <f>$AZ$31+1*(seat_pitch)*($AY$31*n_SA+$AW$11&lt;pax_e)</f>
        <v>26.75</v>
      </c>
      <c r="BN3108" s="281">
        <f>$AX$11+seat_w*($AY$31*n_SA+$AW$11&lt;pax_e)</f>
        <v>1.8400000000000003</v>
      </c>
      <c r="BO3108" s="281">
        <f t="shared" si="182"/>
        <v>8.9395200000000017</v>
      </c>
    </row>
    <row r="3109" spans="65:67" x14ac:dyDescent="0.25">
      <c r="BM3109" s="281">
        <f>$AZ$31+0.8*(seat_pitch)*($AY$31*n_SA+$AW$11&lt;pax_e)</f>
        <v>26.588000000000001</v>
      </c>
      <c r="BN3109" s="281">
        <f>$AX$11+seat_w*($AY$31*n_SA+$AW$11&lt;pax_e)</f>
        <v>1.8400000000000003</v>
      </c>
      <c r="BO3109" s="281">
        <f t="shared" si="182"/>
        <v>8.7775200000000027</v>
      </c>
    </row>
    <row r="3110" spans="65:67" x14ac:dyDescent="0.25">
      <c r="BM3110" s="281">
        <f>$AZ$31+0.8*(seat_pitch)*($AY$31*n_SA+$AW$11&lt;pax_e)</f>
        <v>26.588000000000001</v>
      </c>
      <c r="BN3110" s="281">
        <f>$AX$11</f>
        <v>1.3100000000000003</v>
      </c>
      <c r="BO3110" s="281">
        <f t="shared" si="182"/>
        <v>8.7775200000000027</v>
      </c>
    </row>
    <row r="3111" spans="65:67" x14ac:dyDescent="0.25">
      <c r="BM3111" s="281">
        <f>$AZ$31+0.2*(seat_pitch)*($AY$31*n_SA+$AW$11&lt;pax_e)</f>
        <v>26.102</v>
      </c>
      <c r="BN3111" s="281">
        <f>$AX$11</f>
        <v>1.3100000000000003</v>
      </c>
      <c r="BO3111" s="281">
        <f t="shared" si="182"/>
        <v>8.291520000000002</v>
      </c>
    </row>
    <row r="3112" spans="65:67" x14ac:dyDescent="0.25">
      <c r="BM3112" s="281">
        <f>$AZ$31+(seat_pitch)</f>
        <v>26.75</v>
      </c>
      <c r="BN3112" s="281">
        <f>$AX$11</f>
        <v>1.3100000000000003</v>
      </c>
      <c r="BO3112" s="281">
        <f t="shared" si="182"/>
        <v>8.9395200000000017</v>
      </c>
    </row>
    <row r="3113" spans="65:67" x14ac:dyDescent="0.25">
      <c r="BM3113" s="281">
        <f>$AZ$32+0.2*(seat_pitch)*($AY$32*n_SA+$AW$11&lt;pax_e)</f>
        <v>26.102</v>
      </c>
      <c r="BN3113" s="281">
        <f>$AX$11</f>
        <v>1.3100000000000003</v>
      </c>
      <c r="BO3113" s="281">
        <f t="shared" si="182"/>
        <v>8.291520000000002</v>
      </c>
    </row>
    <row r="3114" spans="65:67" x14ac:dyDescent="0.25">
      <c r="BM3114" s="281">
        <f>$AZ$32+0.2*(seat_pitch)*($AY$32*n_SA+$AW$11&lt;pax_e)</f>
        <v>26.102</v>
      </c>
      <c r="BN3114" s="281">
        <f>$AX$11+seat_w*($AY$32*n_SA+$AW$11&lt;pax_e)</f>
        <v>1.8400000000000003</v>
      </c>
      <c r="BO3114" s="281">
        <f t="shared" si="182"/>
        <v>8.291520000000002</v>
      </c>
    </row>
    <row r="3115" spans="65:67" x14ac:dyDescent="0.25">
      <c r="BM3115" s="281">
        <f>$AZ$32</f>
        <v>25.94</v>
      </c>
      <c r="BN3115" s="281">
        <f>$AX$11+seat_w*($AY$32*n_SA+$AW$11&lt;pax_e)</f>
        <v>1.8400000000000003</v>
      </c>
      <c r="BO3115" s="281">
        <f t="shared" si="182"/>
        <v>8.129520000000003</v>
      </c>
    </row>
    <row r="3116" spans="65:67" x14ac:dyDescent="0.25">
      <c r="BM3116" s="281">
        <f>$AZ$32+1*(seat_pitch)*($AY$32*n_SA+$AW$11&lt;pax_e)</f>
        <v>26.75</v>
      </c>
      <c r="BN3116" s="281">
        <f>$AX$11+seat_w*($AY$32*n_SA+$AW$11&lt;pax_e)</f>
        <v>1.8400000000000003</v>
      </c>
      <c r="BO3116" s="281">
        <f t="shared" si="182"/>
        <v>8.9395200000000017</v>
      </c>
    </row>
    <row r="3117" spans="65:67" x14ac:dyDescent="0.25">
      <c r="BM3117" s="281">
        <f>$AZ$32+0.8*(seat_pitch)*($AY$32*n_SA+$AW$11&lt;pax_e)</f>
        <v>26.588000000000001</v>
      </c>
      <c r="BN3117" s="281">
        <f>$AX$11+seat_w*($AY$32*n_SA+$AW$11&lt;pax_e)</f>
        <v>1.8400000000000003</v>
      </c>
      <c r="BO3117" s="281">
        <f t="shared" si="182"/>
        <v>8.7775200000000027</v>
      </c>
    </row>
    <row r="3118" spans="65:67" x14ac:dyDescent="0.25">
      <c r="BM3118" s="281">
        <f>$AZ$32+0.8*(seat_pitch)*($AY$32*n_SA+$AW$11&lt;pax_e)</f>
        <v>26.588000000000001</v>
      </c>
      <c r="BN3118" s="281">
        <f>$AX$11</f>
        <v>1.3100000000000003</v>
      </c>
      <c r="BO3118" s="281">
        <f t="shared" si="182"/>
        <v>8.7775200000000027</v>
      </c>
    </row>
    <row r="3119" spans="65:67" x14ac:dyDescent="0.25">
      <c r="BM3119" s="281">
        <f>$AZ$32+0.2*(seat_pitch)*($AY$32*n_SA+$AW$11&lt;pax_e)</f>
        <v>26.102</v>
      </c>
      <c r="BN3119" s="281">
        <f>$AX$11</f>
        <v>1.3100000000000003</v>
      </c>
      <c r="BO3119" s="281">
        <f t="shared" si="182"/>
        <v>8.291520000000002</v>
      </c>
    </row>
    <row r="3120" spans="65:67" x14ac:dyDescent="0.25">
      <c r="BM3120" s="281">
        <f>$AZ$32+(seat_pitch)</f>
        <v>26.75</v>
      </c>
      <c r="BN3120" s="281">
        <f>$AX$11</f>
        <v>1.3100000000000003</v>
      </c>
      <c r="BO3120" s="281">
        <f t="shared" si="182"/>
        <v>8.9395200000000017</v>
      </c>
    </row>
    <row r="3121" spans="65:67" x14ac:dyDescent="0.25">
      <c r="BM3121" s="281">
        <f>$AZ$33+0.2*(seat_pitch)*($AY$33*n_SA+$AW$11&lt;pax_e)</f>
        <v>26.102</v>
      </c>
      <c r="BN3121" s="281">
        <f>$AX$11</f>
        <v>1.3100000000000003</v>
      </c>
      <c r="BO3121" s="281">
        <f t="shared" si="182"/>
        <v>8.291520000000002</v>
      </c>
    </row>
    <row r="3122" spans="65:67" x14ac:dyDescent="0.25">
      <c r="BM3122" s="281">
        <f>$AZ$33+0.2*(seat_pitch)*($AY$33*n_SA+$AW$11&lt;pax_e)</f>
        <v>26.102</v>
      </c>
      <c r="BN3122" s="281">
        <f>$AX$11+seat_w*($AY$33*n_SA+$AW$11&lt;pax_e)</f>
        <v>1.8400000000000003</v>
      </c>
      <c r="BO3122" s="281">
        <f t="shared" si="182"/>
        <v>8.291520000000002</v>
      </c>
    </row>
    <row r="3123" spans="65:67" x14ac:dyDescent="0.25">
      <c r="BM3123" s="281">
        <f>$AZ$33</f>
        <v>25.94</v>
      </c>
      <c r="BN3123" s="281">
        <f>$AX$11+seat_w*($AY$33*n_SA+$AW$11&lt;pax_e)</f>
        <v>1.8400000000000003</v>
      </c>
      <c r="BO3123" s="281">
        <f t="shared" si="182"/>
        <v>8.129520000000003</v>
      </c>
    </row>
    <row r="3124" spans="65:67" x14ac:dyDescent="0.25">
      <c r="BM3124" s="281">
        <f>$AZ$33+1*(seat_pitch)*($AY$33*n_SA+$AW$11&lt;pax_e)</f>
        <v>26.75</v>
      </c>
      <c r="BN3124" s="281">
        <f>$AX$11+seat_w*($AY$33*n_SA+$AW$11&lt;pax_e)</f>
        <v>1.8400000000000003</v>
      </c>
      <c r="BO3124" s="281">
        <f t="shared" si="182"/>
        <v>8.9395200000000017</v>
      </c>
    </row>
    <row r="3125" spans="65:67" x14ac:dyDescent="0.25">
      <c r="BM3125" s="281">
        <f>$AZ$33+0.8*(seat_pitch)*($AY$33*n_SA+$AW$11&lt;pax_e)</f>
        <v>26.588000000000001</v>
      </c>
      <c r="BN3125" s="281">
        <f>$AX$11+seat_w*($AY$33*n_SA+$AW$11&lt;pax_e)</f>
        <v>1.8400000000000003</v>
      </c>
      <c r="BO3125" s="281">
        <f t="shared" si="182"/>
        <v>8.7775200000000027</v>
      </c>
    </row>
    <row r="3126" spans="65:67" x14ac:dyDescent="0.25">
      <c r="BM3126" s="281">
        <f>$AZ$33+0.8*(seat_pitch)*($AY$33*n_SA+$AW$11&lt;pax_e)</f>
        <v>26.588000000000001</v>
      </c>
      <c r="BN3126" s="281">
        <f>$AX$11</f>
        <v>1.3100000000000003</v>
      </c>
      <c r="BO3126" s="281">
        <f t="shared" si="182"/>
        <v>8.7775200000000027</v>
      </c>
    </row>
    <row r="3127" spans="65:67" x14ac:dyDescent="0.25">
      <c r="BM3127" s="281">
        <f>$AZ$33+0.2*(seat_pitch)*($AY$33*n_SA+$AW$11&lt;pax_e)</f>
        <v>26.102</v>
      </c>
      <c r="BN3127" s="281">
        <f>$AX$11</f>
        <v>1.3100000000000003</v>
      </c>
      <c r="BO3127" s="281">
        <f t="shared" si="182"/>
        <v>8.291520000000002</v>
      </c>
    </row>
    <row r="3128" spans="65:67" x14ac:dyDescent="0.25">
      <c r="BM3128" s="281">
        <f>$AZ$33+(seat_pitch)</f>
        <v>26.75</v>
      </c>
      <c r="BN3128" s="281">
        <f>$AX$11</f>
        <v>1.3100000000000003</v>
      </c>
      <c r="BO3128" s="281">
        <f t="shared" si="182"/>
        <v>8.9395200000000017</v>
      </c>
    </row>
    <row r="3129" spans="65:67" x14ac:dyDescent="0.25">
      <c r="BM3129" s="281">
        <f>$AZ$34+0.2*(seat_pitch)*($AY$34*n_SA+$AW$11&lt;pax_e)</f>
        <v>26.102</v>
      </c>
      <c r="BN3129" s="281">
        <f>$AX$11</f>
        <v>1.3100000000000003</v>
      </c>
      <c r="BO3129" s="281">
        <f t="shared" si="182"/>
        <v>8.291520000000002</v>
      </c>
    </row>
    <row r="3130" spans="65:67" x14ac:dyDescent="0.25">
      <c r="BM3130" s="281">
        <f>$AZ$34+0.2*(seat_pitch)*($AY$34*n_SA+$AW$11&lt;pax_e)</f>
        <v>26.102</v>
      </c>
      <c r="BN3130" s="281">
        <f>$AX$11+seat_w*($AY$34*n_SA+$AW$11&lt;pax_e)</f>
        <v>1.8400000000000003</v>
      </c>
      <c r="BO3130" s="281">
        <f t="shared" si="182"/>
        <v>8.291520000000002</v>
      </c>
    </row>
    <row r="3131" spans="65:67" x14ac:dyDescent="0.25">
      <c r="BM3131" s="281">
        <f>$AZ$34</f>
        <v>25.94</v>
      </c>
      <c r="BN3131" s="281">
        <f>$AX$11+seat_w*($AY$34*n_SA+$AW$11&lt;pax_e)</f>
        <v>1.8400000000000003</v>
      </c>
      <c r="BO3131" s="281">
        <f t="shared" si="182"/>
        <v>8.129520000000003</v>
      </c>
    </row>
    <row r="3132" spans="65:67" x14ac:dyDescent="0.25">
      <c r="BM3132" s="281">
        <f>$AZ$34+1*(seat_pitch)*($AY$34*n_SA+$AW$11&lt;pax_e)</f>
        <v>26.75</v>
      </c>
      <c r="BN3132" s="281">
        <f>$AX$11+seat_w*($AY$34*n_SA+$AW$11&lt;pax_e)</f>
        <v>1.8400000000000003</v>
      </c>
      <c r="BO3132" s="281">
        <f t="shared" si="182"/>
        <v>8.9395200000000017</v>
      </c>
    </row>
    <row r="3133" spans="65:67" x14ac:dyDescent="0.25">
      <c r="BM3133" s="281">
        <f>$AZ$34+0.8*(seat_pitch)*($AY$34*n_SA+$AW$11&lt;pax_e)</f>
        <v>26.588000000000001</v>
      </c>
      <c r="BN3133" s="281">
        <f>$AX$11+seat_w*($AY$34*n_SA+$AW$11&lt;pax_e)</f>
        <v>1.8400000000000003</v>
      </c>
      <c r="BO3133" s="281">
        <f t="shared" si="182"/>
        <v>8.7775200000000027</v>
      </c>
    </row>
    <row r="3134" spans="65:67" x14ac:dyDescent="0.25">
      <c r="BM3134" s="281">
        <f>$AZ$34+0.8*(seat_pitch)*($AY$34*n_SA+$AW$11&lt;pax_e)</f>
        <v>26.588000000000001</v>
      </c>
      <c r="BN3134" s="281">
        <f>$AX$11</f>
        <v>1.3100000000000003</v>
      </c>
      <c r="BO3134" s="281">
        <f t="shared" si="182"/>
        <v>8.7775200000000027</v>
      </c>
    </row>
    <row r="3135" spans="65:67" x14ac:dyDescent="0.25">
      <c r="BM3135" s="281">
        <f>$AZ$34+0.2*(seat_pitch)*($AY$34*n_SA+$AW$11&lt;pax_e)</f>
        <v>26.102</v>
      </c>
      <c r="BN3135" s="281">
        <f>$AX$11</f>
        <v>1.3100000000000003</v>
      </c>
      <c r="BO3135" s="281">
        <f t="shared" si="182"/>
        <v>8.291520000000002</v>
      </c>
    </row>
    <row r="3136" spans="65:67" x14ac:dyDescent="0.25">
      <c r="BM3136" s="281">
        <f>$AZ$34+(seat_pitch)</f>
        <v>26.75</v>
      </c>
      <c r="BN3136" s="281">
        <f>$AX$11</f>
        <v>1.3100000000000003</v>
      </c>
      <c r="BO3136" s="281">
        <f t="shared" si="182"/>
        <v>8.9395200000000017</v>
      </c>
    </row>
    <row r="3137" spans="65:67" x14ac:dyDescent="0.25">
      <c r="BM3137" s="281">
        <f>$AZ$35+0.2*(seat_pitch)*($AY$35*n_SA+$AW$11&lt;pax_e)</f>
        <v>26.102</v>
      </c>
      <c r="BN3137" s="281">
        <f>$AX$11</f>
        <v>1.3100000000000003</v>
      </c>
      <c r="BO3137" s="281">
        <f t="shared" si="182"/>
        <v>8.291520000000002</v>
      </c>
    </row>
    <row r="3138" spans="65:67" x14ac:dyDescent="0.25">
      <c r="BM3138" s="281">
        <f>$AZ$35+0.2*(seat_pitch)*($AY$35*n_SA+$AW$11&lt;pax_e)</f>
        <v>26.102</v>
      </c>
      <c r="BN3138" s="281">
        <f>$AX$11+seat_w*($AY$35*n_SA+$AW$11&lt;pax_e)</f>
        <v>1.8400000000000003</v>
      </c>
      <c r="BO3138" s="281">
        <f t="shared" si="182"/>
        <v>8.291520000000002</v>
      </c>
    </row>
    <row r="3139" spans="65:67" x14ac:dyDescent="0.25">
      <c r="BM3139" s="281">
        <f>$AZ$35</f>
        <v>25.94</v>
      </c>
      <c r="BN3139" s="281">
        <f>$AX$11+seat_w*($AY$35*n_SA+$AW$11&lt;pax_e)</f>
        <v>1.8400000000000003</v>
      </c>
      <c r="BO3139" s="281">
        <f t="shared" si="182"/>
        <v>8.129520000000003</v>
      </c>
    </row>
    <row r="3140" spans="65:67" x14ac:dyDescent="0.25">
      <c r="BM3140" s="281">
        <f>$AZ$35+1*(seat_pitch)*($AY$35*n_SA+$AW$11&lt;pax_e)</f>
        <v>26.75</v>
      </c>
      <c r="BN3140" s="281">
        <f>$AX$11+seat_w*($AY$35*n_SA+$AW$11&lt;pax_e)</f>
        <v>1.8400000000000003</v>
      </c>
      <c r="BO3140" s="281">
        <f t="shared" si="182"/>
        <v>8.9395200000000017</v>
      </c>
    </row>
    <row r="3141" spans="65:67" x14ac:dyDescent="0.25">
      <c r="BM3141" s="281">
        <f>$AZ$35+0.8*(seat_pitch)*($AY$35*n_SA+$AW$11&lt;pax_e)</f>
        <v>26.588000000000001</v>
      </c>
      <c r="BN3141" s="281">
        <f>$AX$11+seat_w*($AY$35*n_SA+$AW$11&lt;pax_e)</f>
        <v>1.8400000000000003</v>
      </c>
      <c r="BO3141" s="281">
        <f t="shared" ref="BO3141:BO3204" si="183">BM3141-L_fus/2</f>
        <v>8.7775200000000027</v>
      </c>
    </row>
    <row r="3142" spans="65:67" x14ac:dyDescent="0.25">
      <c r="BM3142" s="281">
        <f>$AZ$35+0.8*(seat_pitch)*($AY$35*n_SA+$AW$11&lt;pax_e)</f>
        <v>26.588000000000001</v>
      </c>
      <c r="BN3142" s="281">
        <f>$AX$11</f>
        <v>1.3100000000000003</v>
      </c>
      <c r="BO3142" s="281">
        <f t="shared" si="183"/>
        <v>8.7775200000000027</v>
      </c>
    </row>
    <row r="3143" spans="65:67" x14ac:dyDescent="0.25">
      <c r="BM3143" s="281">
        <f>$AZ$35+0.2*(seat_pitch)*($AY$35*n_SA+$AW$11&lt;pax_e)</f>
        <v>26.102</v>
      </c>
      <c r="BN3143" s="281">
        <f>$AX$11</f>
        <v>1.3100000000000003</v>
      </c>
      <c r="BO3143" s="281">
        <f t="shared" si="183"/>
        <v>8.291520000000002</v>
      </c>
    </row>
    <row r="3144" spans="65:67" x14ac:dyDescent="0.25">
      <c r="BM3144" s="281">
        <f>$AZ$35+(seat_pitch)</f>
        <v>26.75</v>
      </c>
      <c r="BN3144" s="281">
        <f>$AX$11</f>
        <v>1.3100000000000003</v>
      </c>
      <c r="BO3144" s="281">
        <f t="shared" si="183"/>
        <v>8.9395200000000017</v>
      </c>
    </row>
    <row r="3145" spans="65:67" x14ac:dyDescent="0.25">
      <c r="BM3145" s="281">
        <f>$AZ$36+0.2*(seat_pitch)*($AY$36*n_SA+$AW$11&lt;pax_e)</f>
        <v>26.102</v>
      </c>
      <c r="BN3145" s="281">
        <f>$AX$11</f>
        <v>1.3100000000000003</v>
      </c>
      <c r="BO3145" s="281">
        <f t="shared" si="183"/>
        <v>8.291520000000002</v>
      </c>
    </row>
    <row r="3146" spans="65:67" x14ac:dyDescent="0.25">
      <c r="BM3146" s="281">
        <f>$AZ$36+0.2*(seat_pitch)*($AY$36*n_SA+$AW$11&lt;pax_e)</f>
        <v>26.102</v>
      </c>
      <c r="BN3146" s="281">
        <f>$AX$11+seat_w*($AY$36*n_SA+$AW$11&lt;pax_e)</f>
        <v>1.8400000000000003</v>
      </c>
      <c r="BO3146" s="281">
        <f t="shared" si="183"/>
        <v>8.291520000000002</v>
      </c>
    </row>
    <row r="3147" spans="65:67" x14ac:dyDescent="0.25">
      <c r="BM3147" s="281">
        <f>$AZ$36</f>
        <v>25.94</v>
      </c>
      <c r="BN3147" s="281">
        <f>$AX$11+seat_w*($AY$36*n_SA+$AW$11&lt;pax_e)</f>
        <v>1.8400000000000003</v>
      </c>
      <c r="BO3147" s="281">
        <f t="shared" si="183"/>
        <v>8.129520000000003</v>
      </c>
    </row>
    <row r="3148" spans="65:67" x14ac:dyDescent="0.25">
      <c r="BM3148" s="281">
        <f>$AZ$36+1*(seat_pitch)*($AY$36*n_SA+$AW$11&lt;pax_e)</f>
        <v>26.75</v>
      </c>
      <c r="BN3148" s="281">
        <f>$AX$11+seat_w*($AY$36*n_SA+$AW$11&lt;pax_e)</f>
        <v>1.8400000000000003</v>
      </c>
      <c r="BO3148" s="281">
        <f t="shared" si="183"/>
        <v>8.9395200000000017</v>
      </c>
    </row>
    <row r="3149" spans="65:67" x14ac:dyDescent="0.25">
      <c r="BM3149" s="281">
        <f>$AZ$36+0.8*(seat_pitch)*($AY$36*n_SA+$AW$11&lt;pax_e)</f>
        <v>26.588000000000001</v>
      </c>
      <c r="BN3149" s="281">
        <f>$AX$11+seat_w*($AY$36*n_SA+$AW$11&lt;pax_e)</f>
        <v>1.8400000000000003</v>
      </c>
      <c r="BO3149" s="281">
        <f t="shared" si="183"/>
        <v>8.7775200000000027</v>
      </c>
    </row>
    <row r="3150" spans="65:67" x14ac:dyDescent="0.25">
      <c r="BM3150" s="281">
        <f>$AZ$36+0.8*(seat_pitch)*($AY$36*n_SA+$AW$11&lt;pax_e)</f>
        <v>26.588000000000001</v>
      </c>
      <c r="BN3150" s="281">
        <f>$AX$11</f>
        <v>1.3100000000000003</v>
      </c>
      <c r="BO3150" s="281">
        <f t="shared" si="183"/>
        <v>8.7775200000000027</v>
      </c>
    </row>
    <row r="3151" spans="65:67" x14ac:dyDescent="0.25">
      <c r="BM3151" s="281">
        <f>$AZ$36+0.2*(seat_pitch)*($AY$36*n_SA+$AW$11&lt;pax_e)</f>
        <v>26.102</v>
      </c>
      <c r="BN3151" s="281">
        <f>$AX$11</f>
        <v>1.3100000000000003</v>
      </c>
      <c r="BO3151" s="281">
        <f t="shared" si="183"/>
        <v>8.291520000000002</v>
      </c>
    </row>
    <row r="3152" spans="65:67" x14ac:dyDescent="0.25">
      <c r="BM3152" s="281">
        <f>$AZ$36+(seat_pitch)</f>
        <v>26.75</v>
      </c>
      <c r="BN3152" s="281">
        <f>$AX$11</f>
        <v>1.3100000000000003</v>
      </c>
      <c r="BO3152" s="281">
        <f t="shared" si="183"/>
        <v>8.9395200000000017</v>
      </c>
    </row>
    <row r="3153" spans="65:67" x14ac:dyDescent="0.25">
      <c r="BM3153" s="281">
        <f>$AZ$37+0.2*(seat_pitch)*($AY$37*n_SA+$AW$11&lt;pax_e)</f>
        <v>26.102</v>
      </c>
      <c r="BN3153" s="281">
        <f>$AX$11</f>
        <v>1.3100000000000003</v>
      </c>
      <c r="BO3153" s="281">
        <f t="shared" si="183"/>
        <v>8.291520000000002</v>
      </c>
    </row>
    <row r="3154" spans="65:67" x14ac:dyDescent="0.25">
      <c r="BM3154" s="281">
        <f>$AZ$37+0.2*(seat_pitch)*($AY$37*n_SA+$AW$11&lt;pax_e)</f>
        <v>26.102</v>
      </c>
      <c r="BN3154" s="281">
        <f>$AX$11+seat_w*($AY$37*n_SA+$AW$11&lt;pax_e)</f>
        <v>1.8400000000000003</v>
      </c>
      <c r="BO3154" s="281">
        <f t="shared" si="183"/>
        <v>8.291520000000002</v>
      </c>
    </row>
    <row r="3155" spans="65:67" x14ac:dyDescent="0.25">
      <c r="BM3155" s="281">
        <f>$AZ$37</f>
        <v>25.94</v>
      </c>
      <c r="BN3155" s="281">
        <f>$AX$11+seat_w*($AY$37*n_SA+$AW$11&lt;pax_e)</f>
        <v>1.8400000000000003</v>
      </c>
      <c r="BO3155" s="281">
        <f t="shared" si="183"/>
        <v>8.129520000000003</v>
      </c>
    </row>
    <row r="3156" spans="65:67" x14ac:dyDescent="0.25">
      <c r="BM3156" s="281">
        <f>$AZ$37+1*(seat_pitch)*($AY$37*n_SA+$AW$11&lt;pax_e)</f>
        <v>26.75</v>
      </c>
      <c r="BN3156" s="281">
        <f>$AX$11+seat_w*($AY$37*n_SA+$AW$11&lt;pax_e)</f>
        <v>1.8400000000000003</v>
      </c>
      <c r="BO3156" s="281">
        <f t="shared" si="183"/>
        <v>8.9395200000000017</v>
      </c>
    </row>
    <row r="3157" spans="65:67" x14ac:dyDescent="0.25">
      <c r="BM3157" s="281">
        <f>$AZ$37+0.8*(seat_pitch)*($AY$37*n_SA+$AW$11&lt;pax_e)</f>
        <v>26.588000000000001</v>
      </c>
      <c r="BN3157" s="281">
        <f>$AX$11+seat_w*($AY$37*n_SA+$AW$11&lt;pax_e)</f>
        <v>1.8400000000000003</v>
      </c>
      <c r="BO3157" s="281">
        <f t="shared" si="183"/>
        <v>8.7775200000000027</v>
      </c>
    </row>
    <row r="3158" spans="65:67" x14ac:dyDescent="0.25">
      <c r="BM3158" s="281">
        <f>$AZ$37+0.8*(seat_pitch)*($AY$37*n_SA+$AW$11&lt;pax_e)</f>
        <v>26.588000000000001</v>
      </c>
      <c r="BN3158" s="281">
        <f>$AX$11</f>
        <v>1.3100000000000003</v>
      </c>
      <c r="BO3158" s="281">
        <f t="shared" si="183"/>
        <v>8.7775200000000027</v>
      </c>
    </row>
    <row r="3159" spans="65:67" x14ac:dyDescent="0.25">
      <c r="BM3159" s="281">
        <f>$AZ$37+0.2*(seat_pitch)*($AY$37*n_SA+$AW$11&lt;pax_e)</f>
        <v>26.102</v>
      </c>
      <c r="BN3159" s="281">
        <f>$AX$11</f>
        <v>1.3100000000000003</v>
      </c>
      <c r="BO3159" s="281">
        <f t="shared" si="183"/>
        <v>8.291520000000002</v>
      </c>
    </row>
    <row r="3160" spans="65:67" x14ac:dyDescent="0.25">
      <c r="BM3160" s="281">
        <f>$AZ$37+(seat_pitch)</f>
        <v>26.75</v>
      </c>
      <c r="BN3160" s="281">
        <f>$AX$11</f>
        <v>1.3100000000000003</v>
      </c>
      <c r="BO3160" s="281">
        <f t="shared" si="183"/>
        <v>8.9395200000000017</v>
      </c>
    </row>
    <row r="3161" spans="65:67" x14ac:dyDescent="0.25">
      <c r="BM3161" s="281">
        <f>$AZ$38+0.2*(seat_pitch)*($AY$38*n_SA+$AW$11&lt;pax_e)</f>
        <v>26.102</v>
      </c>
      <c r="BN3161" s="281">
        <f>$AX$11</f>
        <v>1.3100000000000003</v>
      </c>
      <c r="BO3161" s="281">
        <f t="shared" si="183"/>
        <v>8.291520000000002</v>
      </c>
    </row>
    <row r="3162" spans="65:67" x14ac:dyDescent="0.25">
      <c r="BM3162" s="281">
        <f>$AZ$38+0.2*(seat_pitch)*($AY$38*n_SA+$AW$11&lt;pax_e)</f>
        <v>26.102</v>
      </c>
      <c r="BN3162" s="281">
        <f>$AX$11+seat_w*($AY$38*n_SA+$AW$11&lt;pax_e)</f>
        <v>1.8400000000000003</v>
      </c>
      <c r="BO3162" s="281">
        <f t="shared" si="183"/>
        <v>8.291520000000002</v>
      </c>
    </row>
    <row r="3163" spans="65:67" x14ac:dyDescent="0.25">
      <c r="BM3163" s="281">
        <f>$AZ$38</f>
        <v>25.94</v>
      </c>
      <c r="BN3163" s="281">
        <f>$AX$11+seat_w*($AY$38*n_SA+$AW$11&lt;pax_e)</f>
        <v>1.8400000000000003</v>
      </c>
      <c r="BO3163" s="281">
        <f t="shared" si="183"/>
        <v>8.129520000000003</v>
      </c>
    </row>
    <row r="3164" spans="65:67" x14ac:dyDescent="0.25">
      <c r="BM3164" s="281">
        <f>$AZ$38+1*(seat_pitch)*($AY$38*n_SA+$AW$11&lt;pax_e)</f>
        <v>26.75</v>
      </c>
      <c r="BN3164" s="281">
        <f>$AX$11+seat_w*($AY$38*n_SA+$AW$11&lt;pax_e)</f>
        <v>1.8400000000000003</v>
      </c>
      <c r="BO3164" s="281">
        <f t="shared" si="183"/>
        <v>8.9395200000000017</v>
      </c>
    </row>
    <row r="3165" spans="65:67" x14ac:dyDescent="0.25">
      <c r="BM3165" s="281">
        <f>$AZ$38+0.8*(seat_pitch)*($AY$38*n_SA+$AW$11&lt;pax_e)</f>
        <v>26.588000000000001</v>
      </c>
      <c r="BN3165" s="281">
        <f>$AX$11+seat_w*($AY$38*n_SA+$AW$11&lt;pax_e)</f>
        <v>1.8400000000000003</v>
      </c>
      <c r="BO3165" s="281">
        <f t="shared" si="183"/>
        <v>8.7775200000000027</v>
      </c>
    </row>
    <row r="3166" spans="65:67" x14ac:dyDescent="0.25">
      <c r="BM3166" s="281">
        <f>$AZ$38+0.8*(seat_pitch)*($AY$38*n_SA+$AW$11&lt;pax_e)</f>
        <v>26.588000000000001</v>
      </c>
      <c r="BN3166" s="281">
        <f>$AX$11</f>
        <v>1.3100000000000003</v>
      </c>
      <c r="BO3166" s="281">
        <f t="shared" si="183"/>
        <v>8.7775200000000027</v>
      </c>
    </row>
    <row r="3167" spans="65:67" x14ac:dyDescent="0.25">
      <c r="BM3167" s="281">
        <f>$AZ$38+0.2*(seat_pitch)*($AY$38*n_SA+$AW$11&lt;pax_e)</f>
        <v>26.102</v>
      </c>
      <c r="BN3167" s="281">
        <f>$AX$11</f>
        <v>1.3100000000000003</v>
      </c>
      <c r="BO3167" s="281">
        <f t="shared" si="183"/>
        <v>8.291520000000002</v>
      </c>
    </row>
    <row r="3168" spans="65:67" x14ac:dyDescent="0.25">
      <c r="BM3168" s="281">
        <f>$AZ$38+(seat_pitch)</f>
        <v>26.75</v>
      </c>
      <c r="BN3168" s="281">
        <f>$AX$11</f>
        <v>1.3100000000000003</v>
      </c>
      <c r="BO3168" s="281">
        <f t="shared" si="183"/>
        <v>8.9395200000000017</v>
      </c>
    </row>
    <row r="3169" spans="65:67" x14ac:dyDescent="0.25">
      <c r="BM3169" s="281">
        <f>$AZ$39+0.2*(seat_pitch)*($AY$39*n_SA+$AW$11&lt;pax_e)</f>
        <v>26.102</v>
      </c>
      <c r="BN3169" s="281">
        <f>$AX$11</f>
        <v>1.3100000000000003</v>
      </c>
      <c r="BO3169" s="281">
        <f t="shared" si="183"/>
        <v>8.291520000000002</v>
      </c>
    </row>
    <row r="3170" spans="65:67" x14ac:dyDescent="0.25">
      <c r="BM3170" s="281">
        <f>$AZ$39+0.2*(seat_pitch)*($AY$39*n_SA+$AW$11&lt;pax_e)</f>
        <v>26.102</v>
      </c>
      <c r="BN3170" s="281">
        <f>$AX$11+seat_w*($AY$39*n_SA+$AW$11&lt;pax_e)</f>
        <v>1.8400000000000003</v>
      </c>
      <c r="BO3170" s="281">
        <f t="shared" si="183"/>
        <v>8.291520000000002</v>
      </c>
    </row>
    <row r="3171" spans="65:67" x14ac:dyDescent="0.25">
      <c r="BM3171" s="281">
        <f>$AZ$39</f>
        <v>25.94</v>
      </c>
      <c r="BN3171" s="281">
        <f>$AX$11+seat_w*($AY$39*n_SA+$AW$11&lt;pax_e)</f>
        <v>1.8400000000000003</v>
      </c>
      <c r="BO3171" s="281">
        <f t="shared" si="183"/>
        <v>8.129520000000003</v>
      </c>
    </row>
    <row r="3172" spans="65:67" x14ac:dyDescent="0.25">
      <c r="BM3172" s="281">
        <f>$AZ$39+1*(seat_pitch)*($AY$39*n_SA+$AW$11&lt;pax_e)</f>
        <v>26.75</v>
      </c>
      <c r="BN3172" s="281">
        <f>$AX$11+seat_w*($AY$39*n_SA+$AW$11&lt;pax_e)</f>
        <v>1.8400000000000003</v>
      </c>
      <c r="BO3172" s="281">
        <f t="shared" si="183"/>
        <v>8.9395200000000017</v>
      </c>
    </row>
    <row r="3173" spans="65:67" x14ac:dyDescent="0.25">
      <c r="BM3173" s="281">
        <f>$AZ$39+0.8*(seat_pitch)*($AY$39*n_SA+$AW$11&lt;pax_e)</f>
        <v>26.588000000000001</v>
      </c>
      <c r="BN3173" s="281">
        <f>$AX$11+seat_w*($AY$39*n_SA+$AW$11&lt;pax_e)</f>
        <v>1.8400000000000003</v>
      </c>
      <c r="BO3173" s="281">
        <f t="shared" si="183"/>
        <v>8.7775200000000027</v>
      </c>
    </row>
    <row r="3174" spans="65:67" x14ac:dyDescent="0.25">
      <c r="BM3174" s="281">
        <f>$AZ$39+0.8*(seat_pitch)*($AY$39*n_SA+$AW$11&lt;pax_e)</f>
        <v>26.588000000000001</v>
      </c>
      <c r="BN3174" s="281">
        <f>$AX$11</f>
        <v>1.3100000000000003</v>
      </c>
      <c r="BO3174" s="281">
        <f t="shared" si="183"/>
        <v>8.7775200000000027</v>
      </c>
    </row>
    <row r="3175" spans="65:67" x14ac:dyDescent="0.25">
      <c r="BM3175" s="281">
        <f>$AZ$39+0.2*(seat_pitch)*($AY$39*n_SA+$AW$11&lt;pax_e)</f>
        <v>26.102</v>
      </c>
      <c r="BN3175" s="281">
        <f>$AX$11</f>
        <v>1.3100000000000003</v>
      </c>
      <c r="BO3175" s="281">
        <f t="shared" si="183"/>
        <v>8.291520000000002</v>
      </c>
    </row>
    <row r="3176" spans="65:67" x14ac:dyDescent="0.25">
      <c r="BM3176" s="281">
        <f>$AZ$39+(seat_pitch)</f>
        <v>26.75</v>
      </c>
      <c r="BN3176" s="281">
        <f>$AX$11</f>
        <v>1.3100000000000003</v>
      </c>
      <c r="BO3176" s="281">
        <f t="shared" si="183"/>
        <v>8.9395200000000017</v>
      </c>
    </row>
    <row r="3177" spans="65:67" x14ac:dyDescent="0.25">
      <c r="BM3177" s="281">
        <f>$AZ$40+0.2*(seat_pitch)*($AY$40*n_SA+$AW$11&lt;pax_e)</f>
        <v>26.102</v>
      </c>
      <c r="BN3177" s="281">
        <f>$AX$11</f>
        <v>1.3100000000000003</v>
      </c>
      <c r="BO3177" s="281">
        <f t="shared" si="183"/>
        <v>8.291520000000002</v>
      </c>
    </row>
    <row r="3178" spans="65:67" x14ac:dyDescent="0.25">
      <c r="BM3178" s="281">
        <f>$AZ$40+0.2*(seat_pitch)*($AY$40*n_SA+$AW$11&lt;pax_e)</f>
        <v>26.102</v>
      </c>
      <c r="BN3178" s="281">
        <f>$AX$11+seat_w*($AY$40*n_SA+$AW$11&lt;pax_e)</f>
        <v>1.8400000000000003</v>
      </c>
      <c r="BO3178" s="281">
        <f t="shared" si="183"/>
        <v>8.291520000000002</v>
      </c>
    </row>
    <row r="3179" spans="65:67" x14ac:dyDescent="0.25">
      <c r="BM3179" s="281">
        <f>$AZ$40</f>
        <v>25.94</v>
      </c>
      <c r="BN3179" s="281">
        <f>$AX$11+seat_w*($AY$40*n_SA+$AW$11&lt;pax_e)</f>
        <v>1.8400000000000003</v>
      </c>
      <c r="BO3179" s="281">
        <f t="shared" si="183"/>
        <v>8.129520000000003</v>
      </c>
    </row>
    <row r="3180" spans="65:67" x14ac:dyDescent="0.25">
      <c r="BM3180" s="281">
        <f>$AZ$40+1*(seat_pitch)*($AY$40*n_SA+$AW$11&lt;pax_e)</f>
        <v>26.75</v>
      </c>
      <c r="BN3180" s="281">
        <f>$AX$11+seat_w*($AY$40*n_SA+$AW$11&lt;pax_e)</f>
        <v>1.8400000000000003</v>
      </c>
      <c r="BO3180" s="281">
        <f t="shared" si="183"/>
        <v>8.9395200000000017</v>
      </c>
    </row>
    <row r="3181" spans="65:67" x14ac:dyDescent="0.25">
      <c r="BM3181" s="281">
        <f>$AZ$40+0.8*(seat_pitch)*($AY$40*n_SA+$AW$11&lt;pax_e)</f>
        <v>26.588000000000001</v>
      </c>
      <c r="BN3181" s="281">
        <f>$AX$11+seat_w*($AY$40*n_SA+$AW$11&lt;pax_e)</f>
        <v>1.8400000000000003</v>
      </c>
      <c r="BO3181" s="281">
        <f t="shared" si="183"/>
        <v>8.7775200000000027</v>
      </c>
    </row>
    <row r="3182" spans="65:67" x14ac:dyDescent="0.25">
      <c r="BM3182" s="281">
        <f>$AZ$40+0.8*(seat_pitch)*($AY$40*n_SA+$AW$11&lt;pax_e)</f>
        <v>26.588000000000001</v>
      </c>
      <c r="BN3182" s="281">
        <f>$AX$11</f>
        <v>1.3100000000000003</v>
      </c>
      <c r="BO3182" s="281">
        <f t="shared" si="183"/>
        <v>8.7775200000000027</v>
      </c>
    </row>
    <row r="3183" spans="65:67" x14ac:dyDescent="0.25">
      <c r="BM3183" s="281">
        <f>$AZ$40+0.2*(seat_pitch)*($AY$40*n_SA+$AW$11&lt;pax_e)</f>
        <v>26.102</v>
      </c>
      <c r="BN3183" s="281">
        <f>$AX$11</f>
        <v>1.3100000000000003</v>
      </c>
      <c r="BO3183" s="281">
        <f t="shared" si="183"/>
        <v>8.291520000000002</v>
      </c>
    </row>
    <row r="3184" spans="65:67" x14ac:dyDescent="0.25">
      <c r="BM3184" s="281">
        <f>$AZ$40+(seat_pitch)</f>
        <v>26.75</v>
      </c>
      <c r="BN3184" s="281">
        <f>$AX$11</f>
        <v>1.3100000000000003</v>
      </c>
      <c r="BO3184" s="281">
        <f t="shared" si="183"/>
        <v>8.9395200000000017</v>
      </c>
    </row>
    <row r="3185" spans="65:67" x14ac:dyDescent="0.25">
      <c r="BM3185" s="281">
        <f>$AZ$41+0.2*(seat_pitch)*($AY$41*n_SA+$AW$11&lt;pax_e)</f>
        <v>26.102</v>
      </c>
      <c r="BN3185" s="281">
        <f>$AX$11</f>
        <v>1.3100000000000003</v>
      </c>
      <c r="BO3185" s="281">
        <f t="shared" si="183"/>
        <v>8.291520000000002</v>
      </c>
    </row>
    <row r="3186" spans="65:67" x14ac:dyDescent="0.25">
      <c r="BM3186" s="281">
        <f>$AZ$41+0.2*(seat_pitch)*($AY$41*n_SA+$AW$11&lt;pax_e)</f>
        <v>26.102</v>
      </c>
      <c r="BN3186" s="281">
        <f>$AX$11+seat_w*($AY$41*n_SA+$AW$11&lt;pax_e)</f>
        <v>1.8400000000000003</v>
      </c>
      <c r="BO3186" s="281">
        <f t="shared" si="183"/>
        <v>8.291520000000002</v>
      </c>
    </row>
    <row r="3187" spans="65:67" x14ac:dyDescent="0.25">
      <c r="BM3187" s="281">
        <f>$AZ$41</f>
        <v>25.94</v>
      </c>
      <c r="BN3187" s="281">
        <f>$AX$11+seat_w*($AY$41*n_SA+$AW$11&lt;pax_e)</f>
        <v>1.8400000000000003</v>
      </c>
      <c r="BO3187" s="281">
        <f t="shared" si="183"/>
        <v>8.129520000000003</v>
      </c>
    </row>
    <row r="3188" spans="65:67" x14ac:dyDescent="0.25">
      <c r="BM3188" s="281">
        <f>$AZ$41+1*(seat_pitch)*($AY$41*n_SA+$AW$11&lt;pax_e)</f>
        <v>26.75</v>
      </c>
      <c r="BN3188" s="281">
        <f>$AX$11+seat_w*($AY$41*n_SA+$AW$11&lt;pax_e)</f>
        <v>1.8400000000000003</v>
      </c>
      <c r="BO3188" s="281">
        <f t="shared" si="183"/>
        <v>8.9395200000000017</v>
      </c>
    </row>
    <row r="3189" spans="65:67" x14ac:dyDescent="0.25">
      <c r="BM3189" s="281">
        <f>$AZ$41+0.8*(seat_pitch)*($AY$41*n_SA+$AW$11&lt;pax_e)</f>
        <v>26.588000000000001</v>
      </c>
      <c r="BN3189" s="281">
        <f>$AX$11+seat_w*($AY$41*n_SA+$AW$11&lt;pax_e)</f>
        <v>1.8400000000000003</v>
      </c>
      <c r="BO3189" s="281">
        <f t="shared" si="183"/>
        <v>8.7775200000000027</v>
      </c>
    </row>
    <row r="3190" spans="65:67" x14ac:dyDescent="0.25">
      <c r="BM3190" s="281">
        <f>$AZ$41+0.8*(seat_pitch)*($AY$41*n_SA+$AW$11&lt;pax_e)</f>
        <v>26.588000000000001</v>
      </c>
      <c r="BN3190" s="281">
        <f>$AX$11</f>
        <v>1.3100000000000003</v>
      </c>
      <c r="BO3190" s="281">
        <f t="shared" si="183"/>
        <v>8.7775200000000027</v>
      </c>
    </row>
    <row r="3191" spans="65:67" x14ac:dyDescent="0.25">
      <c r="BM3191" s="281">
        <f>$AZ$41+0.2*(seat_pitch)*($AY$41*n_SA+$AW$11&lt;pax_e)</f>
        <v>26.102</v>
      </c>
      <c r="BN3191" s="281">
        <f>$AX$11</f>
        <v>1.3100000000000003</v>
      </c>
      <c r="BO3191" s="281">
        <f t="shared" si="183"/>
        <v>8.291520000000002</v>
      </c>
    </row>
    <row r="3192" spans="65:67" x14ac:dyDescent="0.25">
      <c r="BM3192" s="281">
        <f>$AZ$41+(seat_pitch)</f>
        <v>26.75</v>
      </c>
      <c r="BN3192" s="281">
        <f>$AX$11</f>
        <v>1.3100000000000003</v>
      </c>
      <c r="BO3192" s="281">
        <f t="shared" si="183"/>
        <v>8.9395200000000017</v>
      </c>
    </row>
    <row r="3193" spans="65:67" x14ac:dyDescent="0.25">
      <c r="BM3193" s="281">
        <f>$AZ$42+0.2*(seat_pitch)*($AY$42*n_SA+$AW$11&lt;pax_e)</f>
        <v>26.102</v>
      </c>
      <c r="BN3193" s="281">
        <f>$AX$11</f>
        <v>1.3100000000000003</v>
      </c>
      <c r="BO3193" s="281">
        <f t="shared" si="183"/>
        <v>8.291520000000002</v>
      </c>
    </row>
    <row r="3194" spans="65:67" x14ac:dyDescent="0.25">
      <c r="BM3194" s="281">
        <f>$AZ$42+0.2*(seat_pitch)*($AY$42*n_SA+$AW$11&lt;pax_e)</f>
        <v>26.102</v>
      </c>
      <c r="BN3194" s="281">
        <f>$AX$11+seat_w*($AY$42*n_SA+$AW$11&lt;pax_e)</f>
        <v>1.8400000000000003</v>
      </c>
      <c r="BO3194" s="281">
        <f t="shared" si="183"/>
        <v>8.291520000000002</v>
      </c>
    </row>
    <row r="3195" spans="65:67" x14ac:dyDescent="0.25">
      <c r="BM3195" s="281">
        <f>$AZ$42</f>
        <v>25.94</v>
      </c>
      <c r="BN3195" s="281">
        <f>$AX$11+seat_w*($AY$42*n_SA+$AW$11&lt;pax_e)</f>
        <v>1.8400000000000003</v>
      </c>
      <c r="BO3195" s="281">
        <f t="shared" si="183"/>
        <v>8.129520000000003</v>
      </c>
    </row>
    <row r="3196" spans="65:67" x14ac:dyDescent="0.25">
      <c r="BM3196" s="281">
        <f>$AZ$42+1*(seat_pitch)*($AY$42*n_SA+$AW$11&lt;pax_e)</f>
        <v>26.75</v>
      </c>
      <c r="BN3196" s="281">
        <f>$AX$11+seat_w*($AY$42*n_SA+$AW$11&lt;pax_e)</f>
        <v>1.8400000000000003</v>
      </c>
      <c r="BO3196" s="281">
        <f t="shared" si="183"/>
        <v>8.9395200000000017</v>
      </c>
    </row>
    <row r="3197" spans="65:67" x14ac:dyDescent="0.25">
      <c r="BM3197" s="281">
        <f>$AZ$42+0.8*(seat_pitch)*($AY$42*n_SA+$AW$11&lt;pax_e)</f>
        <v>26.588000000000001</v>
      </c>
      <c r="BN3197" s="281">
        <f>$AX$11+seat_w*($AY$42*n_SA+$AW$11&lt;pax_e)</f>
        <v>1.8400000000000003</v>
      </c>
      <c r="BO3197" s="281">
        <f t="shared" si="183"/>
        <v>8.7775200000000027</v>
      </c>
    </row>
    <row r="3198" spans="65:67" x14ac:dyDescent="0.25">
      <c r="BM3198" s="281">
        <f>$AZ$42+0.8*(seat_pitch)*($AY$42*n_SA+$AW$11&lt;pax_e)</f>
        <v>26.588000000000001</v>
      </c>
      <c r="BN3198" s="281">
        <f>$AX$11</f>
        <v>1.3100000000000003</v>
      </c>
      <c r="BO3198" s="281">
        <f t="shared" si="183"/>
        <v>8.7775200000000027</v>
      </c>
    </row>
    <row r="3199" spans="65:67" x14ac:dyDescent="0.25">
      <c r="BM3199" s="281">
        <f>$AZ$42+0.2*(seat_pitch)*($AY$42*n_SA+$AW$11&lt;pax_e)</f>
        <v>26.102</v>
      </c>
      <c r="BN3199" s="281">
        <f>$AX$11</f>
        <v>1.3100000000000003</v>
      </c>
      <c r="BO3199" s="281">
        <f t="shared" si="183"/>
        <v>8.291520000000002</v>
      </c>
    </row>
    <row r="3200" spans="65:67" x14ac:dyDescent="0.25">
      <c r="BM3200" s="281">
        <f>$AZ$42+(seat_pitch)</f>
        <v>26.75</v>
      </c>
      <c r="BN3200" s="281">
        <f>$AX$11</f>
        <v>1.3100000000000003</v>
      </c>
      <c r="BO3200" s="281">
        <f t="shared" si="183"/>
        <v>8.9395200000000017</v>
      </c>
    </row>
    <row r="3201" spans="65:67" x14ac:dyDescent="0.25">
      <c r="BM3201" s="281">
        <f>$AZ$43+0.2*(seat_pitch)*($AY$43*n_SA+$AW$11&lt;pax_e)</f>
        <v>26.102</v>
      </c>
      <c r="BN3201" s="281">
        <f>$AX$11</f>
        <v>1.3100000000000003</v>
      </c>
      <c r="BO3201" s="281">
        <f t="shared" si="183"/>
        <v>8.291520000000002</v>
      </c>
    </row>
    <row r="3202" spans="65:67" x14ac:dyDescent="0.25">
      <c r="BM3202" s="281">
        <f>$AZ$43+0.2*(seat_pitch)*($AY$43*n_SA+$AW$11&lt;pax_e)</f>
        <v>26.102</v>
      </c>
      <c r="BN3202" s="281">
        <f>$AX$11+seat_w*($AY$43*n_SA+$AW$11&lt;pax_e)</f>
        <v>1.8400000000000003</v>
      </c>
      <c r="BO3202" s="281">
        <f t="shared" si="183"/>
        <v>8.291520000000002</v>
      </c>
    </row>
    <row r="3203" spans="65:67" x14ac:dyDescent="0.25">
      <c r="BM3203" s="281">
        <f>$AZ$43</f>
        <v>25.94</v>
      </c>
      <c r="BN3203" s="281">
        <f>$AX$11+seat_w*($AY$43*n_SA+$AW$11&lt;pax_e)</f>
        <v>1.8400000000000003</v>
      </c>
      <c r="BO3203" s="281">
        <f t="shared" si="183"/>
        <v>8.129520000000003</v>
      </c>
    </row>
    <row r="3204" spans="65:67" x14ac:dyDescent="0.25">
      <c r="BM3204" s="281">
        <f>$AZ$43+1*(seat_pitch)*($AY$43*n_SA+$AW$11&lt;pax_e)</f>
        <v>26.75</v>
      </c>
      <c r="BN3204" s="281">
        <f>$AX$11+seat_w*($AY$43*n_SA+$AW$11&lt;pax_e)</f>
        <v>1.8400000000000003</v>
      </c>
      <c r="BO3204" s="281">
        <f t="shared" si="183"/>
        <v>8.9395200000000017</v>
      </c>
    </row>
    <row r="3205" spans="65:67" x14ac:dyDescent="0.25">
      <c r="BM3205" s="281">
        <f>$AZ$43+0.8*(seat_pitch)*($AY$43*n_SA+$AW$11&lt;pax_e)</f>
        <v>26.588000000000001</v>
      </c>
      <c r="BN3205" s="281">
        <f>$AX$11+seat_w*($AY$43*n_SA+$AW$11&lt;pax_e)</f>
        <v>1.8400000000000003</v>
      </c>
      <c r="BO3205" s="281">
        <f t="shared" ref="BO3205:BO3268" si="184">BM3205-L_fus/2</f>
        <v>8.7775200000000027</v>
      </c>
    </row>
    <row r="3206" spans="65:67" x14ac:dyDescent="0.25">
      <c r="BM3206" s="281">
        <f>$AZ$43+0.8*(seat_pitch)*($AY$43*n_SA+$AW$11&lt;pax_e)</f>
        <v>26.588000000000001</v>
      </c>
      <c r="BN3206" s="281">
        <f>$AX$11</f>
        <v>1.3100000000000003</v>
      </c>
      <c r="BO3206" s="281">
        <f t="shared" si="184"/>
        <v>8.7775200000000027</v>
      </c>
    </row>
    <row r="3207" spans="65:67" x14ac:dyDescent="0.25">
      <c r="BM3207" s="281">
        <f>$AZ$43+0.2*(seat_pitch)*($AY$43*n_SA+$AW$11&lt;pax_e)</f>
        <v>26.102</v>
      </c>
      <c r="BN3207" s="281">
        <f>$AX$11</f>
        <v>1.3100000000000003</v>
      </c>
      <c r="BO3207" s="281">
        <f t="shared" si="184"/>
        <v>8.291520000000002</v>
      </c>
    </row>
    <row r="3208" spans="65:67" x14ac:dyDescent="0.25">
      <c r="BM3208" s="281">
        <f>$AZ$43+(seat_pitch)</f>
        <v>26.75</v>
      </c>
      <c r="BN3208" s="281">
        <f>$AX$11</f>
        <v>1.3100000000000003</v>
      </c>
      <c r="BO3208" s="281">
        <f t="shared" si="184"/>
        <v>8.9395200000000017</v>
      </c>
    </row>
    <row r="3209" spans="65:67" x14ac:dyDescent="0.25">
      <c r="BM3209" s="281">
        <f>$AZ$44+0.2*(seat_pitch)*($AY$44*n_SA+$AW$11&lt;pax_e)</f>
        <v>26.102</v>
      </c>
      <c r="BN3209" s="281">
        <f>$AX$11</f>
        <v>1.3100000000000003</v>
      </c>
      <c r="BO3209" s="281">
        <f t="shared" si="184"/>
        <v>8.291520000000002</v>
      </c>
    </row>
    <row r="3210" spans="65:67" x14ac:dyDescent="0.25">
      <c r="BM3210" s="281">
        <f>$AZ$44+0.2*(seat_pitch)*($AY$44*n_SA+$AW$11&lt;pax_e)</f>
        <v>26.102</v>
      </c>
      <c r="BN3210" s="281">
        <f>$AX$11+seat_w*($AY$44*n_SA+$AW$11&lt;pax_e)</f>
        <v>1.8400000000000003</v>
      </c>
      <c r="BO3210" s="281">
        <f t="shared" si="184"/>
        <v>8.291520000000002</v>
      </c>
    </row>
    <row r="3211" spans="65:67" x14ac:dyDescent="0.25">
      <c r="BM3211" s="281">
        <f>$AZ$44</f>
        <v>25.94</v>
      </c>
      <c r="BN3211" s="281">
        <f>$AX$11+seat_w*($AY$44*n_SA+$AW$11&lt;pax_e)</f>
        <v>1.8400000000000003</v>
      </c>
      <c r="BO3211" s="281">
        <f t="shared" si="184"/>
        <v>8.129520000000003</v>
      </c>
    </row>
    <row r="3212" spans="65:67" x14ac:dyDescent="0.25">
      <c r="BM3212" s="281">
        <f>$AZ$44+1*(seat_pitch)*($AY$44*n_SA+$AW$11&lt;pax_e)</f>
        <v>26.75</v>
      </c>
      <c r="BN3212" s="281">
        <f>$AX$11+seat_w*($AY$44*n_SA+$AW$11&lt;pax_e)</f>
        <v>1.8400000000000003</v>
      </c>
      <c r="BO3212" s="281">
        <f t="shared" si="184"/>
        <v>8.9395200000000017</v>
      </c>
    </row>
    <row r="3213" spans="65:67" x14ac:dyDescent="0.25">
      <c r="BM3213" s="281">
        <f>$AZ$44+0.8*(seat_pitch)*($AY$44*n_SA+$AW$11&lt;pax_e)</f>
        <v>26.588000000000001</v>
      </c>
      <c r="BN3213" s="281">
        <f>$AX$11+seat_w*($AY$44*n_SA+$AW$11&lt;pax_e)</f>
        <v>1.8400000000000003</v>
      </c>
      <c r="BO3213" s="281">
        <f t="shared" si="184"/>
        <v>8.7775200000000027</v>
      </c>
    </row>
    <row r="3214" spans="65:67" x14ac:dyDescent="0.25">
      <c r="BM3214" s="281">
        <f>$AZ$44+0.8*(seat_pitch)*($AY$44*n_SA+$AW$11&lt;pax_e)</f>
        <v>26.588000000000001</v>
      </c>
      <c r="BN3214" s="281">
        <f>$AX$11</f>
        <v>1.3100000000000003</v>
      </c>
      <c r="BO3214" s="281">
        <f t="shared" si="184"/>
        <v>8.7775200000000027</v>
      </c>
    </row>
    <row r="3215" spans="65:67" x14ac:dyDescent="0.25">
      <c r="BM3215" s="281">
        <f>$AZ$44+0.2*(seat_pitch)*($AY$44*n_SA+$AW$11&lt;pax_e)</f>
        <v>26.102</v>
      </c>
      <c r="BN3215" s="281">
        <f>$AX$11</f>
        <v>1.3100000000000003</v>
      </c>
      <c r="BO3215" s="281">
        <f t="shared" si="184"/>
        <v>8.291520000000002</v>
      </c>
    </row>
    <row r="3216" spans="65:67" x14ac:dyDescent="0.25">
      <c r="BM3216" s="281">
        <f>$AZ$44+(seat_pitch)</f>
        <v>26.75</v>
      </c>
      <c r="BN3216" s="281">
        <f>$AX$11</f>
        <v>1.3100000000000003</v>
      </c>
      <c r="BO3216" s="281">
        <f t="shared" si="184"/>
        <v>8.9395200000000017</v>
      </c>
    </row>
    <row r="3217" spans="65:67" x14ac:dyDescent="0.25">
      <c r="BM3217" s="281">
        <f>$AZ$45+0.2*(seat_pitch)*($AY$45*n_SA+$AW$11&lt;pax_e)</f>
        <v>26.102</v>
      </c>
      <c r="BN3217" s="281">
        <f>$AX$11</f>
        <v>1.3100000000000003</v>
      </c>
      <c r="BO3217" s="281">
        <f t="shared" si="184"/>
        <v>8.291520000000002</v>
      </c>
    </row>
    <row r="3218" spans="65:67" x14ac:dyDescent="0.25">
      <c r="BM3218" s="281">
        <f>$AZ$45+0.2*(seat_pitch)*($AY$45*n_SA+$AW$11&lt;pax_e)</f>
        <v>26.102</v>
      </c>
      <c r="BN3218" s="281">
        <f>$AX$11+seat_w*($AY$45*n_SA+$AW$11&lt;pax_e)</f>
        <v>1.8400000000000003</v>
      </c>
      <c r="BO3218" s="281">
        <f t="shared" si="184"/>
        <v>8.291520000000002</v>
      </c>
    </row>
    <row r="3219" spans="65:67" x14ac:dyDescent="0.25">
      <c r="BM3219" s="281">
        <f>$AZ$45</f>
        <v>25.94</v>
      </c>
      <c r="BN3219" s="281">
        <f>$AX$11+seat_w*($AY$45*n_SA+$AW$11&lt;pax_e)</f>
        <v>1.8400000000000003</v>
      </c>
      <c r="BO3219" s="281">
        <f t="shared" si="184"/>
        <v>8.129520000000003</v>
      </c>
    </row>
    <row r="3220" spans="65:67" x14ac:dyDescent="0.25">
      <c r="BM3220" s="281">
        <f>$AZ$45+1*(seat_pitch)*($AY$45*n_SA+$AW$11&lt;pax_e)</f>
        <v>26.75</v>
      </c>
      <c r="BN3220" s="281">
        <f>$AX$11+seat_w*($AY$45*n_SA+$AW$11&lt;pax_e)</f>
        <v>1.8400000000000003</v>
      </c>
      <c r="BO3220" s="281">
        <f t="shared" si="184"/>
        <v>8.9395200000000017</v>
      </c>
    </row>
    <row r="3221" spans="65:67" x14ac:dyDescent="0.25">
      <c r="BM3221" s="281">
        <f>$AZ$45+0.8*(seat_pitch)*($AY$45*n_SA+$AW$11&lt;pax_e)</f>
        <v>26.588000000000001</v>
      </c>
      <c r="BN3221" s="281">
        <f>$AX$11+seat_w*($AY$45*n_SA+$AW$11&lt;pax_e)</f>
        <v>1.8400000000000003</v>
      </c>
      <c r="BO3221" s="281">
        <f t="shared" si="184"/>
        <v>8.7775200000000027</v>
      </c>
    </row>
    <row r="3222" spans="65:67" x14ac:dyDescent="0.25">
      <c r="BM3222" s="281">
        <f>$AZ$45+0.8*(seat_pitch)*($AY$45*n_SA+$AW$11&lt;pax_e)</f>
        <v>26.588000000000001</v>
      </c>
      <c r="BN3222" s="281">
        <f>$AX$11</f>
        <v>1.3100000000000003</v>
      </c>
      <c r="BO3222" s="281">
        <f t="shared" si="184"/>
        <v>8.7775200000000027</v>
      </c>
    </row>
    <row r="3223" spans="65:67" x14ac:dyDescent="0.25">
      <c r="BM3223" s="281">
        <f>$AZ$45+0.2*(seat_pitch)*($AY$45*n_SA+$AW$11&lt;pax_e)</f>
        <v>26.102</v>
      </c>
      <c r="BN3223" s="281">
        <f>$AX$11</f>
        <v>1.3100000000000003</v>
      </c>
      <c r="BO3223" s="281">
        <f t="shared" si="184"/>
        <v>8.291520000000002</v>
      </c>
    </row>
    <row r="3224" spans="65:67" x14ac:dyDescent="0.25">
      <c r="BM3224" s="281">
        <f>$AZ$45+(seat_pitch)</f>
        <v>26.75</v>
      </c>
      <c r="BN3224" s="281">
        <f>$AX$11</f>
        <v>1.3100000000000003</v>
      </c>
      <c r="BO3224" s="281">
        <f t="shared" si="184"/>
        <v>8.9395200000000017</v>
      </c>
    </row>
    <row r="3225" spans="65:67" x14ac:dyDescent="0.25">
      <c r="BM3225" s="281">
        <f>$AZ$46+0.2*(seat_pitch)*($AY$46*n_SA+$AW$11&lt;pax_e)</f>
        <v>26.102</v>
      </c>
      <c r="BN3225" s="281">
        <f>$AX$11</f>
        <v>1.3100000000000003</v>
      </c>
      <c r="BO3225" s="281">
        <f t="shared" si="184"/>
        <v>8.291520000000002</v>
      </c>
    </row>
    <row r="3226" spans="65:67" x14ac:dyDescent="0.25">
      <c r="BM3226" s="281">
        <f>$AZ$46+0.2*(seat_pitch)*($AY$46*n_SA+$AW$11&lt;pax_e)</f>
        <v>26.102</v>
      </c>
      <c r="BN3226" s="281">
        <f>$AX$11+seat_w*($AY$46*n_SA+$AW$11&lt;pax_e)</f>
        <v>1.8400000000000003</v>
      </c>
      <c r="BO3226" s="281">
        <f t="shared" si="184"/>
        <v>8.291520000000002</v>
      </c>
    </row>
    <row r="3227" spans="65:67" x14ac:dyDescent="0.25">
      <c r="BM3227" s="281">
        <f>$AZ$46</f>
        <v>25.94</v>
      </c>
      <c r="BN3227" s="281">
        <f>$AX$11+seat_w*($AY$46*n_SA+$AW$11&lt;pax_e)</f>
        <v>1.8400000000000003</v>
      </c>
      <c r="BO3227" s="281">
        <f t="shared" si="184"/>
        <v>8.129520000000003</v>
      </c>
    </row>
    <row r="3228" spans="65:67" x14ac:dyDescent="0.25">
      <c r="BM3228" s="281">
        <f>$AZ$46+1*(seat_pitch)*($AY$46*n_SA+$AW$11&lt;pax_e)</f>
        <v>26.75</v>
      </c>
      <c r="BN3228" s="281">
        <f>$AX$11+seat_w*($AY$46*n_SA+$AW$11&lt;pax_e)</f>
        <v>1.8400000000000003</v>
      </c>
      <c r="BO3228" s="281">
        <f t="shared" si="184"/>
        <v>8.9395200000000017</v>
      </c>
    </row>
    <row r="3229" spans="65:67" x14ac:dyDescent="0.25">
      <c r="BM3229" s="281">
        <f>$AZ$46+0.8*(seat_pitch)*($AY$46*n_SA+$AW$11&lt;pax_e)</f>
        <v>26.588000000000001</v>
      </c>
      <c r="BN3229" s="281">
        <f>$AX$11+seat_w*($AY$46*n_SA+$AW$11&lt;pax_e)</f>
        <v>1.8400000000000003</v>
      </c>
      <c r="BO3229" s="281">
        <f t="shared" si="184"/>
        <v>8.7775200000000027</v>
      </c>
    </row>
    <row r="3230" spans="65:67" x14ac:dyDescent="0.25">
      <c r="BM3230" s="281">
        <f>$AZ$46+0.8*(seat_pitch)*($AY$46*n_SA+$AW$11&lt;pax_e)</f>
        <v>26.588000000000001</v>
      </c>
      <c r="BN3230" s="281">
        <f>$AX$11</f>
        <v>1.3100000000000003</v>
      </c>
      <c r="BO3230" s="281">
        <f t="shared" si="184"/>
        <v>8.7775200000000027</v>
      </c>
    </row>
    <row r="3231" spans="65:67" x14ac:dyDescent="0.25">
      <c r="BM3231" s="281">
        <f>$AZ$46+0.2*(seat_pitch)*($AY$46*n_SA+$AW$11&lt;pax_e)</f>
        <v>26.102</v>
      </c>
      <c r="BN3231" s="281">
        <f>$AX$11</f>
        <v>1.3100000000000003</v>
      </c>
      <c r="BO3231" s="281">
        <f t="shared" si="184"/>
        <v>8.291520000000002</v>
      </c>
    </row>
    <row r="3232" spans="65:67" x14ac:dyDescent="0.25">
      <c r="BM3232" s="281">
        <f>$AZ$46+(seat_pitch)</f>
        <v>26.75</v>
      </c>
      <c r="BN3232" s="281">
        <f>$AX$11</f>
        <v>1.3100000000000003</v>
      </c>
      <c r="BO3232" s="281">
        <f t="shared" si="184"/>
        <v>8.9395200000000017</v>
      </c>
    </row>
    <row r="3233" spans="65:67" x14ac:dyDescent="0.25">
      <c r="BM3233" s="281">
        <f>$AZ$47+0.2*(seat_pitch)*($AY$47*n_SA+$AW$11&lt;pax_e)</f>
        <v>26.102</v>
      </c>
      <c r="BN3233" s="281">
        <f>$AX$11</f>
        <v>1.3100000000000003</v>
      </c>
      <c r="BO3233" s="281">
        <f t="shared" si="184"/>
        <v>8.291520000000002</v>
      </c>
    </row>
    <row r="3234" spans="65:67" x14ac:dyDescent="0.25">
      <c r="BM3234" s="281">
        <f>$AZ$47+0.2*(seat_pitch)*($AY$47*n_SA+$AW$11&lt;pax_e)</f>
        <v>26.102</v>
      </c>
      <c r="BN3234" s="281">
        <f>$AX$11+seat_w*($AY$47*n_SA+$AW$11&lt;pax_e)</f>
        <v>1.8400000000000003</v>
      </c>
      <c r="BO3234" s="281">
        <f t="shared" si="184"/>
        <v>8.291520000000002</v>
      </c>
    </row>
    <row r="3235" spans="65:67" x14ac:dyDescent="0.25">
      <c r="BM3235" s="281">
        <f>$AZ$47</f>
        <v>25.94</v>
      </c>
      <c r="BN3235" s="281">
        <f>$AX$11+seat_w*($AY$47*n_SA+$AW$11&lt;pax_e)</f>
        <v>1.8400000000000003</v>
      </c>
      <c r="BO3235" s="281">
        <f t="shared" si="184"/>
        <v>8.129520000000003</v>
      </c>
    </row>
    <row r="3236" spans="65:67" x14ac:dyDescent="0.25">
      <c r="BM3236" s="281">
        <f>$AZ$47+1*(seat_pitch)*($AY$47*n_SA+$AW$11&lt;pax_e)</f>
        <v>26.75</v>
      </c>
      <c r="BN3236" s="281">
        <f>$AX$11+seat_w*($AY$47*n_SA+$AW$11&lt;pax_e)</f>
        <v>1.8400000000000003</v>
      </c>
      <c r="BO3236" s="281">
        <f t="shared" si="184"/>
        <v>8.9395200000000017</v>
      </c>
    </row>
    <row r="3237" spans="65:67" x14ac:dyDescent="0.25">
      <c r="BM3237" s="281">
        <f>$AZ$47+0.8*(seat_pitch)*($AY$47*n_SA+$AW$11&lt;pax_e)</f>
        <v>26.588000000000001</v>
      </c>
      <c r="BN3237" s="281">
        <f>$AX$11+seat_w*($AY$47*n_SA+$AW$11&lt;pax_e)</f>
        <v>1.8400000000000003</v>
      </c>
      <c r="BO3237" s="281">
        <f t="shared" si="184"/>
        <v>8.7775200000000027</v>
      </c>
    </row>
    <row r="3238" spans="65:67" x14ac:dyDescent="0.25">
      <c r="BM3238" s="281">
        <f>$AZ$47+0.8*(seat_pitch)*($AY$47*n_SA+$AW$11&lt;pax_e)</f>
        <v>26.588000000000001</v>
      </c>
      <c r="BN3238" s="281">
        <f>$AX$11</f>
        <v>1.3100000000000003</v>
      </c>
      <c r="BO3238" s="281">
        <f t="shared" si="184"/>
        <v>8.7775200000000027</v>
      </c>
    </row>
    <row r="3239" spans="65:67" x14ac:dyDescent="0.25">
      <c r="BM3239" s="281">
        <f>$AZ$47+0.2*(seat_pitch)*($AY$47*n_SA+$AW$11&lt;pax_e)</f>
        <v>26.102</v>
      </c>
      <c r="BN3239" s="281">
        <f>$AX$11</f>
        <v>1.3100000000000003</v>
      </c>
      <c r="BO3239" s="281">
        <f t="shared" si="184"/>
        <v>8.291520000000002</v>
      </c>
    </row>
    <row r="3240" spans="65:67" x14ac:dyDescent="0.25">
      <c r="BM3240" s="281">
        <f>$AZ$47+(seat_pitch)</f>
        <v>26.75</v>
      </c>
      <c r="BN3240" s="281">
        <f>$AX$11</f>
        <v>1.3100000000000003</v>
      </c>
      <c r="BO3240" s="281">
        <f t="shared" si="184"/>
        <v>8.9395200000000017</v>
      </c>
    </row>
    <row r="3241" spans="65:67" x14ac:dyDescent="0.25">
      <c r="BM3241" s="281">
        <f>$AZ$48+0.2*(seat_pitch)*($AY$48*n_SA+$AW$11&lt;pax_e)</f>
        <v>26.102</v>
      </c>
      <c r="BN3241" s="281">
        <f>$AX$11</f>
        <v>1.3100000000000003</v>
      </c>
      <c r="BO3241" s="281">
        <f t="shared" si="184"/>
        <v>8.291520000000002</v>
      </c>
    </row>
    <row r="3242" spans="65:67" x14ac:dyDescent="0.25">
      <c r="BM3242" s="281">
        <f>$AZ$48+0.2*(seat_pitch)*($AY$48*n_SA+$AW$11&lt;pax_e)</f>
        <v>26.102</v>
      </c>
      <c r="BN3242" s="281">
        <f>$AX$11+seat_w*($AY$48*n_SA+$AW$11&lt;pax_e)</f>
        <v>1.8400000000000003</v>
      </c>
      <c r="BO3242" s="281">
        <f t="shared" si="184"/>
        <v>8.291520000000002</v>
      </c>
    </row>
    <row r="3243" spans="65:67" x14ac:dyDescent="0.25">
      <c r="BM3243" s="281">
        <f>$AZ$48</f>
        <v>25.94</v>
      </c>
      <c r="BN3243" s="281">
        <f>$AX$11+seat_w*($AY$48*n_SA+$AW$11&lt;pax_e)</f>
        <v>1.8400000000000003</v>
      </c>
      <c r="BO3243" s="281">
        <f t="shared" si="184"/>
        <v>8.129520000000003</v>
      </c>
    </row>
    <row r="3244" spans="65:67" x14ac:dyDescent="0.25">
      <c r="BM3244" s="281">
        <f>$AZ$48+1*(seat_pitch)*($AY$48*n_SA+$AW$11&lt;pax_e)</f>
        <v>26.75</v>
      </c>
      <c r="BN3244" s="281">
        <f>$AX$11+seat_w*($AY$48*n_SA+$AW$11&lt;pax_e)</f>
        <v>1.8400000000000003</v>
      </c>
      <c r="BO3244" s="281">
        <f t="shared" si="184"/>
        <v>8.9395200000000017</v>
      </c>
    </row>
    <row r="3245" spans="65:67" x14ac:dyDescent="0.25">
      <c r="BM3245" s="281">
        <f>$AZ$48+0.8*(seat_pitch)*($AY$48*n_SA+$AW$11&lt;pax_e)</f>
        <v>26.588000000000001</v>
      </c>
      <c r="BN3245" s="281">
        <f>$AX$11+seat_w*($AY$48*n_SA+$AW$11&lt;pax_e)</f>
        <v>1.8400000000000003</v>
      </c>
      <c r="BO3245" s="281">
        <f t="shared" si="184"/>
        <v>8.7775200000000027</v>
      </c>
    </row>
    <row r="3246" spans="65:67" x14ac:dyDescent="0.25">
      <c r="BM3246" s="281">
        <f>$AZ$48+0.8*(seat_pitch)*($AY$48*n_SA+$AW$11&lt;pax_e)</f>
        <v>26.588000000000001</v>
      </c>
      <c r="BN3246" s="281">
        <f>$AX$11</f>
        <v>1.3100000000000003</v>
      </c>
      <c r="BO3246" s="281">
        <f t="shared" si="184"/>
        <v>8.7775200000000027</v>
      </c>
    </row>
    <row r="3247" spans="65:67" x14ac:dyDescent="0.25">
      <c r="BM3247" s="281">
        <f>$AZ$48+0.2*(seat_pitch)*($AY$48*n_SA+$AW$11&lt;pax_e)</f>
        <v>26.102</v>
      </c>
      <c r="BN3247" s="281">
        <f>$AX$11</f>
        <v>1.3100000000000003</v>
      </c>
      <c r="BO3247" s="281">
        <f t="shared" si="184"/>
        <v>8.291520000000002</v>
      </c>
    </row>
    <row r="3248" spans="65:67" x14ac:dyDescent="0.25">
      <c r="BM3248" s="281">
        <f>$AZ$48+(seat_pitch)</f>
        <v>26.75</v>
      </c>
      <c r="BN3248" s="281">
        <f>$AX$11</f>
        <v>1.3100000000000003</v>
      </c>
      <c r="BO3248" s="281">
        <f t="shared" si="184"/>
        <v>8.9395200000000017</v>
      </c>
    </row>
    <row r="3249" spans="65:67" x14ac:dyDescent="0.25">
      <c r="BM3249" s="281">
        <f>$AZ$49+0.2*(seat_pitch)*($AY$49*n_SA+$AW$11&lt;pax_e)</f>
        <v>26.102</v>
      </c>
      <c r="BN3249" s="281">
        <f>$AX$11</f>
        <v>1.3100000000000003</v>
      </c>
      <c r="BO3249" s="281">
        <f t="shared" si="184"/>
        <v>8.291520000000002</v>
      </c>
    </row>
    <row r="3250" spans="65:67" x14ac:dyDescent="0.25">
      <c r="BM3250" s="281">
        <f>$AZ$49+0.2*(seat_pitch)*($AY$49*n_SA+$AW$11&lt;pax_e)</f>
        <v>26.102</v>
      </c>
      <c r="BN3250" s="281">
        <f>$AX$11+seat_w*($AY$49*n_SA+$AW$11&lt;pax_e)</f>
        <v>1.8400000000000003</v>
      </c>
      <c r="BO3250" s="281">
        <f t="shared" si="184"/>
        <v>8.291520000000002</v>
      </c>
    </row>
    <row r="3251" spans="65:67" x14ac:dyDescent="0.25">
      <c r="BM3251" s="281">
        <f>$AZ$49</f>
        <v>25.94</v>
      </c>
      <c r="BN3251" s="281">
        <f>$AX$11+seat_w*($AY$49*n_SA+$AW$11&lt;pax_e)</f>
        <v>1.8400000000000003</v>
      </c>
      <c r="BO3251" s="281">
        <f t="shared" si="184"/>
        <v>8.129520000000003</v>
      </c>
    </row>
    <row r="3252" spans="65:67" x14ac:dyDescent="0.25">
      <c r="BM3252" s="281">
        <f>$AZ$49+1*(seat_pitch)*($AY$49*n_SA+$AW$11&lt;pax_e)</f>
        <v>26.75</v>
      </c>
      <c r="BN3252" s="281">
        <f>$AX$11+seat_w*($AY$49*n_SA+$AW$11&lt;pax_e)</f>
        <v>1.8400000000000003</v>
      </c>
      <c r="BO3252" s="281">
        <f t="shared" si="184"/>
        <v>8.9395200000000017</v>
      </c>
    </row>
    <row r="3253" spans="65:67" x14ac:dyDescent="0.25">
      <c r="BM3253" s="281">
        <f>$AZ$49+0.8*(seat_pitch)*($AY$49*n_SA+$AW$11&lt;pax_e)</f>
        <v>26.588000000000001</v>
      </c>
      <c r="BN3253" s="281">
        <f>$AX$11+seat_w*($AY$49*n_SA+$AW$11&lt;pax_e)</f>
        <v>1.8400000000000003</v>
      </c>
      <c r="BO3253" s="281">
        <f t="shared" si="184"/>
        <v>8.7775200000000027</v>
      </c>
    </row>
    <row r="3254" spans="65:67" x14ac:dyDescent="0.25">
      <c r="BM3254" s="281">
        <f>$AZ$49+0.8*(seat_pitch)*($AY$49*n_SA+$AW$11&lt;pax_e)</f>
        <v>26.588000000000001</v>
      </c>
      <c r="BN3254" s="281">
        <f>$AX$11</f>
        <v>1.3100000000000003</v>
      </c>
      <c r="BO3254" s="281">
        <f t="shared" si="184"/>
        <v>8.7775200000000027</v>
      </c>
    </row>
    <row r="3255" spans="65:67" x14ac:dyDescent="0.25">
      <c r="BM3255" s="281">
        <f>$AZ$49+0.2*(seat_pitch)*($AY$49*n_SA+$AW$11&lt;pax_e)</f>
        <v>26.102</v>
      </c>
      <c r="BN3255" s="281">
        <f>$AX$11</f>
        <v>1.3100000000000003</v>
      </c>
      <c r="BO3255" s="281">
        <f t="shared" si="184"/>
        <v>8.291520000000002</v>
      </c>
    </row>
    <row r="3256" spans="65:67" x14ac:dyDescent="0.25">
      <c r="BM3256" s="281">
        <f>$AZ$49+(seat_pitch)</f>
        <v>26.75</v>
      </c>
      <c r="BN3256" s="281">
        <f>$AX$11</f>
        <v>1.3100000000000003</v>
      </c>
      <c r="BO3256" s="281">
        <f t="shared" si="184"/>
        <v>8.9395200000000017</v>
      </c>
    </row>
    <row r="3257" spans="65:67" x14ac:dyDescent="0.25">
      <c r="BM3257" s="281">
        <f>$AZ$50+0.2*(seat_pitch)*($AY$50*n_SA+$AW$11&lt;pax_e)</f>
        <v>26.102</v>
      </c>
      <c r="BN3257" s="281">
        <f>$AX$11</f>
        <v>1.3100000000000003</v>
      </c>
      <c r="BO3257" s="281">
        <f t="shared" si="184"/>
        <v>8.291520000000002</v>
      </c>
    </row>
    <row r="3258" spans="65:67" x14ac:dyDescent="0.25">
      <c r="BM3258" s="281">
        <f>$AZ$50+0.2*(seat_pitch)*($AY$50*n_SA+$AW$11&lt;pax_e)</f>
        <v>26.102</v>
      </c>
      <c r="BN3258" s="281">
        <f>$AX$11+seat_w*($AY$50*n_SA+$AW$11&lt;pax_e)</f>
        <v>1.8400000000000003</v>
      </c>
      <c r="BO3258" s="281">
        <f t="shared" si="184"/>
        <v>8.291520000000002</v>
      </c>
    </row>
    <row r="3259" spans="65:67" x14ac:dyDescent="0.25">
      <c r="BM3259" s="281">
        <f>$AZ$50</f>
        <v>25.94</v>
      </c>
      <c r="BN3259" s="281">
        <f>$AX$11+seat_w*($AY$50*n_SA+$AW$11&lt;pax_e)</f>
        <v>1.8400000000000003</v>
      </c>
      <c r="BO3259" s="281">
        <f t="shared" si="184"/>
        <v>8.129520000000003</v>
      </c>
    </row>
    <row r="3260" spans="65:67" x14ac:dyDescent="0.25">
      <c r="BM3260" s="281">
        <f>$AZ$50+1*(seat_pitch)*($AY$50*n_SA+$AW$11&lt;pax_e)</f>
        <v>26.75</v>
      </c>
      <c r="BN3260" s="281">
        <f>$AX$11+seat_w*($AY$50*n_SA+$AW$11&lt;pax_e)</f>
        <v>1.8400000000000003</v>
      </c>
      <c r="BO3260" s="281">
        <f t="shared" si="184"/>
        <v>8.9395200000000017</v>
      </c>
    </row>
    <row r="3261" spans="65:67" x14ac:dyDescent="0.25">
      <c r="BM3261" s="281">
        <f>$AZ$50+0.8*(seat_pitch)*($AY$50*n_SA+$AW$11&lt;pax_e)</f>
        <v>26.588000000000001</v>
      </c>
      <c r="BN3261" s="281">
        <f>$AX$11+seat_w*($AY$50*n_SA+$AW$11&lt;pax_e)</f>
        <v>1.8400000000000003</v>
      </c>
      <c r="BO3261" s="281">
        <f t="shared" si="184"/>
        <v>8.7775200000000027</v>
      </c>
    </row>
    <row r="3262" spans="65:67" x14ac:dyDescent="0.25">
      <c r="BM3262" s="281">
        <f>$AZ$50+0.8*(seat_pitch)*($AY$50*n_SA+$AW$11&lt;pax_e)</f>
        <v>26.588000000000001</v>
      </c>
      <c r="BN3262" s="281">
        <f>$AX$11</f>
        <v>1.3100000000000003</v>
      </c>
      <c r="BO3262" s="281">
        <f t="shared" si="184"/>
        <v>8.7775200000000027</v>
      </c>
    </row>
    <row r="3263" spans="65:67" x14ac:dyDescent="0.25">
      <c r="BM3263" s="281">
        <f>$AZ$50+0.2*(seat_pitch)*($AY$50*n_SA+$AW$11&lt;pax_e)</f>
        <v>26.102</v>
      </c>
      <c r="BN3263" s="281">
        <f>$AX$11</f>
        <v>1.3100000000000003</v>
      </c>
      <c r="BO3263" s="281">
        <f t="shared" si="184"/>
        <v>8.291520000000002</v>
      </c>
    </row>
    <row r="3264" spans="65:67" x14ac:dyDescent="0.25">
      <c r="BM3264" s="281">
        <f>$AZ$50+(seat_pitch)</f>
        <v>26.75</v>
      </c>
      <c r="BN3264" s="281">
        <f>$AX$11</f>
        <v>1.3100000000000003</v>
      </c>
      <c r="BO3264" s="281">
        <f t="shared" si="184"/>
        <v>8.9395200000000017</v>
      </c>
    </row>
    <row r="3265" spans="65:67" x14ac:dyDescent="0.25">
      <c r="BM3265" s="281">
        <f>$AZ$51+0.2*(seat_pitch)*($AY$51*n_SA+$AW$11&lt;pax_e)</f>
        <v>26.102</v>
      </c>
      <c r="BN3265" s="281">
        <f>$AX$11</f>
        <v>1.3100000000000003</v>
      </c>
      <c r="BO3265" s="281">
        <f t="shared" si="184"/>
        <v>8.291520000000002</v>
      </c>
    </row>
    <row r="3266" spans="65:67" x14ac:dyDescent="0.25">
      <c r="BM3266" s="281">
        <f>$AZ$51+0.2*(seat_pitch)*($AY$51*n_SA+$AW$11&lt;pax_e)</f>
        <v>26.102</v>
      </c>
      <c r="BN3266" s="281">
        <f>$AX$11+seat_w*($AY$51*n_SA+$AW$11&lt;pax_e)</f>
        <v>1.8400000000000003</v>
      </c>
      <c r="BO3266" s="281">
        <f t="shared" si="184"/>
        <v>8.291520000000002</v>
      </c>
    </row>
    <row r="3267" spans="65:67" x14ac:dyDescent="0.25">
      <c r="BM3267" s="281">
        <f>$AZ$51</f>
        <v>25.94</v>
      </c>
      <c r="BN3267" s="281">
        <f>$AX$11+seat_w*($AY$51*n_SA+$AW$11&lt;pax_e)</f>
        <v>1.8400000000000003</v>
      </c>
      <c r="BO3267" s="281">
        <f t="shared" si="184"/>
        <v>8.129520000000003</v>
      </c>
    </row>
    <row r="3268" spans="65:67" x14ac:dyDescent="0.25">
      <c r="BM3268" s="281">
        <f>$AZ$51+1*(seat_pitch)*($AY$51*n_SA+$AW$11&lt;pax_e)</f>
        <v>26.75</v>
      </c>
      <c r="BN3268" s="281">
        <f>$AX$11+seat_w*($AY$51*n_SA+$AW$11&lt;pax_e)</f>
        <v>1.8400000000000003</v>
      </c>
      <c r="BO3268" s="281">
        <f t="shared" si="184"/>
        <v>8.9395200000000017</v>
      </c>
    </row>
    <row r="3269" spans="65:67" x14ac:dyDescent="0.25">
      <c r="BM3269" s="281">
        <f>$AZ$51+0.8*(seat_pitch)*($AY$51*n_SA+$AW$11&lt;pax_e)</f>
        <v>26.588000000000001</v>
      </c>
      <c r="BN3269" s="281">
        <f>$AX$11+seat_w*($AY$51*n_SA+$AW$11&lt;pax_e)</f>
        <v>1.8400000000000003</v>
      </c>
      <c r="BO3269" s="281">
        <f t="shared" ref="BO3269:BO3332" si="185">BM3269-L_fus/2</f>
        <v>8.7775200000000027</v>
      </c>
    </row>
    <row r="3270" spans="65:67" x14ac:dyDescent="0.25">
      <c r="BM3270" s="281">
        <f>$AZ$51+0.8*(seat_pitch)*($AY$51*n_SA+$AW$11&lt;pax_e)</f>
        <v>26.588000000000001</v>
      </c>
      <c r="BN3270" s="281">
        <f>$AX$11</f>
        <v>1.3100000000000003</v>
      </c>
      <c r="BO3270" s="281">
        <f t="shared" si="185"/>
        <v>8.7775200000000027</v>
      </c>
    </row>
    <row r="3271" spans="65:67" x14ac:dyDescent="0.25">
      <c r="BM3271" s="281">
        <f>$AZ$51+0.2*(seat_pitch)*($AY$51*n_SA+$AW$11&lt;pax_e)</f>
        <v>26.102</v>
      </c>
      <c r="BN3271" s="281">
        <f>$AX$11</f>
        <v>1.3100000000000003</v>
      </c>
      <c r="BO3271" s="281">
        <f t="shared" si="185"/>
        <v>8.291520000000002</v>
      </c>
    </row>
    <row r="3272" spans="65:67" x14ac:dyDescent="0.25">
      <c r="BM3272" s="281">
        <f>$AZ$51+(seat_pitch)</f>
        <v>26.75</v>
      </c>
      <c r="BN3272" s="281">
        <f>$AX$11</f>
        <v>1.3100000000000003</v>
      </c>
      <c r="BO3272" s="281">
        <f t="shared" si="185"/>
        <v>8.9395200000000017</v>
      </c>
    </row>
    <row r="3273" spans="65:67" x14ac:dyDescent="0.25">
      <c r="BM3273" s="281">
        <f>$AZ$52+0.2*(seat_pitch)*($AY$52*n_SA+$AW$11&lt;pax_e)</f>
        <v>26.102</v>
      </c>
      <c r="BN3273" s="281">
        <f>$AX$11</f>
        <v>1.3100000000000003</v>
      </c>
      <c r="BO3273" s="281">
        <f t="shared" si="185"/>
        <v>8.291520000000002</v>
      </c>
    </row>
    <row r="3274" spans="65:67" x14ac:dyDescent="0.25">
      <c r="BM3274" s="281">
        <f>$AZ$52+0.2*(seat_pitch)*($AY$52*n_SA+$AW$11&lt;pax_e)</f>
        <v>26.102</v>
      </c>
      <c r="BN3274" s="281">
        <f>$AX$11+seat_w*($AY$52*n_SA+$AW$11&lt;pax_e)</f>
        <v>1.8400000000000003</v>
      </c>
      <c r="BO3274" s="281">
        <f t="shared" si="185"/>
        <v>8.291520000000002</v>
      </c>
    </row>
    <row r="3275" spans="65:67" x14ac:dyDescent="0.25">
      <c r="BM3275" s="281">
        <f>$AZ$52</f>
        <v>25.94</v>
      </c>
      <c r="BN3275" s="281">
        <f>$AX$11+seat_w*($AY$52*n_SA+$AW$11&lt;pax_e)</f>
        <v>1.8400000000000003</v>
      </c>
      <c r="BO3275" s="281">
        <f t="shared" si="185"/>
        <v>8.129520000000003</v>
      </c>
    </row>
    <row r="3276" spans="65:67" x14ac:dyDescent="0.25">
      <c r="BM3276" s="281">
        <f>$AZ$52+1*(seat_pitch)*($AY$52*n_SA+$AW$11&lt;pax_e)</f>
        <v>26.75</v>
      </c>
      <c r="BN3276" s="281">
        <f>$AX$11+seat_w*($AY$52*n_SA+$AW$11&lt;pax_e)</f>
        <v>1.8400000000000003</v>
      </c>
      <c r="BO3276" s="281">
        <f t="shared" si="185"/>
        <v>8.9395200000000017</v>
      </c>
    </row>
    <row r="3277" spans="65:67" x14ac:dyDescent="0.25">
      <c r="BM3277" s="281">
        <f>$AZ$52+0.8*(seat_pitch)*($AY$52*n_SA+$AW$11&lt;pax_e)</f>
        <v>26.588000000000001</v>
      </c>
      <c r="BN3277" s="281">
        <f>$AX$11+seat_w*($AY$52*n_SA+$AW$11&lt;pax_e)</f>
        <v>1.8400000000000003</v>
      </c>
      <c r="BO3277" s="281">
        <f t="shared" si="185"/>
        <v>8.7775200000000027</v>
      </c>
    </row>
    <row r="3278" spans="65:67" x14ac:dyDescent="0.25">
      <c r="BM3278" s="281">
        <f>$AZ$52+0.8*(seat_pitch)*($AY$52*n_SA+$AW$11&lt;pax_e)</f>
        <v>26.588000000000001</v>
      </c>
      <c r="BN3278" s="281">
        <f>$AX$11</f>
        <v>1.3100000000000003</v>
      </c>
      <c r="BO3278" s="281">
        <f t="shared" si="185"/>
        <v>8.7775200000000027</v>
      </c>
    </row>
    <row r="3279" spans="65:67" x14ac:dyDescent="0.25">
      <c r="BM3279" s="281">
        <f>$AZ$52+0.2*(seat_pitch)*($AY$52*n_SA+$AW$11&lt;pax_e)</f>
        <v>26.102</v>
      </c>
      <c r="BN3279" s="281">
        <f>$AX$11</f>
        <v>1.3100000000000003</v>
      </c>
      <c r="BO3279" s="281">
        <f t="shared" si="185"/>
        <v>8.291520000000002</v>
      </c>
    </row>
    <row r="3280" spans="65:67" x14ac:dyDescent="0.25">
      <c r="BM3280" s="281">
        <f>$AZ$52+(seat_pitch)</f>
        <v>26.75</v>
      </c>
      <c r="BN3280" s="281">
        <f>$AX$11</f>
        <v>1.3100000000000003</v>
      </c>
      <c r="BO3280" s="281">
        <f t="shared" si="185"/>
        <v>8.9395200000000017</v>
      </c>
    </row>
    <row r="3281" spans="65:67" x14ac:dyDescent="0.25">
      <c r="BM3281" s="281">
        <f>$AZ$53+0.2*(seat_pitch)*($AY$53*n_SA+$AW$11&lt;pax_e)</f>
        <v>26.102</v>
      </c>
      <c r="BN3281" s="281">
        <f>$AX$11</f>
        <v>1.3100000000000003</v>
      </c>
      <c r="BO3281" s="281">
        <f t="shared" si="185"/>
        <v>8.291520000000002</v>
      </c>
    </row>
    <row r="3282" spans="65:67" x14ac:dyDescent="0.25">
      <c r="BM3282" s="281">
        <f>$AZ$53+0.2*(seat_pitch)*($AY$53*n_SA+$AW$11&lt;pax_e)</f>
        <v>26.102</v>
      </c>
      <c r="BN3282" s="281">
        <f>$AX$11+seat_w*($AY$53*n_SA+$AW$11&lt;pax_e)</f>
        <v>1.8400000000000003</v>
      </c>
      <c r="BO3282" s="281">
        <f t="shared" si="185"/>
        <v>8.291520000000002</v>
      </c>
    </row>
    <row r="3283" spans="65:67" x14ac:dyDescent="0.25">
      <c r="BM3283" s="281">
        <f>$AZ$53</f>
        <v>25.94</v>
      </c>
      <c r="BN3283" s="281">
        <f>$AX$11+seat_w*($AY$53*n_SA+$AW$11&lt;pax_e)</f>
        <v>1.8400000000000003</v>
      </c>
      <c r="BO3283" s="281">
        <f t="shared" si="185"/>
        <v>8.129520000000003</v>
      </c>
    </row>
    <row r="3284" spans="65:67" x14ac:dyDescent="0.25">
      <c r="BM3284" s="281">
        <f>$AZ$53+1*(seat_pitch)*($AY$53*n_SA+$AW$11&lt;pax_e)</f>
        <v>26.75</v>
      </c>
      <c r="BN3284" s="281">
        <f>$AX$11+seat_w*($AY$53*n_SA+$AW$11&lt;pax_e)</f>
        <v>1.8400000000000003</v>
      </c>
      <c r="BO3284" s="281">
        <f t="shared" si="185"/>
        <v>8.9395200000000017</v>
      </c>
    </row>
    <row r="3285" spans="65:67" x14ac:dyDescent="0.25">
      <c r="BM3285" s="281">
        <f>$AZ$53+0.8*(seat_pitch)*($AY$53*n_SA+$AW$11&lt;pax_e)</f>
        <v>26.588000000000001</v>
      </c>
      <c r="BN3285" s="281">
        <f>$AX$11+seat_w*($AY$53*n_SA+$AW$11&lt;pax_e)</f>
        <v>1.8400000000000003</v>
      </c>
      <c r="BO3285" s="281">
        <f t="shared" si="185"/>
        <v>8.7775200000000027</v>
      </c>
    </row>
    <row r="3286" spans="65:67" x14ac:dyDescent="0.25">
      <c r="BM3286" s="281">
        <f>$AZ$53+0.8*(seat_pitch)*($AY$53*n_SA+$AW$11&lt;pax_e)</f>
        <v>26.588000000000001</v>
      </c>
      <c r="BN3286" s="281">
        <f>$AX$11</f>
        <v>1.3100000000000003</v>
      </c>
      <c r="BO3286" s="281">
        <f t="shared" si="185"/>
        <v>8.7775200000000027</v>
      </c>
    </row>
    <row r="3287" spans="65:67" x14ac:dyDescent="0.25">
      <c r="BM3287" s="281">
        <f>$AZ$53+0.2*(seat_pitch)*($AY$53*n_SA+$AW$11&lt;pax_e)</f>
        <v>26.102</v>
      </c>
      <c r="BN3287" s="281">
        <f>$AX$11</f>
        <v>1.3100000000000003</v>
      </c>
      <c r="BO3287" s="281">
        <f t="shared" si="185"/>
        <v>8.291520000000002</v>
      </c>
    </row>
    <row r="3288" spans="65:67" x14ac:dyDescent="0.25">
      <c r="BM3288" s="281">
        <f>$AZ$53+(seat_pitch)</f>
        <v>26.75</v>
      </c>
      <c r="BN3288" s="281">
        <f>$AX$11</f>
        <v>1.3100000000000003</v>
      </c>
      <c r="BO3288" s="281">
        <f t="shared" si="185"/>
        <v>8.9395200000000017</v>
      </c>
    </row>
    <row r="3289" spans="65:67" x14ac:dyDescent="0.25">
      <c r="BM3289" s="281">
        <f>$AZ$54+0.2*(seat_pitch)*($AY$54*n_SA+$AW$11&lt;pax_e)</f>
        <v>26.102</v>
      </c>
      <c r="BN3289" s="281">
        <f>$AX$11</f>
        <v>1.3100000000000003</v>
      </c>
      <c r="BO3289" s="281">
        <f t="shared" si="185"/>
        <v>8.291520000000002</v>
      </c>
    </row>
    <row r="3290" spans="65:67" x14ac:dyDescent="0.25">
      <c r="BM3290" s="281">
        <f>$AZ$54+0.2*(seat_pitch)*($AY$54*n_SA+$AW$11&lt;pax_e)</f>
        <v>26.102</v>
      </c>
      <c r="BN3290" s="281">
        <f>$AX$11+seat_w*($AY$54*n_SA+$AW$11&lt;pax_e)</f>
        <v>1.8400000000000003</v>
      </c>
      <c r="BO3290" s="281">
        <f t="shared" si="185"/>
        <v>8.291520000000002</v>
      </c>
    </row>
    <row r="3291" spans="65:67" x14ac:dyDescent="0.25">
      <c r="BM3291" s="281">
        <f>$AZ$54</f>
        <v>25.94</v>
      </c>
      <c r="BN3291" s="281">
        <f>$AX$11+seat_w*($AY$54*n_SA+$AW$11&lt;pax_e)</f>
        <v>1.8400000000000003</v>
      </c>
      <c r="BO3291" s="281">
        <f t="shared" si="185"/>
        <v>8.129520000000003</v>
      </c>
    </row>
    <row r="3292" spans="65:67" x14ac:dyDescent="0.25">
      <c r="BM3292" s="281">
        <f>$AZ$54+1*(seat_pitch)*($AY$54*n_SA+$AW$11&lt;pax_e)</f>
        <v>26.75</v>
      </c>
      <c r="BN3292" s="281">
        <f>$AX$11+seat_w*($AY$54*n_SA+$AW$11&lt;pax_e)</f>
        <v>1.8400000000000003</v>
      </c>
      <c r="BO3292" s="281">
        <f t="shared" si="185"/>
        <v>8.9395200000000017</v>
      </c>
    </row>
    <row r="3293" spans="65:67" x14ac:dyDescent="0.25">
      <c r="BM3293" s="281">
        <f>$AZ$54+0.8*(seat_pitch)*($AY$54*n_SA+$AW$11&lt;pax_e)</f>
        <v>26.588000000000001</v>
      </c>
      <c r="BN3293" s="281">
        <f>$AX$11+seat_w*($AY$54*n_SA+$AW$11&lt;pax_e)</f>
        <v>1.8400000000000003</v>
      </c>
      <c r="BO3293" s="281">
        <f t="shared" si="185"/>
        <v>8.7775200000000027</v>
      </c>
    </row>
    <row r="3294" spans="65:67" x14ac:dyDescent="0.25">
      <c r="BM3294" s="281">
        <f>$AZ$54+0.8*(seat_pitch)*($AY$54*n_SA+$AW$11&lt;pax_e)</f>
        <v>26.588000000000001</v>
      </c>
      <c r="BN3294" s="281">
        <f>$AX$11</f>
        <v>1.3100000000000003</v>
      </c>
      <c r="BO3294" s="281">
        <f t="shared" si="185"/>
        <v>8.7775200000000027</v>
      </c>
    </row>
    <row r="3295" spans="65:67" x14ac:dyDescent="0.25">
      <c r="BM3295" s="281">
        <f>$AZ$54+0.2*(seat_pitch)*($AY$54*n_SA+$AW$11&lt;pax_e)</f>
        <v>26.102</v>
      </c>
      <c r="BN3295" s="281">
        <f>$AX$11</f>
        <v>1.3100000000000003</v>
      </c>
      <c r="BO3295" s="281">
        <f t="shared" si="185"/>
        <v>8.291520000000002</v>
      </c>
    </row>
    <row r="3296" spans="65:67" x14ac:dyDescent="0.25">
      <c r="BM3296" s="281">
        <f>$AZ$54+(seat_pitch)</f>
        <v>26.75</v>
      </c>
      <c r="BN3296" s="281">
        <f>$AX$11</f>
        <v>1.3100000000000003</v>
      </c>
      <c r="BO3296" s="281">
        <f t="shared" si="185"/>
        <v>8.9395200000000017</v>
      </c>
    </row>
    <row r="3297" spans="65:67" x14ac:dyDescent="0.25">
      <c r="BM3297" s="281">
        <f>$AZ$55+0.2*(seat_pitch)*($AY$55*n_SA+$AW$11&lt;pax_e)</f>
        <v>26.102</v>
      </c>
      <c r="BN3297" s="281">
        <f>$AX$11</f>
        <v>1.3100000000000003</v>
      </c>
      <c r="BO3297" s="281">
        <f t="shared" si="185"/>
        <v>8.291520000000002</v>
      </c>
    </row>
    <row r="3298" spans="65:67" x14ac:dyDescent="0.25">
      <c r="BM3298" s="281">
        <f>$AZ$55+0.2*(seat_pitch)*($AY$55*n_SA+$AW$11&lt;pax_e)</f>
        <v>26.102</v>
      </c>
      <c r="BN3298" s="281">
        <f>$AX$11+seat_w*($AY$55*n_SA+$AW$11&lt;pax_e)</f>
        <v>1.8400000000000003</v>
      </c>
      <c r="BO3298" s="281">
        <f t="shared" si="185"/>
        <v>8.291520000000002</v>
      </c>
    </row>
    <row r="3299" spans="65:67" x14ac:dyDescent="0.25">
      <c r="BM3299" s="281">
        <f>$AZ$55</f>
        <v>25.94</v>
      </c>
      <c r="BN3299" s="281">
        <f>$AX$11+seat_w*($AY$55*n_SA+$AW$11&lt;pax_e)</f>
        <v>1.8400000000000003</v>
      </c>
      <c r="BO3299" s="281">
        <f t="shared" si="185"/>
        <v>8.129520000000003</v>
      </c>
    </row>
    <row r="3300" spans="65:67" x14ac:dyDescent="0.25">
      <c r="BM3300" s="281">
        <f>$AZ$55+1*(seat_pitch)*($AY$55*n_SA+$AW$11&lt;pax_e)</f>
        <v>26.75</v>
      </c>
      <c r="BN3300" s="281">
        <f>$AX$11+seat_w*($AY$55*n_SA+$AW$11&lt;pax_e)</f>
        <v>1.8400000000000003</v>
      </c>
      <c r="BO3300" s="281">
        <f t="shared" si="185"/>
        <v>8.9395200000000017</v>
      </c>
    </row>
    <row r="3301" spans="65:67" x14ac:dyDescent="0.25">
      <c r="BM3301" s="281">
        <f>$AZ$55+0.8*(seat_pitch)*($AY$55*n_SA+$AW$11&lt;pax_e)</f>
        <v>26.588000000000001</v>
      </c>
      <c r="BN3301" s="281">
        <f>$AX$11+seat_w*($AY$55*n_SA+$AW$11&lt;pax_e)</f>
        <v>1.8400000000000003</v>
      </c>
      <c r="BO3301" s="281">
        <f t="shared" si="185"/>
        <v>8.7775200000000027</v>
      </c>
    </row>
    <row r="3302" spans="65:67" x14ac:dyDescent="0.25">
      <c r="BM3302" s="281">
        <f>$AZ$55+0.8*(seat_pitch)*($AY$55*n_SA+$AW$11&lt;pax_e)</f>
        <v>26.588000000000001</v>
      </c>
      <c r="BN3302" s="281">
        <f>$AX$11</f>
        <v>1.3100000000000003</v>
      </c>
      <c r="BO3302" s="281">
        <f t="shared" si="185"/>
        <v>8.7775200000000027</v>
      </c>
    </row>
    <row r="3303" spans="65:67" x14ac:dyDescent="0.25">
      <c r="BM3303" s="281">
        <f>$AZ$55+0.2*(seat_pitch)*($AY$55*n_SA+$AW$11&lt;pax_e)</f>
        <v>26.102</v>
      </c>
      <c r="BN3303" s="281">
        <f>$AX$11</f>
        <v>1.3100000000000003</v>
      </c>
      <c r="BO3303" s="281">
        <f t="shared" si="185"/>
        <v>8.291520000000002</v>
      </c>
    </row>
    <row r="3304" spans="65:67" x14ac:dyDescent="0.25">
      <c r="BM3304" s="281">
        <f>$AZ$55+(seat_pitch)</f>
        <v>26.75</v>
      </c>
      <c r="BN3304" s="281">
        <f>$AX$11</f>
        <v>1.3100000000000003</v>
      </c>
      <c r="BO3304" s="281">
        <f t="shared" si="185"/>
        <v>8.9395200000000017</v>
      </c>
    </row>
    <row r="3305" spans="65:67" x14ac:dyDescent="0.25">
      <c r="BM3305" s="281">
        <f>$AZ$56+0.2*(seat_pitch)*($AY$56*n_SA+$AW$11&lt;pax_e)</f>
        <v>26.102</v>
      </c>
      <c r="BN3305" s="281">
        <f>$AX$11</f>
        <v>1.3100000000000003</v>
      </c>
      <c r="BO3305" s="281">
        <f t="shared" si="185"/>
        <v>8.291520000000002</v>
      </c>
    </row>
    <row r="3306" spans="65:67" x14ac:dyDescent="0.25">
      <c r="BM3306" s="281">
        <f>$AZ$56+0.2*(seat_pitch)*($AY$56*n_SA+$AW$11&lt;pax_e)</f>
        <v>26.102</v>
      </c>
      <c r="BN3306" s="281">
        <f>$AX$11+seat_w*($AY$56*n_SA+$AW$11&lt;pax_e)</f>
        <v>1.8400000000000003</v>
      </c>
      <c r="BO3306" s="281">
        <f t="shared" si="185"/>
        <v>8.291520000000002</v>
      </c>
    </row>
    <row r="3307" spans="65:67" x14ac:dyDescent="0.25">
      <c r="BM3307" s="281">
        <f>$AZ$56</f>
        <v>25.94</v>
      </c>
      <c r="BN3307" s="281">
        <f>$AX$11+seat_w*($AY$56*n_SA+$AW$11&lt;pax_e)</f>
        <v>1.8400000000000003</v>
      </c>
      <c r="BO3307" s="281">
        <f t="shared" si="185"/>
        <v>8.129520000000003</v>
      </c>
    </row>
    <row r="3308" spans="65:67" x14ac:dyDescent="0.25">
      <c r="BM3308" s="281">
        <f>$AZ$56+1*(seat_pitch)*($AY$56*n_SA+$AW$11&lt;pax_e)</f>
        <v>26.75</v>
      </c>
      <c r="BN3308" s="281">
        <f>$AX$11+seat_w*($AY$56*n_SA+$AW$11&lt;pax_e)</f>
        <v>1.8400000000000003</v>
      </c>
      <c r="BO3308" s="281">
        <f t="shared" si="185"/>
        <v>8.9395200000000017</v>
      </c>
    </row>
    <row r="3309" spans="65:67" x14ac:dyDescent="0.25">
      <c r="BM3309" s="281">
        <f>$AZ$56+0.8*(seat_pitch)*($AY$56*n_SA+$AW$11&lt;pax_e)</f>
        <v>26.588000000000001</v>
      </c>
      <c r="BN3309" s="281">
        <f>$AX$11+seat_w*($AY$56*n_SA+$AW$11&lt;pax_e)</f>
        <v>1.8400000000000003</v>
      </c>
      <c r="BO3309" s="281">
        <f t="shared" si="185"/>
        <v>8.7775200000000027</v>
      </c>
    </row>
    <row r="3310" spans="65:67" x14ac:dyDescent="0.25">
      <c r="BM3310" s="281">
        <f>$AZ$56+0.8*(seat_pitch)*($AY$56*n_SA+$AW$11&lt;pax_e)</f>
        <v>26.588000000000001</v>
      </c>
      <c r="BN3310" s="281">
        <f>$AX$11</f>
        <v>1.3100000000000003</v>
      </c>
      <c r="BO3310" s="281">
        <f t="shared" si="185"/>
        <v>8.7775200000000027</v>
      </c>
    </row>
    <row r="3311" spans="65:67" x14ac:dyDescent="0.25">
      <c r="BM3311" s="281">
        <f>$AZ$56+0.2*(seat_pitch)*($AY$56*n_SA+$AW$11&lt;pax_e)</f>
        <v>26.102</v>
      </c>
      <c r="BN3311" s="281">
        <f>$AX$11</f>
        <v>1.3100000000000003</v>
      </c>
      <c r="BO3311" s="281">
        <f t="shared" si="185"/>
        <v>8.291520000000002</v>
      </c>
    </row>
    <row r="3312" spans="65:67" x14ac:dyDescent="0.25">
      <c r="BM3312" s="281">
        <f>$AZ$56+(seat_pitch)</f>
        <v>26.75</v>
      </c>
      <c r="BN3312" s="281">
        <f>$AX$11</f>
        <v>1.3100000000000003</v>
      </c>
      <c r="BO3312" s="281">
        <f t="shared" si="185"/>
        <v>8.9395200000000017</v>
      </c>
    </row>
    <row r="3313" spans="65:67" x14ac:dyDescent="0.25">
      <c r="BM3313" s="281">
        <f>$AZ$57+0.2*(seat_pitch)*($AY$57*n_SA+$AW$11&lt;pax_e)</f>
        <v>26.102</v>
      </c>
      <c r="BN3313" s="281">
        <f>$AX$11</f>
        <v>1.3100000000000003</v>
      </c>
      <c r="BO3313" s="281">
        <f t="shared" si="185"/>
        <v>8.291520000000002</v>
      </c>
    </row>
    <row r="3314" spans="65:67" x14ac:dyDescent="0.25">
      <c r="BM3314" s="281">
        <f>$AZ$57+0.2*(seat_pitch)*($AY$57*n_SA+$AW$11&lt;pax_e)</f>
        <v>26.102</v>
      </c>
      <c r="BN3314" s="281">
        <f>$AX$11+seat_w*($AY$57*n_SA+$AW$11&lt;pax_e)</f>
        <v>1.8400000000000003</v>
      </c>
      <c r="BO3314" s="281">
        <f t="shared" si="185"/>
        <v>8.291520000000002</v>
      </c>
    </row>
    <row r="3315" spans="65:67" x14ac:dyDescent="0.25">
      <c r="BM3315" s="281">
        <f>$AZ$57</f>
        <v>25.94</v>
      </c>
      <c r="BN3315" s="281">
        <f>$AX$11+seat_w*($AY$57*n_SA+$AW$11&lt;pax_e)</f>
        <v>1.8400000000000003</v>
      </c>
      <c r="BO3315" s="281">
        <f t="shared" si="185"/>
        <v>8.129520000000003</v>
      </c>
    </row>
    <row r="3316" spans="65:67" x14ac:dyDescent="0.25">
      <c r="BM3316" s="281">
        <f>$AZ$57+1*(seat_pitch)*($AY$57*n_SA+$AW$11&lt;pax_e)</f>
        <v>26.75</v>
      </c>
      <c r="BN3316" s="281">
        <f>$AX$11+seat_w*($AY$57*n_SA+$AW$11&lt;pax_e)</f>
        <v>1.8400000000000003</v>
      </c>
      <c r="BO3316" s="281">
        <f t="shared" si="185"/>
        <v>8.9395200000000017</v>
      </c>
    </row>
    <row r="3317" spans="65:67" x14ac:dyDescent="0.25">
      <c r="BM3317" s="281">
        <f>$AZ$57+0.8*(seat_pitch)*($AY$57*n_SA+$AW$11&lt;pax_e)</f>
        <v>26.588000000000001</v>
      </c>
      <c r="BN3317" s="281">
        <f>$AX$11+seat_w*($AY$57*n_SA+$AW$11&lt;pax_e)</f>
        <v>1.8400000000000003</v>
      </c>
      <c r="BO3317" s="281">
        <f t="shared" si="185"/>
        <v>8.7775200000000027</v>
      </c>
    </row>
    <row r="3318" spans="65:67" x14ac:dyDescent="0.25">
      <c r="BM3318" s="281">
        <f>$AZ$57+0.8*(seat_pitch)*($AY$57*n_SA+$AW$11&lt;pax_e)</f>
        <v>26.588000000000001</v>
      </c>
      <c r="BN3318" s="281">
        <f>$AX$11</f>
        <v>1.3100000000000003</v>
      </c>
      <c r="BO3318" s="281">
        <f t="shared" si="185"/>
        <v>8.7775200000000027</v>
      </c>
    </row>
    <row r="3319" spans="65:67" x14ac:dyDescent="0.25">
      <c r="BM3319" s="281">
        <f>$AZ$57+0.2*(seat_pitch)*($AY$57*n_SA+$AW$11&lt;pax_e)</f>
        <v>26.102</v>
      </c>
      <c r="BN3319" s="281">
        <f>$AX$11</f>
        <v>1.3100000000000003</v>
      </c>
      <c r="BO3319" s="281">
        <f t="shared" si="185"/>
        <v>8.291520000000002</v>
      </c>
    </row>
    <row r="3320" spans="65:67" x14ac:dyDescent="0.25">
      <c r="BM3320" s="281">
        <f>$AZ$57+(seat_pitch)</f>
        <v>26.75</v>
      </c>
      <c r="BN3320" s="281">
        <f>$AX$11</f>
        <v>1.3100000000000003</v>
      </c>
      <c r="BO3320" s="281">
        <f t="shared" si="185"/>
        <v>8.9395200000000017</v>
      </c>
    </row>
    <row r="3321" spans="65:67" x14ac:dyDescent="0.25">
      <c r="BM3321" s="281">
        <f>$AZ$58+0.2*(seat_pitch)*($AY$58*n_SA+$AW$11&lt;pax_e)</f>
        <v>26.102</v>
      </c>
      <c r="BN3321" s="281">
        <f>$AX$11</f>
        <v>1.3100000000000003</v>
      </c>
      <c r="BO3321" s="281">
        <f t="shared" si="185"/>
        <v>8.291520000000002</v>
      </c>
    </row>
    <row r="3322" spans="65:67" x14ac:dyDescent="0.25">
      <c r="BM3322" s="281">
        <f>$AZ$58+0.2*(seat_pitch)*($AY$58*n_SA+$AW$11&lt;pax_e)</f>
        <v>26.102</v>
      </c>
      <c r="BN3322" s="281">
        <f>$AX$11+seat_w*($AY$58*n_SA+$AW$11&lt;pax_e)</f>
        <v>1.8400000000000003</v>
      </c>
      <c r="BO3322" s="281">
        <f t="shared" si="185"/>
        <v>8.291520000000002</v>
      </c>
    </row>
    <row r="3323" spans="65:67" x14ac:dyDescent="0.25">
      <c r="BM3323" s="281">
        <f>$AZ$58</f>
        <v>25.94</v>
      </c>
      <c r="BN3323" s="281">
        <f>$AX$11+seat_w*($AY$58*n_SA+$AW$11&lt;pax_e)</f>
        <v>1.8400000000000003</v>
      </c>
      <c r="BO3323" s="281">
        <f t="shared" si="185"/>
        <v>8.129520000000003</v>
      </c>
    </row>
    <row r="3324" spans="65:67" x14ac:dyDescent="0.25">
      <c r="BM3324" s="281">
        <f>$AZ$58+1*(seat_pitch)*($AY$58*n_SA+$AW$11&lt;pax_e)</f>
        <v>26.75</v>
      </c>
      <c r="BN3324" s="281">
        <f>$AX$11+seat_w*($AY$58*n_SA+$AW$11&lt;pax_e)</f>
        <v>1.8400000000000003</v>
      </c>
      <c r="BO3324" s="281">
        <f t="shared" si="185"/>
        <v>8.9395200000000017</v>
      </c>
    </row>
    <row r="3325" spans="65:67" x14ac:dyDescent="0.25">
      <c r="BM3325" s="281">
        <f>$AZ$58+0.8*(seat_pitch)*($AY$58*n_SA+$AW$11&lt;pax_e)</f>
        <v>26.588000000000001</v>
      </c>
      <c r="BN3325" s="281">
        <f>$AX$11+seat_w*($AY$58*n_SA+$AW$11&lt;pax_e)</f>
        <v>1.8400000000000003</v>
      </c>
      <c r="BO3325" s="281">
        <f t="shared" si="185"/>
        <v>8.7775200000000027</v>
      </c>
    </row>
    <row r="3326" spans="65:67" x14ac:dyDescent="0.25">
      <c r="BM3326" s="281">
        <f>$AZ$58+0.8*(seat_pitch)*($AY$58*n_SA+$AW$11&lt;pax_e)</f>
        <v>26.588000000000001</v>
      </c>
      <c r="BN3326" s="281">
        <f>$AX$11</f>
        <v>1.3100000000000003</v>
      </c>
      <c r="BO3326" s="281">
        <f t="shared" si="185"/>
        <v>8.7775200000000027</v>
      </c>
    </row>
    <row r="3327" spans="65:67" x14ac:dyDescent="0.25">
      <c r="BM3327" s="281">
        <f>$AZ$58+0.2*(seat_pitch)*($AY$58*n_SA+$AW$11&lt;pax_e)</f>
        <v>26.102</v>
      </c>
      <c r="BN3327" s="281">
        <f>$AX$11</f>
        <v>1.3100000000000003</v>
      </c>
      <c r="BO3327" s="281">
        <f t="shared" si="185"/>
        <v>8.291520000000002</v>
      </c>
    </row>
    <row r="3328" spans="65:67" x14ac:dyDescent="0.25">
      <c r="BM3328" s="281">
        <f>$AZ$58+(seat_pitch)</f>
        <v>26.75</v>
      </c>
      <c r="BN3328" s="281">
        <f>$AX$11</f>
        <v>1.3100000000000003</v>
      </c>
      <c r="BO3328" s="281">
        <f t="shared" si="185"/>
        <v>8.9395200000000017</v>
      </c>
    </row>
    <row r="3329" spans="65:67" x14ac:dyDescent="0.25">
      <c r="BM3329" s="281">
        <f>$AZ$59+0.2*(seat_pitch)*($AY$59*n_SA+$AW$11&lt;pax_e)</f>
        <v>26.102</v>
      </c>
      <c r="BN3329" s="281">
        <f>$AX$11</f>
        <v>1.3100000000000003</v>
      </c>
      <c r="BO3329" s="281">
        <f t="shared" si="185"/>
        <v>8.291520000000002</v>
      </c>
    </row>
    <row r="3330" spans="65:67" x14ac:dyDescent="0.25">
      <c r="BM3330" s="281">
        <f>$AZ$59+0.2*(seat_pitch)*($AY$59*n_SA+$AW$11&lt;pax_e)</f>
        <v>26.102</v>
      </c>
      <c r="BN3330" s="281">
        <f>$AX$11+seat_w*($AY$59*n_SA+$AW$11&lt;pax_e)</f>
        <v>1.8400000000000003</v>
      </c>
      <c r="BO3330" s="281">
        <f t="shared" si="185"/>
        <v>8.291520000000002</v>
      </c>
    </row>
    <row r="3331" spans="65:67" x14ac:dyDescent="0.25">
      <c r="BM3331" s="281">
        <f>$AZ$59</f>
        <v>25.94</v>
      </c>
      <c r="BN3331" s="281">
        <f>$AX$11+seat_w*($AY$59*n_SA+$AW$11&lt;pax_e)</f>
        <v>1.8400000000000003</v>
      </c>
      <c r="BO3331" s="281">
        <f t="shared" si="185"/>
        <v>8.129520000000003</v>
      </c>
    </row>
    <row r="3332" spans="65:67" x14ac:dyDescent="0.25">
      <c r="BM3332" s="281">
        <f>$AZ$59+1*(seat_pitch)*($AY$59*n_SA+$AW$11&lt;pax_e)</f>
        <v>26.75</v>
      </c>
      <c r="BN3332" s="281">
        <f>$AX$11+seat_w*($AY$59*n_SA+$AW$11&lt;pax_e)</f>
        <v>1.8400000000000003</v>
      </c>
      <c r="BO3332" s="281">
        <f t="shared" si="185"/>
        <v>8.9395200000000017</v>
      </c>
    </row>
    <row r="3333" spans="65:67" x14ac:dyDescent="0.25">
      <c r="BM3333" s="281">
        <f>$AZ$59+0.8*(seat_pitch)*($AY$59*n_SA+$AW$11&lt;pax_e)</f>
        <v>26.588000000000001</v>
      </c>
      <c r="BN3333" s="281">
        <f>$AX$11+seat_w*($AY$59*n_SA+$AW$11&lt;pax_e)</f>
        <v>1.8400000000000003</v>
      </c>
      <c r="BO3333" s="281">
        <f t="shared" ref="BO3333:BO3396" si="186">BM3333-L_fus/2</f>
        <v>8.7775200000000027</v>
      </c>
    </row>
    <row r="3334" spans="65:67" x14ac:dyDescent="0.25">
      <c r="BM3334" s="281">
        <f>$AZ$59+0.8*(seat_pitch)*($AY$59*n_SA+$AW$11&lt;pax_e)</f>
        <v>26.588000000000001</v>
      </c>
      <c r="BN3334" s="281">
        <f>$AX$11</f>
        <v>1.3100000000000003</v>
      </c>
      <c r="BO3334" s="281">
        <f t="shared" si="186"/>
        <v>8.7775200000000027</v>
      </c>
    </row>
    <row r="3335" spans="65:67" x14ac:dyDescent="0.25">
      <c r="BM3335" s="281">
        <f>$AZ$59+0.2*(seat_pitch)*($AY$59*n_SA+$AW$11&lt;pax_e)</f>
        <v>26.102</v>
      </c>
      <c r="BN3335" s="281">
        <f>$AX$11</f>
        <v>1.3100000000000003</v>
      </c>
      <c r="BO3335" s="281">
        <f t="shared" si="186"/>
        <v>8.291520000000002</v>
      </c>
    </row>
    <row r="3336" spans="65:67" x14ac:dyDescent="0.25">
      <c r="BM3336" s="281">
        <f>$AZ$59+(seat_pitch)</f>
        <v>26.75</v>
      </c>
      <c r="BN3336" s="281">
        <f>$AX$11</f>
        <v>1.3100000000000003</v>
      </c>
      <c r="BO3336" s="281">
        <f t="shared" si="186"/>
        <v>8.9395200000000017</v>
      </c>
    </row>
    <row r="3337" spans="65:67" x14ac:dyDescent="0.25">
      <c r="BM3337" s="281">
        <f>$AZ$60+0.2*(seat_pitch)*($AY$60*n_SA+$AW$11&lt;pax_e)</f>
        <v>26.102</v>
      </c>
      <c r="BN3337" s="281">
        <f>$AX$11</f>
        <v>1.3100000000000003</v>
      </c>
      <c r="BO3337" s="281">
        <f t="shared" si="186"/>
        <v>8.291520000000002</v>
      </c>
    </row>
    <row r="3338" spans="65:67" x14ac:dyDescent="0.25">
      <c r="BM3338" s="281">
        <f>$AZ$60+0.2*(seat_pitch)*($AY$60*n_SA+$AW$11&lt;pax_e)</f>
        <v>26.102</v>
      </c>
      <c r="BN3338" s="281">
        <f>$AX$11+seat_w*($AY$60*n_SA+$AW$11&lt;pax_e)</f>
        <v>1.8400000000000003</v>
      </c>
      <c r="BO3338" s="281">
        <f t="shared" si="186"/>
        <v>8.291520000000002</v>
      </c>
    </row>
    <row r="3339" spans="65:67" x14ac:dyDescent="0.25">
      <c r="BM3339" s="281">
        <f>$AZ$60</f>
        <v>25.94</v>
      </c>
      <c r="BN3339" s="281">
        <f>$AX$11+seat_w*($AY$60*n_SA+$AW$11&lt;pax_e)</f>
        <v>1.8400000000000003</v>
      </c>
      <c r="BO3339" s="281">
        <f t="shared" si="186"/>
        <v>8.129520000000003</v>
      </c>
    </row>
    <row r="3340" spans="65:67" x14ac:dyDescent="0.25">
      <c r="BM3340" s="281">
        <f>$AZ$60+1*(seat_pitch)*($AY$60*n_SA+$AW$11&lt;pax_e)</f>
        <v>26.75</v>
      </c>
      <c r="BN3340" s="281">
        <f>$AX$11+seat_w*($AY$60*n_SA+$AW$11&lt;pax_e)</f>
        <v>1.8400000000000003</v>
      </c>
      <c r="BO3340" s="281">
        <f t="shared" si="186"/>
        <v>8.9395200000000017</v>
      </c>
    </row>
    <row r="3341" spans="65:67" x14ac:dyDescent="0.25">
      <c r="BM3341" s="281">
        <f>$AZ$60+0.8*(seat_pitch)*($AY$60*n_SA+$AW$11&lt;pax_e)</f>
        <v>26.588000000000001</v>
      </c>
      <c r="BN3341" s="281">
        <f>$AX$11+seat_w*($AY$60*n_SA+$AW$11&lt;pax_e)</f>
        <v>1.8400000000000003</v>
      </c>
      <c r="BO3341" s="281">
        <f t="shared" si="186"/>
        <v>8.7775200000000027</v>
      </c>
    </row>
    <row r="3342" spans="65:67" x14ac:dyDescent="0.25">
      <c r="BM3342" s="281">
        <f>$AZ$60+0.8*(seat_pitch)*($AY$60*n_SA+$AW$11&lt;pax_e)</f>
        <v>26.588000000000001</v>
      </c>
      <c r="BN3342" s="281">
        <f>$AX$11</f>
        <v>1.3100000000000003</v>
      </c>
      <c r="BO3342" s="281">
        <f t="shared" si="186"/>
        <v>8.7775200000000027</v>
      </c>
    </row>
    <row r="3343" spans="65:67" x14ac:dyDescent="0.25">
      <c r="BM3343" s="281">
        <f>$AZ$60+0.2*(seat_pitch)*($AY$60*n_SA+$AW$11&lt;pax_e)</f>
        <v>26.102</v>
      </c>
      <c r="BN3343" s="281">
        <f>$AX$11</f>
        <v>1.3100000000000003</v>
      </c>
      <c r="BO3343" s="281">
        <f t="shared" si="186"/>
        <v>8.291520000000002</v>
      </c>
    </row>
    <row r="3344" spans="65:67" x14ac:dyDescent="0.25">
      <c r="BM3344" s="281">
        <f>$AZ$60+(seat_pitch)</f>
        <v>26.75</v>
      </c>
      <c r="BN3344" s="281">
        <f>$AX$11</f>
        <v>1.3100000000000003</v>
      </c>
      <c r="BO3344" s="281">
        <f t="shared" si="186"/>
        <v>8.9395200000000017</v>
      </c>
    </row>
    <row r="3345" spans="65:67" x14ac:dyDescent="0.25">
      <c r="BM3345" s="281">
        <f>$AZ$61+0.2*(seat_pitch)*($AY$61*n_SA+$AW$11&lt;pax_e)</f>
        <v>26.102</v>
      </c>
      <c r="BN3345" s="281">
        <f>$AX$11</f>
        <v>1.3100000000000003</v>
      </c>
      <c r="BO3345" s="281">
        <f t="shared" si="186"/>
        <v>8.291520000000002</v>
      </c>
    </row>
    <row r="3346" spans="65:67" x14ac:dyDescent="0.25">
      <c r="BM3346" s="281">
        <f>$AZ$61+0.2*(seat_pitch)*($AY$61*n_SA+$AW$11&lt;pax_e)</f>
        <v>26.102</v>
      </c>
      <c r="BN3346" s="281">
        <f>$AX$11+seat_w*($AY$61*n_SA+$AW$11&lt;pax_e)</f>
        <v>1.8400000000000003</v>
      </c>
      <c r="BO3346" s="281">
        <f t="shared" si="186"/>
        <v>8.291520000000002</v>
      </c>
    </row>
    <row r="3347" spans="65:67" x14ac:dyDescent="0.25">
      <c r="BM3347" s="281">
        <f>$AZ$61</f>
        <v>25.94</v>
      </c>
      <c r="BN3347" s="281">
        <f>$AX$11+seat_w*($AY$61*n_SA+$AW$11&lt;pax_e)</f>
        <v>1.8400000000000003</v>
      </c>
      <c r="BO3347" s="281">
        <f t="shared" si="186"/>
        <v>8.129520000000003</v>
      </c>
    </row>
    <row r="3348" spans="65:67" x14ac:dyDescent="0.25">
      <c r="BM3348" s="281">
        <f>$AZ$61+1*(seat_pitch)*($AY$61*n_SA+$AW$11&lt;pax_e)</f>
        <v>26.75</v>
      </c>
      <c r="BN3348" s="281">
        <f>$AX$11+seat_w*($AY$61*n_SA+$AW$11&lt;pax_e)</f>
        <v>1.8400000000000003</v>
      </c>
      <c r="BO3348" s="281">
        <f t="shared" si="186"/>
        <v>8.9395200000000017</v>
      </c>
    </row>
    <row r="3349" spans="65:67" x14ac:dyDescent="0.25">
      <c r="BM3349" s="281">
        <f>$AZ$61+0.8*(seat_pitch)*($AY$61*n_SA+$AW$11&lt;pax_e)</f>
        <v>26.588000000000001</v>
      </c>
      <c r="BN3349" s="281">
        <f>$AX$11+seat_w*($AY$61*n_SA+$AW$11&lt;pax_e)</f>
        <v>1.8400000000000003</v>
      </c>
      <c r="BO3349" s="281">
        <f t="shared" si="186"/>
        <v>8.7775200000000027</v>
      </c>
    </row>
    <row r="3350" spans="65:67" x14ac:dyDescent="0.25">
      <c r="BM3350" s="281">
        <f>$AZ$61+0.8*(seat_pitch)*($AY$61*n_SA+$AW$11&lt;pax_e)</f>
        <v>26.588000000000001</v>
      </c>
      <c r="BN3350" s="281">
        <f>$AX$11</f>
        <v>1.3100000000000003</v>
      </c>
      <c r="BO3350" s="281">
        <f t="shared" si="186"/>
        <v>8.7775200000000027</v>
      </c>
    </row>
    <row r="3351" spans="65:67" x14ac:dyDescent="0.25">
      <c r="BM3351" s="281">
        <f>$AZ$61+0.2*(seat_pitch)*($AY$61*n_SA+$AW$11&lt;pax_e)</f>
        <v>26.102</v>
      </c>
      <c r="BN3351" s="281">
        <f>$AX$11</f>
        <v>1.3100000000000003</v>
      </c>
      <c r="BO3351" s="281">
        <f t="shared" si="186"/>
        <v>8.291520000000002</v>
      </c>
    </row>
    <row r="3352" spans="65:67" x14ac:dyDescent="0.25">
      <c r="BM3352" s="281">
        <f>$AZ$61+(seat_pitch)</f>
        <v>26.75</v>
      </c>
      <c r="BN3352" s="281">
        <f>$AX$11</f>
        <v>1.3100000000000003</v>
      </c>
      <c r="BO3352" s="281">
        <f t="shared" si="186"/>
        <v>8.9395200000000017</v>
      </c>
    </row>
    <row r="3353" spans="65:67" x14ac:dyDescent="0.25">
      <c r="BM3353" s="281">
        <f>$AZ$62+0.2*(seat_pitch)*($AY$62*n_SA+$AW$11&lt;pax_e)</f>
        <v>26.102</v>
      </c>
      <c r="BN3353" s="281">
        <f>$AX$11</f>
        <v>1.3100000000000003</v>
      </c>
      <c r="BO3353" s="281">
        <f t="shared" si="186"/>
        <v>8.291520000000002</v>
      </c>
    </row>
    <row r="3354" spans="65:67" x14ac:dyDescent="0.25">
      <c r="BM3354" s="281">
        <f>$AZ$62+0.2*(seat_pitch)*($AY$62*n_SA+$AW$11&lt;pax_e)</f>
        <v>26.102</v>
      </c>
      <c r="BN3354" s="281">
        <f>$AX$11+seat_w*($AY$62*n_SA+$AW$11&lt;pax_e)</f>
        <v>1.8400000000000003</v>
      </c>
      <c r="BO3354" s="281">
        <f t="shared" si="186"/>
        <v>8.291520000000002</v>
      </c>
    </row>
    <row r="3355" spans="65:67" x14ac:dyDescent="0.25">
      <c r="BM3355" s="281">
        <f>$AZ$62</f>
        <v>25.94</v>
      </c>
      <c r="BN3355" s="281">
        <f>$AX$11+seat_w*($AY$62*n_SA+$AW$11&lt;pax_e)</f>
        <v>1.8400000000000003</v>
      </c>
      <c r="BO3355" s="281">
        <f t="shared" si="186"/>
        <v>8.129520000000003</v>
      </c>
    </row>
    <row r="3356" spans="65:67" x14ac:dyDescent="0.25">
      <c r="BM3356" s="281">
        <f>$AZ$62+1*(seat_pitch)*($AY$62*n_SA+$AW$11&lt;pax_e)</f>
        <v>26.75</v>
      </c>
      <c r="BN3356" s="281">
        <f>$AX$11+seat_w*($AY$62*n_SA+$AW$11&lt;pax_e)</f>
        <v>1.8400000000000003</v>
      </c>
      <c r="BO3356" s="281">
        <f t="shared" si="186"/>
        <v>8.9395200000000017</v>
      </c>
    </row>
    <row r="3357" spans="65:67" x14ac:dyDescent="0.25">
      <c r="BM3357" s="281">
        <f>$AZ$62+0.8*(seat_pitch)*($AY$62*n_SA+$AW$11&lt;pax_e)</f>
        <v>26.588000000000001</v>
      </c>
      <c r="BN3357" s="281">
        <f>$AX$11+seat_w*($AY$62*n_SA+$AW$11&lt;pax_e)</f>
        <v>1.8400000000000003</v>
      </c>
      <c r="BO3357" s="281">
        <f t="shared" si="186"/>
        <v>8.7775200000000027</v>
      </c>
    </row>
    <row r="3358" spans="65:67" x14ac:dyDescent="0.25">
      <c r="BM3358" s="281">
        <f>$AZ$62+0.8*(seat_pitch)*($AY$62*n_SA+$AW$11&lt;pax_e)</f>
        <v>26.588000000000001</v>
      </c>
      <c r="BN3358" s="281">
        <f>$AX$11</f>
        <v>1.3100000000000003</v>
      </c>
      <c r="BO3358" s="281">
        <f t="shared" si="186"/>
        <v>8.7775200000000027</v>
      </c>
    </row>
    <row r="3359" spans="65:67" x14ac:dyDescent="0.25">
      <c r="BM3359" s="281">
        <f>$AZ$62+0.2*(seat_pitch)*($AY$62*n_SA+$AW$11&lt;pax_e)</f>
        <v>26.102</v>
      </c>
      <c r="BN3359" s="281">
        <f>$AX$11</f>
        <v>1.3100000000000003</v>
      </c>
      <c r="BO3359" s="281">
        <f t="shared" si="186"/>
        <v>8.291520000000002</v>
      </c>
    </row>
    <row r="3360" spans="65:67" x14ac:dyDescent="0.25">
      <c r="BM3360" s="281">
        <f>$AZ$62+(seat_pitch)</f>
        <v>26.75</v>
      </c>
      <c r="BN3360" s="281">
        <f>$AX$11</f>
        <v>1.3100000000000003</v>
      </c>
      <c r="BO3360" s="281">
        <f t="shared" si="186"/>
        <v>8.9395200000000017</v>
      </c>
    </row>
    <row r="3361" spans="65:67" x14ac:dyDescent="0.25">
      <c r="BM3361" s="281">
        <f>$AZ$63+0.2*(seat_pitch)*($AY$63*n_SA+$AW$11&lt;pax_e)</f>
        <v>26.102</v>
      </c>
      <c r="BN3361" s="281">
        <f>$AX$11</f>
        <v>1.3100000000000003</v>
      </c>
      <c r="BO3361" s="281">
        <f t="shared" si="186"/>
        <v>8.291520000000002</v>
      </c>
    </row>
    <row r="3362" spans="65:67" x14ac:dyDescent="0.25">
      <c r="BM3362" s="281">
        <f>$AZ$63+0.2*(seat_pitch)*($AY$63*n_SA+$AW$11&lt;pax_e)</f>
        <v>26.102</v>
      </c>
      <c r="BN3362" s="281">
        <f>$AX$11+seat_w*($AY$63*n_SA+$AW$11&lt;pax_e)</f>
        <v>1.8400000000000003</v>
      </c>
      <c r="BO3362" s="281">
        <f t="shared" si="186"/>
        <v>8.291520000000002</v>
      </c>
    </row>
    <row r="3363" spans="65:67" x14ac:dyDescent="0.25">
      <c r="BM3363" s="281">
        <f>$AZ$63</f>
        <v>25.94</v>
      </c>
      <c r="BN3363" s="281">
        <f>$AX$11+seat_w*($AY$63*n_SA+$AW$11&lt;pax_e)</f>
        <v>1.8400000000000003</v>
      </c>
      <c r="BO3363" s="281">
        <f t="shared" si="186"/>
        <v>8.129520000000003</v>
      </c>
    </row>
    <row r="3364" spans="65:67" x14ac:dyDescent="0.25">
      <c r="BM3364" s="281">
        <f>$AZ$63+1*(seat_pitch)*($AY$63*n_SA+$AW$11&lt;pax_e)</f>
        <v>26.75</v>
      </c>
      <c r="BN3364" s="281">
        <f>$AX$11+seat_w*($AY$63*n_SA+$AW$11&lt;pax_e)</f>
        <v>1.8400000000000003</v>
      </c>
      <c r="BO3364" s="281">
        <f t="shared" si="186"/>
        <v>8.9395200000000017</v>
      </c>
    </row>
    <row r="3365" spans="65:67" x14ac:dyDescent="0.25">
      <c r="BM3365" s="281">
        <f>$AZ$63+0.8*(seat_pitch)*($AY$63*n_SA+$AW$11&lt;pax_e)</f>
        <v>26.588000000000001</v>
      </c>
      <c r="BN3365" s="281">
        <f>$AX$11+seat_w*($AY$63*n_SA+$AW$11&lt;pax_e)</f>
        <v>1.8400000000000003</v>
      </c>
      <c r="BO3365" s="281">
        <f t="shared" si="186"/>
        <v>8.7775200000000027</v>
      </c>
    </row>
    <row r="3366" spans="65:67" x14ac:dyDescent="0.25">
      <c r="BM3366" s="281">
        <f>$AZ$63+0.8*(seat_pitch)*($AY$63*n_SA+$AW$11&lt;pax_e)</f>
        <v>26.588000000000001</v>
      </c>
      <c r="BN3366" s="281">
        <f>$AX$11</f>
        <v>1.3100000000000003</v>
      </c>
      <c r="BO3366" s="281">
        <f t="shared" si="186"/>
        <v>8.7775200000000027</v>
      </c>
    </row>
    <row r="3367" spans="65:67" x14ac:dyDescent="0.25">
      <c r="BM3367" s="281">
        <f>$AZ$63+0.2*(seat_pitch)*($AY$63*n_SA+$AW$11&lt;pax_e)</f>
        <v>26.102</v>
      </c>
      <c r="BN3367" s="281">
        <f>$AX$11</f>
        <v>1.3100000000000003</v>
      </c>
      <c r="BO3367" s="281">
        <f t="shared" si="186"/>
        <v>8.291520000000002</v>
      </c>
    </row>
    <row r="3368" spans="65:67" x14ac:dyDescent="0.25">
      <c r="BM3368" s="281">
        <f>$AZ$63+(seat_pitch)</f>
        <v>26.75</v>
      </c>
      <c r="BN3368" s="281">
        <f>$AX$11</f>
        <v>1.3100000000000003</v>
      </c>
      <c r="BO3368" s="281">
        <f t="shared" si="186"/>
        <v>8.9395200000000017</v>
      </c>
    </row>
    <row r="3369" spans="65:67" x14ac:dyDescent="0.25">
      <c r="BM3369" s="281">
        <f>$AZ$64+0.2*(seat_pitch)*($AY$64*n_SA+$AW$11&lt;pax_e)</f>
        <v>26.102</v>
      </c>
      <c r="BN3369" s="281">
        <f>$AX$11</f>
        <v>1.3100000000000003</v>
      </c>
      <c r="BO3369" s="281">
        <f t="shared" si="186"/>
        <v>8.291520000000002</v>
      </c>
    </row>
    <row r="3370" spans="65:67" x14ac:dyDescent="0.25">
      <c r="BM3370" s="281">
        <f>$AZ$64+0.2*(seat_pitch)*($AY$64*n_SA+$AW$11&lt;pax_e)</f>
        <v>26.102</v>
      </c>
      <c r="BN3370" s="281">
        <f>$AX$11+seat_w*($AY$64*n_SA+$AW$11&lt;pax_e)</f>
        <v>1.8400000000000003</v>
      </c>
      <c r="BO3370" s="281">
        <f t="shared" si="186"/>
        <v>8.291520000000002</v>
      </c>
    </row>
    <row r="3371" spans="65:67" x14ac:dyDescent="0.25">
      <c r="BM3371" s="281">
        <f>$AZ$64</f>
        <v>25.94</v>
      </c>
      <c r="BN3371" s="281">
        <f>$AX$11+seat_w*($AY$64*n_SA+$AW$11&lt;pax_e)</f>
        <v>1.8400000000000003</v>
      </c>
      <c r="BO3371" s="281">
        <f t="shared" si="186"/>
        <v>8.129520000000003</v>
      </c>
    </row>
    <row r="3372" spans="65:67" x14ac:dyDescent="0.25">
      <c r="BM3372" s="281">
        <f>$AZ$64+1*(seat_pitch)*($AY$64*n_SA+$AW$11&lt;pax_e)</f>
        <v>26.75</v>
      </c>
      <c r="BN3372" s="281">
        <f>$AX$11+seat_w*($AY$64*n_SA+$AW$11&lt;pax_e)</f>
        <v>1.8400000000000003</v>
      </c>
      <c r="BO3372" s="281">
        <f t="shared" si="186"/>
        <v>8.9395200000000017</v>
      </c>
    </row>
    <row r="3373" spans="65:67" x14ac:dyDescent="0.25">
      <c r="BM3373" s="281">
        <f>$AZ$64+0.8*(seat_pitch)*($AY$64*n_SA+$AW$11&lt;pax_e)</f>
        <v>26.588000000000001</v>
      </c>
      <c r="BN3373" s="281">
        <f>$AX$11+seat_w*($AY$64*n_SA+$AW$11&lt;pax_e)</f>
        <v>1.8400000000000003</v>
      </c>
      <c r="BO3373" s="281">
        <f t="shared" si="186"/>
        <v>8.7775200000000027</v>
      </c>
    </row>
    <row r="3374" spans="65:67" x14ac:dyDescent="0.25">
      <c r="BM3374" s="281">
        <f>$AZ$64+0.8*(seat_pitch)*($AY$64*n_SA+$AW$11&lt;pax_e)</f>
        <v>26.588000000000001</v>
      </c>
      <c r="BN3374" s="281">
        <f>$AX$11</f>
        <v>1.3100000000000003</v>
      </c>
      <c r="BO3374" s="281">
        <f t="shared" si="186"/>
        <v>8.7775200000000027</v>
      </c>
    </row>
    <row r="3375" spans="65:67" x14ac:dyDescent="0.25">
      <c r="BM3375" s="281">
        <f>$AZ$64+0.2*(seat_pitch)*($AY$64*n_SA+$AW$11&lt;pax_e)</f>
        <v>26.102</v>
      </c>
      <c r="BN3375" s="281">
        <f>$AX$11</f>
        <v>1.3100000000000003</v>
      </c>
      <c r="BO3375" s="281">
        <f t="shared" si="186"/>
        <v>8.291520000000002</v>
      </c>
    </row>
    <row r="3376" spans="65:67" x14ac:dyDescent="0.25">
      <c r="BM3376" s="281">
        <f>$AZ$64+(seat_pitch)</f>
        <v>26.75</v>
      </c>
      <c r="BN3376" s="281">
        <f>$AX$11</f>
        <v>1.3100000000000003</v>
      </c>
      <c r="BO3376" s="281">
        <f t="shared" si="186"/>
        <v>8.9395200000000017</v>
      </c>
    </row>
    <row r="3377" spans="65:67" x14ac:dyDescent="0.25">
      <c r="BM3377" s="281">
        <f>x_seat_end</f>
        <v>26.75</v>
      </c>
      <c r="BN3377" s="281">
        <f>$AX$12</f>
        <v>1.3100000000000003</v>
      </c>
      <c r="BO3377" s="281">
        <f t="shared" si="186"/>
        <v>8.9395200000000017</v>
      </c>
    </row>
    <row r="3378" spans="65:67" x14ac:dyDescent="0.25">
      <c r="BM3378" s="281">
        <f>x_eco0</f>
        <v>6.5</v>
      </c>
      <c r="BN3378" s="281">
        <f>$AX$12</f>
        <v>1.3100000000000003</v>
      </c>
      <c r="BO3378" s="281">
        <f t="shared" si="186"/>
        <v>-11.310479999999998</v>
      </c>
    </row>
    <row r="3379" spans="65:67" x14ac:dyDescent="0.25">
      <c r="BM3379" s="281">
        <f>$AZ$5+0.2*(seat_pitch)*($AY$5*n_SA+$AW$12&lt;pax_e)</f>
        <v>6.6619999999999999</v>
      </c>
      <c r="BN3379" s="281">
        <f>$AX$12</f>
        <v>1.3100000000000003</v>
      </c>
      <c r="BO3379" s="281">
        <f t="shared" si="186"/>
        <v>-11.148479999999999</v>
      </c>
    </row>
    <row r="3380" spans="65:67" x14ac:dyDescent="0.25">
      <c r="BM3380" s="281">
        <f>$AZ$5+0.2*(seat_pitch)*($AY$5*n_SA+$AW$12&lt;pax_e)</f>
        <v>6.6619999999999999</v>
      </c>
      <c r="BN3380" s="281">
        <f>$AX$12+seat_w*($AY$5*n_SA+$AW$12&lt;pax_e)</f>
        <v>1.8400000000000003</v>
      </c>
      <c r="BO3380" s="281">
        <f t="shared" si="186"/>
        <v>-11.148479999999999</v>
      </c>
    </row>
    <row r="3381" spans="65:67" x14ac:dyDescent="0.25">
      <c r="BM3381" s="281">
        <f>$AZ$5</f>
        <v>6.5</v>
      </c>
      <c r="BN3381" s="281">
        <f>$AX$12+seat_w*($AY$5*n_SA+$AW$12&lt;pax_e)</f>
        <v>1.8400000000000003</v>
      </c>
      <c r="BO3381" s="281">
        <f t="shared" si="186"/>
        <v>-11.310479999999998</v>
      </c>
    </row>
    <row r="3382" spans="65:67" x14ac:dyDescent="0.25">
      <c r="BM3382" s="281">
        <f>$AZ$5+1*(seat_pitch)*($AY$5*n_SA+$AW$12&lt;pax_e)</f>
        <v>7.3100000000000005</v>
      </c>
      <c r="BN3382" s="281">
        <f>$AX$12+seat_w*($AY$5*n_SA+$AW$12&lt;pax_e)</f>
        <v>1.8400000000000003</v>
      </c>
      <c r="BO3382" s="281">
        <f t="shared" si="186"/>
        <v>-10.500479999999998</v>
      </c>
    </row>
    <row r="3383" spans="65:67" x14ac:dyDescent="0.25">
      <c r="BM3383" s="281">
        <f>$AZ$5+0.8*(seat_pitch)*($AY$5*n_SA+$AW$12&lt;pax_e)</f>
        <v>7.1479999999999997</v>
      </c>
      <c r="BN3383" s="281">
        <f>$AX$12+seat_w*($AY$5*n_SA+$AW$12&lt;pax_e)</f>
        <v>1.8400000000000003</v>
      </c>
      <c r="BO3383" s="281">
        <f t="shared" si="186"/>
        <v>-10.662479999999999</v>
      </c>
    </row>
    <row r="3384" spans="65:67" x14ac:dyDescent="0.25">
      <c r="BM3384" s="281">
        <f>$AZ$5+0.8*(seat_pitch)*($AY$5*n_SA+$AW$12&lt;pax_e)</f>
        <v>7.1479999999999997</v>
      </c>
      <c r="BN3384" s="281">
        <f>$AX$12</f>
        <v>1.3100000000000003</v>
      </c>
      <c r="BO3384" s="281">
        <f t="shared" si="186"/>
        <v>-10.662479999999999</v>
      </c>
    </row>
    <row r="3385" spans="65:67" x14ac:dyDescent="0.25">
      <c r="BM3385" s="281">
        <f>$AZ$5+0.2*(seat_pitch)*($AY$5*n_SA+$AW$12&lt;pax_e)</f>
        <v>6.6619999999999999</v>
      </c>
      <c r="BN3385" s="281">
        <f>$AX$12</f>
        <v>1.3100000000000003</v>
      </c>
      <c r="BO3385" s="281">
        <f t="shared" si="186"/>
        <v>-11.148479999999999</v>
      </c>
    </row>
    <row r="3386" spans="65:67" x14ac:dyDescent="0.25">
      <c r="BM3386" s="281">
        <f>$AZ$5+(seat_pitch)</f>
        <v>7.3100000000000005</v>
      </c>
      <c r="BN3386" s="281">
        <f>$AX$12</f>
        <v>1.3100000000000003</v>
      </c>
      <c r="BO3386" s="281">
        <f t="shared" si="186"/>
        <v>-10.500479999999998</v>
      </c>
    </row>
    <row r="3387" spans="65:67" x14ac:dyDescent="0.25">
      <c r="BM3387" s="281">
        <f>$AZ$6+0.2*(seat_pitch)*($AY$6*n_SA+$AW$12&lt;pax_e)</f>
        <v>7.4720000000000004</v>
      </c>
      <c r="BN3387" s="281">
        <f>$AX$12</f>
        <v>1.3100000000000003</v>
      </c>
      <c r="BO3387" s="281">
        <f t="shared" si="186"/>
        <v>-10.338479999999997</v>
      </c>
    </row>
    <row r="3388" spans="65:67" x14ac:dyDescent="0.25">
      <c r="BM3388" s="281">
        <f>$AZ$6+0.2*(seat_pitch)*($AY$6*n_SA+$AW$12&lt;pax_e)</f>
        <v>7.4720000000000004</v>
      </c>
      <c r="BN3388" s="281">
        <f>$AX$12+seat_w*($AY$6*n_SA+$AW$12&lt;pax_e)</f>
        <v>1.8400000000000003</v>
      </c>
      <c r="BO3388" s="281">
        <f t="shared" si="186"/>
        <v>-10.338479999999997</v>
      </c>
    </row>
    <row r="3389" spans="65:67" x14ac:dyDescent="0.25">
      <c r="BM3389" s="281">
        <f>$AZ$6</f>
        <v>7.3100000000000005</v>
      </c>
      <c r="BN3389" s="281">
        <f>$AX$12+seat_w*($AY$6*n_SA+$AW$12&lt;pax_e)</f>
        <v>1.8400000000000003</v>
      </c>
      <c r="BO3389" s="281">
        <f t="shared" si="186"/>
        <v>-10.500479999999998</v>
      </c>
    </row>
    <row r="3390" spans="65:67" x14ac:dyDescent="0.25">
      <c r="BM3390" s="281">
        <f>$AZ$6+1*(seat_pitch)*($AY$6*n_SA+$AW$12&lt;pax_e)</f>
        <v>8.120000000000001</v>
      </c>
      <c r="BN3390" s="281">
        <f>$AX$12+seat_w*($AY$6*n_SA+$AW$12&lt;pax_e)</f>
        <v>1.8400000000000003</v>
      </c>
      <c r="BO3390" s="281">
        <f t="shared" si="186"/>
        <v>-9.6904799999999973</v>
      </c>
    </row>
    <row r="3391" spans="65:67" x14ac:dyDescent="0.25">
      <c r="BM3391" s="281">
        <f>$AZ$6+0.8*(seat_pitch)*($AY$6*n_SA+$AW$12&lt;pax_e)</f>
        <v>7.9580000000000002</v>
      </c>
      <c r="BN3391" s="281">
        <f>$AX$12+seat_w*($AY$6*n_SA+$AW$12&lt;pax_e)</f>
        <v>1.8400000000000003</v>
      </c>
      <c r="BO3391" s="281">
        <f t="shared" si="186"/>
        <v>-9.8524799999999981</v>
      </c>
    </row>
    <row r="3392" spans="65:67" x14ac:dyDescent="0.25">
      <c r="BM3392" s="281">
        <f>$AZ$6+0.8*(seat_pitch)*($AY$6*n_SA+$AW$12&lt;pax_e)</f>
        <v>7.9580000000000002</v>
      </c>
      <c r="BN3392" s="281">
        <f>$AX$12</f>
        <v>1.3100000000000003</v>
      </c>
      <c r="BO3392" s="281">
        <f t="shared" si="186"/>
        <v>-9.8524799999999981</v>
      </c>
    </row>
    <row r="3393" spans="65:67" x14ac:dyDescent="0.25">
      <c r="BM3393" s="281">
        <f>$AZ$6+0.2*(seat_pitch)*($AY$6*n_SA+$AW$12&lt;pax_e)</f>
        <v>7.4720000000000004</v>
      </c>
      <c r="BN3393" s="281">
        <f>$AX$12</f>
        <v>1.3100000000000003</v>
      </c>
      <c r="BO3393" s="281">
        <f t="shared" si="186"/>
        <v>-10.338479999999997</v>
      </c>
    </row>
    <row r="3394" spans="65:67" x14ac:dyDescent="0.25">
      <c r="BM3394" s="281">
        <f>$AZ$6+(seat_pitch)</f>
        <v>8.120000000000001</v>
      </c>
      <c r="BN3394" s="281">
        <f>$AX$12</f>
        <v>1.3100000000000003</v>
      </c>
      <c r="BO3394" s="281">
        <f t="shared" si="186"/>
        <v>-9.6904799999999973</v>
      </c>
    </row>
    <row r="3395" spans="65:67" x14ac:dyDescent="0.25">
      <c r="BM3395" s="281">
        <f>$AZ$7+0.2*(seat_pitch)*($AY$7*n_SA+$AW$12&lt;pax_e)</f>
        <v>8.2820000000000018</v>
      </c>
      <c r="BN3395" s="281">
        <f>$AX$12</f>
        <v>1.3100000000000003</v>
      </c>
      <c r="BO3395" s="281">
        <f t="shared" si="186"/>
        <v>-9.5284799999999965</v>
      </c>
    </row>
    <row r="3396" spans="65:67" x14ac:dyDescent="0.25">
      <c r="BM3396" s="281">
        <f>$AZ$7+0.2*(seat_pitch)*($AY$7*n_SA+$AW$12&lt;pax_e)</f>
        <v>8.2820000000000018</v>
      </c>
      <c r="BN3396" s="281">
        <f>$AX$12+seat_w*($AY$7*n_SA+$AW$12&lt;pax_e)</f>
        <v>1.8400000000000003</v>
      </c>
      <c r="BO3396" s="281">
        <f t="shared" si="186"/>
        <v>-9.5284799999999965</v>
      </c>
    </row>
    <row r="3397" spans="65:67" x14ac:dyDescent="0.25">
      <c r="BM3397" s="281">
        <f>$AZ$7</f>
        <v>8.120000000000001</v>
      </c>
      <c r="BN3397" s="281">
        <f>$AX$12+seat_w*($AY$7*n_SA+$AW$12&lt;pax_e)</f>
        <v>1.8400000000000003</v>
      </c>
      <c r="BO3397" s="281">
        <f t="shared" ref="BO3397:BO3460" si="187">BM3397-L_fus/2</f>
        <v>-9.6904799999999973</v>
      </c>
    </row>
    <row r="3398" spans="65:67" x14ac:dyDescent="0.25">
      <c r="BM3398" s="281">
        <f>$AZ$7+1*(seat_pitch)*($AY$7*n_SA+$AW$12&lt;pax_e)</f>
        <v>8.9300000000000015</v>
      </c>
      <c r="BN3398" s="281">
        <f>$AX$12+seat_w*($AY$7*n_SA+$AW$12&lt;pax_e)</f>
        <v>1.8400000000000003</v>
      </c>
      <c r="BO3398" s="281">
        <f t="shared" si="187"/>
        <v>-8.8804799999999968</v>
      </c>
    </row>
    <row r="3399" spans="65:67" x14ac:dyDescent="0.25">
      <c r="BM3399" s="281">
        <f>$AZ$7+0.8*(seat_pitch)*($AY$7*n_SA+$AW$12&lt;pax_e)</f>
        <v>8.7680000000000007</v>
      </c>
      <c r="BN3399" s="281">
        <f>$AX$12+seat_w*($AY$7*n_SA+$AW$12&lt;pax_e)</f>
        <v>1.8400000000000003</v>
      </c>
      <c r="BO3399" s="281">
        <f t="shared" si="187"/>
        <v>-9.0424799999999976</v>
      </c>
    </row>
    <row r="3400" spans="65:67" x14ac:dyDescent="0.25">
      <c r="BM3400" s="281">
        <f>$AZ$7+0.8*(seat_pitch)*($AY$7*n_SA+$AW$12&lt;pax_e)</f>
        <v>8.7680000000000007</v>
      </c>
      <c r="BN3400" s="281">
        <f>$AX$12</f>
        <v>1.3100000000000003</v>
      </c>
      <c r="BO3400" s="281">
        <f t="shared" si="187"/>
        <v>-9.0424799999999976</v>
      </c>
    </row>
    <row r="3401" spans="65:67" x14ac:dyDescent="0.25">
      <c r="BM3401" s="281">
        <f>$AZ$7+0.2*(seat_pitch)*($AY$7*n_SA+$AW$12&lt;pax_e)</f>
        <v>8.2820000000000018</v>
      </c>
      <c r="BN3401" s="281">
        <f>$AX$12</f>
        <v>1.3100000000000003</v>
      </c>
      <c r="BO3401" s="281">
        <f t="shared" si="187"/>
        <v>-9.5284799999999965</v>
      </c>
    </row>
    <row r="3402" spans="65:67" x14ac:dyDescent="0.25">
      <c r="BM3402" s="281">
        <f>$AZ$7+(seat_pitch)</f>
        <v>8.9300000000000015</v>
      </c>
      <c r="BN3402" s="281">
        <f>$AX$12</f>
        <v>1.3100000000000003</v>
      </c>
      <c r="BO3402" s="281">
        <f t="shared" si="187"/>
        <v>-8.8804799999999968</v>
      </c>
    </row>
    <row r="3403" spans="65:67" x14ac:dyDescent="0.25">
      <c r="BM3403" s="281">
        <f>$AZ$8+0.2*(seat_pitch)*($AY$8*n_SA+$AW$12&lt;pax_e)</f>
        <v>9.0920000000000005</v>
      </c>
      <c r="BN3403" s="281">
        <f>$AX$12</f>
        <v>1.3100000000000003</v>
      </c>
      <c r="BO3403" s="281">
        <f t="shared" si="187"/>
        <v>-8.7184799999999978</v>
      </c>
    </row>
    <row r="3404" spans="65:67" x14ac:dyDescent="0.25">
      <c r="BM3404" s="281">
        <f>$AZ$8+0.2*(seat_pitch)*($AY$8*n_SA+$AW$12&lt;pax_e)</f>
        <v>9.0920000000000005</v>
      </c>
      <c r="BN3404" s="281">
        <f>$AX$12+seat_w*($AY$8*n_SA+$AW$12&lt;pax_e)</f>
        <v>1.8400000000000003</v>
      </c>
      <c r="BO3404" s="281">
        <f t="shared" si="187"/>
        <v>-8.7184799999999978</v>
      </c>
    </row>
    <row r="3405" spans="65:67" x14ac:dyDescent="0.25">
      <c r="BM3405" s="281">
        <f>$AZ$8</f>
        <v>8.93</v>
      </c>
      <c r="BN3405" s="281">
        <f>$AX$12+seat_w*($AY$8*n_SA+$AW$12&lt;pax_e)</f>
        <v>1.8400000000000003</v>
      </c>
      <c r="BO3405" s="281">
        <f t="shared" si="187"/>
        <v>-8.8804799999999986</v>
      </c>
    </row>
    <row r="3406" spans="65:67" x14ac:dyDescent="0.25">
      <c r="BM3406" s="281">
        <f>$AZ$8+1*(seat_pitch)*($AY$8*n_SA+$AW$12&lt;pax_e)</f>
        <v>9.74</v>
      </c>
      <c r="BN3406" s="281">
        <f>$AX$12+seat_w*($AY$8*n_SA+$AW$12&lt;pax_e)</f>
        <v>1.8400000000000003</v>
      </c>
      <c r="BO3406" s="281">
        <f t="shared" si="187"/>
        <v>-8.0704799999999981</v>
      </c>
    </row>
    <row r="3407" spans="65:67" x14ac:dyDescent="0.25">
      <c r="BM3407" s="281">
        <f>$AZ$8+0.8*(seat_pitch)*($AY$8*n_SA+$AW$12&lt;pax_e)</f>
        <v>9.5779999999999994</v>
      </c>
      <c r="BN3407" s="281">
        <f>$AX$12+seat_w*($AY$8*n_SA+$AW$12&lt;pax_e)</f>
        <v>1.8400000000000003</v>
      </c>
      <c r="BO3407" s="281">
        <f t="shared" si="187"/>
        <v>-8.2324799999999989</v>
      </c>
    </row>
    <row r="3408" spans="65:67" x14ac:dyDescent="0.25">
      <c r="BM3408" s="281">
        <f>$AZ$8+0.8*(seat_pitch)*($AY$8*n_SA+$AW$12&lt;pax_e)</f>
        <v>9.5779999999999994</v>
      </c>
      <c r="BN3408" s="281">
        <f>$AX$12</f>
        <v>1.3100000000000003</v>
      </c>
      <c r="BO3408" s="281">
        <f t="shared" si="187"/>
        <v>-8.2324799999999989</v>
      </c>
    </row>
    <row r="3409" spans="65:67" x14ac:dyDescent="0.25">
      <c r="BM3409" s="281">
        <f>$AZ$8+0.2*(seat_pitch)*($AY$8*n_SA+$AW$12&lt;pax_e)</f>
        <v>9.0920000000000005</v>
      </c>
      <c r="BN3409" s="281">
        <f>$AX$12</f>
        <v>1.3100000000000003</v>
      </c>
      <c r="BO3409" s="281">
        <f t="shared" si="187"/>
        <v>-8.7184799999999978</v>
      </c>
    </row>
    <row r="3410" spans="65:67" x14ac:dyDescent="0.25">
      <c r="BM3410" s="281">
        <f>$AZ$8+(seat_pitch)</f>
        <v>9.74</v>
      </c>
      <c r="BN3410" s="281">
        <f>$AX$12</f>
        <v>1.3100000000000003</v>
      </c>
      <c r="BO3410" s="281">
        <f t="shared" si="187"/>
        <v>-8.0704799999999981</v>
      </c>
    </row>
    <row r="3411" spans="65:67" x14ac:dyDescent="0.25">
      <c r="BM3411" s="281">
        <f>$AZ$9+0.2*(seat_pitch)*($AY$9*n_SA+$AW$12&lt;pax_e)</f>
        <v>9.902000000000001</v>
      </c>
      <c r="BN3411" s="281">
        <f>$AX$12</f>
        <v>1.3100000000000003</v>
      </c>
      <c r="BO3411" s="281">
        <f t="shared" si="187"/>
        <v>-7.9084799999999973</v>
      </c>
    </row>
    <row r="3412" spans="65:67" x14ac:dyDescent="0.25">
      <c r="BM3412" s="281">
        <f>$AZ$9+0.2*(seat_pitch)*($AY$9*n_SA+$AW$12&lt;pax_e)</f>
        <v>9.902000000000001</v>
      </c>
      <c r="BN3412" s="281">
        <f>$AX$12+seat_w*($AY$9*n_SA+$AW$12&lt;pax_e)</f>
        <v>1.8400000000000003</v>
      </c>
      <c r="BO3412" s="281">
        <f t="shared" si="187"/>
        <v>-7.9084799999999973</v>
      </c>
    </row>
    <row r="3413" spans="65:67" x14ac:dyDescent="0.25">
      <c r="BM3413" s="281">
        <f>$AZ$9</f>
        <v>9.74</v>
      </c>
      <c r="BN3413" s="281">
        <f>$AX$12+seat_w*($AY$9*n_SA+$AW$12&lt;pax_e)</f>
        <v>1.8400000000000003</v>
      </c>
      <c r="BO3413" s="281">
        <f t="shared" si="187"/>
        <v>-8.0704799999999981</v>
      </c>
    </row>
    <row r="3414" spans="65:67" x14ac:dyDescent="0.25">
      <c r="BM3414" s="281">
        <f>$AZ$9+1*(seat_pitch)*($AY$9*n_SA+$AW$12&lt;pax_e)</f>
        <v>10.55</v>
      </c>
      <c r="BN3414" s="281">
        <f>$AX$12+seat_w*($AY$9*n_SA+$AW$12&lt;pax_e)</f>
        <v>1.8400000000000003</v>
      </c>
      <c r="BO3414" s="281">
        <f t="shared" si="187"/>
        <v>-7.2604799999999976</v>
      </c>
    </row>
    <row r="3415" spans="65:67" x14ac:dyDescent="0.25">
      <c r="BM3415" s="281">
        <f>$AZ$9+0.8*(seat_pitch)*($AY$9*n_SA+$AW$12&lt;pax_e)</f>
        <v>10.388</v>
      </c>
      <c r="BN3415" s="281">
        <f>$AX$12+seat_w*($AY$9*n_SA+$AW$12&lt;pax_e)</f>
        <v>1.8400000000000003</v>
      </c>
      <c r="BO3415" s="281">
        <f t="shared" si="187"/>
        <v>-7.4224799999999984</v>
      </c>
    </row>
    <row r="3416" spans="65:67" x14ac:dyDescent="0.25">
      <c r="BM3416" s="281">
        <f>$AZ$9+0.8*(seat_pitch)*($AY$9*n_SA+$AW$12&lt;pax_e)</f>
        <v>10.388</v>
      </c>
      <c r="BN3416" s="281">
        <f>$AX$12</f>
        <v>1.3100000000000003</v>
      </c>
      <c r="BO3416" s="281">
        <f t="shared" si="187"/>
        <v>-7.4224799999999984</v>
      </c>
    </row>
    <row r="3417" spans="65:67" x14ac:dyDescent="0.25">
      <c r="BM3417" s="281">
        <f>$AZ$9+0.2*(seat_pitch)*($AY$9*n_SA+$AW$12&lt;pax_e)</f>
        <v>9.902000000000001</v>
      </c>
      <c r="BN3417" s="281">
        <f>$AX$12</f>
        <v>1.3100000000000003</v>
      </c>
      <c r="BO3417" s="281">
        <f t="shared" si="187"/>
        <v>-7.9084799999999973</v>
      </c>
    </row>
    <row r="3418" spans="65:67" x14ac:dyDescent="0.25">
      <c r="BM3418" s="281">
        <f>$AZ$9+(seat_pitch)</f>
        <v>10.55</v>
      </c>
      <c r="BN3418" s="281">
        <f>$AX$12</f>
        <v>1.3100000000000003</v>
      </c>
      <c r="BO3418" s="281">
        <f t="shared" si="187"/>
        <v>-7.2604799999999976</v>
      </c>
    </row>
    <row r="3419" spans="65:67" x14ac:dyDescent="0.25">
      <c r="BM3419" s="281">
        <f>$AZ$10+0.2*(seat_pitch)*($AY$10*n_SA+$AW$12&lt;pax_e)</f>
        <v>10.712000000000002</v>
      </c>
      <c r="BN3419" s="281">
        <f>$AX$12</f>
        <v>1.3100000000000003</v>
      </c>
      <c r="BO3419" s="281">
        <f t="shared" si="187"/>
        <v>-7.0984799999999968</v>
      </c>
    </row>
    <row r="3420" spans="65:67" x14ac:dyDescent="0.25">
      <c r="BM3420" s="281">
        <f>$AZ$10+0.2*(seat_pitch)*($AY$10*n_SA+$AW$12&lt;pax_e)</f>
        <v>10.712000000000002</v>
      </c>
      <c r="BN3420" s="281">
        <f>$AX$12+seat_w*($AY$10*n_SA+$AW$12&lt;pax_e)</f>
        <v>1.8400000000000003</v>
      </c>
      <c r="BO3420" s="281">
        <f t="shared" si="187"/>
        <v>-7.0984799999999968</v>
      </c>
    </row>
    <row r="3421" spans="65:67" x14ac:dyDescent="0.25">
      <c r="BM3421" s="281">
        <f>$AZ$10</f>
        <v>10.55</v>
      </c>
      <c r="BN3421" s="281">
        <f>$AX$12+seat_w*($AY$10*n_SA+$AW$12&lt;pax_e)</f>
        <v>1.8400000000000003</v>
      </c>
      <c r="BO3421" s="281">
        <f t="shared" si="187"/>
        <v>-7.2604799999999976</v>
      </c>
    </row>
    <row r="3422" spans="65:67" x14ac:dyDescent="0.25">
      <c r="BM3422" s="281">
        <f>$AZ$10+1*(seat_pitch)*($AY$10*n_SA+$AW$12&lt;pax_e)</f>
        <v>11.360000000000001</v>
      </c>
      <c r="BN3422" s="281">
        <f>$AX$12+seat_w*($AY$10*n_SA+$AW$12&lt;pax_e)</f>
        <v>1.8400000000000003</v>
      </c>
      <c r="BO3422" s="281">
        <f t="shared" si="187"/>
        <v>-6.4504799999999971</v>
      </c>
    </row>
    <row r="3423" spans="65:67" x14ac:dyDescent="0.25">
      <c r="BM3423" s="281">
        <f>$AZ$10+0.8*(seat_pitch)*($AY$10*n_SA+$AW$12&lt;pax_e)</f>
        <v>11.198</v>
      </c>
      <c r="BN3423" s="281">
        <f>$AX$12+seat_w*($AY$10*n_SA+$AW$12&lt;pax_e)</f>
        <v>1.8400000000000003</v>
      </c>
      <c r="BO3423" s="281">
        <f t="shared" si="187"/>
        <v>-6.6124799999999979</v>
      </c>
    </row>
    <row r="3424" spans="65:67" x14ac:dyDescent="0.25">
      <c r="BM3424" s="281">
        <f>$AZ$10+0.8*(seat_pitch)*($AY$10*n_SA+$AW$12&lt;pax_e)</f>
        <v>11.198</v>
      </c>
      <c r="BN3424" s="281">
        <f>$AX$12</f>
        <v>1.3100000000000003</v>
      </c>
      <c r="BO3424" s="281">
        <f t="shared" si="187"/>
        <v>-6.6124799999999979</v>
      </c>
    </row>
    <row r="3425" spans="65:67" x14ac:dyDescent="0.25">
      <c r="BM3425" s="281">
        <f>$AZ$10+0.2*(seat_pitch)*($AY$10*n_SA+$AW$12&lt;pax_e)</f>
        <v>10.712000000000002</v>
      </c>
      <c r="BN3425" s="281">
        <f>$AX$12</f>
        <v>1.3100000000000003</v>
      </c>
      <c r="BO3425" s="281">
        <f t="shared" si="187"/>
        <v>-7.0984799999999968</v>
      </c>
    </row>
    <row r="3426" spans="65:67" x14ac:dyDescent="0.25">
      <c r="BM3426" s="281">
        <f>$AZ$10+(seat_pitch)</f>
        <v>11.360000000000001</v>
      </c>
      <c r="BN3426" s="281">
        <f>$AX$12</f>
        <v>1.3100000000000003</v>
      </c>
      <c r="BO3426" s="281">
        <f t="shared" si="187"/>
        <v>-6.4504799999999971</v>
      </c>
    </row>
    <row r="3427" spans="65:67" x14ac:dyDescent="0.25">
      <c r="BM3427" s="281">
        <f>$AZ$11+0.2*(seat_pitch)*($AY$11*n_SA+$AW$12&lt;pax_e)</f>
        <v>11.522</v>
      </c>
      <c r="BN3427" s="281">
        <f>$AX$12</f>
        <v>1.3100000000000003</v>
      </c>
      <c r="BO3427" s="281">
        <f t="shared" si="187"/>
        <v>-6.2884799999999981</v>
      </c>
    </row>
    <row r="3428" spans="65:67" x14ac:dyDescent="0.25">
      <c r="BM3428" s="281">
        <f>$AZ$11+0.2*(seat_pitch)*($AY$11*n_SA+$AW$12&lt;pax_e)</f>
        <v>11.522</v>
      </c>
      <c r="BN3428" s="281">
        <f>$AX$12+seat_w*($AY$11*n_SA+$AW$12&lt;pax_e)</f>
        <v>1.8400000000000003</v>
      </c>
      <c r="BO3428" s="281">
        <f t="shared" si="187"/>
        <v>-6.2884799999999981</v>
      </c>
    </row>
    <row r="3429" spans="65:67" x14ac:dyDescent="0.25">
      <c r="BM3429" s="281">
        <f>$AZ$11</f>
        <v>11.36</v>
      </c>
      <c r="BN3429" s="281">
        <f>$AX$12+seat_w*($AY$11*n_SA+$AW$12&lt;pax_e)</f>
        <v>1.8400000000000003</v>
      </c>
      <c r="BO3429" s="281">
        <f t="shared" si="187"/>
        <v>-6.4504799999999989</v>
      </c>
    </row>
    <row r="3430" spans="65:67" x14ac:dyDescent="0.25">
      <c r="BM3430" s="281">
        <f>$AZ$11+1*(seat_pitch)*($AY$11*n_SA+$AW$12&lt;pax_e)</f>
        <v>12.17</v>
      </c>
      <c r="BN3430" s="281">
        <f>$AX$12+seat_w*($AY$11*n_SA+$AW$12&lt;pax_e)</f>
        <v>1.8400000000000003</v>
      </c>
      <c r="BO3430" s="281">
        <f t="shared" si="187"/>
        <v>-5.6404799999999984</v>
      </c>
    </row>
    <row r="3431" spans="65:67" x14ac:dyDescent="0.25">
      <c r="BM3431" s="281">
        <f>$AZ$11+0.8*(seat_pitch)*($AY$11*n_SA+$AW$12&lt;pax_e)</f>
        <v>12.007999999999999</v>
      </c>
      <c r="BN3431" s="281">
        <f>$AX$12+seat_w*($AY$11*n_SA+$AW$12&lt;pax_e)</f>
        <v>1.8400000000000003</v>
      </c>
      <c r="BO3431" s="281">
        <f t="shared" si="187"/>
        <v>-5.8024799999999992</v>
      </c>
    </row>
    <row r="3432" spans="65:67" x14ac:dyDescent="0.25">
      <c r="BM3432" s="281">
        <f>$AZ$11+0.8*(seat_pitch)*($AY$11*n_SA+$AW$12&lt;pax_e)</f>
        <v>12.007999999999999</v>
      </c>
      <c r="BN3432" s="281">
        <f>$AX$12</f>
        <v>1.3100000000000003</v>
      </c>
      <c r="BO3432" s="281">
        <f t="shared" si="187"/>
        <v>-5.8024799999999992</v>
      </c>
    </row>
    <row r="3433" spans="65:67" x14ac:dyDescent="0.25">
      <c r="BM3433" s="281">
        <f>$AZ$11+0.2*(seat_pitch)*($AY$11*n_SA+$AW$12&lt;pax_e)</f>
        <v>11.522</v>
      </c>
      <c r="BN3433" s="281">
        <f>$AX$12</f>
        <v>1.3100000000000003</v>
      </c>
      <c r="BO3433" s="281">
        <f t="shared" si="187"/>
        <v>-6.2884799999999981</v>
      </c>
    </row>
    <row r="3434" spans="65:67" x14ac:dyDescent="0.25">
      <c r="BM3434" s="281">
        <f>$AZ$11+(seat_pitch)</f>
        <v>12.17</v>
      </c>
      <c r="BN3434" s="281">
        <f>$AX$12</f>
        <v>1.3100000000000003</v>
      </c>
      <c r="BO3434" s="281">
        <f t="shared" si="187"/>
        <v>-5.6404799999999984</v>
      </c>
    </row>
    <row r="3435" spans="65:67" x14ac:dyDescent="0.25">
      <c r="BM3435" s="281">
        <f>$AZ$12+0.2*(seat_pitch)*($AY$12*n_SA+$AW$12&lt;pax_e)</f>
        <v>12.332000000000001</v>
      </c>
      <c r="BN3435" s="281">
        <f>$AX$12</f>
        <v>1.3100000000000003</v>
      </c>
      <c r="BO3435" s="281">
        <f t="shared" si="187"/>
        <v>-5.4784799999999976</v>
      </c>
    </row>
    <row r="3436" spans="65:67" x14ac:dyDescent="0.25">
      <c r="BM3436" s="281">
        <f>$AZ$12+0.2*(seat_pitch)*($AY$12*n_SA+$AW$12&lt;pax_e)</f>
        <v>12.332000000000001</v>
      </c>
      <c r="BN3436" s="281">
        <f>$AX$12+seat_w*($AY$12*n_SA+$AW$12&lt;pax_e)</f>
        <v>1.8400000000000003</v>
      </c>
      <c r="BO3436" s="281">
        <f t="shared" si="187"/>
        <v>-5.4784799999999976</v>
      </c>
    </row>
    <row r="3437" spans="65:67" x14ac:dyDescent="0.25">
      <c r="BM3437" s="281">
        <f>$AZ$12</f>
        <v>12.17</v>
      </c>
      <c r="BN3437" s="281">
        <f>$AX$12+seat_w*($AY$12*n_SA+$AW$12&lt;pax_e)</f>
        <v>1.8400000000000003</v>
      </c>
      <c r="BO3437" s="281">
        <f t="shared" si="187"/>
        <v>-5.6404799999999984</v>
      </c>
    </row>
    <row r="3438" spans="65:67" x14ac:dyDescent="0.25">
      <c r="BM3438" s="281">
        <f>$AZ$12+1*(seat_pitch)*($AY$12*n_SA+$AW$12&lt;pax_e)</f>
        <v>12.98</v>
      </c>
      <c r="BN3438" s="281">
        <f>$AX$12+seat_w*($AY$12*n_SA+$AW$12&lt;pax_e)</f>
        <v>1.8400000000000003</v>
      </c>
      <c r="BO3438" s="281">
        <f t="shared" si="187"/>
        <v>-4.8304799999999979</v>
      </c>
    </row>
    <row r="3439" spans="65:67" x14ac:dyDescent="0.25">
      <c r="BM3439" s="281">
        <f>$AZ$12+0.8*(seat_pitch)*($AY$12*n_SA+$AW$12&lt;pax_e)</f>
        <v>12.818</v>
      </c>
      <c r="BN3439" s="281">
        <f>$AX$12+seat_w*($AY$12*n_SA+$AW$12&lt;pax_e)</f>
        <v>1.8400000000000003</v>
      </c>
      <c r="BO3439" s="281">
        <f t="shared" si="187"/>
        <v>-4.9924799999999987</v>
      </c>
    </row>
    <row r="3440" spans="65:67" x14ac:dyDescent="0.25">
      <c r="BM3440" s="281">
        <f>$AZ$12+0.8*(seat_pitch)*($AY$12*n_SA+$AW$12&lt;pax_e)</f>
        <v>12.818</v>
      </c>
      <c r="BN3440" s="281">
        <f>$AX$12</f>
        <v>1.3100000000000003</v>
      </c>
      <c r="BO3440" s="281">
        <f t="shared" si="187"/>
        <v>-4.9924799999999987</v>
      </c>
    </row>
    <row r="3441" spans="65:67" x14ac:dyDescent="0.25">
      <c r="BM3441" s="281">
        <f>$AZ$12+0.2*(seat_pitch)*($AY$12*n_SA+$AW$12&lt;pax_e)</f>
        <v>12.332000000000001</v>
      </c>
      <c r="BN3441" s="281">
        <f>$AX$12</f>
        <v>1.3100000000000003</v>
      </c>
      <c r="BO3441" s="281">
        <f t="shared" si="187"/>
        <v>-5.4784799999999976</v>
      </c>
    </row>
    <row r="3442" spans="65:67" x14ac:dyDescent="0.25">
      <c r="BM3442" s="281">
        <f>$AZ$12+(seat_pitch)</f>
        <v>12.98</v>
      </c>
      <c r="BN3442" s="281">
        <f>$AX$12</f>
        <v>1.3100000000000003</v>
      </c>
      <c r="BO3442" s="281">
        <f t="shared" si="187"/>
        <v>-4.8304799999999979</v>
      </c>
    </row>
    <row r="3443" spans="65:67" x14ac:dyDescent="0.25">
      <c r="BM3443" s="281">
        <f>$AZ$13+0.2*(seat_pitch)*($AY$13*n_SA+$AW$12&lt;pax_e)</f>
        <v>13.142000000000001</v>
      </c>
      <c r="BN3443" s="281">
        <f>$AX$12</f>
        <v>1.3100000000000003</v>
      </c>
      <c r="BO3443" s="281">
        <f t="shared" si="187"/>
        <v>-4.6684799999999971</v>
      </c>
    </row>
    <row r="3444" spans="65:67" x14ac:dyDescent="0.25">
      <c r="BM3444" s="281">
        <f>$AZ$13+0.2*(seat_pitch)*($AY$13*n_SA+$AW$12&lt;pax_e)</f>
        <v>13.142000000000001</v>
      </c>
      <c r="BN3444" s="281">
        <f>$AX$12+seat_w*($AY$13*n_SA+$AW$12&lt;pax_e)</f>
        <v>1.8400000000000003</v>
      </c>
      <c r="BO3444" s="281">
        <f t="shared" si="187"/>
        <v>-4.6684799999999971</v>
      </c>
    </row>
    <row r="3445" spans="65:67" x14ac:dyDescent="0.25">
      <c r="BM3445" s="281">
        <f>$AZ$13</f>
        <v>12.98</v>
      </c>
      <c r="BN3445" s="281">
        <f>$AX$12+seat_w*($AY$13*n_SA+$AW$12&lt;pax_e)</f>
        <v>1.8400000000000003</v>
      </c>
      <c r="BO3445" s="281">
        <f t="shared" si="187"/>
        <v>-4.8304799999999979</v>
      </c>
    </row>
    <row r="3446" spans="65:67" x14ac:dyDescent="0.25">
      <c r="BM3446" s="281">
        <f>$AZ$13+1*(seat_pitch)*($AY$13*n_SA+$AW$12&lt;pax_e)</f>
        <v>13.790000000000001</v>
      </c>
      <c r="BN3446" s="281">
        <f>$AX$12+seat_w*($AY$13*n_SA+$AW$12&lt;pax_e)</f>
        <v>1.8400000000000003</v>
      </c>
      <c r="BO3446" s="281">
        <f t="shared" si="187"/>
        <v>-4.0204799999999974</v>
      </c>
    </row>
    <row r="3447" spans="65:67" x14ac:dyDescent="0.25">
      <c r="BM3447" s="281">
        <f>$AZ$13+0.8*(seat_pitch)*($AY$13*n_SA+$AW$12&lt;pax_e)</f>
        <v>13.628</v>
      </c>
      <c r="BN3447" s="281">
        <f>$AX$12+seat_w*($AY$13*n_SA+$AW$12&lt;pax_e)</f>
        <v>1.8400000000000003</v>
      </c>
      <c r="BO3447" s="281">
        <f t="shared" si="187"/>
        <v>-4.1824799999999982</v>
      </c>
    </row>
    <row r="3448" spans="65:67" x14ac:dyDescent="0.25">
      <c r="BM3448" s="281">
        <f>$AZ$13+0.8*(seat_pitch)*($AY$13*n_SA+$AW$12&lt;pax_e)</f>
        <v>13.628</v>
      </c>
      <c r="BN3448" s="281">
        <f>$AX$12</f>
        <v>1.3100000000000003</v>
      </c>
      <c r="BO3448" s="281">
        <f t="shared" si="187"/>
        <v>-4.1824799999999982</v>
      </c>
    </row>
    <row r="3449" spans="65:67" x14ac:dyDescent="0.25">
      <c r="BM3449" s="281">
        <f>$AZ$13+0.2*(seat_pitch)*($AY$13*n_SA+$AW$12&lt;pax_e)</f>
        <v>13.142000000000001</v>
      </c>
      <c r="BN3449" s="281">
        <f>$AX$12</f>
        <v>1.3100000000000003</v>
      </c>
      <c r="BO3449" s="281">
        <f t="shared" si="187"/>
        <v>-4.6684799999999971</v>
      </c>
    </row>
    <row r="3450" spans="65:67" x14ac:dyDescent="0.25">
      <c r="BM3450" s="281">
        <f>$AZ$13+(seat_pitch)</f>
        <v>13.790000000000001</v>
      </c>
      <c r="BN3450" s="281">
        <f>$AX$12</f>
        <v>1.3100000000000003</v>
      </c>
      <c r="BO3450" s="281">
        <f t="shared" si="187"/>
        <v>-4.0204799999999974</v>
      </c>
    </row>
    <row r="3451" spans="65:67" x14ac:dyDescent="0.25">
      <c r="BM3451" s="281">
        <f>$AZ$14+0.2*(seat_pitch)*($AY$14*n_SA+$AW$12&lt;pax_e)</f>
        <v>13.952000000000002</v>
      </c>
      <c r="BN3451" s="281">
        <f>$AX$12</f>
        <v>1.3100000000000003</v>
      </c>
      <c r="BO3451" s="281">
        <f t="shared" si="187"/>
        <v>-3.8584799999999966</v>
      </c>
    </row>
    <row r="3452" spans="65:67" x14ac:dyDescent="0.25">
      <c r="BM3452" s="281">
        <f>$AZ$14+0.2*(seat_pitch)*($AY$14*n_SA+$AW$12&lt;pax_e)</f>
        <v>13.952000000000002</v>
      </c>
      <c r="BN3452" s="281">
        <f>$AX$12+seat_w*($AY$14*n_SA+$AW$12&lt;pax_e)</f>
        <v>1.8400000000000003</v>
      </c>
      <c r="BO3452" s="281">
        <f t="shared" si="187"/>
        <v>-3.8584799999999966</v>
      </c>
    </row>
    <row r="3453" spans="65:67" x14ac:dyDescent="0.25">
      <c r="BM3453" s="281">
        <f>$AZ$14</f>
        <v>13.790000000000001</v>
      </c>
      <c r="BN3453" s="281">
        <f>$AX$12+seat_w*($AY$14*n_SA+$AW$12&lt;pax_e)</f>
        <v>1.8400000000000003</v>
      </c>
      <c r="BO3453" s="281">
        <f t="shared" si="187"/>
        <v>-4.0204799999999974</v>
      </c>
    </row>
    <row r="3454" spans="65:67" x14ac:dyDescent="0.25">
      <c r="BM3454" s="281">
        <f>$AZ$14+1*(seat_pitch)*($AY$14*n_SA+$AW$12&lt;pax_e)</f>
        <v>14.600000000000001</v>
      </c>
      <c r="BN3454" s="281">
        <f>$AX$12+seat_w*($AY$14*n_SA+$AW$12&lt;pax_e)</f>
        <v>1.8400000000000003</v>
      </c>
      <c r="BO3454" s="281">
        <f t="shared" si="187"/>
        <v>-3.2104799999999969</v>
      </c>
    </row>
    <row r="3455" spans="65:67" x14ac:dyDescent="0.25">
      <c r="BM3455" s="281">
        <f>$AZ$14+0.8*(seat_pitch)*($AY$14*n_SA+$AW$12&lt;pax_e)</f>
        <v>14.438000000000001</v>
      </c>
      <c r="BN3455" s="281">
        <f>$AX$12+seat_w*($AY$14*n_SA+$AW$12&lt;pax_e)</f>
        <v>1.8400000000000003</v>
      </c>
      <c r="BO3455" s="281">
        <f t="shared" si="187"/>
        <v>-3.3724799999999977</v>
      </c>
    </row>
    <row r="3456" spans="65:67" x14ac:dyDescent="0.25">
      <c r="BM3456" s="281">
        <f>$AZ$14+0.8*(seat_pitch)*($AY$14*n_SA+$AW$12&lt;pax_e)</f>
        <v>14.438000000000001</v>
      </c>
      <c r="BN3456" s="281">
        <f>$AX$12</f>
        <v>1.3100000000000003</v>
      </c>
      <c r="BO3456" s="281">
        <f t="shared" si="187"/>
        <v>-3.3724799999999977</v>
      </c>
    </row>
    <row r="3457" spans="65:67" x14ac:dyDescent="0.25">
      <c r="BM3457" s="281">
        <f>$AZ$14+0.2*(seat_pitch)*($AY$14*n_SA+$AW$12&lt;pax_e)</f>
        <v>13.952000000000002</v>
      </c>
      <c r="BN3457" s="281">
        <f>$AX$12</f>
        <v>1.3100000000000003</v>
      </c>
      <c r="BO3457" s="281">
        <f t="shared" si="187"/>
        <v>-3.8584799999999966</v>
      </c>
    </row>
    <row r="3458" spans="65:67" x14ac:dyDescent="0.25">
      <c r="BM3458" s="281">
        <f>$AZ$14+(seat_pitch)</f>
        <v>14.600000000000001</v>
      </c>
      <c r="BN3458" s="281">
        <f>$AX$12</f>
        <v>1.3100000000000003</v>
      </c>
      <c r="BO3458" s="281">
        <f t="shared" si="187"/>
        <v>-3.2104799999999969</v>
      </c>
    </row>
    <row r="3459" spans="65:67" x14ac:dyDescent="0.25">
      <c r="BM3459" s="281">
        <f>$AZ$15+0.2*(seat_pitch)*($AY$15*n_SA+$AW$12&lt;pax_e)</f>
        <v>14.762000000000002</v>
      </c>
      <c r="BN3459" s="281">
        <f>$AX$12</f>
        <v>1.3100000000000003</v>
      </c>
      <c r="BO3459" s="281">
        <f t="shared" si="187"/>
        <v>-3.0484799999999961</v>
      </c>
    </row>
    <row r="3460" spans="65:67" x14ac:dyDescent="0.25">
      <c r="BM3460" s="281">
        <f>$AZ$15+0.2*(seat_pitch)*($AY$15*n_SA+$AW$12&lt;pax_e)</f>
        <v>14.762000000000002</v>
      </c>
      <c r="BN3460" s="281">
        <f>$AX$12+seat_w*($AY$15*n_SA+$AW$12&lt;pax_e)</f>
        <v>1.8400000000000003</v>
      </c>
      <c r="BO3460" s="281">
        <f t="shared" si="187"/>
        <v>-3.0484799999999961</v>
      </c>
    </row>
    <row r="3461" spans="65:67" x14ac:dyDescent="0.25">
      <c r="BM3461" s="281">
        <f>$AZ$15</f>
        <v>14.600000000000001</v>
      </c>
      <c r="BN3461" s="281">
        <f>$AX$12+seat_w*($AY$15*n_SA+$AW$12&lt;pax_e)</f>
        <v>1.8400000000000003</v>
      </c>
      <c r="BO3461" s="281">
        <f t="shared" ref="BO3461:BO3524" si="188">BM3461-L_fus/2</f>
        <v>-3.2104799999999969</v>
      </c>
    </row>
    <row r="3462" spans="65:67" x14ac:dyDescent="0.25">
      <c r="BM3462" s="281">
        <f>$AZ$15+1*(seat_pitch)*($AY$15*n_SA+$AW$12&lt;pax_e)</f>
        <v>15.410000000000002</v>
      </c>
      <c r="BN3462" s="281">
        <f>$AX$12+seat_w*($AY$15*n_SA+$AW$12&lt;pax_e)</f>
        <v>1.8400000000000003</v>
      </c>
      <c r="BO3462" s="281">
        <f t="shared" si="188"/>
        <v>-2.4004799999999964</v>
      </c>
    </row>
    <row r="3463" spans="65:67" x14ac:dyDescent="0.25">
      <c r="BM3463" s="281">
        <f>$AZ$15+0.8*(seat_pitch)*($AY$15*n_SA+$AW$12&lt;pax_e)</f>
        <v>15.248000000000001</v>
      </c>
      <c r="BN3463" s="281">
        <f>$AX$12+seat_w*($AY$15*n_SA+$AW$12&lt;pax_e)</f>
        <v>1.8400000000000003</v>
      </c>
      <c r="BO3463" s="281">
        <f t="shared" si="188"/>
        <v>-2.5624799999999972</v>
      </c>
    </row>
    <row r="3464" spans="65:67" x14ac:dyDescent="0.25">
      <c r="BM3464" s="281">
        <f>$AZ$15+0.8*(seat_pitch)*($AY$15*n_SA+$AW$12&lt;pax_e)</f>
        <v>15.248000000000001</v>
      </c>
      <c r="BN3464" s="281">
        <f>$AX$12</f>
        <v>1.3100000000000003</v>
      </c>
      <c r="BO3464" s="281">
        <f t="shared" si="188"/>
        <v>-2.5624799999999972</v>
      </c>
    </row>
    <row r="3465" spans="65:67" x14ac:dyDescent="0.25">
      <c r="BM3465" s="281">
        <f>$AZ$15+0.2*(seat_pitch)*($AY$15*n_SA+$AW$12&lt;pax_e)</f>
        <v>14.762000000000002</v>
      </c>
      <c r="BN3465" s="281">
        <f>$AX$12</f>
        <v>1.3100000000000003</v>
      </c>
      <c r="BO3465" s="281">
        <f t="shared" si="188"/>
        <v>-3.0484799999999961</v>
      </c>
    </row>
    <row r="3466" spans="65:67" x14ac:dyDescent="0.25">
      <c r="BM3466" s="281">
        <f>$AZ$15+(seat_pitch)</f>
        <v>15.410000000000002</v>
      </c>
      <c r="BN3466" s="281">
        <f>$AX$12</f>
        <v>1.3100000000000003</v>
      </c>
      <c r="BO3466" s="281">
        <f t="shared" si="188"/>
        <v>-2.4004799999999964</v>
      </c>
    </row>
    <row r="3467" spans="65:67" x14ac:dyDescent="0.25">
      <c r="BM3467" s="281">
        <f>$AZ$16+0.2*(seat_pitch)*($AY$16*n_SA+$AW$12&lt;pax_e)</f>
        <v>15.572000000000001</v>
      </c>
      <c r="BN3467" s="281">
        <f>$AX$12</f>
        <v>1.3100000000000003</v>
      </c>
      <c r="BO3467" s="281">
        <f t="shared" si="188"/>
        <v>-2.2384799999999974</v>
      </c>
    </row>
    <row r="3468" spans="65:67" x14ac:dyDescent="0.25">
      <c r="BM3468" s="281">
        <f>$AZ$16+0.2*(seat_pitch)*($AY$16*n_SA+$AW$12&lt;pax_e)</f>
        <v>15.572000000000001</v>
      </c>
      <c r="BN3468" s="281">
        <f>$AX$12+seat_w*($AY$16*n_SA+$AW$12&lt;pax_e)</f>
        <v>1.8400000000000003</v>
      </c>
      <c r="BO3468" s="281">
        <f t="shared" si="188"/>
        <v>-2.2384799999999974</v>
      </c>
    </row>
    <row r="3469" spans="65:67" x14ac:dyDescent="0.25">
      <c r="BM3469" s="281">
        <f>$AZ$16</f>
        <v>15.41</v>
      </c>
      <c r="BN3469" s="281">
        <f>$AX$12+seat_w*($AY$16*n_SA+$AW$12&lt;pax_e)</f>
        <v>1.8400000000000003</v>
      </c>
      <c r="BO3469" s="281">
        <f t="shared" si="188"/>
        <v>-2.4004799999999982</v>
      </c>
    </row>
    <row r="3470" spans="65:67" x14ac:dyDescent="0.25">
      <c r="BM3470" s="281">
        <f>$AZ$16+1*(seat_pitch)*($AY$16*n_SA+$AW$12&lt;pax_e)</f>
        <v>16.22</v>
      </c>
      <c r="BN3470" s="281">
        <f>$AX$12+seat_w*($AY$16*n_SA+$AW$12&lt;pax_e)</f>
        <v>1.8400000000000003</v>
      </c>
      <c r="BO3470" s="281">
        <f t="shared" si="188"/>
        <v>-1.5904799999999994</v>
      </c>
    </row>
    <row r="3471" spans="65:67" x14ac:dyDescent="0.25">
      <c r="BM3471" s="281">
        <f>$AZ$16+0.8*(seat_pitch)*($AY$16*n_SA+$AW$12&lt;pax_e)</f>
        <v>16.058</v>
      </c>
      <c r="BN3471" s="281">
        <f>$AX$12+seat_w*($AY$16*n_SA+$AW$12&lt;pax_e)</f>
        <v>1.8400000000000003</v>
      </c>
      <c r="BO3471" s="281">
        <f t="shared" si="188"/>
        <v>-1.7524799999999985</v>
      </c>
    </row>
    <row r="3472" spans="65:67" x14ac:dyDescent="0.25">
      <c r="BM3472" s="281">
        <f>$AZ$16+0.8*(seat_pitch)*($AY$16*n_SA+$AW$12&lt;pax_e)</f>
        <v>16.058</v>
      </c>
      <c r="BN3472" s="281">
        <f>$AX$12</f>
        <v>1.3100000000000003</v>
      </c>
      <c r="BO3472" s="281">
        <f t="shared" si="188"/>
        <v>-1.7524799999999985</v>
      </c>
    </row>
    <row r="3473" spans="65:67" x14ac:dyDescent="0.25">
      <c r="BM3473" s="281">
        <f>$AZ$16+0.2*(seat_pitch)*($AY$16*n_SA+$AW$12&lt;pax_e)</f>
        <v>15.572000000000001</v>
      </c>
      <c r="BN3473" s="281">
        <f>$AX$12</f>
        <v>1.3100000000000003</v>
      </c>
      <c r="BO3473" s="281">
        <f t="shared" si="188"/>
        <v>-2.2384799999999974</v>
      </c>
    </row>
    <row r="3474" spans="65:67" x14ac:dyDescent="0.25">
      <c r="BM3474" s="281">
        <f>$AZ$16+(seat_pitch)</f>
        <v>16.22</v>
      </c>
      <c r="BN3474" s="281">
        <f>$AX$12</f>
        <v>1.3100000000000003</v>
      </c>
      <c r="BO3474" s="281">
        <f t="shared" si="188"/>
        <v>-1.5904799999999994</v>
      </c>
    </row>
    <row r="3475" spans="65:67" x14ac:dyDescent="0.25">
      <c r="BM3475" s="281">
        <f>$AZ$17+0.2*(seat_pitch)*($AY$17*n_SA+$AW$12&lt;pax_e)</f>
        <v>16.381999999999998</v>
      </c>
      <c r="BN3475" s="281">
        <f>$AX$12</f>
        <v>1.3100000000000003</v>
      </c>
      <c r="BO3475" s="281">
        <f t="shared" si="188"/>
        <v>-1.4284800000000004</v>
      </c>
    </row>
    <row r="3476" spans="65:67" x14ac:dyDescent="0.25">
      <c r="BM3476" s="281">
        <f>$AZ$17+0.2*(seat_pitch)*($AY$17*n_SA+$AW$12&lt;pax_e)</f>
        <v>16.381999999999998</v>
      </c>
      <c r="BN3476" s="281">
        <f>$AX$12+seat_w*($AY$17*n_SA+$AW$12&lt;pax_e)</f>
        <v>1.8400000000000003</v>
      </c>
      <c r="BO3476" s="281">
        <f t="shared" si="188"/>
        <v>-1.4284800000000004</v>
      </c>
    </row>
    <row r="3477" spans="65:67" x14ac:dyDescent="0.25">
      <c r="BM3477" s="281">
        <f>$AZ$17</f>
        <v>16.22</v>
      </c>
      <c r="BN3477" s="281">
        <f>$AX$12+seat_w*($AY$17*n_SA+$AW$12&lt;pax_e)</f>
        <v>1.8400000000000003</v>
      </c>
      <c r="BO3477" s="281">
        <f t="shared" si="188"/>
        <v>-1.5904799999999994</v>
      </c>
    </row>
    <row r="3478" spans="65:67" x14ac:dyDescent="0.25">
      <c r="BM3478" s="281">
        <f>$AZ$17+1*(seat_pitch)*($AY$17*n_SA+$AW$12&lt;pax_e)</f>
        <v>17.029999999999998</v>
      </c>
      <c r="BN3478" s="281">
        <f>$AX$12+seat_w*($AY$17*n_SA+$AW$12&lt;pax_e)</f>
        <v>1.8400000000000003</v>
      </c>
      <c r="BO3478" s="281">
        <f t="shared" si="188"/>
        <v>-0.78048000000000073</v>
      </c>
    </row>
    <row r="3479" spans="65:67" x14ac:dyDescent="0.25">
      <c r="BM3479" s="281">
        <f>$AZ$17+0.8*(seat_pitch)*($AY$17*n_SA+$AW$12&lt;pax_e)</f>
        <v>16.867999999999999</v>
      </c>
      <c r="BN3479" s="281">
        <f>$AX$12+seat_w*($AY$17*n_SA+$AW$12&lt;pax_e)</f>
        <v>1.8400000000000003</v>
      </c>
      <c r="BO3479" s="281">
        <f t="shared" si="188"/>
        <v>-0.94247999999999976</v>
      </c>
    </row>
    <row r="3480" spans="65:67" x14ac:dyDescent="0.25">
      <c r="BM3480" s="281">
        <f>$AZ$17+0.8*(seat_pitch)*($AY$17*n_SA+$AW$12&lt;pax_e)</f>
        <v>16.867999999999999</v>
      </c>
      <c r="BN3480" s="281">
        <f>$AX$12</f>
        <v>1.3100000000000003</v>
      </c>
      <c r="BO3480" s="281">
        <f t="shared" si="188"/>
        <v>-0.94247999999999976</v>
      </c>
    </row>
    <row r="3481" spans="65:67" x14ac:dyDescent="0.25">
      <c r="BM3481" s="281">
        <f>$AZ$17+0.2*(seat_pitch)*($AY$17*n_SA+$AW$12&lt;pax_e)</f>
        <v>16.381999999999998</v>
      </c>
      <c r="BN3481" s="281">
        <f>$AX$12</f>
        <v>1.3100000000000003</v>
      </c>
      <c r="BO3481" s="281">
        <f t="shared" si="188"/>
        <v>-1.4284800000000004</v>
      </c>
    </row>
    <row r="3482" spans="65:67" x14ac:dyDescent="0.25">
      <c r="BM3482" s="281">
        <f>$AZ$17+(seat_pitch)</f>
        <v>17.029999999999998</v>
      </c>
      <c r="BN3482" s="281">
        <f>$AX$12</f>
        <v>1.3100000000000003</v>
      </c>
      <c r="BO3482" s="281">
        <f t="shared" si="188"/>
        <v>-0.78048000000000073</v>
      </c>
    </row>
    <row r="3483" spans="65:67" x14ac:dyDescent="0.25">
      <c r="BM3483" s="281">
        <f>$AZ$18+0.2*(seat_pitch)*($AY$18*n_SA+$AW$12&lt;pax_e)</f>
        <v>17.192</v>
      </c>
      <c r="BN3483" s="281">
        <f>$AX$12</f>
        <v>1.3100000000000003</v>
      </c>
      <c r="BO3483" s="281">
        <f t="shared" si="188"/>
        <v>-0.61847999999999814</v>
      </c>
    </row>
    <row r="3484" spans="65:67" x14ac:dyDescent="0.25">
      <c r="BM3484" s="281">
        <f>$AZ$18+0.2*(seat_pitch)*($AY$18*n_SA+$AW$12&lt;pax_e)</f>
        <v>17.192</v>
      </c>
      <c r="BN3484" s="281">
        <f>$AX$12+seat_w*($AY$18*n_SA+$AW$12&lt;pax_e)</f>
        <v>1.8400000000000003</v>
      </c>
      <c r="BO3484" s="281">
        <f t="shared" si="188"/>
        <v>-0.61847999999999814</v>
      </c>
    </row>
    <row r="3485" spans="65:67" x14ac:dyDescent="0.25">
      <c r="BM3485" s="281">
        <f>$AZ$18</f>
        <v>17.03</v>
      </c>
      <c r="BN3485" s="281">
        <f>$AX$12+seat_w*($AY$18*n_SA+$AW$12&lt;pax_e)</f>
        <v>1.8400000000000003</v>
      </c>
      <c r="BO3485" s="281">
        <f t="shared" si="188"/>
        <v>-0.78047999999999718</v>
      </c>
    </row>
    <row r="3486" spans="65:67" x14ac:dyDescent="0.25">
      <c r="BM3486" s="281">
        <f>$AZ$18+1*(seat_pitch)*($AY$18*n_SA+$AW$12&lt;pax_e)</f>
        <v>17.84</v>
      </c>
      <c r="BN3486" s="281">
        <f>$AX$12+seat_w*($AY$18*n_SA+$AW$12&lt;pax_e)</f>
        <v>1.8400000000000003</v>
      </c>
      <c r="BO3486" s="281">
        <f t="shared" si="188"/>
        <v>2.9520000000001545E-2</v>
      </c>
    </row>
    <row r="3487" spans="65:67" x14ac:dyDescent="0.25">
      <c r="BM3487" s="281">
        <f>$AZ$18+0.8*(seat_pitch)*($AY$18*n_SA+$AW$12&lt;pax_e)</f>
        <v>17.678000000000001</v>
      </c>
      <c r="BN3487" s="281">
        <f>$AX$12+seat_w*($AY$18*n_SA+$AW$12&lt;pax_e)</f>
        <v>1.8400000000000003</v>
      </c>
      <c r="BO3487" s="281">
        <f t="shared" si="188"/>
        <v>-0.13247999999999749</v>
      </c>
    </row>
    <row r="3488" spans="65:67" x14ac:dyDescent="0.25">
      <c r="BM3488" s="281">
        <f>$AZ$18+0.8*(seat_pitch)*($AY$18*n_SA+$AW$12&lt;pax_e)</f>
        <v>17.678000000000001</v>
      </c>
      <c r="BN3488" s="281">
        <f>$AX$12</f>
        <v>1.3100000000000003</v>
      </c>
      <c r="BO3488" s="281">
        <f t="shared" si="188"/>
        <v>-0.13247999999999749</v>
      </c>
    </row>
    <row r="3489" spans="65:67" x14ac:dyDescent="0.25">
      <c r="BM3489" s="281">
        <f>$AZ$18+0.2*(seat_pitch)*($AY$18*n_SA+$AW$12&lt;pax_e)</f>
        <v>17.192</v>
      </c>
      <c r="BN3489" s="281">
        <f>$AX$12</f>
        <v>1.3100000000000003</v>
      </c>
      <c r="BO3489" s="281">
        <f t="shared" si="188"/>
        <v>-0.61847999999999814</v>
      </c>
    </row>
    <row r="3490" spans="65:67" x14ac:dyDescent="0.25">
      <c r="BM3490" s="281">
        <f>$AZ$18+(seat_pitch)</f>
        <v>17.84</v>
      </c>
      <c r="BN3490" s="281">
        <f>$AX$12</f>
        <v>1.3100000000000003</v>
      </c>
      <c r="BO3490" s="281">
        <f t="shared" si="188"/>
        <v>2.9520000000001545E-2</v>
      </c>
    </row>
    <row r="3491" spans="65:67" x14ac:dyDescent="0.25">
      <c r="BM3491" s="281">
        <f>$AZ$19+0.2*(seat_pitch)*($AY$19*n_SA+$AW$12&lt;pax_e)</f>
        <v>18.001999999999999</v>
      </c>
      <c r="BN3491" s="281">
        <f>$AX$12</f>
        <v>1.3100000000000003</v>
      </c>
      <c r="BO3491" s="281">
        <f t="shared" si="188"/>
        <v>0.19152000000000058</v>
      </c>
    </row>
    <row r="3492" spans="65:67" x14ac:dyDescent="0.25">
      <c r="BM3492" s="281">
        <f>$AZ$19+0.2*(seat_pitch)*($AY$19*n_SA+$AW$12&lt;pax_e)</f>
        <v>18.001999999999999</v>
      </c>
      <c r="BN3492" s="281">
        <f>$AX$12+seat_w*($AY$19*n_SA+$AW$12&lt;pax_e)</f>
        <v>1.8400000000000003</v>
      </c>
      <c r="BO3492" s="281">
        <f t="shared" si="188"/>
        <v>0.19152000000000058</v>
      </c>
    </row>
    <row r="3493" spans="65:67" x14ac:dyDescent="0.25">
      <c r="BM3493" s="281">
        <f>$AZ$19</f>
        <v>17.84</v>
      </c>
      <c r="BN3493" s="281">
        <f>$AX$12+seat_w*($AY$19*n_SA+$AW$12&lt;pax_e)</f>
        <v>1.8400000000000003</v>
      </c>
      <c r="BO3493" s="281">
        <f t="shared" si="188"/>
        <v>2.9520000000001545E-2</v>
      </c>
    </row>
    <row r="3494" spans="65:67" x14ac:dyDescent="0.25">
      <c r="BM3494" s="281">
        <f>$AZ$19+1*(seat_pitch)*($AY$19*n_SA+$AW$12&lt;pax_e)</f>
        <v>18.649999999999999</v>
      </c>
      <c r="BN3494" s="281">
        <f>$AX$12+seat_w*($AY$19*n_SA+$AW$12&lt;pax_e)</f>
        <v>1.8400000000000003</v>
      </c>
      <c r="BO3494" s="281">
        <f t="shared" si="188"/>
        <v>0.83952000000000027</v>
      </c>
    </row>
    <row r="3495" spans="65:67" x14ac:dyDescent="0.25">
      <c r="BM3495" s="281">
        <f>$AZ$19+0.8*(seat_pitch)*($AY$19*n_SA+$AW$12&lt;pax_e)</f>
        <v>18.488</v>
      </c>
      <c r="BN3495" s="281">
        <f>$AX$12+seat_w*($AY$19*n_SA+$AW$12&lt;pax_e)</f>
        <v>1.8400000000000003</v>
      </c>
      <c r="BO3495" s="281">
        <f t="shared" si="188"/>
        <v>0.67752000000000123</v>
      </c>
    </row>
    <row r="3496" spans="65:67" x14ac:dyDescent="0.25">
      <c r="BM3496" s="281">
        <f>$AZ$19+0.8*(seat_pitch)*($AY$19*n_SA+$AW$12&lt;pax_e)</f>
        <v>18.488</v>
      </c>
      <c r="BN3496" s="281">
        <f>$AX$12</f>
        <v>1.3100000000000003</v>
      </c>
      <c r="BO3496" s="281">
        <f t="shared" si="188"/>
        <v>0.67752000000000123</v>
      </c>
    </row>
    <row r="3497" spans="65:67" x14ac:dyDescent="0.25">
      <c r="BM3497" s="281">
        <f>$AZ$19+0.2*(seat_pitch)*($AY$19*n_SA+$AW$12&lt;pax_e)</f>
        <v>18.001999999999999</v>
      </c>
      <c r="BN3497" s="281">
        <f>$AX$12</f>
        <v>1.3100000000000003</v>
      </c>
      <c r="BO3497" s="281">
        <f t="shared" si="188"/>
        <v>0.19152000000000058</v>
      </c>
    </row>
    <row r="3498" spans="65:67" x14ac:dyDescent="0.25">
      <c r="BM3498" s="281">
        <f>$AZ$19+(seat_pitch)</f>
        <v>18.649999999999999</v>
      </c>
      <c r="BN3498" s="281">
        <f>$AX$12</f>
        <v>1.3100000000000003</v>
      </c>
      <c r="BO3498" s="281">
        <f t="shared" si="188"/>
        <v>0.83952000000000027</v>
      </c>
    </row>
    <row r="3499" spans="65:67" x14ac:dyDescent="0.25">
      <c r="BM3499" s="281">
        <f>$AZ$20+0.2*(seat_pitch)*($AY$20*n_SA+$AW$12&lt;pax_e)</f>
        <v>18.811999999999998</v>
      </c>
      <c r="BN3499" s="281">
        <f>$AX$12</f>
        <v>1.3100000000000003</v>
      </c>
      <c r="BO3499" s="281">
        <f t="shared" si="188"/>
        <v>1.0015199999999993</v>
      </c>
    </row>
    <row r="3500" spans="65:67" x14ac:dyDescent="0.25">
      <c r="BM3500" s="281">
        <f>$AZ$20+0.2*(seat_pitch)*($AY$20*n_SA+$AW$12&lt;pax_e)</f>
        <v>18.811999999999998</v>
      </c>
      <c r="BN3500" s="281">
        <f>$AX$12+seat_w*($AY$20*n_SA+$AW$12&lt;pax_e)</f>
        <v>1.8400000000000003</v>
      </c>
      <c r="BO3500" s="281">
        <f t="shared" si="188"/>
        <v>1.0015199999999993</v>
      </c>
    </row>
    <row r="3501" spans="65:67" x14ac:dyDescent="0.25">
      <c r="BM3501" s="281">
        <f>$AZ$20</f>
        <v>18.649999999999999</v>
      </c>
      <c r="BN3501" s="281">
        <f>$AX$12+seat_w*($AY$20*n_SA+$AW$12&lt;pax_e)</f>
        <v>1.8400000000000003</v>
      </c>
      <c r="BO3501" s="281">
        <f t="shared" si="188"/>
        <v>0.83952000000000027</v>
      </c>
    </row>
    <row r="3502" spans="65:67" x14ac:dyDescent="0.25">
      <c r="BM3502" s="281">
        <f>$AZ$20+1*(seat_pitch)*($AY$20*n_SA+$AW$12&lt;pax_e)</f>
        <v>19.459999999999997</v>
      </c>
      <c r="BN3502" s="281">
        <f>$AX$12+seat_w*($AY$20*n_SA+$AW$12&lt;pax_e)</f>
        <v>1.8400000000000003</v>
      </c>
      <c r="BO3502" s="281">
        <f t="shared" si="188"/>
        <v>1.649519999999999</v>
      </c>
    </row>
    <row r="3503" spans="65:67" x14ac:dyDescent="0.25">
      <c r="BM3503" s="281">
        <f>$AZ$20+0.8*(seat_pitch)*($AY$20*n_SA+$AW$12&lt;pax_e)</f>
        <v>19.297999999999998</v>
      </c>
      <c r="BN3503" s="281">
        <f>$AX$12+seat_w*($AY$20*n_SA+$AW$12&lt;pax_e)</f>
        <v>1.8400000000000003</v>
      </c>
      <c r="BO3503" s="281">
        <f t="shared" si="188"/>
        <v>1.48752</v>
      </c>
    </row>
    <row r="3504" spans="65:67" x14ac:dyDescent="0.25">
      <c r="BM3504" s="281">
        <f>$AZ$20+0.8*(seat_pitch)*($AY$20*n_SA+$AW$12&lt;pax_e)</f>
        <v>19.297999999999998</v>
      </c>
      <c r="BN3504" s="281">
        <f>$AX$12</f>
        <v>1.3100000000000003</v>
      </c>
      <c r="BO3504" s="281">
        <f t="shared" si="188"/>
        <v>1.48752</v>
      </c>
    </row>
    <row r="3505" spans="65:67" x14ac:dyDescent="0.25">
      <c r="BM3505" s="281">
        <f>$AZ$20+0.2*(seat_pitch)*($AY$20*n_SA+$AW$12&lt;pax_e)</f>
        <v>18.811999999999998</v>
      </c>
      <c r="BN3505" s="281">
        <f>$AX$12</f>
        <v>1.3100000000000003</v>
      </c>
      <c r="BO3505" s="281">
        <f t="shared" si="188"/>
        <v>1.0015199999999993</v>
      </c>
    </row>
    <row r="3506" spans="65:67" x14ac:dyDescent="0.25">
      <c r="BM3506" s="281">
        <f>$AZ$20+(seat_pitch)</f>
        <v>19.459999999999997</v>
      </c>
      <c r="BN3506" s="281">
        <f>$AX$12</f>
        <v>1.3100000000000003</v>
      </c>
      <c r="BO3506" s="281">
        <f t="shared" si="188"/>
        <v>1.649519999999999</v>
      </c>
    </row>
    <row r="3507" spans="65:67" x14ac:dyDescent="0.25">
      <c r="BM3507" s="281">
        <f>$AZ$21+0.2*(seat_pitch)*($AY$21*n_SA+$AW$12&lt;pax_e)</f>
        <v>19.622</v>
      </c>
      <c r="BN3507" s="281">
        <f>$AX$12</f>
        <v>1.3100000000000003</v>
      </c>
      <c r="BO3507" s="281">
        <f t="shared" si="188"/>
        <v>1.8115200000000016</v>
      </c>
    </row>
    <row r="3508" spans="65:67" x14ac:dyDescent="0.25">
      <c r="BM3508" s="281">
        <f>$AZ$21+0.2*(seat_pitch)*($AY$21*n_SA+$AW$12&lt;pax_e)</f>
        <v>19.622</v>
      </c>
      <c r="BN3508" s="281">
        <f>$AX$12+seat_w*($AY$21*n_SA+$AW$12&lt;pax_e)</f>
        <v>1.8400000000000003</v>
      </c>
      <c r="BO3508" s="281">
        <f t="shared" si="188"/>
        <v>1.8115200000000016</v>
      </c>
    </row>
    <row r="3509" spans="65:67" x14ac:dyDescent="0.25">
      <c r="BM3509" s="281">
        <f>$AZ$21</f>
        <v>19.46</v>
      </c>
      <c r="BN3509" s="281">
        <f>$AX$12+seat_w*($AY$21*n_SA+$AW$12&lt;pax_e)</f>
        <v>1.8400000000000003</v>
      </c>
      <c r="BO3509" s="281">
        <f t="shared" si="188"/>
        <v>1.6495200000000025</v>
      </c>
    </row>
    <row r="3510" spans="65:67" x14ac:dyDescent="0.25">
      <c r="BM3510" s="281">
        <f>$AZ$21+1*(seat_pitch)*($AY$21*n_SA+$AW$12&lt;pax_e)</f>
        <v>20.27</v>
      </c>
      <c r="BN3510" s="281">
        <f>$AX$12+seat_w*($AY$21*n_SA+$AW$12&lt;pax_e)</f>
        <v>1.8400000000000003</v>
      </c>
      <c r="BO3510" s="281">
        <f t="shared" si="188"/>
        <v>2.4595200000000013</v>
      </c>
    </row>
    <row r="3511" spans="65:67" x14ac:dyDescent="0.25">
      <c r="BM3511" s="281">
        <f>$AZ$21+0.8*(seat_pitch)*($AY$21*n_SA+$AW$12&lt;pax_e)</f>
        <v>20.108000000000001</v>
      </c>
      <c r="BN3511" s="281">
        <f>$AX$12+seat_w*($AY$21*n_SA+$AW$12&lt;pax_e)</f>
        <v>1.8400000000000003</v>
      </c>
      <c r="BO3511" s="281">
        <f t="shared" si="188"/>
        <v>2.2975200000000022</v>
      </c>
    </row>
    <row r="3512" spans="65:67" x14ac:dyDescent="0.25">
      <c r="BM3512" s="281">
        <f>$AZ$21+0.8*(seat_pitch)*($AY$21*n_SA+$AW$12&lt;pax_e)</f>
        <v>20.108000000000001</v>
      </c>
      <c r="BN3512" s="281">
        <f>$AX$12</f>
        <v>1.3100000000000003</v>
      </c>
      <c r="BO3512" s="281">
        <f t="shared" si="188"/>
        <v>2.2975200000000022</v>
      </c>
    </row>
    <row r="3513" spans="65:67" x14ac:dyDescent="0.25">
      <c r="BM3513" s="281">
        <f>$AZ$21+0.2*(seat_pitch)*($AY$21*n_SA+$AW$12&lt;pax_e)</f>
        <v>19.622</v>
      </c>
      <c r="BN3513" s="281">
        <f>$AX$12</f>
        <v>1.3100000000000003</v>
      </c>
      <c r="BO3513" s="281">
        <f t="shared" si="188"/>
        <v>1.8115200000000016</v>
      </c>
    </row>
    <row r="3514" spans="65:67" x14ac:dyDescent="0.25">
      <c r="BM3514" s="281">
        <f>$AZ$21+(seat_pitch)</f>
        <v>20.27</v>
      </c>
      <c r="BN3514" s="281">
        <f>$AX$12</f>
        <v>1.3100000000000003</v>
      </c>
      <c r="BO3514" s="281">
        <f t="shared" si="188"/>
        <v>2.4595200000000013</v>
      </c>
    </row>
    <row r="3515" spans="65:67" x14ac:dyDescent="0.25">
      <c r="BM3515" s="281">
        <f>$AZ$22+0.2*(seat_pitch)*($AY$22*n_SA+$AW$12&lt;pax_e)</f>
        <v>20.432000000000002</v>
      </c>
      <c r="BN3515" s="281">
        <f>$AX$12</f>
        <v>1.3100000000000003</v>
      </c>
      <c r="BO3515" s="281">
        <f t="shared" si="188"/>
        <v>2.6215200000000038</v>
      </c>
    </row>
    <row r="3516" spans="65:67" x14ac:dyDescent="0.25">
      <c r="BM3516" s="281">
        <f>$AZ$22+0.2*(seat_pitch)*($AY$22*n_SA+$AW$12&lt;pax_e)</f>
        <v>20.432000000000002</v>
      </c>
      <c r="BN3516" s="281">
        <f>$AX$12+seat_w*($AY$22*n_SA+$AW$12&lt;pax_e)</f>
        <v>1.8400000000000003</v>
      </c>
      <c r="BO3516" s="281">
        <f t="shared" si="188"/>
        <v>2.6215200000000038</v>
      </c>
    </row>
    <row r="3517" spans="65:67" x14ac:dyDescent="0.25">
      <c r="BM3517" s="281">
        <f>$AZ$22</f>
        <v>20.270000000000003</v>
      </c>
      <c r="BN3517" s="281">
        <f>$AX$12+seat_w*($AY$22*n_SA+$AW$12&lt;pax_e)</f>
        <v>1.8400000000000003</v>
      </c>
      <c r="BO3517" s="281">
        <f t="shared" si="188"/>
        <v>2.4595200000000048</v>
      </c>
    </row>
    <row r="3518" spans="65:67" x14ac:dyDescent="0.25">
      <c r="BM3518" s="281">
        <f>$AZ$22+1*(seat_pitch)*($AY$22*n_SA+$AW$12&lt;pax_e)</f>
        <v>21.080000000000002</v>
      </c>
      <c r="BN3518" s="281">
        <f>$AX$12+seat_w*($AY$22*n_SA+$AW$12&lt;pax_e)</f>
        <v>1.8400000000000003</v>
      </c>
      <c r="BO3518" s="281">
        <f t="shared" si="188"/>
        <v>3.2695200000000035</v>
      </c>
    </row>
    <row r="3519" spans="65:67" x14ac:dyDescent="0.25">
      <c r="BM3519" s="281">
        <f>$AZ$22+0.8*(seat_pitch)*($AY$22*n_SA+$AW$12&lt;pax_e)</f>
        <v>20.918000000000003</v>
      </c>
      <c r="BN3519" s="281">
        <f>$AX$12+seat_w*($AY$22*n_SA+$AW$12&lt;pax_e)</f>
        <v>1.8400000000000003</v>
      </c>
      <c r="BO3519" s="281">
        <f t="shared" si="188"/>
        <v>3.1075200000000045</v>
      </c>
    </row>
    <row r="3520" spans="65:67" x14ac:dyDescent="0.25">
      <c r="BM3520" s="281">
        <f>$AZ$22+0.8*(seat_pitch)*($AY$22*n_SA+$AW$12&lt;pax_e)</f>
        <v>20.918000000000003</v>
      </c>
      <c r="BN3520" s="281">
        <f>$AX$12</f>
        <v>1.3100000000000003</v>
      </c>
      <c r="BO3520" s="281">
        <f t="shared" si="188"/>
        <v>3.1075200000000045</v>
      </c>
    </row>
    <row r="3521" spans="65:67" x14ac:dyDescent="0.25">
      <c r="BM3521" s="281">
        <f>$AZ$22+0.2*(seat_pitch)*($AY$22*n_SA+$AW$12&lt;pax_e)</f>
        <v>20.432000000000002</v>
      </c>
      <c r="BN3521" s="281">
        <f>$AX$12</f>
        <v>1.3100000000000003</v>
      </c>
      <c r="BO3521" s="281">
        <f t="shared" si="188"/>
        <v>2.6215200000000038</v>
      </c>
    </row>
    <row r="3522" spans="65:67" x14ac:dyDescent="0.25">
      <c r="BM3522" s="281">
        <f>$AZ$22+(seat_pitch)</f>
        <v>21.080000000000002</v>
      </c>
      <c r="BN3522" s="281">
        <f>$AX$12</f>
        <v>1.3100000000000003</v>
      </c>
      <c r="BO3522" s="281">
        <f t="shared" si="188"/>
        <v>3.2695200000000035</v>
      </c>
    </row>
    <row r="3523" spans="65:67" x14ac:dyDescent="0.25">
      <c r="BM3523" s="281">
        <f>$AZ$23+0.2*(seat_pitch)*($AY$23*n_SA+$AW$12&lt;pax_e)</f>
        <v>21.242000000000001</v>
      </c>
      <c r="BN3523" s="281">
        <f>$AX$12</f>
        <v>1.3100000000000003</v>
      </c>
      <c r="BO3523" s="281">
        <f t="shared" si="188"/>
        <v>3.4315200000000026</v>
      </c>
    </row>
    <row r="3524" spans="65:67" x14ac:dyDescent="0.25">
      <c r="BM3524" s="281">
        <f>$AZ$23+0.2*(seat_pitch)*($AY$23*n_SA+$AW$12&lt;pax_e)</f>
        <v>21.242000000000001</v>
      </c>
      <c r="BN3524" s="281">
        <f>$AX$12+seat_w*($AY$23*n_SA+$AW$12&lt;pax_e)</f>
        <v>1.8400000000000003</v>
      </c>
      <c r="BO3524" s="281">
        <f t="shared" si="188"/>
        <v>3.4315200000000026</v>
      </c>
    </row>
    <row r="3525" spans="65:67" x14ac:dyDescent="0.25">
      <c r="BM3525" s="281">
        <f>$AZ$23</f>
        <v>21.080000000000002</v>
      </c>
      <c r="BN3525" s="281">
        <f>$AX$12+seat_w*($AY$23*n_SA+$AW$12&lt;pax_e)</f>
        <v>1.8400000000000003</v>
      </c>
      <c r="BO3525" s="281">
        <f t="shared" ref="BO3525:BO3588" si="189">BM3525-L_fus/2</f>
        <v>3.2695200000000035</v>
      </c>
    </row>
    <row r="3526" spans="65:67" x14ac:dyDescent="0.25">
      <c r="BM3526" s="281">
        <f>$AZ$23+1*(seat_pitch)*($AY$23*n_SA+$AW$12&lt;pax_e)</f>
        <v>21.89</v>
      </c>
      <c r="BN3526" s="281">
        <f>$AX$12+seat_w*($AY$23*n_SA+$AW$12&lt;pax_e)</f>
        <v>1.8400000000000003</v>
      </c>
      <c r="BO3526" s="281">
        <f t="shared" si="189"/>
        <v>4.0795200000000023</v>
      </c>
    </row>
    <row r="3527" spans="65:67" x14ac:dyDescent="0.25">
      <c r="BM3527" s="281">
        <f>$AZ$23+0.8*(seat_pitch)*($AY$23*n_SA+$AW$12&lt;pax_e)</f>
        <v>21.728000000000002</v>
      </c>
      <c r="BN3527" s="281">
        <f>$AX$12+seat_w*($AY$23*n_SA+$AW$12&lt;pax_e)</f>
        <v>1.8400000000000003</v>
      </c>
      <c r="BO3527" s="281">
        <f t="shared" si="189"/>
        <v>3.9175200000000032</v>
      </c>
    </row>
    <row r="3528" spans="65:67" x14ac:dyDescent="0.25">
      <c r="BM3528" s="281">
        <f>$AZ$23+0.8*(seat_pitch)*($AY$23*n_SA+$AW$12&lt;pax_e)</f>
        <v>21.728000000000002</v>
      </c>
      <c r="BN3528" s="281">
        <f>$AX$12</f>
        <v>1.3100000000000003</v>
      </c>
      <c r="BO3528" s="281">
        <f t="shared" si="189"/>
        <v>3.9175200000000032</v>
      </c>
    </row>
    <row r="3529" spans="65:67" x14ac:dyDescent="0.25">
      <c r="BM3529" s="281">
        <f>$AZ$23+0.2*(seat_pitch)*($AY$23*n_SA+$AW$12&lt;pax_e)</f>
        <v>21.242000000000001</v>
      </c>
      <c r="BN3529" s="281">
        <f>$AX$12</f>
        <v>1.3100000000000003</v>
      </c>
      <c r="BO3529" s="281">
        <f t="shared" si="189"/>
        <v>3.4315200000000026</v>
      </c>
    </row>
    <row r="3530" spans="65:67" x14ac:dyDescent="0.25">
      <c r="BM3530" s="281">
        <f>$AZ$23+(seat_pitch)</f>
        <v>21.89</v>
      </c>
      <c r="BN3530" s="281">
        <f>$AX$12</f>
        <v>1.3100000000000003</v>
      </c>
      <c r="BO3530" s="281">
        <f t="shared" si="189"/>
        <v>4.0795200000000023</v>
      </c>
    </row>
    <row r="3531" spans="65:67" x14ac:dyDescent="0.25">
      <c r="BM3531" s="281">
        <f>$AZ$24+0.2*(seat_pitch)*($AY$24*n_SA+$AW$12&lt;pax_e)</f>
        <v>22.052</v>
      </c>
      <c r="BN3531" s="281">
        <f>$AX$12</f>
        <v>1.3100000000000003</v>
      </c>
      <c r="BO3531" s="281">
        <f t="shared" si="189"/>
        <v>4.2415200000000013</v>
      </c>
    </row>
    <row r="3532" spans="65:67" x14ac:dyDescent="0.25">
      <c r="BM3532" s="281">
        <f>$AZ$24+0.2*(seat_pitch)*($AY$24*n_SA+$AW$12&lt;pax_e)</f>
        <v>22.052</v>
      </c>
      <c r="BN3532" s="281">
        <f>$AX$12+seat_w*($AY$24*n_SA+$AW$12&lt;pax_e)</f>
        <v>1.8400000000000003</v>
      </c>
      <c r="BO3532" s="281">
        <f t="shared" si="189"/>
        <v>4.2415200000000013</v>
      </c>
    </row>
    <row r="3533" spans="65:67" x14ac:dyDescent="0.25">
      <c r="BM3533" s="281">
        <f>$AZ$24</f>
        <v>21.89</v>
      </c>
      <c r="BN3533" s="281">
        <f>$AX$12+seat_w*($AY$24*n_SA+$AW$12&lt;pax_e)</f>
        <v>1.8400000000000003</v>
      </c>
      <c r="BO3533" s="281">
        <f t="shared" si="189"/>
        <v>4.0795200000000023</v>
      </c>
    </row>
    <row r="3534" spans="65:67" x14ac:dyDescent="0.25">
      <c r="BM3534" s="281">
        <f>$AZ$24+1*(seat_pitch)*($AY$24*n_SA+$AW$12&lt;pax_e)</f>
        <v>22.7</v>
      </c>
      <c r="BN3534" s="281">
        <f>$AX$12+seat_w*($AY$24*n_SA+$AW$12&lt;pax_e)</f>
        <v>1.8400000000000003</v>
      </c>
      <c r="BO3534" s="281">
        <f t="shared" si="189"/>
        <v>4.889520000000001</v>
      </c>
    </row>
    <row r="3535" spans="65:67" x14ac:dyDescent="0.25">
      <c r="BM3535" s="281">
        <f>$AZ$24+0.8*(seat_pitch)*($AY$24*n_SA+$AW$12&lt;pax_e)</f>
        <v>22.538</v>
      </c>
      <c r="BN3535" s="281">
        <f>$AX$12+seat_w*($AY$24*n_SA+$AW$12&lt;pax_e)</f>
        <v>1.8400000000000003</v>
      </c>
      <c r="BO3535" s="281">
        <f t="shared" si="189"/>
        <v>4.7275200000000019</v>
      </c>
    </row>
    <row r="3536" spans="65:67" x14ac:dyDescent="0.25">
      <c r="BM3536" s="281">
        <f>$AZ$24+0.8*(seat_pitch)*($AY$24*n_SA+$AW$12&lt;pax_e)</f>
        <v>22.538</v>
      </c>
      <c r="BN3536" s="281">
        <f>$AX$12</f>
        <v>1.3100000000000003</v>
      </c>
      <c r="BO3536" s="281">
        <f t="shared" si="189"/>
        <v>4.7275200000000019</v>
      </c>
    </row>
    <row r="3537" spans="65:67" x14ac:dyDescent="0.25">
      <c r="BM3537" s="281">
        <f>$AZ$24+0.2*(seat_pitch)*($AY$24*n_SA+$AW$12&lt;pax_e)</f>
        <v>22.052</v>
      </c>
      <c r="BN3537" s="281">
        <f>$AX$12</f>
        <v>1.3100000000000003</v>
      </c>
      <c r="BO3537" s="281">
        <f t="shared" si="189"/>
        <v>4.2415200000000013</v>
      </c>
    </row>
    <row r="3538" spans="65:67" x14ac:dyDescent="0.25">
      <c r="BM3538" s="281">
        <f>$AZ$24+(seat_pitch)</f>
        <v>22.7</v>
      </c>
      <c r="BN3538" s="281">
        <f>$AX$12</f>
        <v>1.3100000000000003</v>
      </c>
      <c r="BO3538" s="281">
        <f t="shared" si="189"/>
        <v>4.889520000000001</v>
      </c>
    </row>
    <row r="3539" spans="65:67" x14ac:dyDescent="0.25">
      <c r="BM3539" s="281">
        <f>$AZ$25+0.2*(seat_pitch)*($AY$25*n_SA+$AW$12&lt;pax_e)</f>
        <v>22.862000000000002</v>
      </c>
      <c r="BN3539" s="281">
        <f>$AX$12</f>
        <v>1.3100000000000003</v>
      </c>
      <c r="BO3539" s="281">
        <f t="shared" si="189"/>
        <v>5.0515200000000036</v>
      </c>
    </row>
    <row r="3540" spans="65:67" x14ac:dyDescent="0.25">
      <c r="BM3540" s="281">
        <f>$AZ$25+0.2*(seat_pitch)*($AY$25*n_SA+$AW$12&lt;pax_e)</f>
        <v>22.862000000000002</v>
      </c>
      <c r="BN3540" s="281">
        <f>$AX$12+seat_w*($AY$25*n_SA+$AW$12&lt;pax_e)</f>
        <v>1.8400000000000003</v>
      </c>
      <c r="BO3540" s="281">
        <f t="shared" si="189"/>
        <v>5.0515200000000036</v>
      </c>
    </row>
    <row r="3541" spans="65:67" x14ac:dyDescent="0.25">
      <c r="BM3541" s="281">
        <f>$AZ$25</f>
        <v>22.700000000000003</v>
      </c>
      <c r="BN3541" s="281">
        <f>$AX$12+seat_w*($AY$25*n_SA+$AW$12&lt;pax_e)</f>
        <v>1.8400000000000003</v>
      </c>
      <c r="BO3541" s="281">
        <f t="shared" si="189"/>
        <v>4.8895200000000045</v>
      </c>
    </row>
    <row r="3542" spans="65:67" x14ac:dyDescent="0.25">
      <c r="BM3542" s="281">
        <f>$AZ$25+1*(seat_pitch)*($AY$25*n_SA+$AW$12&lt;pax_e)</f>
        <v>23.51</v>
      </c>
      <c r="BN3542" s="281">
        <f>$AX$12+seat_w*($AY$25*n_SA+$AW$12&lt;pax_e)</f>
        <v>1.8400000000000003</v>
      </c>
      <c r="BO3542" s="281">
        <f t="shared" si="189"/>
        <v>5.6995200000000033</v>
      </c>
    </row>
    <row r="3543" spans="65:67" x14ac:dyDescent="0.25">
      <c r="BM3543" s="281">
        <f>$AZ$25+0.8*(seat_pitch)*($AY$25*n_SA+$AW$12&lt;pax_e)</f>
        <v>23.348000000000003</v>
      </c>
      <c r="BN3543" s="281">
        <f>$AX$12+seat_w*($AY$25*n_SA+$AW$12&lt;pax_e)</f>
        <v>1.8400000000000003</v>
      </c>
      <c r="BO3543" s="281">
        <f t="shared" si="189"/>
        <v>5.5375200000000042</v>
      </c>
    </row>
    <row r="3544" spans="65:67" x14ac:dyDescent="0.25">
      <c r="BM3544" s="281">
        <f>$AZ$25+0.8*(seat_pitch)*($AY$25*n_SA+$AW$12&lt;pax_e)</f>
        <v>23.348000000000003</v>
      </c>
      <c r="BN3544" s="281">
        <f>$AX$12</f>
        <v>1.3100000000000003</v>
      </c>
      <c r="BO3544" s="281">
        <f t="shared" si="189"/>
        <v>5.5375200000000042</v>
      </c>
    </row>
    <row r="3545" spans="65:67" x14ac:dyDescent="0.25">
      <c r="BM3545" s="281">
        <f>$AZ$25+0.2*(seat_pitch)*($AY$25*n_SA+$AW$12&lt;pax_e)</f>
        <v>22.862000000000002</v>
      </c>
      <c r="BN3545" s="281">
        <f>$AX$12</f>
        <v>1.3100000000000003</v>
      </c>
      <c r="BO3545" s="281">
        <f t="shared" si="189"/>
        <v>5.0515200000000036</v>
      </c>
    </row>
    <row r="3546" spans="65:67" x14ac:dyDescent="0.25">
      <c r="BM3546" s="281">
        <f>$AZ$25+(seat_pitch)</f>
        <v>23.51</v>
      </c>
      <c r="BN3546" s="281">
        <f>$AX$12</f>
        <v>1.3100000000000003</v>
      </c>
      <c r="BO3546" s="281">
        <f t="shared" si="189"/>
        <v>5.6995200000000033</v>
      </c>
    </row>
    <row r="3547" spans="65:67" x14ac:dyDescent="0.25">
      <c r="BM3547" s="281">
        <f>$AZ$26+0.2*(seat_pitch)*($AY$26*n_SA+$AW$12&lt;pax_e)</f>
        <v>23.672000000000001</v>
      </c>
      <c r="BN3547" s="281">
        <f>$AX$12</f>
        <v>1.3100000000000003</v>
      </c>
      <c r="BO3547" s="281">
        <f t="shared" si="189"/>
        <v>5.8615200000000023</v>
      </c>
    </row>
    <row r="3548" spans="65:67" x14ac:dyDescent="0.25">
      <c r="BM3548" s="281">
        <f>$AZ$26+0.2*(seat_pitch)*($AY$26*n_SA+$AW$12&lt;pax_e)</f>
        <v>23.672000000000001</v>
      </c>
      <c r="BN3548" s="281">
        <f>$AX$12+seat_w*($AY$26*n_SA+$AW$12&lt;pax_e)</f>
        <v>1.8400000000000003</v>
      </c>
      <c r="BO3548" s="281">
        <f t="shared" si="189"/>
        <v>5.8615200000000023</v>
      </c>
    </row>
    <row r="3549" spans="65:67" x14ac:dyDescent="0.25">
      <c r="BM3549" s="281">
        <f>$AZ$26</f>
        <v>23.51</v>
      </c>
      <c r="BN3549" s="281">
        <f>$AX$12+seat_w*($AY$26*n_SA+$AW$12&lt;pax_e)</f>
        <v>1.8400000000000003</v>
      </c>
      <c r="BO3549" s="281">
        <f t="shared" si="189"/>
        <v>5.6995200000000033</v>
      </c>
    </row>
    <row r="3550" spans="65:67" x14ac:dyDescent="0.25">
      <c r="BM3550" s="281">
        <f>$AZ$26+1*(seat_pitch)*($AY$26*n_SA+$AW$12&lt;pax_e)</f>
        <v>24.32</v>
      </c>
      <c r="BN3550" s="281">
        <f>$AX$12+seat_w*($AY$26*n_SA+$AW$12&lt;pax_e)</f>
        <v>1.8400000000000003</v>
      </c>
      <c r="BO3550" s="281">
        <f t="shared" si="189"/>
        <v>6.509520000000002</v>
      </c>
    </row>
    <row r="3551" spans="65:67" x14ac:dyDescent="0.25">
      <c r="BM3551" s="281">
        <f>$AZ$26+0.8*(seat_pitch)*($AY$26*n_SA+$AW$12&lt;pax_e)</f>
        <v>24.158000000000001</v>
      </c>
      <c r="BN3551" s="281">
        <f>$AX$12+seat_w*($AY$26*n_SA+$AW$12&lt;pax_e)</f>
        <v>1.8400000000000003</v>
      </c>
      <c r="BO3551" s="281">
        <f t="shared" si="189"/>
        <v>6.3475200000000029</v>
      </c>
    </row>
    <row r="3552" spans="65:67" x14ac:dyDescent="0.25">
      <c r="BM3552" s="281">
        <f>$AZ$26+0.8*(seat_pitch)*($AY$26*n_SA+$AW$12&lt;pax_e)</f>
        <v>24.158000000000001</v>
      </c>
      <c r="BN3552" s="281">
        <f>$AX$12</f>
        <v>1.3100000000000003</v>
      </c>
      <c r="BO3552" s="281">
        <f t="shared" si="189"/>
        <v>6.3475200000000029</v>
      </c>
    </row>
    <row r="3553" spans="65:67" x14ac:dyDescent="0.25">
      <c r="BM3553" s="281">
        <f>$AZ$26+0.2*(seat_pitch)*($AY$26*n_SA+$AW$12&lt;pax_e)</f>
        <v>23.672000000000001</v>
      </c>
      <c r="BN3553" s="281">
        <f>$AX$12</f>
        <v>1.3100000000000003</v>
      </c>
      <c r="BO3553" s="281">
        <f t="shared" si="189"/>
        <v>5.8615200000000023</v>
      </c>
    </row>
    <row r="3554" spans="65:67" x14ac:dyDescent="0.25">
      <c r="BM3554" s="281">
        <f>$AZ$26+(seat_pitch)</f>
        <v>24.32</v>
      </c>
      <c r="BN3554" s="281">
        <f>$AX$12</f>
        <v>1.3100000000000003</v>
      </c>
      <c r="BO3554" s="281">
        <f t="shared" si="189"/>
        <v>6.509520000000002</v>
      </c>
    </row>
    <row r="3555" spans="65:67" x14ac:dyDescent="0.25">
      <c r="BM3555" s="281">
        <f>$AZ$27+0.2*(seat_pitch)*($AY$27*n_SA+$AW$12&lt;pax_e)</f>
        <v>24.481999999999999</v>
      </c>
      <c r="BN3555" s="281">
        <f>$AX$12</f>
        <v>1.3100000000000003</v>
      </c>
      <c r="BO3555" s="281">
        <f t="shared" si="189"/>
        <v>6.671520000000001</v>
      </c>
    </row>
    <row r="3556" spans="65:67" x14ac:dyDescent="0.25">
      <c r="BM3556" s="281">
        <f>$AZ$27+0.2*(seat_pitch)*($AY$27*n_SA+$AW$12&lt;pax_e)</f>
        <v>24.481999999999999</v>
      </c>
      <c r="BN3556" s="281">
        <f>$AX$12+seat_w*($AY$27*n_SA+$AW$12&lt;pax_e)</f>
        <v>1.8400000000000003</v>
      </c>
      <c r="BO3556" s="281">
        <f t="shared" si="189"/>
        <v>6.671520000000001</v>
      </c>
    </row>
    <row r="3557" spans="65:67" x14ac:dyDescent="0.25">
      <c r="BM3557" s="281">
        <f>$AZ$27</f>
        <v>24.32</v>
      </c>
      <c r="BN3557" s="281">
        <f>$AX$12+seat_w*($AY$27*n_SA+$AW$12&lt;pax_e)</f>
        <v>1.8400000000000003</v>
      </c>
      <c r="BO3557" s="281">
        <f t="shared" si="189"/>
        <v>6.509520000000002</v>
      </c>
    </row>
    <row r="3558" spans="65:67" x14ac:dyDescent="0.25">
      <c r="BM3558" s="281">
        <f>$AZ$27+1*(seat_pitch)*($AY$27*n_SA+$AW$12&lt;pax_e)</f>
        <v>25.13</v>
      </c>
      <c r="BN3558" s="281">
        <f>$AX$12+seat_w*($AY$27*n_SA+$AW$12&lt;pax_e)</f>
        <v>1.8400000000000003</v>
      </c>
      <c r="BO3558" s="281">
        <f t="shared" si="189"/>
        <v>7.3195200000000007</v>
      </c>
    </row>
    <row r="3559" spans="65:67" x14ac:dyDescent="0.25">
      <c r="BM3559" s="281">
        <f>$AZ$27+0.8*(seat_pitch)*($AY$27*n_SA+$AW$12&lt;pax_e)</f>
        <v>24.968</v>
      </c>
      <c r="BN3559" s="281">
        <f>$AX$12+seat_w*($AY$27*n_SA+$AW$12&lt;pax_e)</f>
        <v>1.8400000000000003</v>
      </c>
      <c r="BO3559" s="281">
        <f t="shared" si="189"/>
        <v>7.1575200000000017</v>
      </c>
    </row>
    <row r="3560" spans="65:67" x14ac:dyDescent="0.25">
      <c r="BM3560" s="281">
        <f>$AZ$27+0.8*(seat_pitch)*($AY$27*n_SA+$AW$12&lt;pax_e)</f>
        <v>24.968</v>
      </c>
      <c r="BN3560" s="281">
        <f>$AX$12</f>
        <v>1.3100000000000003</v>
      </c>
      <c r="BO3560" s="281">
        <f t="shared" si="189"/>
        <v>7.1575200000000017</v>
      </c>
    </row>
    <row r="3561" spans="65:67" x14ac:dyDescent="0.25">
      <c r="BM3561" s="281">
        <f>$AZ$27+0.2*(seat_pitch)*($AY$27*n_SA+$AW$12&lt;pax_e)</f>
        <v>24.481999999999999</v>
      </c>
      <c r="BN3561" s="281">
        <f>$AX$12</f>
        <v>1.3100000000000003</v>
      </c>
      <c r="BO3561" s="281">
        <f t="shared" si="189"/>
        <v>6.671520000000001</v>
      </c>
    </row>
    <row r="3562" spans="65:67" x14ac:dyDescent="0.25">
      <c r="BM3562" s="281">
        <f>$AZ$27+(seat_pitch)</f>
        <v>25.13</v>
      </c>
      <c r="BN3562" s="281">
        <f>$AX$12</f>
        <v>1.3100000000000003</v>
      </c>
      <c r="BO3562" s="281">
        <f t="shared" si="189"/>
        <v>7.3195200000000007</v>
      </c>
    </row>
    <row r="3563" spans="65:67" x14ac:dyDescent="0.25">
      <c r="BM3563" s="281">
        <f>$AZ$28+0.2*(seat_pitch)*($AY$28*n_SA+$AW$12&lt;pax_e)</f>
        <v>25.292000000000002</v>
      </c>
      <c r="BN3563" s="281">
        <f>$AX$12</f>
        <v>1.3100000000000003</v>
      </c>
      <c r="BO3563" s="281">
        <f t="shared" si="189"/>
        <v>7.4815200000000033</v>
      </c>
    </row>
    <row r="3564" spans="65:67" x14ac:dyDescent="0.25">
      <c r="BM3564" s="281">
        <f>$AZ$28+0.2*(seat_pitch)*($AY$28*n_SA+$AW$12&lt;pax_e)</f>
        <v>25.292000000000002</v>
      </c>
      <c r="BN3564" s="281">
        <f>$AX$12+seat_w*($AY$28*n_SA+$AW$12&lt;pax_e)</f>
        <v>1.8400000000000003</v>
      </c>
      <c r="BO3564" s="281">
        <f t="shared" si="189"/>
        <v>7.4815200000000033</v>
      </c>
    </row>
    <row r="3565" spans="65:67" x14ac:dyDescent="0.25">
      <c r="BM3565" s="281">
        <f>$AZ$28</f>
        <v>25.130000000000003</v>
      </c>
      <c r="BN3565" s="281">
        <f>$AX$12+seat_w*($AY$28*n_SA+$AW$12&lt;pax_e)</f>
        <v>1.8400000000000003</v>
      </c>
      <c r="BO3565" s="281">
        <f t="shared" si="189"/>
        <v>7.3195200000000042</v>
      </c>
    </row>
    <row r="3566" spans="65:67" x14ac:dyDescent="0.25">
      <c r="BM3566" s="281">
        <f>$AZ$28+1*(seat_pitch)*($AY$28*n_SA+$AW$12&lt;pax_e)</f>
        <v>25.94</v>
      </c>
      <c r="BN3566" s="281">
        <f>$AX$12+seat_w*($AY$28*n_SA+$AW$12&lt;pax_e)</f>
        <v>1.8400000000000003</v>
      </c>
      <c r="BO3566" s="281">
        <f t="shared" si="189"/>
        <v>8.129520000000003</v>
      </c>
    </row>
    <row r="3567" spans="65:67" x14ac:dyDescent="0.25">
      <c r="BM3567" s="281">
        <f>$AZ$28+0.8*(seat_pitch)*($AY$28*n_SA+$AW$12&lt;pax_e)</f>
        <v>25.778000000000002</v>
      </c>
      <c r="BN3567" s="281">
        <f>$AX$12+seat_w*($AY$28*n_SA+$AW$12&lt;pax_e)</f>
        <v>1.8400000000000003</v>
      </c>
      <c r="BO3567" s="281">
        <f t="shared" si="189"/>
        <v>7.9675200000000039</v>
      </c>
    </row>
    <row r="3568" spans="65:67" x14ac:dyDescent="0.25">
      <c r="BM3568" s="281">
        <f>$AZ$28+0.8*(seat_pitch)*($AY$28*n_SA+$AW$12&lt;pax_e)</f>
        <v>25.778000000000002</v>
      </c>
      <c r="BN3568" s="281">
        <f>$AX$12</f>
        <v>1.3100000000000003</v>
      </c>
      <c r="BO3568" s="281">
        <f t="shared" si="189"/>
        <v>7.9675200000000039</v>
      </c>
    </row>
    <row r="3569" spans="65:67" x14ac:dyDescent="0.25">
      <c r="BM3569" s="281">
        <f>$AZ$28+0.2*(seat_pitch)*($AY$28*n_SA+$AW$12&lt;pax_e)</f>
        <v>25.292000000000002</v>
      </c>
      <c r="BN3569" s="281">
        <f>$AX$12</f>
        <v>1.3100000000000003</v>
      </c>
      <c r="BO3569" s="281">
        <f t="shared" si="189"/>
        <v>7.4815200000000033</v>
      </c>
    </row>
    <row r="3570" spans="65:67" x14ac:dyDescent="0.25">
      <c r="BM3570" s="281">
        <f>$AZ$28+(seat_pitch)</f>
        <v>25.94</v>
      </c>
      <c r="BN3570" s="281">
        <f>$AX$12</f>
        <v>1.3100000000000003</v>
      </c>
      <c r="BO3570" s="281">
        <f t="shared" si="189"/>
        <v>8.129520000000003</v>
      </c>
    </row>
    <row r="3571" spans="65:67" x14ac:dyDescent="0.25">
      <c r="BM3571" s="281">
        <f>$AZ$29+0.2*(seat_pitch)*($AY$29*n_SA+$AW$12&lt;pax_e)</f>
        <v>26.102</v>
      </c>
      <c r="BN3571" s="281">
        <f>$AX$12</f>
        <v>1.3100000000000003</v>
      </c>
      <c r="BO3571" s="281">
        <f t="shared" si="189"/>
        <v>8.291520000000002</v>
      </c>
    </row>
    <row r="3572" spans="65:67" x14ac:dyDescent="0.25">
      <c r="BM3572" s="281">
        <f>$AZ$29+0.2*(seat_pitch)*($AY$29*n_SA+$AW$12&lt;pax_e)</f>
        <v>26.102</v>
      </c>
      <c r="BN3572" s="281">
        <f>$AX$12+seat_w*($AY$29*n_SA+$AW$12&lt;pax_e)</f>
        <v>1.8400000000000003</v>
      </c>
      <c r="BO3572" s="281">
        <f t="shared" si="189"/>
        <v>8.291520000000002</v>
      </c>
    </row>
    <row r="3573" spans="65:67" x14ac:dyDescent="0.25">
      <c r="BM3573" s="281">
        <f>$AZ$29</f>
        <v>25.94</v>
      </c>
      <c r="BN3573" s="281">
        <f>$AX$12+seat_w*($AY$29*n_SA+$AW$12&lt;pax_e)</f>
        <v>1.8400000000000003</v>
      </c>
      <c r="BO3573" s="281">
        <f t="shared" si="189"/>
        <v>8.129520000000003</v>
      </c>
    </row>
    <row r="3574" spans="65:67" x14ac:dyDescent="0.25">
      <c r="BM3574" s="281">
        <f>$AZ$29+1*(seat_pitch)*($AY$29*n_SA+$AW$12&lt;pax_e)</f>
        <v>26.75</v>
      </c>
      <c r="BN3574" s="281">
        <f>$AX$12+seat_w*($AY$29*n_SA+$AW$12&lt;pax_e)</f>
        <v>1.8400000000000003</v>
      </c>
      <c r="BO3574" s="281">
        <f t="shared" si="189"/>
        <v>8.9395200000000017</v>
      </c>
    </row>
    <row r="3575" spans="65:67" x14ac:dyDescent="0.25">
      <c r="BM3575" s="281">
        <f>$AZ$29+0.8*(seat_pitch)*($AY$29*n_SA+$AW$12&lt;pax_e)</f>
        <v>26.588000000000001</v>
      </c>
      <c r="BN3575" s="281">
        <f>$AX$12+seat_w*($AY$29*n_SA+$AW$12&lt;pax_e)</f>
        <v>1.8400000000000003</v>
      </c>
      <c r="BO3575" s="281">
        <f t="shared" si="189"/>
        <v>8.7775200000000027</v>
      </c>
    </row>
    <row r="3576" spans="65:67" x14ac:dyDescent="0.25">
      <c r="BM3576" s="281">
        <f>$AZ$29+0.8*(seat_pitch)*($AY$29*n_SA+$AW$12&lt;pax_e)</f>
        <v>26.588000000000001</v>
      </c>
      <c r="BN3576" s="281">
        <f>$AX$12</f>
        <v>1.3100000000000003</v>
      </c>
      <c r="BO3576" s="281">
        <f t="shared" si="189"/>
        <v>8.7775200000000027</v>
      </c>
    </row>
    <row r="3577" spans="65:67" x14ac:dyDescent="0.25">
      <c r="BM3577" s="281">
        <f>$AZ$29+0.2*(seat_pitch)*($AY$29*n_SA+$AW$12&lt;pax_e)</f>
        <v>26.102</v>
      </c>
      <c r="BN3577" s="281">
        <f>$AX$12</f>
        <v>1.3100000000000003</v>
      </c>
      <c r="BO3577" s="281">
        <f t="shared" si="189"/>
        <v>8.291520000000002</v>
      </c>
    </row>
    <row r="3578" spans="65:67" x14ac:dyDescent="0.25">
      <c r="BM3578" s="281">
        <f>$AZ$29+(seat_pitch)</f>
        <v>26.75</v>
      </c>
      <c r="BN3578" s="281">
        <f>$AX$12</f>
        <v>1.3100000000000003</v>
      </c>
      <c r="BO3578" s="281">
        <f t="shared" si="189"/>
        <v>8.9395200000000017</v>
      </c>
    </row>
    <row r="3579" spans="65:67" x14ac:dyDescent="0.25">
      <c r="BM3579" s="281">
        <f>$AZ$30+0.2*(seat_pitch)*($AY$30*n_SA+$AW$12&lt;pax_e)</f>
        <v>26.102</v>
      </c>
      <c r="BN3579" s="281">
        <f>$AX$12</f>
        <v>1.3100000000000003</v>
      </c>
      <c r="BO3579" s="281">
        <f t="shared" si="189"/>
        <v>8.291520000000002</v>
      </c>
    </row>
    <row r="3580" spans="65:67" x14ac:dyDescent="0.25">
      <c r="BM3580" s="281">
        <f>$AZ$30+0.2*(seat_pitch)*($AY$30*n_SA+$AW$12&lt;pax_e)</f>
        <v>26.102</v>
      </c>
      <c r="BN3580" s="281">
        <f>$AX$12+seat_w*($AY$30*n_SA+$AW$12&lt;pax_e)</f>
        <v>1.8400000000000003</v>
      </c>
      <c r="BO3580" s="281">
        <f t="shared" si="189"/>
        <v>8.291520000000002</v>
      </c>
    </row>
    <row r="3581" spans="65:67" x14ac:dyDescent="0.25">
      <c r="BM3581" s="281">
        <f>$AZ$30</f>
        <v>25.94</v>
      </c>
      <c r="BN3581" s="281">
        <f>$AX$12+seat_w*($AY$30*n_SA+$AW$12&lt;pax_e)</f>
        <v>1.8400000000000003</v>
      </c>
      <c r="BO3581" s="281">
        <f t="shared" si="189"/>
        <v>8.129520000000003</v>
      </c>
    </row>
    <row r="3582" spans="65:67" x14ac:dyDescent="0.25">
      <c r="BM3582" s="281">
        <f>$AZ$30+1*(seat_pitch)*($AY$30*n_SA+$AW$12&lt;pax_e)</f>
        <v>26.75</v>
      </c>
      <c r="BN3582" s="281">
        <f>$AX$12+seat_w*($AY$30*n_SA+$AW$12&lt;pax_e)</f>
        <v>1.8400000000000003</v>
      </c>
      <c r="BO3582" s="281">
        <f t="shared" si="189"/>
        <v>8.9395200000000017</v>
      </c>
    </row>
    <row r="3583" spans="65:67" x14ac:dyDescent="0.25">
      <c r="BM3583" s="281">
        <f>$AZ$30+0.8*(seat_pitch)*($AY$30*n_SA+$AW$12&lt;pax_e)</f>
        <v>26.588000000000001</v>
      </c>
      <c r="BN3583" s="281">
        <f>$AX$12+seat_w*($AY$30*n_SA+$AW$12&lt;pax_e)</f>
        <v>1.8400000000000003</v>
      </c>
      <c r="BO3583" s="281">
        <f t="shared" si="189"/>
        <v>8.7775200000000027</v>
      </c>
    </row>
    <row r="3584" spans="65:67" x14ac:dyDescent="0.25">
      <c r="BM3584" s="281">
        <f>$AZ$30+0.8*(seat_pitch)*($AY$30*n_SA+$AW$12&lt;pax_e)</f>
        <v>26.588000000000001</v>
      </c>
      <c r="BN3584" s="281">
        <f>$AX$12</f>
        <v>1.3100000000000003</v>
      </c>
      <c r="BO3584" s="281">
        <f t="shared" si="189"/>
        <v>8.7775200000000027</v>
      </c>
    </row>
    <row r="3585" spans="65:67" x14ac:dyDescent="0.25">
      <c r="BM3585" s="281">
        <f>$AZ$30+0.2*(seat_pitch)*($AY$30*n_SA+$AW$12&lt;pax_e)</f>
        <v>26.102</v>
      </c>
      <c r="BN3585" s="281">
        <f>$AX$12</f>
        <v>1.3100000000000003</v>
      </c>
      <c r="BO3585" s="281">
        <f t="shared" si="189"/>
        <v>8.291520000000002</v>
      </c>
    </row>
    <row r="3586" spans="65:67" x14ac:dyDescent="0.25">
      <c r="BM3586" s="281">
        <f>$AZ$30+(seat_pitch)</f>
        <v>26.75</v>
      </c>
      <c r="BN3586" s="281">
        <f>$AX$12</f>
        <v>1.3100000000000003</v>
      </c>
      <c r="BO3586" s="281">
        <f t="shared" si="189"/>
        <v>8.9395200000000017</v>
      </c>
    </row>
    <row r="3587" spans="65:67" x14ac:dyDescent="0.25">
      <c r="BM3587" s="281">
        <f>$AZ$31+0.2*(seat_pitch)*($AY$31*n_SA+$AW$12&lt;pax_e)</f>
        <v>26.102</v>
      </c>
      <c r="BN3587" s="281">
        <f>$AX$12</f>
        <v>1.3100000000000003</v>
      </c>
      <c r="BO3587" s="281">
        <f t="shared" si="189"/>
        <v>8.291520000000002</v>
      </c>
    </row>
    <row r="3588" spans="65:67" x14ac:dyDescent="0.25">
      <c r="BM3588" s="281">
        <f>$AZ$31+0.2*(seat_pitch)*($AY$31*n_SA+$AW$12&lt;pax_e)</f>
        <v>26.102</v>
      </c>
      <c r="BN3588" s="281">
        <f>$AX$12+seat_w*($AY$31*n_SA+$AW$12&lt;pax_e)</f>
        <v>1.8400000000000003</v>
      </c>
      <c r="BO3588" s="281">
        <f t="shared" si="189"/>
        <v>8.291520000000002</v>
      </c>
    </row>
    <row r="3589" spans="65:67" x14ac:dyDescent="0.25">
      <c r="BM3589" s="281">
        <f>$AZ$31</f>
        <v>25.94</v>
      </c>
      <c r="BN3589" s="281">
        <f>$AX$12+seat_w*($AY$31*n_SA+$AW$12&lt;pax_e)</f>
        <v>1.8400000000000003</v>
      </c>
      <c r="BO3589" s="281">
        <f t="shared" ref="BO3589:BO3652" si="190">BM3589-L_fus/2</f>
        <v>8.129520000000003</v>
      </c>
    </row>
    <row r="3590" spans="65:67" x14ac:dyDescent="0.25">
      <c r="BM3590" s="281">
        <f>$AZ$31+1*(seat_pitch)*($AY$31*n_SA+$AW$12&lt;pax_e)</f>
        <v>26.75</v>
      </c>
      <c r="BN3590" s="281">
        <f>$AX$12+seat_w*($AY$31*n_SA+$AW$12&lt;pax_e)</f>
        <v>1.8400000000000003</v>
      </c>
      <c r="BO3590" s="281">
        <f t="shared" si="190"/>
        <v>8.9395200000000017</v>
      </c>
    </row>
    <row r="3591" spans="65:67" x14ac:dyDescent="0.25">
      <c r="BM3591" s="281">
        <f>$AZ$31+0.8*(seat_pitch)*($AY$31*n_SA+$AW$12&lt;pax_e)</f>
        <v>26.588000000000001</v>
      </c>
      <c r="BN3591" s="281">
        <f>$AX$12+seat_w*($AY$31*n_SA+$AW$12&lt;pax_e)</f>
        <v>1.8400000000000003</v>
      </c>
      <c r="BO3591" s="281">
        <f t="shared" si="190"/>
        <v>8.7775200000000027</v>
      </c>
    </row>
    <row r="3592" spans="65:67" x14ac:dyDescent="0.25">
      <c r="BM3592" s="281">
        <f>$AZ$31+0.8*(seat_pitch)*($AY$31*n_SA+$AW$12&lt;pax_e)</f>
        <v>26.588000000000001</v>
      </c>
      <c r="BN3592" s="281">
        <f>$AX$12</f>
        <v>1.3100000000000003</v>
      </c>
      <c r="BO3592" s="281">
        <f t="shared" si="190"/>
        <v>8.7775200000000027</v>
      </c>
    </row>
    <row r="3593" spans="65:67" x14ac:dyDescent="0.25">
      <c r="BM3593" s="281">
        <f>$AZ$31+0.2*(seat_pitch)*($AY$31*n_SA+$AW$12&lt;pax_e)</f>
        <v>26.102</v>
      </c>
      <c r="BN3593" s="281">
        <f>$AX$12</f>
        <v>1.3100000000000003</v>
      </c>
      <c r="BO3593" s="281">
        <f t="shared" si="190"/>
        <v>8.291520000000002</v>
      </c>
    </row>
    <row r="3594" spans="65:67" x14ac:dyDescent="0.25">
      <c r="BM3594" s="281">
        <f>$AZ$31+(seat_pitch)</f>
        <v>26.75</v>
      </c>
      <c r="BN3594" s="281">
        <f>$AX$12</f>
        <v>1.3100000000000003</v>
      </c>
      <c r="BO3594" s="281">
        <f t="shared" si="190"/>
        <v>8.9395200000000017</v>
      </c>
    </row>
    <row r="3595" spans="65:67" x14ac:dyDescent="0.25">
      <c r="BM3595" s="281">
        <f>$AZ$32+0.2*(seat_pitch)*($AY$32*n_SA+$AW$12&lt;pax_e)</f>
        <v>26.102</v>
      </c>
      <c r="BN3595" s="281">
        <f>$AX$12</f>
        <v>1.3100000000000003</v>
      </c>
      <c r="BO3595" s="281">
        <f t="shared" si="190"/>
        <v>8.291520000000002</v>
      </c>
    </row>
    <row r="3596" spans="65:67" x14ac:dyDescent="0.25">
      <c r="BM3596" s="281">
        <f>$AZ$32+0.2*(seat_pitch)*($AY$32*n_SA+$AW$12&lt;pax_e)</f>
        <v>26.102</v>
      </c>
      <c r="BN3596" s="281">
        <f>$AX$12+seat_w*($AY$32*n_SA+$AW$12&lt;pax_e)</f>
        <v>1.8400000000000003</v>
      </c>
      <c r="BO3596" s="281">
        <f t="shared" si="190"/>
        <v>8.291520000000002</v>
      </c>
    </row>
    <row r="3597" spans="65:67" x14ac:dyDescent="0.25">
      <c r="BM3597" s="281">
        <f>$AZ$32</f>
        <v>25.94</v>
      </c>
      <c r="BN3597" s="281">
        <f>$AX$12+seat_w*($AY$32*n_SA+$AW$12&lt;pax_e)</f>
        <v>1.8400000000000003</v>
      </c>
      <c r="BO3597" s="281">
        <f t="shared" si="190"/>
        <v>8.129520000000003</v>
      </c>
    </row>
    <row r="3598" spans="65:67" x14ac:dyDescent="0.25">
      <c r="BM3598" s="281">
        <f>$AZ$32+1*(seat_pitch)*($AY$32*n_SA+$AW$12&lt;pax_e)</f>
        <v>26.75</v>
      </c>
      <c r="BN3598" s="281">
        <f>$AX$12+seat_w*($AY$32*n_SA+$AW$12&lt;pax_e)</f>
        <v>1.8400000000000003</v>
      </c>
      <c r="BO3598" s="281">
        <f t="shared" si="190"/>
        <v>8.9395200000000017</v>
      </c>
    </row>
    <row r="3599" spans="65:67" x14ac:dyDescent="0.25">
      <c r="BM3599" s="281">
        <f>$AZ$32+0.8*(seat_pitch)*($AY$32*n_SA+$AW$12&lt;pax_e)</f>
        <v>26.588000000000001</v>
      </c>
      <c r="BN3599" s="281">
        <f>$AX$12+seat_w*($AY$32*n_SA+$AW$12&lt;pax_e)</f>
        <v>1.8400000000000003</v>
      </c>
      <c r="BO3599" s="281">
        <f t="shared" si="190"/>
        <v>8.7775200000000027</v>
      </c>
    </row>
    <row r="3600" spans="65:67" x14ac:dyDescent="0.25">
      <c r="BM3600" s="281">
        <f>$AZ$32+0.8*(seat_pitch)*($AY$32*n_SA+$AW$12&lt;pax_e)</f>
        <v>26.588000000000001</v>
      </c>
      <c r="BN3600" s="281">
        <f>$AX$12</f>
        <v>1.3100000000000003</v>
      </c>
      <c r="BO3600" s="281">
        <f t="shared" si="190"/>
        <v>8.7775200000000027</v>
      </c>
    </row>
    <row r="3601" spans="65:67" x14ac:dyDescent="0.25">
      <c r="BM3601" s="281">
        <f>$AZ$32+0.2*(seat_pitch)*($AY$32*n_SA+$AW$12&lt;pax_e)</f>
        <v>26.102</v>
      </c>
      <c r="BN3601" s="281">
        <f>$AX$12</f>
        <v>1.3100000000000003</v>
      </c>
      <c r="BO3601" s="281">
        <f t="shared" si="190"/>
        <v>8.291520000000002</v>
      </c>
    </row>
    <row r="3602" spans="65:67" x14ac:dyDescent="0.25">
      <c r="BM3602" s="281">
        <f>$AZ$32+(seat_pitch)</f>
        <v>26.75</v>
      </c>
      <c r="BN3602" s="281">
        <f>$AX$12</f>
        <v>1.3100000000000003</v>
      </c>
      <c r="BO3602" s="281">
        <f t="shared" si="190"/>
        <v>8.9395200000000017</v>
      </c>
    </row>
    <row r="3603" spans="65:67" x14ac:dyDescent="0.25">
      <c r="BM3603" s="281">
        <f>$AZ$33+0.2*(seat_pitch)*($AY$33*n_SA+$AW$12&lt;pax_e)</f>
        <v>26.102</v>
      </c>
      <c r="BN3603" s="281">
        <f>$AX$12</f>
        <v>1.3100000000000003</v>
      </c>
      <c r="BO3603" s="281">
        <f t="shared" si="190"/>
        <v>8.291520000000002</v>
      </c>
    </row>
    <row r="3604" spans="65:67" x14ac:dyDescent="0.25">
      <c r="BM3604" s="281">
        <f>$AZ$33+0.2*(seat_pitch)*($AY$33*n_SA+$AW$12&lt;pax_e)</f>
        <v>26.102</v>
      </c>
      <c r="BN3604" s="281">
        <f>$AX$12+seat_w*($AY$33*n_SA+$AW$12&lt;pax_e)</f>
        <v>1.8400000000000003</v>
      </c>
      <c r="BO3604" s="281">
        <f t="shared" si="190"/>
        <v>8.291520000000002</v>
      </c>
    </row>
    <row r="3605" spans="65:67" x14ac:dyDescent="0.25">
      <c r="BM3605" s="281">
        <f>$AZ$33</f>
        <v>25.94</v>
      </c>
      <c r="BN3605" s="281">
        <f>$AX$12+seat_w*($AY$33*n_SA+$AW$12&lt;pax_e)</f>
        <v>1.8400000000000003</v>
      </c>
      <c r="BO3605" s="281">
        <f t="shared" si="190"/>
        <v>8.129520000000003</v>
      </c>
    </row>
    <row r="3606" spans="65:67" x14ac:dyDescent="0.25">
      <c r="BM3606" s="281">
        <f>$AZ$33+1*(seat_pitch)*($AY$33*n_SA+$AW$12&lt;pax_e)</f>
        <v>26.75</v>
      </c>
      <c r="BN3606" s="281">
        <f>$AX$12+seat_w*($AY$33*n_SA+$AW$12&lt;pax_e)</f>
        <v>1.8400000000000003</v>
      </c>
      <c r="BO3606" s="281">
        <f t="shared" si="190"/>
        <v>8.9395200000000017</v>
      </c>
    </row>
    <row r="3607" spans="65:67" x14ac:dyDescent="0.25">
      <c r="BM3607" s="281">
        <f>$AZ$33+0.8*(seat_pitch)*($AY$33*n_SA+$AW$12&lt;pax_e)</f>
        <v>26.588000000000001</v>
      </c>
      <c r="BN3607" s="281">
        <f>$AX$12+seat_w*($AY$33*n_SA+$AW$12&lt;pax_e)</f>
        <v>1.8400000000000003</v>
      </c>
      <c r="BO3607" s="281">
        <f t="shared" si="190"/>
        <v>8.7775200000000027</v>
      </c>
    </row>
    <row r="3608" spans="65:67" x14ac:dyDescent="0.25">
      <c r="BM3608" s="281">
        <f>$AZ$33+0.8*(seat_pitch)*($AY$33*n_SA+$AW$12&lt;pax_e)</f>
        <v>26.588000000000001</v>
      </c>
      <c r="BN3608" s="281">
        <f>$AX$12</f>
        <v>1.3100000000000003</v>
      </c>
      <c r="BO3608" s="281">
        <f t="shared" si="190"/>
        <v>8.7775200000000027</v>
      </c>
    </row>
    <row r="3609" spans="65:67" x14ac:dyDescent="0.25">
      <c r="BM3609" s="281">
        <f>$AZ$33+0.2*(seat_pitch)*($AY$33*n_SA+$AW$12&lt;pax_e)</f>
        <v>26.102</v>
      </c>
      <c r="BN3609" s="281">
        <f>$AX$12</f>
        <v>1.3100000000000003</v>
      </c>
      <c r="BO3609" s="281">
        <f t="shared" si="190"/>
        <v>8.291520000000002</v>
      </c>
    </row>
    <row r="3610" spans="65:67" x14ac:dyDescent="0.25">
      <c r="BM3610" s="281">
        <f>$AZ$33+(seat_pitch)</f>
        <v>26.75</v>
      </c>
      <c r="BN3610" s="281">
        <f>$AX$12</f>
        <v>1.3100000000000003</v>
      </c>
      <c r="BO3610" s="281">
        <f t="shared" si="190"/>
        <v>8.9395200000000017</v>
      </c>
    </row>
    <row r="3611" spans="65:67" x14ac:dyDescent="0.25">
      <c r="BM3611" s="281">
        <f>$AZ$34+0.2*(seat_pitch)*($AY$34*n_SA+$AW$12&lt;pax_e)</f>
        <v>26.102</v>
      </c>
      <c r="BN3611" s="281">
        <f>$AX$12</f>
        <v>1.3100000000000003</v>
      </c>
      <c r="BO3611" s="281">
        <f t="shared" si="190"/>
        <v>8.291520000000002</v>
      </c>
    </row>
    <row r="3612" spans="65:67" x14ac:dyDescent="0.25">
      <c r="BM3612" s="281">
        <f>$AZ$34+0.2*(seat_pitch)*($AY$34*n_SA+$AW$12&lt;pax_e)</f>
        <v>26.102</v>
      </c>
      <c r="BN3612" s="281">
        <f>$AX$12+seat_w*($AY$34*n_SA+$AW$12&lt;pax_e)</f>
        <v>1.8400000000000003</v>
      </c>
      <c r="BO3612" s="281">
        <f t="shared" si="190"/>
        <v>8.291520000000002</v>
      </c>
    </row>
    <row r="3613" spans="65:67" x14ac:dyDescent="0.25">
      <c r="BM3613" s="281">
        <f>$AZ$34</f>
        <v>25.94</v>
      </c>
      <c r="BN3613" s="281">
        <f>$AX$12+seat_w*($AY$34*n_SA+$AW$12&lt;pax_e)</f>
        <v>1.8400000000000003</v>
      </c>
      <c r="BO3613" s="281">
        <f t="shared" si="190"/>
        <v>8.129520000000003</v>
      </c>
    </row>
    <row r="3614" spans="65:67" x14ac:dyDescent="0.25">
      <c r="BM3614" s="281">
        <f>$AZ$34+1*(seat_pitch)*($AY$34*n_SA+$AW$12&lt;pax_e)</f>
        <v>26.75</v>
      </c>
      <c r="BN3614" s="281">
        <f>$AX$12+seat_w*($AY$34*n_SA+$AW$12&lt;pax_e)</f>
        <v>1.8400000000000003</v>
      </c>
      <c r="BO3614" s="281">
        <f t="shared" si="190"/>
        <v>8.9395200000000017</v>
      </c>
    </row>
    <row r="3615" spans="65:67" x14ac:dyDescent="0.25">
      <c r="BM3615" s="281">
        <f>$AZ$34+0.8*(seat_pitch)*($AY$34*n_SA+$AW$12&lt;pax_e)</f>
        <v>26.588000000000001</v>
      </c>
      <c r="BN3615" s="281">
        <f>$AX$12+seat_w*($AY$34*n_SA+$AW$12&lt;pax_e)</f>
        <v>1.8400000000000003</v>
      </c>
      <c r="BO3615" s="281">
        <f t="shared" si="190"/>
        <v>8.7775200000000027</v>
      </c>
    </row>
    <row r="3616" spans="65:67" x14ac:dyDescent="0.25">
      <c r="BM3616" s="281">
        <f>$AZ$34+0.8*(seat_pitch)*($AY$34*n_SA+$AW$12&lt;pax_e)</f>
        <v>26.588000000000001</v>
      </c>
      <c r="BN3616" s="281">
        <f>$AX$12</f>
        <v>1.3100000000000003</v>
      </c>
      <c r="BO3616" s="281">
        <f t="shared" si="190"/>
        <v>8.7775200000000027</v>
      </c>
    </row>
    <row r="3617" spans="65:67" x14ac:dyDescent="0.25">
      <c r="BM3617" s="281">
        <f>$AZ$34+0.2*(seat_pitch)*($AY$34*n_SA+$AW$12&lt;pax_e)</f>
        <v>26.102</v>
      </c>
      <c r="BN3617" s="281">
        <f>$AX$12</f>
        <v>1.3100000000000003</v>
      </c>
      <c r="BO3617" s="281">
        <f t="shared" si="190"/>
        <v>8.291520000000002</v>
      </c>
    </row>
    <row r="3618" spans="65:67" x14ac:dyDescent="0.25">
      <c r="BM3618" s="281">
        <f>$AZ$34+(seat_pitch)</f>
        <v>26.75</v>
      </c>
      <c r="BN3618" s="281">
        <f>$AX$12</f>
        <v>1.3100000000000003</v>
      </c>
      <c r="BO3618" s="281">
        <f t="shared" si="190"/>
        <v>8.9395200000000017</v>
      </c>
    </row>
    <row r="3619" spans="65:67" x14ac:dyDescent="0.25">
      <c r="BM3619" s="281">
        <f>$AZ$35+0.2*(seat_pitch)*($AY$35*n_SA+$AW$12&lt;pax_e)</f>
        <v>26.102</v>
      </c>
      <c r="BN3619" s="281">
        <f>$AX$12</f>
        <v>1.3100000000000003</v>
      </c>
      <c r="BO3619" s="281">
        <f t="shared" si="190"/>
        <v>8.291520000000002</v>
      </c>
    </row>
    <row r="3620" spans="65:67" x14ac:dyDescent="0.25">
      <c r="BM3620" s="281">
        <f>$AZ$35+0.2*(seat_pitch)*($AY$35*n_SA+$AW$12&lt;pax_e)</f>
        <v>26.102</v>
      </c>
      <c r="BN3620" s="281">
        <f>$AX$12+seat_w*($AY$35*n_SA+$AW$12&lt;pax_e)</f>
        <v>1.8400000000000003</v>
      </c>
      <c r="BO3620" s="281">
        <f t="shared" si="190"/>
        <v>8.291520000000002</v>
      </c>
    </row>
    <row r="3621" spans="65:67" x14ac:dyDescent="0.25">
      <c r="BM3621" s="281">
        <f>$AZ$35</f>
        <v>25.94</v>
      </c>
      <c r="BN3621" s="281">
        <f>$AX$12+seat_w*($AY$35*n_SA+$AW$12&lt;pax_e)</f>
        <v>1.8400000000000003</v>
      </c>
      <c r="BO3621" s="281">
        <f t="shared" si="190"/>
        <v>8.129520000000003</v>
      </c>
    </row>
    <row r="3622" spans="65:67" x14ac:dyDescent="0.25">
      <c r="BM3622" s="281">
        <f>$AZ$35+1*(seat_pitch)*($AY$35*n_SA+$AW$12&lt;pax_e)</f>
        <v>26.75</v>
      </c>
      <c r="BN3622" s="281">
        <f>$AX$12+seat_w*($AY$35*n_SA+$AW$12&lt;pax_e)</f>
        <v>1.8400000000000003</v>
      </c>
      <c r="BO3622" s="281">
        <f t="shared" si="190"/>
        <v>8.9395200000000017</v>
      </c>
    </row>
    <row r="3623" spans="65:67" x14ac:dyDescent="0.25">
      <c r="BM3623" s="281">
        <f>$AZ$35+0.8*(seat_pitch)*($AY$35*n_SA+$AW$12&lt;pax_e)</f>
        <v>26.588000000000001</v>
      </c>
      <c r="BN3623" s="281">
        <f>$AX$12+seat_w*($AY$35*n_SA+$AW$12&lt;pax_e)</f>
        <v>1.8400000000000003</v>
      </c>
      <c r="BO3623" s="281">
        <f t="shared" si="190"/>
        <v>8.7775200000000027</v>
      </c>
    </row>
    <row r="3624" spans="65:67" x14ac:dyDescent="0.25">
      <c r="BM3624" s="281">
        <f>$AZ$35+0.8*(seat_pitch)*($AY$35*n_SA+$AW$12&lt;pax_e)</f>
        <v>26.588000000000001</v>
      </c>
      <c r="BN3624" s="281">
        <f>$AX$12</f>
        <v>1.3100000000000003</v>
      </c>
      <c r="BO3624" s="281">
        <f t="shared" si="190"/>
        <v>8.7775200000000027</v>
      </c>
    </row>
    <row r="3625" spans="65:67" x14ac:dyDescent="0.25">
      <c r="BM3625" s="281">
        <f>$AZ$35+0.2*(seat_pitch)*($AY$35*n_SA+$AW$12&lt;pax_e)</f>
        <v>26.102</v>
      </c>
      <c r="BN3625" s="281">
        <f>$AX$12</f>
        <v>1.3100000000000003</v>
      </c>
      <c r="BO3625" s="281">
        <f t="shared" si="190"/>
        <v>8.291520000000002</v>
      </c>
    </row>
    <row r="3626" spans="65:67" x14ac:dyDescent="0.25">
      <c r="BM3626" s="281">
        <f>$AZ$35+(seat_pitch)</f>
        <v>26.75</v>
      </c>
      <c r="BN3626" s="281">
        <f>$AX$12</f>
        <v>1.3100000000000003</v>
      </c>
      <c r="BO3626" s="281">
        <f t="shared" si="190"/>
        <v>8.9395200000000017</v>
      </c>
    </row>
    <row r="3627" spans="65:67" x14ac:dyDescent="0.25">
      <c r="BM3627" s="281">
        <f>$AZ$36+0.2*(seat_pitch)*($AY$36*n_SA+$AW$12&lt;pax_e)</f>
        <v>26.102</v>
      </c>
      <c r="BN3627" s="281">
        <f>$AX$12</f>
        <v>1.3100000000000003</v>
      </c>
      <c r="BO3627" s="281">
        <f t="shared" si="190"/>
        <v>8.291520000000002</v>
      </c>
    </row>
    <row r="3628" spans="65:67" x14ac:dyDescent="0.25">
      <c r="BM3628" s="281">
        <f>$AZ$36+0.2*(seat_pitch)*($AY$36*n_SA+$AW$12&lt;pax_e)</f>
        <v>26.102</v>
      </c>
      <c r="BN3628" s="281">
        <f>$AX$12+seat_w*($AY$36*n_SA+$AW$12&lt;pax_e)</f>
        <v>1.8400000000000003</v>
      </c>
      <c r="BO3628" s="281">
        <f t="shared" si="190"/>
        <v>8.291520000000002</v>
      </c>
    </row>
    <row r="3629" spans="65:67" x14ac:dyDescent="0.25">
      <c r="BM3629" s="281">
        <f>$AZ$36</f>
        <v>25.94</v>
      </c>
      <c r="BN3629" s="281">
        <f>$AX$12+seat_w*($AY$36*n_SA+$AW$12&lt;pax_e)</f>
        <v>1.8400000000000003</v>
      </c>
      <c r="BO3629" s="281">
        <f t="shared" si="190"/>
        <v>8.129520000000003</v>
      </c>
    </row>
    <row r="3630" spans="65:67" x14ac:dyDescent="0.25">
      <c r="BM3630" s="281">
        <f>$AZ$36+1*(seat_pitch)*($AY$36*n_SA+$AW$12&lt;pax_e)</f>
        <v>26.75</v>
      </c>
      <c r="BN3630" s="281">
        <f>$AX$12+seat_w*($AY$36*n_SA+$AW$12&lt;pax_e)</f>
        <v>1.8400000000000003</v>
      </c>
      <c r="BO3630" s="281">
        <f t="shared" si="190"/>
        <v>8.9395200000000017</v>
      </c>
    </row>
    <row r="3631" spans="65:67" x14ac:dyDescent="0.25">
      <c r="BM3631" s="281">
        <f>$AZ$36+0.8*(seat_pitch)*($AY$36*n_SA+$AW$12&lt;pax_e)</f>
        <v>26.588000000000001</v>
      </c>
      <c r="BN3631" s="281">
        <f>$AX$12+seat_w*($AY$36*n_SA+$AW$12&lt;pax_e)</f>
        <v>1.8400000000000003</v>
      </c>
      <c r="BO3631" s="281">
        <f t="shared" si="190"/>
        <v>8.7775200000000027</v>
      </c>
    </row>
    <row r="3632" spans="65:67" x14ac:dyDescent="0.25">
      <c r="BM3632" s="281">
        <f>$AZ$36+0.8*(seat_pitch)*($AY$36*n_SA+$AW$12&lt;pax_e)</f>
        <v>26.588000000000001</v>
      </c>
      <c r="BN3632" s="281">
        <f>$AX$12</f>
        <v>1.3100000000000003</v>
      </c>
      <c r="BO3632" s="281">
        <f t="shared" si="190"/>
        <v>8.7775200000000027</v>
      </c>
    </row>
    <row r="3633" spans="65:67" x14ac:dyDescent="0.25">
      <c r="BM3633" s="281">
        <f>$AZ$36+0.2*(seat_pitch)*($AY$36*n_SA+$AW$12&lt;pax_e)</f>
        <v>26.102</v>
      </c>
      <c r="BN3633" s="281">
        <f>$AX$12</f>
        <v>1.3100000000000003</v>
      </c>
      <c r="BO3633" s="281">
        <f t="shared" si="190"/>
        <v>8.291520000000002</v>
      </c>
    </row>
    <row r="3634" spans="65:67" x14ac:dyDescent="0.25">
      <c r="BM3634" s="281">
        <f>$AZ$36+(seat_pitch)</f>
        <v>26.75</v>
      </c>
      <c r="BN3634" s="281">
        <f>$AX$12</f>
        <v>1.3100000000000003</v>
      </c>
      <c r="BO3634" s="281">
        <f t="shared" si="190"/>
        <v>8.9395200000000017</v>
      </c>
    </row>
    <row r="3635" spans="65:67" x14ac:dyDescent="0.25">
      <c r="BM3635" s="281">
        <f>$AZ$37+0.2*(seat_pitch)*($AY$37*n_SA+$AW$12&lt;pax_e)</f>
        <v>26.102</v>
      </c>
      <c r="BN3635" s="281">
        <f>$AX$12</f>
        <v>1.3100000000000003</v>
      </c>
      <c r="BO3635" s="281">
        <f t="shared" si="190"/>
        <v>8.291520000000002</v>
      </c>
    </row>
    <row r="3636" spans="65:67" x14ac:dyDescent="0.25">
      <c r="BM3636" s="281">
        <f>$AZ$37+0.2*(seat_pitch)*($AY$37*n_SA+$AW$12&lt;pax_e)</f>
        <v>26.102</v>
      </c>
      <c r="BN3636" s="281">
        <f>$AX$12+seat_w*($AY$37*n_SA+$AW$12&lt;pax_e)</f>
        <v>1.8400000000000003</v>
      </c>
      <c r="BO3636" s="281">
        <f t="shared" si="190"/>
        <v>8.291520000000002</v>
      </c>
    </row>
    <row r="3637" spans="65:67" x14ac:dyDescent="0.25">
      <c r="BM3637" s="281">
        <f>$AZ$37</f>
        <v>25.94</v>
      </c>
      <c r="BN3637" s="281">
        <f>$AX$12+seat_w*($AY$37*n_SA+$AW$12&lt;pax_e)</f>
        <v>1.8400000000000003</v>
      </c>
      <c r="BO3637" s="281">
        <f t="shared" si="190"/>
        <v>8.129520000000003</v>
      </c>
    </row>
    <row r="3638" spans="65:67" x14ac:dyDescent="0.25">
      <c r="BM3638" s="281">
        <f>$AZ$37+1*(seat_pitch)*($AY$37*n_SA+$AW$12&lt;pax_e)</f>
        <v>26.75</v>
      </c>
      <c r="BN3638" s="281">
        <f>$AX$12+seat_w*($AY$37*n_SA+$AW$12&lt;pax_e)</f>
        <v>1.8400000000000003</v>
      </c>
      <c r="BO3638" s="281">
        <f t="shared" si="190"/>
        <v>8.9395200000000017</v>
      </c>
    </row>
    <row r="3639" spans="65:67" x14ac:dyDescent="0.25">
      <c r="BM3639" s="281">
        <f>$AZ$37+0.8*(seat_pitch)*($AY$37*n_SA+$AW$12&lt;pax_e)</f>
        <v>26.588000000000001</v>
      </c>
      <c r="BN3639" s="281">
        <f>$AX$12+seat_w*($AY$37*n_SA+$AW$12&lt;pax_e)</f>
        <v>1.8400000000000003</v>
      </c>
      <c r="BO3639" s="281">
        <f t="shared" si="190"/>
        <v>8.7775200000000027</v>
      </c>
    </row>
    <row r="3640" spans="65:67" x14ac:dyDescent="0.25">
      <c r="BM3640" s="281">
        <f>$AZ$37+0.8*(seat_pitch)*($AY$37*n_SA+$AW$12&lt;pax_e)</f>
        <v>26.588000000000001</v>
      </c>
      <c r="BN3640" s="281">
        <f>$AX$12</f>
        <v>1.3100000000000003</v>
      </c>
      <c r="BO3640" s="281">
        <f t="shared" si="190"/>
        <v>8.7775200000000027</v>
      </c>
    </row>
    <row r="3641" spans="65:67" x14ac:dyDescent="0.25">
      <c r="BM3641" s="281">
        <f>$AZ$37+0.2*(seat_pitch)*($AY$37*n_SA+$AW$12&lt;pax_e)</f>
        <v>26.102</v>
      </c>
      <c r="BN3641" s="281">
        <f>$AX$12</f>
        <v>1.3100000000000003</v>
      </c>
      <c r="BO3641" s="281">
        <f t="shared" si="190"/>
        <v>8.291520000000002</v>
      </c>
    </row>
    <row r="3642" spans="65:67" x14ac:dyDescent="0.25">
      <c r="BM3642" s="281">
        <f>$AZ$37+(seat_pitch)</f>
        <v>26.75</v>
      </c>
      <c r="BN3642" s="281">
        <f>$AX$12</f>
        <v>1.3100000000000003</v>
      </c>
      <c r="BO3642" s="281">
        <f t="shared" si="190"/>
        <v>8.9395200000000017</v>
      </c>
    </row>
    <row r="3643" spans="65:67" x14ac:dyDescent="0.25">
      <c r="BM3643" s="281">
        <f>$AZ$38+0.2*(seat_pitch)*($AY$38*n_SA+$AW$12&lt;pax_e)</f>
        <v>26.102</v>
      </c>
      <c r="BN3643" s="281">
        <f>$AX$12</f>
        <v>1.3100000000000003</v>
      </c>
      <c r="BO3643" s="281">
        <f t="shared" si="190"/>
        <v>8.291520000000002</v>
      </c>
    </row>
    <row r="3644" spans="65:67" x14ac:dyDescent="0.25">
      <c r="BM3644" s="281">
        <f>$AZ$38+0.2*(seat_pitch)*($AY$38*n_SA+$AW$12&lt;pax_e)</f>
        <v>26.102</v>
      </c>
      <c r="BN3644" s="281">
        <f>$AX$12+seat_w*($AY$38*n_SA+$AW$12&lt;pax_e)</f>
        <v>1.8400000000000003</v>
      </c>
      <c r="BO3644" s="281">
        <f t="shared" si="190"/>
        <v>8.291520000000002</v>
      </c>
    </row>
    <row r="3645" spans="65:67" x14ac:dyDescent="0.25">
      <c r="BM3645" s="281">
        <f>$AZ$38</f>
        <v>25.94</v>
      </c>
      <c r="BN3645" s="281">
        <f>$AX$12+seat_w*($AY$38*n_SA+$AW$12&lt;pax_e)</f>
        <v>1.8400000000000003</v>
      </c>
      <c r="BO3645" s="281">
        <f t="shared" si="190"/>
        <v>8.129520000000003</v>
      </c>
    </row>
    <row r="3646" spans="65:67" x14ac:dyDescent="0.25">
      <c r="BM3646" s="281">
        <f>$AZ$38+1*(seat_pitch)*($AY$38*n_SA+$AW$12&lt;pax_e)</f>
        <v>26.75</v>
      </c>
      <c r="BN3646" s="281">
        <f>$AX$12+seat_w*($AY$38*n_SA+$AW$12&lt;pax_e)</f>
        <v>1.8400000000000003</v>
      </c>
      <c r="BO3646" s="281">
        <f t="shared" si="190"/>
        <v>8.9395200000000017</v>
      </c>
    </row>
    <row r="3647" spans="65:67" x14ac:dyDescent="0.25">
      <c r="BM3647" s="281">
        <f>$AZ$38+0.8*(seat_pitch)*($AY$38*n_SA+$AW$12&lt;pax_e)</f>
        <v>26.588000000000001</v>
      </c>
      <c r="BN3647" s="281">
        <f>$AX$12+seat_w*($AY$38*n_SA+$AW$12&lt;pax_e)</f>
        <v>1.8400000000000003</v>
      </c>
      <c r="BO3647" s="281">
        <f t="shared" si="190"/>
        <v>8.7775200000000027</v>
      </c>
    </row>
    <row r="3648" spans="65:67" x14ac:dyDescent="0.25">
      <c r="BM3648" s="281">
        <f>$AZ$38+0.8*(seat_pitch)*($AY$38*n_SA+$AW$12&lt;pax_e)</f>
        <v>26.588000000000001</v>
      </c>
      <c r="BN3648" s="281">
        <f>$AX$12</f>
        <v>1.3100000000000003</v>
      </c>
      <c r="BO3648" s="281">
        <f t="shared" si="190"/>
        <v>8.7775200000000027</v>
      </c>
    </row>
    <row r="3649" spans="65:67" x14ac:dyDescent="0.25">
      <c r="BM3649" s="281">
        <f>$AZ$38+0.2*(seat_pitch)*($AY$38*n_SA+$AW$12&lt;pax_e)</f>
        <v>26.102</v>
      </c>
      <c r="BN3649" s="281">
        <f>$AX$12</f>
        <v>1.3100000000000003</v>
      </c>
      <c r="BO3649" s="281">
        <f t="shared" si="190"/>
        <v>8.291520000000002</v>
      </c>
    </row>
    <row r="3650" spans="65:67" x14ac:dyDescent="0.25">
      <c r="BM3650" s="281">
        <f>$AZ$38+(seat_pitch)</f>
        <v>26.75</v>
      </c>
      <c r="BN3650" s="281">
        <f>$AX$12</f>
        <v>1.3100000000000003</v>
      </c>
      <c r="BO3650" s="281">
        <f t="shared" si="190"/>
        <v>8.9395200000000017</v>
      </c>
    </row>
    <row r="3651" spans="65:67" x14ac:dyDescent="0.25">
      <c r="BM3651" s="281">
        <f>$AZ$39+0.2*(seat_pitch)*($AY$39*n_SA+$AW$12&lt;pax_e)</f>
        <v>26.102</v>
      </c>
      <c r="BN3651" s="281">
        <f>$AX$12</f>
        <v>1.3100000000000003</v>
      </c>
      <c r="BO3651" s="281">
        <f t="shared" si="190"/>
        <v>8.291520000000002</v>
      </c>
    </row>
    <row r="3652" spans="65:67" x14ac:dyDescent="0.25">
      <c r="BM3652" s="281">
        <f>$AZ$39+0.2*(seat_pitch)*($AY$39*n_SA+$AW$12&lt;pax_e)</f>
        <v>26.102</v>
      </c>
      <c r="BN3652" s="281">
        <f>$AX$12+seat_w*($AY$39*n_SA+$AW$12&lt;pax_e)</f>
        <v>1.8400000000000003</v>
      </c>
      <c r="BO3652" s="281">
        <f t="shared" si="190"/>
        <v>8.291520000000002</v>
      </c>
    </row>
    <row r="3653" spans="65:67" x14ac:dyDescent="0.25">
      <c r="BM3653" s="281">
        <f>$AZ$39</f>
        <v>25.94</v>
      </c>
      <c r="BN3653" s="281">
        <f>$AX$12+seat_w*($AY$39*n_SA+$AW$12&lt;pax_e)</f>
        <v>1.8400000000000003</v>
      </c>
      <c r="BO3653" s="281">
        <f t="shared" ref="BO3653:BO3716" si="191">BM3653-L_fus/2</f>
        <v>8.129520000000003</v>
      </c>
    </row>
    <row r="3654" spans="65:67" x14ac:dyDescent="0.25">
      <c r="BM3654" s="281">
        <f>$AZ$39+1*(seat_pitch)*($AY$39*n_SA+$AW$12&lt;pax_e)</f>
        <v>26.75</v>
      </c>
      <c r="BN3654" s="281">
        <f>$AX$12+seat_w*($AY$39*n_SA+$AW$12&lt;pax_e)</f>
        <v>1.8400000000000003</v>
      </c>
      <c r="BO3654" s="281">
        <f t="shared" si="191"/>
        <v>8.9395200000000017</v>
      </c>
    </row>
    <row r="3655" spans="65:67" x14ac:dyDescent="0.25">
      <c r="BM3655" s="281">
        <f>$AZ$39+0.8*(seat_pitch)*($AY$39*n_SA+$AW$12&lt;pax_e)</f>
        <v>26.588000000000001</v>
      </c>
      <c r="BN3655" s="281">
        <f>$AX$12+seat_w*($AY$39*n_SA+$AW$12&lt;pax_e)</f>
        <v>1.8400000000000003</v>
      </c>
      <c r="BO3655" s="281">
        <f t="shared" si="191"/>
        <v>8.7775200000000027</v>
      </c>
    </row>
    <row r="3656" spans="65:67" x14ac:dyDescent="0.25">
      <c r="BM3656" s="281">
        <f>$AZ$39+0.8*(seat_pitch)*($AY$39*n_SA+$AW$12&lt;pax_e)</f>
        <v>26.588000000000001</v>
      </c>
      <c r="BN3656" s="281">
        <f>$AX$12</f>
        <v>1.3100000000000003</v>
      </c>
      <c r="BO3656" s="281">
        <f t="shared" si="191"/>
        <v>8.7775200000000027</v>
      </c>
    </row>
    <row r="3657" spans="65:67" x14ac:dyDescent="0.25">
      <c r="BM3657" s="281">
        <f>$AZ$39+0.2*(seat_pitch)*($AY$39*n_SA+$AW$12&lt;pax_e)</f>
        <v>26.102</v>
      </c>
      <c r="BN3657" s="281">
        <f>$AX$12</f>
        <v>1.3100000000000003</v>
      </c>
      <c r="BO3657" s="281">
        <f t="shared" si="191"/>
        <v>8.291520000000002</v>
      </c>
    </row>
    <row r="3658" spans="65:67" x14ac:dyDescent="0.25">
      <c r="BM3658" s="281">
        <f>$AZ$39+(seat_pitch)</f>
        <v>26.75</v>
      </c>
      <c r="BN3658" s="281">
        <f>$AX$12</f>
        <v>1.3100000000000003</v>
      </c>
      <c r="BO3658" s="281">
        <f t="shared" si="191"/>
        <v>8.9395200000000017</v>
      </c>
    </row>
    <row r="3659" spans="65:67" x14ac:dyDescent="0.25">
      <c r="BM3659" s="281">
        <f>$AZ$40+0.2*(seat_pitch)*($AY$40*n_SA+$AW$12&lt;pax_e)</f>
        <v>26.102</v>
      </c>
      <c r="BN3659" s="281">
        <f>$AX$12</f>
        <v>1.3100000000000003</v>
      </c>
      <c r="BO3659" s="281">
        <f t="shared" si="191"/>
        <v>8.291520000000002</v>
      </c>
    </row>
    <row r="3660" spans="65:67" x14ac:dyDescent="0.25">
      <c r="BM3660" s="281">
        <f>$AZ$40+0.2*(seat_pitch)*($AY$40*n_SA+$AW$12&lt;pax_e)</f>
        <v>26.102</v>
      </c>
      <c r="BN3660" s="281">
        <f>$AX$12+seat_w*($AY$40*n_SA+$AW$12&lt;pax_e)</f>
        <v>1.8400000000000003</v>
      </c>
      <c r="BO3660" s="281">
        <f t="shared" si="191"/>
        <v>8.291520000000002</v>
      </c>
    </row>
    <row r="3661" spans="65:67" x14ac:dyDescent="0.25">
      <c r="BM3661" s="281">
        <f>$AZ$40</f>
        <v>25.94</v>
      </c>
      <c r="BN3661" s="281">
        <f>$AX$12+seat_w*($AY$40*n_SA+$AW$12&lt;pax_e)</f>
        <v>1.8400000000000003</v>
      </c>
      <c r="BO3661" s="281">
        <f t="shared" si="191"/>
        <v>8.129520000000003</v>
      </c>
    </row>
    <row r="3662" spans="65:67" x14ac:dyDescent="0.25">
      <c r="BM3662" s="281">
        <f>$AZ$40+1*(seat_pitch)*($AY$40*n_SA+$AW$12&lt;pax_e)</f>
        <v>26.75</v>
      </c>
      <c r="BN3662" s="281">
        <f>$AX$12+seat_w*($AY$40*n_SA+$AW$12&lt;pax_e)</f>
        <v>1.8400000000000003</v>
      </c>
      <c r="BO3662" s="281">
        <f t="shared" si="191"/>
        <v>8.9395200000000017</v>
      </c>
    </row>
    <row r="3663" spans="65:67" x14ac:dyDescent="0.25">
      <c r="BM3663" s="281">
        <f>$AZ$40+0.8*(seat_pitch)*($AY$40*n_SA+$AW$12&lt;pax_e)</f>
        <v>26.588000000000001</v>
      </c>
      <c r="BN3663" s="281">
        <f>$AX$12+seat_w*($AY$40*n_SA+$AW$12&lt;pax_e)</f>
        <v>1.8400000000000003</v>
      </c>
      <c r="BO3663" s="281">
        <f t="shared" si="191"/>
        <v>8.7775200000000027</v>
      </c>
    </row>
    <row r="3664" spans="65:67" x14ac:dyDescent="0.25">
      <c r="BM3664" s="281">
        <f>$AZ$40+0.8*(seat_pitch)*($AY$40*n_SA+$AW$12&lt;pax_e)</f>
        <v>26.588000000000001</v>
      </c>
      <c r="BN3664" s="281">
        <f>$AX$12</f>
        <v>1.3100000000000003</v>
      </c>
      <c r="BO3664" s="281">
        <f t="shared" si="191"/>
        <v>8.7775200000000027</v>
      </c>
    </row>
    <row r="3665" spans="65:67" x14ac:dyDescent="0.25">
      <c r="BM3665" s="281">
        <f>$AZ$40+0.2*(seat_pitch)*($AY$40*n_SA+$AW$12&lt;pax_e)</f>
        <v>26.102</v>
      </c>
      <c r="BN3665" s="281">
        <f>$AX$12</f>
        <v>1.3100000000000003</v>
      </c>
      <c r="BO3665" s="281">
        <f t="shared" si="191"/>
        <v>8.291520000000002</v>
      </c>
    </row>
    <row r="3666" spans="65:67" x14ac:dyDescent="0.25">
      <c r="BM3666" s="281">
        <f>$AZ$40+(seat_pitch)</f>
        <v>26.75</v>
      </c>
      <c r="BN3666" s="281">
        <f>$AX$12</f>
        <v>1.3100000000000003</v>
      </c>
      <c r="BO3666" s="281">
        <f t="shared" si="191"/>
        <v>8.9395200000000017</v>
      </c>
    </row>
    <row r="3667" spans="65:67" x14ac:dyDescent="0.25">
      <c r="BM3667" s="281">
        <f>$AZ$41+0.2*(seat_pitch)*($AY$41*n_SA+$AW$12&lt;pax_e)</f>
        <v>26.102</v>
      </c>
      <c r="BN3667" s="281">
        <f>$AX$12</f>
        <v>1.3100000000000003</v>
      </c>
      <c r="BO3667" s="281">
        <f t="shared" si="191"/>
        <v>8.291520000000002</v>
      </c>
    </row>
    <row r="3668" spans="65:67" x14ac:dyDescent="0.25">
      <c r="BM3668" s="281">
        <f>$AZ$41+0.2*(seat_pitch)*($AY$41*n_SA+$AW$12&lt;pax_e)</f>
        <v>26.102</v>
      </c>
      <c r="BN3668" s="281">
        <f>$AX$12+seat_w*($AY$41*n_SA+$AW$12&lt;pax_e)</f>
        <v>1.8400000000000003</v>
      </c>
      <c r="BO3668" s="281">
        <f t="shared" si="191"/>
        <v>8.291520000000002</v>
      </c>
    </row>
    <row r="3669" spans="65:67" x14ac:dyDescent="0.25">
      <c r="BM3669" s="281">
        <f>$AZ$41</f>
        <v>25.94</v>
      </c>
      <c r="BN3669" s="281">
        <f>$AX$12+seat_w*($AY$41*n_SA+$AW$12&lt;pax_e)</f>
        <v>1.8400000000000003</v>
      </c>
      <c r="BO3669" s="281">
        <f t="shared" si="191"/>
        <v>8.129520000000003</v>
      </c>
    </row>
    <row r="3670" spans="65:67" x14ac:dyDescent="0.25">
      <c r="BM3670" s="281">
        <f>$AZ$41+1*(seat_pitch)*($AY$41*n_SA+$AW$12&lt;pax_e)</f>
        <v>26.75</v>
      </c>
      <c r="BN3670" s="281">
        <f>$AX$12+seat_w*($AY$41*n_SA+$AW$12&lt;pax_e)</f>
        <v>1.8400000000000003</v>
      </c>
      <c r="BO3670" s="281">
        <f t="shared" si="191"/>
        <v>8.9395200000000017</v>
      </c>
    </row>
    <row r="3671" spans="65:67" x14ac:dyDescent="0.25">
      <c r="BM3671" s="281">
        <f>$AZ$41+0.8*(seat_pitch)*($AY$41*n_SA+$AW$12&lt;pax_e)</f>
        <v>26.588000000000001</v>
      </c>
      <c r="BN3671" s="281">
        <f>$AX$12+seat_w*($AY$41*n_SA+$AW$12&lt;pax_e)</f>
        <v>1.8400000000000003</v>
      </c>
      <c r="BO3671" s="281">
        <f t="shared" si="191"/>
        <v>8.7775200000000027</v>
      </c>
    </row>
    <row r="3672" spans="65:67" x14ac:dyDescent="0.25">
      <c r="BM3672" s="281">
        <f>$AZ$41+0.8*(seat_pitch)*($AY$41*n_SA+$AW$12&lt;pax_e)</f>
        <v>26.588000000000001</v>
      </c>
      <c r="BN3672" s="281">
        <f>$AX$12</f>
        <v>1.3100000000000003</v>
      </c>
      <c r="BO3672" s="281">
        <f t="shared" si="191"/>
        <v>8.7775200000000027</v>
      </c>
    </row>
    <row r="3673" spans="65:67" x14ac:dyDescent="0.25">
      <c r="BM3673" s="281">
        <f>$AZ$41+0.2*(seat_pitch)*($AY$41*n_SA+$AW$12&lt;pax_e)</f>
        <v>26.102</v>
      </c>
      <c r="BN3673" s="281">
        <f>$AX$12</f>
        <v>1.3100000000000003</v>
      </c>
      <c r="BO3673" s="281">
        <f t="shared" si="191"/>
        <v>8.291520000000002</v>
      </c>
    </row>
    <row r="3674" spans="65:67" x14ac:dyDescent="0.25">
      <c r="BM3674" s="281">
        <f>$AZ$41+(seat_pitch)</f>
        <v>26.75</v>
      </c>
      <c r="BN3674" s="281">
        <f>$AX$12</f>
        <v>1.3100000000000003</v>
      </c>
      <c r="BO3674" s="281">
        <f t="shared" si="191"/>
        <v>8.9395200000000017</v>
      </c>
    </row>
    <row r="3675" spans="65:67" x14ac:dyDescent="0.25">
      <c r="BM3675" s="281">
        <f>$AZ$42+0.2*(seat_pitch)*($AY$42*n_SA+$AW$12&lt;pax_e)</f>
        <v>26.102</v>
      </c>
      <c r="BN3675" s="281">
        <f>$AX$12</f>
        <v>1.3100000000000003</v>
      </c>
      <c r="BO3675" s="281">
        <f t="shared" si="191"/>
        <v>8.291520000000002</v>
      </c>
    </row>
    <row r="3676" spans="65:67" x14ac:dyDescent="0.25">
      <c r="BM3676" s="281">
        <f>$AZ$42+0.2*(seat_pitch)*($AY$42*n_SA+$AW$12&lt;pax_e)</f>
        <v>26.102</v>
      </c>
      <c r="BN3676" s="281">
        <f>$AX$12+seat_w*($AY$42*n_SA+$AW$12&lt;pax_e)</f>
        <v>1.8400000000000003</v>
      </c>
      <c r="BO3676" s="281">
        <f t="shared" si="191"/>
        <v>8.291520000000002</v>
      </c>
    </row>
    <row r="3677" spans="65:67" x14ac:dyDescent="0.25">
      <c r="BM3677" s="281">
        <f>$AZ$42</f>
        <v>25.94</v>
      </c>
      <c r="BN3677" s="281">
        <f>$AX$12+seat_w*($AY$42*n_SA+$AW$12&lt;pax_e)</f>
        <v>1.8400000000000003</v>
      </c>
      <c r="BO3677" s="281">
        <f t="shared" si="191"/>
        <v>8.129520000000003</v>
      </c>
    </row>
    <row r="3678" spans="65:67" x14ac:dyDescent="0.25">
      <c r="BM3678" s="281">
        <f>$AZ$42+1*(seat_pitch)*($AY$42*n_SA+$AW$12&lt;pax_e)</f>
        <v>26.75</v>
      </c>
      <c r="BN3678" s="281">
        <f>$AX$12+seat_w*($AY$42*n_SA+$AW$12&lt;pax_e)</f>
        <v>1.8400000000000003</v>
      </c>
      <c r="BO3678" s="281">
        <f t="shared" si="191"/>
        <v>8.9395200000000017</v>
      </c>
    </row>
    <row r="3679" spans="65:67" x14ac:dyDescent="0.25">
      <c r="BM3679" s="281">
        <f>$AZ$42+0.8*(seat_pitch)*($AY$42*n_SA+$AW$12&lt;pax_e)</f>
        <v>26.588000000000001</v>
      </c>
      <c r="BN3679" s="281">
        <f>$AX$12+seat_w*($AY$42*n_SA+$AW$12&lt;pax_e)</f>
        <v>1.8400000000000003</v>
      </c>
      <c r="BO3679" s="281">
        <f t="shared" si="191"/>
        <v>8.7775200000000027</v>
      </c>
    </row>
    <row r="3680" spans="65:67" x14ac:dyDescent="0.25">
      <c r="BM3680" s="281">
        <f>$AZ$42+0.8*(seat_pitch)*($AY$42*n_SA+$AW$12&lt;pax_e)</f>
        <v>26.588000000000001</v>
      </c>
      <c r="BN3680" s="281">
        <f>$AX$12</f>
        <v>1.3100000000000003</v>
      </c>
      <c r="BO3680" s="281">
        <f t="shared" si="191"/>
        <v>8.7775200000000027</v>
      </c>
    </row>
    <row r="3681" spans="65:67" x14ac:dyDescent="0.25">
      <c r="BM3681" s="281">
        <f>$AZ$42+0.2*(seat_pitch)*($AY$42*n_SA+$AW$12&lt;pax_e)</f>
        <v>26.102</v>
      </c>
      <c r="BN3681" s="281">
        <f>$AX$12</f>
        <v>1.3100000000000003</v>
      </c>
      <c r="BO3681" s="281">
        <f t="shared" si="191"/>
        <v>8.291520000000002</v>
      </c>
    </row>
    <row r="3682" spans="65:67" x14ac:dyDescent="0.25">
      <c r="BM3682" s="281">
        <f>$AZ$42+(seat_pitch)</f>
        <v>26.75</v>
      </c>
      <c r="BN3682" s="281">
        <f>$AX$12</f>
        <v>1.3100000000000003</v>
      </c>
      <c r="BO3682" s="281">
        <f t="shared" si="191"/>
        <v>8.9395200000000017</v>
      </c>
    </row>
    <row r="3683" spans="65:67" x14ac:dyDescent="0.25">
      <c r="BM3683" s="281">
        <f>$AZ$43+0.2*(seat_pitch)*($AY$43*n_SA+$AW$12&lt;pax_e)</f>
        <v>26.102</v>
      </c>
      <c r="BN3683" s="281">
        <f>$AX$12</f>
        <v>1.3100000000000003</v>
      </c>
      <c r="BO3683" s="281">
        <f t="shared" si="191"/>
        <v>8.291520000000002</v>
      </c>
    </row>
    <row r="3684" spans="65:67" x14ac:dyDescent="0.25">
      <c r="BM3684" s="281">
        <f>$AZ$43+0.2*(seat_pitch)*($AY$43*n_SA+$AW$12&lt;pax_e)</f>
        <v>26.102</v>
      </c>
      <c r="BN3684" s="281">
        <f>$AX$12+seat_w*($AY$43*n_SA+$AW$12&lt;pax_e)</f>
        <v>1.8400000000000003</v>
      </c>
      <c r="BO3684" s="281">
        <f t="shared" si="191"/>
        <v>8.291520000000002</v>
      </c>
    </row>
    <row r="3685" spans="65:67" x14ac:dyDescent="0.25">
      <c r="BM3685" s="281">
        <f>$AZ$43</f>
        <v>25.94</v>
      </c>
      <c r="BN3685" s="281">
        <f>$AX$12+seat_w*($AY$43*n_SA+$AW$12&lt;pax_e)</f>
        <v>1.8400000000000003</v>
      </c>
      <c r="BO3685" s="281">
        <f t="shared" si="191"/>
        <v>8.129520000000003</v>
      </c>
    </row>
    <row r="3686" spans="65:67" x14ac:dyDescent="0.25">
      <c r="BM3686" s="281">
        <f>$AZ$43+1*(seat_pitch)*($AY$43*n_SA+$AW$12&lt;pax_e)</f>
        <v>26.75</v>
      </c>
      <c r="BN3686" s="281">
        <f>$AX$12+seat_w*($AY$43*n_SA+$AW$12&lt;pax_e)</f>
        <v>1.8400000000000003</v>
      </c>
      <c r="BO3686" s="281">
        <f t="shared" si="191"/>
        <v>8.9395200000000017</v>
      </c>
    </row>
    <row r="3687" spans="65:67" x14ac:dyDescent="0.25">
      <c r="BM3687" s="281">
        <f>$AZ$43+0.8*(seat_pitch)*($AY$43*n_SA+$AW$12&lt;pax_e)</f>
        <v>26.588000000000001</v>
      </c>
      <c r="BN3687" s="281">
        <f>$AX$12+seat_w*($AY$43*n_SA+$AW$12&lt;pax_e)</f>
        <v>1.8400000000000003</v>
      </c>
      <c r="BO3687" s="281">
        <f t="shared" si="191"/>
        <v>8.7775200000000027</v>
      </c>
    </row>
    <row r="3688" spans="65:67" x14ac:dyDescent="0.25">
      <c r="BM3688" s="281">
        <f>$AZ$43+0.8*(seat_pitch)*($AY$43*n_SA+$AW$12&lt;pax_e)</f>
        <v>26.588000000000001</v>
      </c>
      <c r="BN3688" s="281">
        <f>$AX$12</f>
        <v>1.3100000000000003</v>
      </c>
      <c r="BO3688" s="281">
        <f t="shared" si="191"/>
        <v>8.7775200000000027</v>
      </c>
    </row>
    <row r="3689" spans="65:67" x14ac:dyDescent="0.25">
      <c r="BM3689" s="281">
        <f>$AZ$43+0.2*(seat_pitch)*($AY$43*n_SA+$AW$12&lt;pax_e)</f>
        <v>26.102</v>
      </c>
      <c r="BN3689" s="281">
        <f>$AX$12</f>
        <v>1.3100000000000003</v>
      </c>
      <c r="BO3689" s="281">
        <f t="shared" si="191"/>
        <v>8.291520000000002</v>
      </c>
    </row>
    <row r="3690" spans="65:67" x14ac:dyDescent="0.25">
      <c r="BM3690" s="281">
        <f>$AZ$43+(seat_pitch)</f>
        <v>26.75</v>
      </c>
      <c r="BN3690" s="281">
        <f>$AX$12</f>
        <v>1.3100000000000003</v>
      </c>
      <c r="BO3690" s="281">
        <f t="shared" si="191"/>
        <v>8.9395200000000017</v>
      </c>
    </row>
    <row r="3691" spans="65:67" x14ac:dyDescent="0.25">
      <c r="BM3691" s="281">
        <f>$AZ$44+0.2*(seat_pitch)*($AY$44*n_SA+$AW$12&lt;pax_e)</f>
        <v>26.102</v>
      </c>
      <c r="BN3691" s="281">
        <f>$AX$12</f>
        <v>1.3100000000000003</v>
      </c>
      <c r="BO3691" s="281">
        <f t="shared" si="191"/>
        <v>8.291520000000002</v>
      </c>
    </row>
    <row r="3692" spans="65:67" x14ac:dyDescent="0.25">
      <c r="BM3692" s="281">
        <f>$AZ$44+0.2*(seat_pitch)*($AY$44*n_SA+$AW$12&lt;pax_e)</f>
        <v>26.102</v>
      </c>
      <c r="BN3692" s="281">
        <f>$AX$12+seat_w*($AY$44*n_SA+$AW$12&lt;pax_e)</f>
        <v>1.8400000000000003</v>
      </c>
      <c r="BO3692" s="281">
        <f t="shared" si="191"/>
        <v>8.291520000000002</v>
      </c>
    </row>
    <row r="3693" spans="65:67" x14ac:dyDescent="0.25">
      <c r="BM3693" s="281">
        <f>$AZ$44</f>
        <v>25.94</v>
      </c>
      <c r="BN3693" s="281">
        <f>$AX$12+seat_w*($AY$44*n_SA+$AW$12&lt;pax_e)</f>
        <v>1.8400000000000003</v>
      </c>
      <c r="BO3693" s="281">
        <f t="shared" si="191"/>
        <v>8.129520000000003</v>
      </c>
    </row>
    <row r="3694" spans="65:67" x14ac:dyDescent="0.25">
      <c r="BM3694" s="281">
        <f>$AZ$44+1*(seat_pitch)*($AY$44*n_SA+$AW$12&lt;pax_e)</f>
        <v>26.75</v>
      </c>
      <c r="BN3694" s="281">
        <f>$AX$12+seat_w*($AY$44*n_SA+$AW$12&lt;pax_e)</f>
        <v>1.8400000000000003</v>
      </c>
      <c r="BO3694" s="281">
        <f t="shared" si="191"/>
        <v>8.9395200000000017</v>
      </c>
    </row>
    <row r="3695" spans="65:67" x14ac:dyDescent="0.25">
      <c r="BM3695" s="281">
        <f>$AZ$44+0.8*(seat_pitch)*($AY$44*n_SA+$AW$12&lt;pax_e)</f>
        <v>26.588000000000001</v>
      </c>
      <c r="BN3695" s="281">
        <f>$AX$12+seat_w*($AY$44*n_SA+$AW$12&lt;pax_e)</f>
        <v>1.8400000000000003</v>
      </c>
      <c r="BO3695" s="281">
        <f t="shared" si="191"/>
        <v>8.7775200000000027</v>
      </c>
    </row>
    <row r="3696" spans="65:67" x14ac:dyDescent="0.25">
      <c r="BM3696" s="281">
        <f>$AZ$44+0.8*(seat_pitch)*($AY$44*n_SA+$AW$12&lt;pax_e)</f>
        <v>26.588000000000001</v>
      </c>
      <c r="BN3696" s="281">
        <f>$AX$12</f>
        <v>1.3100000000000003</v>
      </c>
      <c r="BO3696" s="281">
        <f t="shared" si="191"/>
        <v>8.7775200000000027</v>
      </c>
    </row>
    <row r="3697" spans="65:67" x14ac:dyDescent="0.25">
      <c r="BM3697" s="281">
        <f>$AZ$44+0.2*(seat_pitch)*($AY$44*n_SA+$AW$12&lt;pax_e)</f>
        <v>26.102</v>
      </c>
      <c r="BN3697" s="281">
        <f>$AX$12</f>
        <v>1.3100000000000003</v>
      </c>
      <c r="BO3697" s="281">
        <f t="shared" si="191"/>
        <v>8.291520000000002</v>
      </c>
    </row>
    <row r="3698" spans="65:67" x14ac:dyDescent="0.25">
      <c r="BM3698" s="281">
        <f>$AZ$44+(seat_pitch)</f>
        <v>26.75</v>
      </c>
      <c r="BN3698" s="281">
        <f>$AX$12</f>
        <v>1.3100000000000003</v>
      </c>
      <c r="BO3698" s="281">
        <f t="shared" si="191"/>
        <v>8.9395200000000017</v>
      </c>
    </row>
    <row r="3699" spans="65:67" x14ac:dyDescent="0.25">
      <c r="BM3699" s="281">
        <f>$AZ$45+0.2*(seat_pitch)*($AY$45*n_SA+$AW$12&lt;pax_e)</f>
        <v>26.102</v>
      </c>
      <c r="BN3699" s="281">
        <f>$AX$12</f>
        <v>1.3100000000000003</v>
      </c>
      <c r="BO3699" s="281">
        <f t="shared" si="191"/>
        <v>8.291520000000002</v>
      </c>
    </row>
    <row r="3700" spans="65:67" x14ac:dyDescent="0.25">
      <c r="BM3700" s="281">
        <f>$AZ$45+0.2*(seat_pitch)*($AY$45*n_SA+$AW$12&lt;pax_e)</f>
        <v>26.102</v>
      </c>
      <c r="BN3700" s="281">
        <f>$AX$12+seat_w*($AY$45*n_SA+$AW$12&lt;pax_e)</f>
        <v>1.8400000000000003</v>
      </c>
      <c r="BO3700" s="281">
        <f t="shared" si="191"/>
        <v>8.291520000000002</v>
      </c>
    </row>
    <row r="3701" spans="65:67" x14ac:dyDescent="0.25">
      <c r="BM3701" s="281">
        <f>$AZ$45</f>
        <v>25.94</v>
      </c>
      <c r="BN3701" s="281">
        <f>$AX$12+seat_w*($AY$45*n_SA+$AW$12&lt;pax_e)</f>
        <v>1.8400000000000003</v>
      </c>
      <c r="BO3701" s="281">
        <f t="shared" si="191"/>
        <v>8.129520000000003</v>
      </c>
    </row>
    <row r="3702" spans="65:67" x14ac:dyDescent="0.25">
      <c r="BM3702" s="281">
        <f>$AZ$45+1*(seat_pitch)*($AY$45*n_SA+$AW$12&lt;pax_e)</f>
        <v>26.75</v>
      </c>
      <c r="BN3702" s="281">
        <f>$AX$12+seat_w*($AY$45*n_SA+$AW$12&lt;pax_e)</f>
        <v>1.8400000000000003</v>
      </c>
      <c r="BO3702" s="281">
        <f t="shared" si="191"/>
        <v>8.9395200000000017</v>
      </c>
    </row>
    <row r="3703" spans="65:67" x14ac:dyDescent="0.25">
      <c r="BM3703" s="281">
        <f>$AZ$45+0.8*(seat_pitch)*($AY$45*n_SA+$AW$12&lt;pax_e)</f>
        <v>26.588000000000001</v>
      </c>
      <c r="BN3703" s="281">
        <f>$AX$12+seat_w*($AY$45*n_SA+$AW$12&lt;pax_e)</f>
        <v>1.8400000000000003</v>
      </c>
      <c r="BO3703" s="281">
        <f t="shared" si="191"/>
        <v>8.7775200000000027</v>
      </c>
    </row>
    <row r="3704" spans="65:67" x14ac:dyDescent="0.25">
      <c r="BM3704" s="281">
        <f>$AZ$45+0.8*(seat_pitch)*($AY$45*n_SA+$AW$12&lt;pax_e)</f>
        <v>26.588000000000001</v>
      </c>
      <c r="BN3704" s="281">
        <f>$AX$12</f>
        <v>1.3100000000000003</v>
      </c>
      <c r="BO3704" s="281">
        <f t="shared" si="191"/>
        <v>8.7775200000000027</v>
      </c>
    </row>
    <row r="3705" spans="65:67" x14ac:dyDescent="0.25">
      <c r="BM3705" s="281">
        <f>$AZ$45+0.2*(seat_pitch)*($AY$45*n_SA+$AW$12&lt;pax_e)</f>
        <v>26.102</v>
      </c>
      <c r="BN3705" s="281">
        <f>$AX$12</f>
        <v>1.3100000000000003</v>
      </c>
      <c r="BO3705" s="281">
        <f t="shared" si="191"/>
        <v>8.291520000000002</v>
      </c>
    </row>
    <row r="3706" spans="65:67" x14ac:dyDescent="0.25">
      <c r="BM3706" s="281">
        <f>$AZ$45+(seat_pitch)</f>
        <v>26.75</v>
      </c>
      <c r="BN3706" s="281">
        <f>$AX$12</f>
        <v>1.3100000000000003</v>
      </c>
      <c r="BO3706" s="281">
        <f t="shared" si="191"/>
        <v>8.9395200000000017</v>
      </c>
    </row>
    <row r="3707" spans="65:67" x14ac:dyDescent="0.25">
      <c r="BM3707" s="281">
        <f>$AZ$46+0.2*(seat_pitch)*($AY$46*n_SA+$AW$12&lt;pax_e)</f>
        <v>26.102</v>
      </c>
      <c r="BN3707" s="281">
        <f>$AX$12</f>
        <v>1.3100000000000003</v>
      </c>
      <c r="BO3707" s="281">
        <f t="shared" si="191"/>
        <v>8.291520000000002</v>
      </c>
    </row>
    <row r="3708" spans="65:67" x14ac:dyDescent="0.25">
      <c r="BM3708" s="281">
        <f>$AZ$46+0.2*(seat_pitch)*($AY$46*n_SA+$AW$12&lt;pax_e)</f>
        <v>26.102</v>
      </c>
      <c r="BN3708" s="281">
        <f>$AX$12+seat_w*($AY$46*n_SA+$AW$12&lt;pax_e)</f>
        <v>1.8400000000000003</v>
      </c>
      <c r="BO3708" s="281">
        <f t="shared" si="191"/>
        <v>8.291520000000002</v>
      </c>
    </row>
    <row r="3709" spans="65:67" x14ac:dyDescent="0.25">
      <c r="BM3709" s="281">
        <f>$AZ$46</f>
        <v>25.94</v>
      </c>
      <c r="BN3709" s="281">
        <f>$AX$12+seat_w*($AY$46*n_SA+$AW$12&lt;pax_e)</f>
        <v>1.8400000000000003</v>
      </c>
      <c r="BO3709" s="281">
        <f t="shared" si="191"/>
        <v>8.129520000000003</v>
      </c>
    </row>
    <row r="3710" spans="65:67" x14ac:dyDescent="0.25">
      <c r="BM3710" s="281">
        <f>$AZ$46+1*(seat_pitch)*($AY$46*n_SA+$AW$12&lt;pax_e)</f>
        <v>26.75</v>
      </c>
      <c r="BN3710" s="281">
        <f>$AX$12+seat_w*($AY$46*n_SA+$AW$12&lt;pax_e)</f>
        <v>1.8400000000000003</v>
      </c>
      <c r="BO3710" s="281">
        <f t="shared" si="191"/>
        <v>8.9395200000000017</v>
      </c>
    </row>
    <row r="3711" spans="65:67" x14ac:dyDescent="0.25">
      <c r="BM3711" s="281">
        <f>$AZ$46+0.8*(seat_pitch)*($AY$46*n_SA+$AW$12&lt;pax_e)</f>
        <v>26.588000000000001</v>
      </c>
      <c r="BN3711" s="281">
        <f>$AX$12+seat_w*($AY$46*n_SA+$AW$12&lt;pax_e)</f>
        <v>1.8400000000000003</v>
      </c>
      <c r="BO3711" s="281">
        <f t="shared" si="191"/>
        <v>8.7775200000000027</v>
      </c>
    </row>
    <row r="3712" spans="65:67" x14ac:dyDescent="0.25">
      <c r="BM3712" s="281">
        <f>$AZ$46+0.8*(seat_pitch)*($AY$46*n_SA+$AW$12&lt;pax_e)</f>
        <v>26.588000000000001</v>
      </c>
      <c r="BN3712" s="281">
        <f>$AX$12</f>
        <v>1.3100000000000003</v>
      </c>
      <c r="BO3712" s="281">
        <f t="shared" si="191"/>
        <v>8.7775200000000027</v>
      </c>
    </row>
    <row r="3713" spans="65:67" x14ac:dyDescent="0.25">
      <c r="BM3713" s="281">
        <f>$AZ$46+0.2*(seat_pitch)*($AY$46*n_SA+$AW$12&lt;pax_e)</f>
        <v>26.102</v>
      </c>
      <c r="BN3713" s="281">
        <f>$AX$12</f>
        <v>1.3100000000000003</v>
      </c>
      <c r="BO3713" s="281">
        <f t="shared" si="191"/>
        <v>8.291520000000002</v>
      </c>
    </row>
    <row r="3714" spans="65:67" x14ac:dyDescent="0.25">
      <c r="BM3714" s="281">
        <f>$AZ$46+(seat_pitch)</f>
        <v>26.75</v>
      </c>
      <c r="BN3714" s="281">
        <f>$AX$12</f>
        <v>1.3100000000000003</v>
      </c>
      <c r="BO3714" s="281">
        <f t="shared" si="191"/>
        <v>8.9395200000000017</v>
      </c>
    </row>
    <row r="3715" spans="65:67" x14ac:dyDescent="0.25">
      <c r="BM3715" s="281">
        <f>$AZ$47+0.2*(seat_pitch)*($AY$47*n_SA+$AW$12&lt;pax_e)</f>
        <v>26.102</v>
      </c>
      <c r="BN3715" s="281">
        <f>$AX$12</f>
        <v>1.3100000000000003</v>
      </c>
      <c r="BO3715" s="281">
        <f t="shared" si="191"/>
        <v>8.291520000000002</v>
      </c>
    </row>
    <row r="3716" spans="65:67" x14ac:dyDescent="0.25">
      <c r="BM3716" s="281">
        <f>$AZ$47+0.2*(seat_pitch)*($AY$47*n_SA+$AW$12&lt;pax_e)</f>
        <v>26.102</v>
      </c>
      <c r="BN3716" s="281">
        <f>$AX$12+seat_w*($AY$47*n_SA+$AW$12&lt;pax_e)</f>
        <v>1.8400000000000003</v>
      </c>
      <c r="BO3716" s="281">
        <f t="shared" si="191"/>
        <v>8.291520000000002</v>
      </c>
    </row>
    <row r="3717" spans="65:67" x14ac:dyDescent="0.25">
      <c r="BM3717" s="281">
        <f>$AZ$47</f>
        <v>25.94</v>
      </c>
      <c r="BN3717" s="281">
        <f>$AX$12+seat_w*($AY$47*n_SA+$AW$12&lt;pax_e)</f>
        <v>1.8400000000000003</v>
      </c>
      <c r="BO3717" s="281">
        <f t="shared" ref="BO3717:BO3780" si="192">BM3717-L_fus/2</f>
        <v>8.129520000000003</v>
      </c>
    </row>
    <row r="3718" spans="65:67" x14ac:dyDescent="0.25">
      <c r="BM3718" s="281">
        <f>$AZ$47+1*(seat_pitch)*($AY$47*n_SA+$AW$12&lt;pax_e)</f>
        <v>26.75</v>
      </c>
      <c r="BN3718" s="281">
        <f>$AX$12+seat_w*($AY$47*n_SA+$AW$12&lt;pax_e)</f>
        <v>1.8400000000000003</v>
      </c>
      <c r="BO3718" s="281">
        <f t="shared" si="192"/>
        <v>8.9395200000000017</v>
      </c>
    </row>
    <row r="3719" spans="65:67" x14ac:dyDescent="0.25">
      <c r="BM3719" s="281">
        <f>$AZ$47+0.8*(seat_pitch)*($AY$47*n_SA+$AW$12&lt;pax_e)</f>
        <v>26.588000000000001</v>
      </c>
      <c r="BN3719" s="281">
        <f>$AX$12+seat_w*($AY$47*n_SA+$AW$12&lt;pax_e)</f>
        <v>1.8400000000000003</v>
      </c>
      <c r="BO3719" s="281">
        <f t="shared" si="192"/>
        <v>8.7775200000000027</v>
      </c>
    </row>
    <row r="3720" spans="65:67" x14ac:dyDescent="0.25">
      <c r="BM3720" s="281">
        <f>$AZ$47+0.8*(seat_pitch)*($AY$47*n_SA+$AW$12&lt;pax_e)</f>
        <v>26.588000000000001</v>
      </c>
      <c r="BN3720" s="281">
        <f>$AX$12</f>
        <v>1.3100000000000003</v>
      </c>
      <c r="BO3720" s="281">
        <f t="shared" si="192"/>
        <v>8.7775200000000027</v>
      </c>
    </row>
    <row r="3721" spans="65:67" x14ac:dyDescent="0.25">
      <c r="BM3721" s="281">
        <f>$AZ$47+0.2*(seat_pitch)*($AY$47*n_SA+$AW$12&lt;pax_e)</f>
        <v>26.102</v>
      </c>
      <c r="BN3721" s="281">
        <f>$AX$12</f>
        <v>1.3100000000000003</v>
      </c>
      <c r="BO3721" s="281">
        <f t="shared" si="192"/>
        <v>8.291520000000002</v>
      </c>
    </row>
    <row r="3722" spans="65:67" x14ac:dyDescent="0.25">
      <c r="BM3722" s="281">
        <f>$AZ$47+(seat_pitch)</f>
        <v>26.75</v>
      </c>
      <c r="BN3722" s="281">
        <f>$AX$12</f>
        <v>1.3100000000000003</v>
      </c>
      <c r="BO3722" s="281">
        <f t="shared" si="192"/>
        <v>8.9395200000000017</v>
      </c>
    </row>
    <row r="3723" spans="65:67" x14ac:dyDescent="0.25">
      <c r="BM3723" s="281">
        <f>$AZ$48+0.2*(seat_pitch)*($AY$48*n_SA+$AW$12&lt;pax_e)</f>
        <v>26.102</v>
      </c>
      <c r="BN3723" s="281">
        <f>$AX$12</f>
        <v>1.3100000000000003</v>
      </c>
      <c r="BO3723" s="281">
        <f t="shared" si="192"/>
        <v>8.291520000000002</v>
      </c>
    </row>
    <row r="3724" spans="65:67" x14ac:dyDescent="0.25">
      <c r="BM3724" s="281">
        <f>$AZ$48+0.2*(seat_pitch)*($AY$48*n_SA+$AW$12&lt;pax_e)</f>
        <v>26.102</v>
      </c>
      <c r="BN3724" s="281">
        <f>$AX$12+seat_w*($AY$48*n_SA+$AW$12&lt;pax_e)</f>
        <v>1.8400000000000003</v>
      </c>
      <c r="BO3724" s="281">
        <f t="shared" si="192"/>
        <v>8.291520000000002</v>
      </c>
    </row>
    <row r="3725" spans="65:67" x14ac:dyDescent="0.25">
      <c r="BM3725" s="281">
        <f>$AZ$48</f>
        <v>25.94</v>
      </c>
      <c r="BN3725" s="281">
        <f>$AX$12+seat_w*($AY$48*n_SA+$AW$12&lt;pax_e)</f>
        <v>1.8400000000000003</v>
      </c>
      <c r="BO3725" s="281">
        <f t="shared" si="192"/>
        <v>8.129520000000003</v>
      </c>
    </row>
    <row r="3726" spans="65:67" x14ac:dyDescent="0.25">
      <c r="BM3726" s="281">
        <f>$AZ$48+1*(seat_pitch)*($AY$48*n_SA+$AW$12&lt;pax_e)</f>
        <v>26.75</v>
      </c>
      <c r="BN3726" s="281">
        <f>$AX$12+seat_w*($AY$48*n_SA+$AW$12&lt;pax_e)</f>
        <v>1.8400000000000003</v>
      </c>
      <c r="BO3726" s="281">
        <f t="shared" si="192"/>
        <v>8.9395200000000017</v>
      </c>
    </row>
    <row r="3727" spans="65:67" x14ac:dyDescent="0.25">
      <c r="BM3727" s="281">
        <f>$AZ$48+0.8*(seat_pitch)*($AY$48*n_SA+$AW$12&lt;pax_e)</f>
        <v>26.588000000000001</v>
      </c>
      <c r="BN3727" s="281">
        <f>$AX$12+seat_w*($AY$48*n_SA+$AW$12&lt;pax_e)</f>
        <v>1.8400000000000003</v>
      </c>
      <c r="BO3727" s="281">
        <f t="shared" si="192"/>
        <v>8.7775200000000027</v>
      </c>
    </row>
    <row r="3728" spans="65:67" x14ac:dyDescent="0.25">
      <c r="BM3728" s="281">
        <f>$AZ$48+0.8*(seat_pitch)*($AY$48*n_SA+$AW$12&lt;pax_e)</f>
        <v>26.588000000000001</v>
      </c>
      <c r="BN3728" s="281">
        <f>$AX$12</f>
        <v>1.3100000000000003</v>
      </c>
      <c r="BO3728" s="281">
        <f t="shared" si="192"/>
        <v>8.7775200000000027</v>
      </c>
    </row>
    <row r="3729" spans="65:67" x14ac:dyDescent="0.25">
      <c r="BM3729" s="281">
        <f>$AZ$48+0.2*(seat_pitch)*($AY$48*n_SA+$AW$12&lt;pax_e)</f>
        <v>26.102</v>
      </c>
      <c r="BN3729" s="281">
        <f>$AX$12</f>
        <v>1.3100000000000003</v>
      </c>
      <c r="BO3729" s="281">
        <f t="shared" si="192"/>
        <v>8.291520000000002</v>
      </c>
    </row>
    <row r="3730" spans="65:67" x14ac:dyDescent="0.25">
      <c r="BM3730" s="281">
        <f>$AZ$48+(seat_pitch)</f>
        <v>26.75</v>
      </c>
      <c r="BN3730" s="281">
        <f>$AX$12</f>
        <v>1.3100000000000003</v>
      </c>
      <c r="BO3730" s="281">
        <f t="shared" si="192"/>
        <v>8.9395200000000017</v>
      </c>
    </row>
    <row r="3731" spans="65:67" x14ac:dyDescent="0.25">
      <c r="BM3731" s="281">
        <f>$AZ$49+0.2*(seat_pitch)*($AY$49*n_SA+$AW$12&lt;pax_e)</f>
        <v>26.102</v>
      </c>
      <c r="BN3731" s="281">
        <f>$AX$12</f>
        <v>1.3100000000000003</v>
      </c>
      <c r="BO3731" s="281">
        <f t="shared" si="192"/>
        <v>8.291520000000002</v>
      </c>
    </row>
    <row r="3732" spans="65:67" x14ac:dyDescent="0.25">
      <c r="BM3732" s="281">
        <f>$AZ$49+0.2*(seat_pitch)*($AY$49*n_SA+$AW$12&lt;pax_e)</f>
        <v>26.102</v>
      </c>
      <c r="BN3732" s="281">
        <f>$AX$12+seat_w*($AY$49*n_SA+$AW$12&lt;pax_e)</f>
        <v>1.8400000000000003</v>
      </c>
      <c r="BO3732" s="281">
        <f t="shared" si="192"/>
        <v>8.291520000000002</v>
      </c>
    </row>
    <row r="3733" spans="65:67" x14ac:dyDescent="0.25">
      <c r="BM3733" s="281">
        <f>$AZ$49</f>
        <v>25.94</v>
      </c>
      <c r="BN3733" s="281">
        <f>$AX$12+seat_w*($AY$49*n_SA+$AW$12&lt;pax_e)</f>
        <v>1.8400000000000003</v>
      </c>
      <c r="BO3733" s="281">
        <f t="shared" si="192"/>
        <v>8.129520000000003</v>
      </c>
    </row>
    <row r="3734" spans="65:67" x14ac:dyDescent="0.25">
      <c r="BM3734" s="281">
        <f>$AZ$49+1*(seat_pitch)*($AY$49*n_SA+$AW$12&lt;pax_e)</f>
        <v>26.75</v>
      </c>
      <c r="BN3734" s="281">
        <f>$AX$12+seat_w*($AY$49*n_SA+$AW$12&lt;pax_e)</f>
        <v>1.8400000000000003</v>
      </c>
      <c r="BO3734" s="281">
        <f t="shared" si="192"/>
        <v>8.9395200000000017</v>
      </c>
    </row>
    <row r="3735" spans="65:67" x14ac:dyDescent="0.25">
      <c r="BM3735" s="281">
        <f>$AZ$49+0.8*(seat_pitch)*($AY$49*n_SA+$AW$12&lt;pax_e)</f>
        <v>26.588000000000001</v>
      </c>
      <c r="BN3735" s="281">
        <f>$AX$12+seat_w*($AY$49*n_SA+$AW$12&lt;pax_e)</f>
        <v>1.8400000000000003</v>
      </c>
      <c r="BO3735" s="281">
        <f t="shared" si="192"/>
        <v>8.7775200000000027</v>
      </c>
    </row>
    <row r="3736" spans="65:67" x14ac:dyDescent="0.25">
      <c r="BM3736" s="281">
        <f>$AZ$49+0.8*(seat_pitch)*($AY$49*n_SA+$AW$12&lt;pax_e)</f>
        <v>26.588000000000001</v>
      </c>
      <c r="BN3736" s="281">
        <f>$AX$12</f>
        <v>1.3100000000000003</v>
      </c>
      <c r="BO3736" s="281">
        <f t="shared" si="192"/>
        <v>8.7775200000000027</v>
      </c>
    </row>
    <row r="3737" spans="65:67" x14ac:dyDescent="0.25">
      <c r="BM3737" s="281">
        <f>$AZ$49+0.2*(seat_pitch)*($AY$49*n_SA+$AW$12&lt;pax_e)</f>
        <v>26.102</v>
      </c>
      <c r="BN3737" s="281">
        <f>$AX$12</f>
        <v>1.3100000000000003</v>
      </c>
      <c r="BO3737" s="281">
        <f t="shared" si="192"/>
        <v>8.291520000000002</v>
      </c>
    </row>
    <row r="3738" spans="65:67" x14ac:dyDescent="0.25">
      <c r="BM3738" s="281">
        <f>$AZ$49+(seat_pitch)</f>
        <v>26.75</v>
      </c>
      <c r="BN3738" s="281">
        <f>$AX$12</f>
        <v>1.3100000000000003</v>
      </c>
      <c r="BO3738" s="281">
        <f t="shared" si="192"/>
        <v>8.9395200000000017</v>
      </c>
    </row>
    <row r="3739" spans="65:67" x14ac:dyDescent="0.25">
      <c r="BM3739" s="281">
        <f>$AZ$50+0.2*(seat_pitch)*($AY$50*n_SA+$AW$12&lt;pax_e)</f>
        <v>26.102</v>
      </c>
      <c r="BN3739" s="281">
        <f>$AX$12</f>
        <v>1.3100000000000003</v>
      </c>
      <c r="BO3739" s="281">
        <f t="shared" si="192"/>
        <v>8.291520000000002</v>
      </c>
    </row>
    <row r="3740" spans="65:67" x14ac:dyDescent="0.25">
      <c r="BM3740" s="281">
        <f>$AZ$50+0.2*(seat_pitch)*($AY$50*n_SA+$AW$12&lt;pax_e)</f>
        <v>26.102</v>
      </c>
      <c r="BN3740" s="281">
        <f>$AX$12+seat_w*($AY$50*n_SA+$AW$12&lt;pax_e)</f>
        <v>1.8400000000000003</v>
      </c>
      <c r="BO3740" s="281">
        <f t="shared" si="192"/>
        <v>8.291520000000002</v>
      </c>
    </row>
    <row r="3741" spans="65:67" x14ac:dyDescent="0.25">
      <c r="BM3741" s="281">
        <f>$AZ$50</f>
        <v>25.94</v>
      </c>
      <c r="BN3741" s="281">
        <f>$AX$12+seat_w*($AY$50*n_SA+$AW$12&lt;pax_e)</f>
        <v>1.8400000000000003</v>
      </c>
      <c r="BO3741" s="281">
        <f t="shared" si="192"/>
        <v>8.129520000000003</v>
      </c>
    </row>
    <row r="3742" spans="65:67" x14ac:dyDescent="0.25">
      <c r="BM3742" s="281">
        <f>$AZ$50+1*(seat_pitch)*($AY$50*n_SA+$AW$12&lt;pax_e)</f>
        <v>26.75</v>
      </c>
      <c r="BN3742" s="281">
        <f>$AX$12+seat_w*($AY$50*n_SA+$AW$12&lt;pax_e)</f>
        <v>1.8400000000000003</v>
      </c>
      <c r="BO3742" s="281">
        <f t="shared" si="192"/>
        <v>8.9395200000000017</v>
      </c>
    </row>
    <row r="3743" spans="65:67" x14ac:dyDescent="0.25">
      <c r="BM3743" s="281">
        <f>$AZ$50+0.8*(seat_pitch)*($AY$50*n_SA+$AW$12&lt;pax_e)</f>
        <v>26.588000000000001</v>
      </c>
      <c r="BN3743" s="281">
        <f>$AX$12+seat_w*($AY$50*n_SA+$AW$12&lt;pax_e)</f>
        <v>1.8400000000000003</v>
      </c>
      <c r="BO3743" s="281">
        <f t="shared" si="192"/>
        <v>8.7775200000000027</v>
      </c>
    </row>
    <row r="3744" spans="65:67" x14ac:dyDescent="0.25">
      <c r="BM3744" s="281">
        <f>$AZ$50+0.8*(seat_pitch)*($AY$50*n_SA+$AW$12&lt;pax_e)</f>
        <v>26.588000000000001</v>
      </c>
      <c r="BN3744" s="281">
        <f>$AX$12</f>
        <v>1.3100000000000003</v>
      </c>
      <c r="BO3744" s="281">
        <f t="shared" si="192"/>
        <v>8.7775200000000027</v>
      </c>
    </row>
    <row r="3745" spans="65:67" x14ac:dyDescent="0.25">
      <c r="BM3745" s="281">
        <f>$AZ$50+0.2*(seat_pitch)*($AY$50*n_SA+$AW$12&lt;pax_e)</f>
        <v>26.102</v>
      </c>
      <c r="BN3745" s="281">
        <f>$AX$12</f>
        <v>1.3100000000000003</v>
      </c>
      <c r="BO3745" s="281">
        <f t="shared" si="192"/>
        <v>8.291520000000002</v>
      </c>
    </row>
    <row r="3746" spans="65:67" x14ac:dyDescent="0.25">
      <c r="BM3746" s="281">
        <f>$AZ$50+(seat_pitch)</f>
        <v>26.75</v>
      </c>
      <c r="BN3746" s="281">
        <f>$AX$12</f>
        <v>1.3100000000000003</v>
      </c>
      <c r="BO3746" s="281">
        <f t="shared" si="192"/>
        <v>8.9395200000000017</v>
      </c>
    </row>
    <row r="3747" spans="65:67" x14ac:dyDescent="0.25">
      <c r="BM3747" s="281">
        <f>$AZ$51+0.2*(seat_pitch)*($AY$51*n_SA+$AW$12&lt;pax_e)</f>
        <v>26.102</v>
      </c>
      <c r="BN3747" s="281">
        <f>$AX$12</f>
        <v>1.3100000000000003</v>
      </c>
      <c r="BO3747" s="281">
        <f t="shared" si="192"/>
        <v>8.291520000000002</v>
      </c>
    </row>
    <row r="3748" spans="65:67" x14ac:dyDescent="0.25">
      <c r="BM3748" s="281">
        <f>$AZ$51+0.2*(seat_pitch)*($AY$51*n_SA+$AW$12&lt;pax_e)</f>
        <v>26.102</v>
      </c>
      <c r="BN3748" s="281">
        <f>$AX$12+seat_w*($AY$51*n_SA+$AW$12&lt;pax_e)</f>
        <v>1.8400000000000003</v>
      </c>
      <c r="BO3748" s="281">
        <f t="shared" si="192"/>
        <v>8.291520000000002</v>
      </c>
    </row>
    <row r="3749" spans="65:67" x14ac:dyDescent="0.25">
      <c r="BM3749" s="281">
        <f>$AZ$51</f>
        <v>25.94</v>
      </c>
      <c r="BN3749" s="281">
        <f>$AX$12+seat_w*($AY$51*n_SA+$AW$12&lt;pax_e)</f>
        <v>1.8400000000000003</v>
      </c>
      <c r="BO3749" s="281">
        <f t="shared" si="192"/>
        <v>8.129520000000003</v>
      </c>
    </row>
    <row r="3750" spans="65:67" x14ac:dyDescent="0.25">
      <c r="BM3750" s="281">
        <f>$AZ$51+1*(seat_pitch)*($AY$51*n_SA+$AW$12&lt;pax_e)</f>
        <v>26.75</v>
      </c>
      <c r="BN3750" s="281">
        <f>$AX$12+seat_w*($AY$51*n_SA+$AW$12&lt;pax_e)</f>
        <v>1.8400000000000003</v>
      </c>
      <c r="BO3750" s="281">
        <f t="shared" si="192"/>
        <v>8.9395200000000017</v>
      </c>
    </row>
    <row r="3751" spans="65:67" x14ac:dyDescent="0.25">
      <c r="BM3751" s="281">
        <f>$AZ$51+0.8*(seat_pitch)*($AY$51*n_SA+$AW$12&lt;pax_e)</f>
        <v>26.588000000000001</v>
      </c>
      <c r="BN3751" s="281">
        <f>$AX$12+seat_w*($AY$51*n_SA+$AW$12&lt;pax_e)</f>
        <v>1.8400000000000003</v>
      </c>
      <c r="BO3751" s="281">
        <f t="shared" si="192"/>
        <v>8.7775200000000027</v>
      </c>
    </row>
    <row r="3752" spans="65:67" x14ac:dyDescent="0.25">
      <c r="BM3752" s="281">
        <f>$AZ$51+0.8*(seat_pitch)*($AY$51*n_SA+$AW$12&lt;pax_e)</f>
        <v>26.588000000000001</v>
      </c>
      <c r="BN3752" s="281">
        <f>$AX$12</f>
        <v>1.3100000000000003</v>
      </c>
      <c r="BO3752" s="281">
        <f t="shared" si="192"/>
        <v>8.7775200000000027</v>
      </c>
    </row>
    <row r="3753" spans="65:67" x14ac:dyDescent="0.25">
      <c r="BM3753" s="281">
        <f>$AZ$51+0.2*(seat_pitch)*($AY$51*n_SA+$AW$12&lt;pax_e)</f>
        <v>26.102</v>
      </c>
      <c r="BN3753" s="281">
        <f>$AX$12</f>
        <v>1.3100000000000003</v>
      </c>
      <c r="BO3753" s="281">
        <f t="shared" si="192"/>
        <v>8.291520000000002</v>
      </c>
    </row>
    <row r="3754" spans="65:67" x14ac:dyDescent="0.25">
      <c r="BM3754" s="281">
        <f>$AZ$51+(seat_pitch)</f>
        <v>26.75</v>
      </c>
      <c r="BN3754" s="281">
        <f>$AX$12</f>
        <v>1.3100000000000003</v>
      </c>
      <c r="BO3754" s="281">
        <f t="shared" si="192"/>
        <v>8.9395200000000017</v>
      </c>
    </row>
    <row r="3755" spans="65:67" x14ac:dyDescent="0.25">
      <c r="BM3755" s="281">
        <f>$AZ$52+0.2*(seat_pitch)*($AY$52*n_SA+$AW$12&lt;pax_e)</f>
        <v>26.102</v>
      </c>
      <c r="BN3755" s="281">
        <f>$AX$12</f>
        <v>1.3100000000000003</v>
      </c>
      <c r="BO3755" s="281">
        <f t="shared" si="192"/>
        <v>8.291520000000002</v>
      </c>
    </row>
    <row r="3756" spans="65:67" x14ac:dyDescent="0.25">
      <c r="BM3756" s="281">
        <f>$AZ$52+0.2*(seat_pitch)*($AY$52*n_SA+$AW$12&lt;pax_e)</f>
        <v>26.102</v>
      </c>
      <c r="BN3756" s="281">
        <f>$AX$12+seat_w*($AY$52*n_SA+$AW$12&lt;pax_e)</f>
        <v>1.8400000000000003</v>
      </c>
      <c r="BO3756" s="281">
        <f t="shared" si="192"/>
        <v>8.291520000000002</v>
      </c>
    </row>
    <row r="3757" spans="65:67" x14ac:dyDescent="0.25">
      <c r="BM3757" s="281">
        <f>$AZ$52</f>
        <v>25.94</v>
      </c>
      <c r="BN3757" s="281">
        <f>$AX$12+seat_w*($AY$52*n_SA+$AW$12&lt;pax_e)</f>
        <v>1.8400000000000003</v>
      </c>
      <c r="BO3757" s="281">
        <f t="shared" si="192"/>
        <v>8.129520000000003</v>
      </c>
    </row>
    <row r="3758" spans="65:67" x14ac:dyDescent="0.25">
      <c r="BM3758" s="281">
        <f>$AZ$52+1*(seat_pitch)*($AY$52*n_SA+$AW$12&lt;pax_e)</f>
        <v>26.75</v>
      </c>
      <c r="BN3758" s="281">
        <f>$AX$12+seat_w*($AY$52*n_SA+$AW$12&lt;pax_e)</f>
        <v>1.8400000000000003</v>
      </c>
      <c r="BO3758" s="281">
        <f t="shared" si="192"/>
        <v>8.9395200000000017</v>
      </c>
    </row>
    <row r="3759" spans="65:67" x14ac:dyDescent="0.25">
      <c r="BM3759" s="281">
        <f>$AZ$52+0.8*(seat_pitch)*($AY$52*n_SA+$AW$12&lt;pax_e)</f>
        <v>26.588000000000001</v>
      </c>
      <c r="BN3759" s="281">
        <f>$AX$12+seat_w*($AY$52*n_SA+$AW$12&lt;pax_e)</f>
        <v>1.8400000000000003</v>
      </c>
      <c r="BO3759" s="281">
        <f t="shared" si="192"/>
        <v>8.7775200000000027</v>
      </c>
    </row>
    <row r="3760" spans="65:67" x14ac:dyDescent="0.25">
      <c r="BM3760" s="281">
        <f>$AZ$52+0.8*(seat_pitch)*($AY$52*n_SA+$AW$12&lt;pax_e)</f>
        <v>26.588000000000001</v>
      </c>
      <c r="BN3760" s="281">
        <f>$AX$12</f>
        <v>1.3100000000000003</v>
      </c>
      <c r="BO3760" s="281">
        <f t="shared" si="192"/>
        <v>8.7775200000000027</v>
      </c>
    </row>
    <row r="3761" spans="65:67" x14ac:dyDescent="0.25">
      <c r="BM3761" s="281">
        <f>$AZ$52+0.2*(seat_pitch)*($AY$52*n_SA+$AW$12&lt;pax_e)</f>
        <v>26.102</v>
      </c>
      <c r="BN3761" s="281">
        <f>$AX$12</f>
        <v>1.3100000000000003</v>
      </c>
      <c r="BO3761" s="281">
        <f t="shared" si="192"/>
        <v>8.291520000000002</v>
      </c>
    </row>
    <row r="3762" spans="65:67" x14ac:dyDescent="0.25">
      <c r="BM3762" s="281">
        <f>$AZ$52+(seat_pitch)</f>
        <v>26.75</v>
      </c>
      <c r="BN3762" s="281">
        <f>$AX$12</f>
        <v>1.3100000000000003</v>
      </c>
      <c r="BO3762" s="281">
        <f t="shared" si="192"/>
        <v>8.9395200000000017</v>
      </c>
    </row>
    <row r="3763" spans="65:67" x14ac:dyDescent="0.25">
      <c r="BM3763" s="281">
        <f>$AZ$53+0.2*(seat_pitch)*($AY$53*n_SA+$AW$12&lt;pax_e)</f>
        <v>26.102</v>
      </c>
      <c r="BN3763" s="281">
        <f>$AX$12</f>
        <v>1.3100000000000003</v>
      </c>
      <c r="BO3763" s="281">
        <f t="shared" si="192"/>
        <v>8.291520000000002</v>
      </c>
    </row>
    <row r="3764" spans="65:67" x14ac:dyDescent="0.25">
      <c r="BM3764" s="281">
        <f>$AZ$53+0.2*(seat_pitch)*($AY$53*n_SA+$AW$12&lt;pax_e)</f>
        <v>26.102</v>
      </c>
      <c r="BN3764" s="281">
        <f>$AX$12+seat_w*($AY$53*n_SA+$AW$12&lt;pax_e)</f>
        <v>1.8400000000000003</v>
      </c>
      <c r="BO3764" s="281">
        <f t="shared" si="192"/>
        <v>8.291520000000002</v>
      </c>
    </row>
    <row r="3765" spans="65:67" x14ac:dyDescent="0.25">
      <c r="BM3765" s="281">
        <f>$AZ$53</f>
        <v>25.94</v>
      </c>
      <c r="BN3765" s="281">
        <f>$AX$12+seat_w*($AY$53*n_SA+$AW$12&lt;pax_e)</f>
        <v>1.8400000000000003</v>
      </c>
      <c r="BO3765" s="281">
        <f t="shared" si="192"/>
        <v>8.129520000000003</v>
      </c>
    </row>
    <row r="3766" spans="65:67" x14ac:dyDescent="0.25">
      <c r="BM3766" s="281">
        <f>$AZ$53+1*(seat_pitch)*($AY$53*n_SA+$AW$12&lt;pax_e)</f>
        <v>26.75</v>
      </c>
      <c r="BN3766" s="281">
        <f>$AX$12+seat_w*($AY$53*n_SA+$AW$12&lt;pax_e)</f>
        <v>1.8400000000000003</v>
      </c>
      <c r="BO3766" s="281">
        <f t="shared" si="192"/>
        <v>8.9395200000000017</v>
      </c>
    </row>
    <row r="3767" spans="65:67" x14ac:dyDescent="0.25">
      <c r="BM3767" s="281">
        <f>$AZ$53+0.8*(seat_pitch)*($AY$53*n_SA+$AW$12&lt;pax_e)</f>
        <v>26.588000000000001</v>
      </c>
      <c r="BN3767" s="281">
        <f>$AX$12+seat_w*($AY$53*n_SA+$AW$12&lt;pax_e)</f>
        <v>1.8400000000000003</v>
      </c>
      <c r="BO3767" s="281">
        <f t="shared" si="192"/>
        <v>8.7775200000000027</v>
      </c>
    </row>
    <row r="3768" spans="65:67" x14ac:dyDescent="0.25">
      <c r="BM3768" s="281">
        <f>$AZ$53+0.8*(seat_pitch)*($AY$53*n_SA+$AW$12&lt;pax_e)</f>
        <v>26.588000000000001</v>
      </c>
      <c r="BN3768" s="281">
        <f>$AX$12</f>
        <v>1.3100000000000003</v>
      </c>
      <c r="BO3768" s="281">
        <f t="shared" si="192"/>
        <v>8.7775200000000027</v>
      </c>
    </row>
    <row r="3769" spans="65:67" x14ac:dyDescent="0.25">
      <c r="BM3769" s="281">
        <f>$AZ$53+0.2*(seat_pitch)*($AY$53*n_SA+$AW$12&lt;pax_e)</f>
        <v>26.102</v>
      </c>
      <c r="BN3769" s="281">
        <f>$AX$12</f>
        <v>1.3100000000000003</v>
      </c>
      <c r="BO3769" s="281">
        <f t="shared" si="192"/>
        <v>8.291520000000002</v>
      </c>
    </row>
    <row r="3770" spans="65:67" x14ac:dyDescent="0.25">
      <c r="BM3770" s="281">
        <f>$AZ$53+(seat_pitch)</f>
        <v>26.75</v>
      </c>
      <c r="BN3770" s="281">
        <f>$AX$12</f>
        <v>1.3100000000000003</v>
      </c>
      <c r="BO3770" s="281">
        <f t="shared" si="192"/>
        <v>8.9395200000000017</v>
      </c>
    </row>
    <row r="3771" spans="65:67" x14ac:dyDescent="0.25">
      <c r="BM3771" s="281">
        <f>$AZ$54+0.2*(seat_pitch)*($AY$54*n_SA+$AW$12&lt;pax_e)</f>
        <v>26.102</v>
      </c>
      <c r="BN3771" s="281">
        <f>$AX$12</f>
        <v>1.3100000000000003</v>
      </c>
      <c r="BO3771" s="281">
        <f t="shared" si="192"/>
        <v>8.291520000000002</v>
      </c>
    </row>
    <row r="3772" spans="65:67" x14ac:dyDescent="0.25">
      <c r="BM3772" s="281">
        <f>$AZ$54+0.2*(seat_pitch)*($AY$54*n_SA+$AW$12&lt;pax_e)</f>
        <v>26.102</v>
      </c>
      <c r="BN3772" s="281">
        <f>$AX$12+seat_w*($AY$54*n_SA+$AW$12&lt;pax_e)</f>
        <v>1.8400000000000003</v>
      </c>
      <c r="BO3772" s="281">
        <f t="shared" si="192"/>
        <v>8.291520000000002</v>
      </c>
    </row>
    <row r="3773" spans="65:67" x14ac:dyDescent="0.25">
      <c r="BM3773" s="281">
        <f>$AZ$54</f>
        <v>25.94</v>
      </c>
      <c r="BN3773" s="281">
        <f>$AX$12+seat_w*($AY$54*n_SA+$AW$12&lt;pax_e)</f>
        <v>1.8400000000000003</v>
      </c>
      <c r="BO3773" s="281">
        <f t="shared" si="192"/>
        <v>8.129520000000003</v>
      </c>
    </row>
    <row r="3774" spans="65:67" x14ac:dyDescent="0.25">
      <c r="BM3774" s="281">
        <f>$AZ$54+1*(seat_pitch)*($AY$54*n_SA+$AW$12&lt;pax_e)</f>
        <v>26.75</v>
      </c>
      <c r="BN3774" s="281">
        <f>$AX$12+seat_w*($AY$54*n_SA+$AW$12&lt;pax_e)</f>
        <v>1.8400000000000003</v>
      </c>
      <c r="BO3774" s="281">
        <f t="shared" si="192"/>
        <v>8.9395200000000017</v>
      </c>
    </row>
    <row r="3775" spans="65:67" x14ac:dyDescent="0.25">
      <c r="BM3775" s="281">
        <f>$AZ$54+0.8*(seat_pitch)*($AY$54*n_SA+$AW$12&lt;pax_e)</f>
        <v>26.588000000000001</v>
      </c>
      <c r="BN3775" s="281">
        <f>$AX$12+seat_w*($AY$54*n_SA+$AW$12&lt;pax_e)</f>
        <v>1.8400000000000003</v>
      </c>
      <c r="BO3775" s="281">
        <f t="shared" si="192"/>
        <v>8.7775200000000027</v>
      </c>
    </row>
    <row r="3776" spans="65:67" x14ac:dyDescent="0.25">
      <c r="BM3776" s="281">
        <f>$AZ$54+0.8*(seat_pitch)*($AY$54*n_SA+$AW$12&lt;pax_e)</f>
        <v>26.588000000000001</v>
      </c>
      <c r="BN3776" s="281">
        <f>$AX$12</f>
        <v>1.3100000000000003</v>
      </c>
      <c r="BO3776" s="281">
        <f t="shared" si="192"/>
        <v>8.7775200000000027</v>
      </c>
    </row>
    <row r="3777" spans="65:67" x14ac:dyDescent="0.25">
      <c r="BM3777" s="281">
        <f>$AZ$54+0.2*(seat_pitch)*($AY$54*n_SA+$AW$12&lt;pax_e)</f>
        <v>26.102</v>
      </c>
      <c r="BN3777" s="281">
        <f>$AX$12</f>
        <v>1.3100000000000003</v>
      </c>
      <c r="BO3777" s="281">
        <f t="shared" si="192"/>
        <v>8.291520000000002</v>
      </c>
    </row>
    <row r="3778" spans="65:67" x14ac:dyDescent="0.25">
      <c r="BM3778" s="281">
        <f>$AZ$54+(seat_pitch)</f>
        <v>26.75</v>
      </c>
      <c r="BN3778" s="281">
        <f>$AX$12</f>
        <v>1.3100000000000003</v>
      </c>
      <c r="BO3778" s="281">
        <f t="shared" si="192"/>
        <v>8.9395200000000017</v>
      </c>
    </row>
    <row r="3779" spans="65:67" x14ac:dyDescent="0.25">
      <c r="BM3779" s="281">
        <f>$AZ$55+0.2*(seat_pitch)*($AY$55*n_SA+$AW$12&lt;pax_e)</f>
        <v>26.102</v>
      </c>
      <c r="BN3779" s="281">
        <f>$AX$12</f>
        <v>1.3100000000000003</v>
      </c>
      <c r="BO3779" s="281">
        <f t="shared" si="192"/>
        <v>8.291520000000002</v>
      </c>
    </row>
    <row r="3780" spans="65:67" x14ac:dyDescent="0.25">
      <c r="BM3780" s="281">
        <f>$AZ$55+0.2*(seat_pitch)*($AY$55*n_SA+$AW$12&lt;pax_e)</f>
        <v>26.102</v>
      </c>
      <c r="BN3780" s="281">
        <f>$AX$12+seat_w*($AY$55*n_SA+$AW$12&lt;pax_e)</f>
        <v>1.8400000000000003</v>
      </c>
      <c r="BO3780" s="281">
        <f t="shared" si="192"/>
        <v>8.291520000000002</v>
      </c>
    </row>
    <row r="3781" spans="65:67" x14ac:dyDescent="0.25">
      <c r="BM3781" s="281">
        <f>$AZ$55</f>
        <v>25.94</v>
      </c>
      <c r="BN3781" s="281">
        <f>$AX$12+seat_w*($AY$55*n_SA+$AW$12&lt;pax_e)</f>
        <v>1.8400000000000003</v>
      </c>
      <c r="BO3781" s="281">
        <f t="shared" ref="BO3781:BO3844" si="193">BM3781-L_fus/2</f>
        <v>8.129520000000003</v>
      </c>
    </row>
    <row r="3782" spans="65:67" x14ac:dyDescent="0.25">
      <c r="BM3782" s="281">
        <f>$AZ$55+1*(seat_pitch)*($AY$55*n_SA+$AW$12&lt;pax_e)</f>
        <v>26.75</v>
      </c>
      <c r="BN3782" s="281">
        <f>$AX$12+seat_w*($AY$55*n_SA+$AW$12&lt;pax_e)</f>
        <v>1.8400000000000003</v>
      </c>
      <c r="BO3782" s="281">
        <f t="shared" si="193"/>
        <v>8.9395200000000017</v>
      </c>
    </row>
    <row r="3783" spans="65:67" x14ac:dyDescent="0.25">
      <c r="BM3783" s="281">
        <f>$AZ$55+0.8*(seat_pitch)*($AY$55*n_SA+$AW$12&lt;pax_e)</f>
        <v>26.588000000000001</v>
      </c>
      <c r="BN3783" s="281">
        <f>$AX$12+seat_w*($AY$55*n_SA+$AW$12&lt;pax_e)</f>
        <v>1.8400000000000003</v>
      </c>
      <c r="BO3783" s="281">
        <f t="shared" si="193"/>
        <v>8.7775200000000027</v>
      </c>
    </row>
    <row r="3784" spans="65:67" x14ac:dyDescent="0.25">
      <c r="BM3784" s="281">
        <f>$AZ$55+0.8*(seat_pitch)*($AY$55*n_SA+$AW$12&lt;pax_e)</f>
        <v>26.588000000000001</v>
      </c>
      <c r="BN3784" s="281">
        <f>$AX$12</f>
        <v>1.3100000000000003</v>
      </c>
      <c r="BO3784" s="281">
        <f t="shared" si="193"/>
        <v>8.7775200000000027</v>
      </c>
    </row>
    <row r="3785" spans="65:67" x14ac:dyDescent="0.25">
      <c r="BM3785" s="281">
        <f>$AZ$55+0.2*(seat_pitch)*($AY$55*n_SA+$AW$12&lt;pax_e)</f>
        <v>26.102</v>
      </c>
      <c r="BN3785" s="281">
        <f>$AX$12</f>
        <v>1.3100000000000003</v>
      </c>
      <c r="BO3785" s="281">
        <f t="shared" si="193"/>
        <v>8.291520000000002</v>
      </c>
    </row>
    <row r="3786" spans="65:67" x14ac:dyDescent="0.25">
      <c r="BM3786" s="281">
        <f>$AZ$55+(seat_pitch)</f>
        <v>26.75</v>
      </c>
      <c r="BN3786" s="281">
        <f>$AX$12</f>
        <v>1.3100000000000003</v>
      </c>
      <c r="BO3786" s="281">
        <f t="shared" si="193"/>
        <v>8.9395200000000017</v>
      </c>
    </row>
    <row r="3787" spans="65:67" x14ac:dyDescent="0.25">
      <c r="BM3787" s="281">
        <f>$AZ$56+0.2*(seat_pitch)*($AY$56*n_SA+$AW$12&lt;pax_e)</f>
        <v>26.102</v>
      </c>
      <c r="BN3787" s="281">
        <f>$AX$12</f>
        <v>1.3100000000000003</v>
      </c>
      <c r="BO3787" s="281">
        <f t="shared" si="193"/>
        <v>8.291520000000002</v>
      </c>
    </row>
    <row r="3788" spans="65:67" x14ac:dyDescent="0.25">
      <c r="BM3788" s="281">
        <f>$AZ$56+0.2*(seat_pitch)*($AY$56*n_SA+$AW$12&lt;pax_e)</f>
        <v>26.102</v>
      </c>
      <c r="BN3788" s="281">
        <f>$AX$12+seat_w*($AY$56*n_SA+$AW$12&lt;pax_e)</f>
        <v>1.8400000000000003</v>
      </c>
      <c r="BO3788" s="281">
        <f t="shared" si="193"/>
        <v>8.291520000000002</v>
      </c>
    </row>
    <row r="3789" spans="65:67" x14ac:dyDescent="0.25">
      <c r="BM3789" s="281">
        <f>$AZ$56</f>
        <v>25.94</v>
      </c>
      <c r="BN3789" s="281">
        <f>$AX$12+seat_w*($AY$56*n_SA+$AW$12&lt;pax_e)</f>
        <v>1.8400000000000003</v>
      </c>
      <c r="BO3789" s="281">
        <f t="shared" si="193"/>
        <v>8.129520000000003</v>
      </c>
    </row>
    <row r="3790" spans="65:67" x14ac:dyDescent="0.25">
      <c r="BM3790" s="281">
        <f>$AZ$56+1*(seat_pitch)*($AY$56*n_SA+$AW$12&lt;pax_e)</f>
        <v>26.75</v>
      </c>
      <c r="BN3790" s="281">
        <f>$AX$12+seat_w*($AY$56*n_SA+$AW$12&lt;pax_e)</f>
        <v>1.8400000000000003</v>
      </c>
      <c r="BO3790" s="281">
        <f t="shared" si="193"/>
        <v>8.9395200000000017</v>
      </c>
    </row>
    <row r="3791" spans="65:67" x14ac:dyDescent="0.25">
      <c r="BM3791" s="281">
        <f>$AZ$56+0.8*(seat_pitch)*($AY$56*n_SA+$AW$12&lt;pax_e)</f>
        <v>26.588000000000001</v>
      </c>
      <c r="BN3791" s="281">
        <f>$AX$12+seat_w*($AY$56*n_SA+$AW$12&lt;pax_e)</f>
        <v>1.8400000000000003</v>
      </c>
      <c r="BO3791" s="281">
        <f t="shared" si="193"/>
        <v>8.7775200000000027</v>
      </c>
    </row>
    <row r="3792" spans="65:67" x14ac:dyDescent="0.25">
      <c r="BM3792" s="281">
        <f>$AZ$56+0.8*(seat_pitch)*($AY$56*n_SA+$AW$12&lt;pax_e)</f>
        <v>26.588000000000001</v>
      </c>
      <c r="BN3792" s="281">
        <f>$AX$12</f>
        <v>1.3100000000000003</v>
      </c>
      <c r="BO3792" s="281">
        <f t="shared" si="193"/>
        <v>8.7775200000000027</v>
      </c>
    </row>
    <row r="3793" spans="65:67" x14ac:dyDescent="0.25">
      <c r="BM3793" s="281">
        <f>$AZ$56+0.2*(seat_pitch)*($AY$56*n_SA+$AW$12&lt;pax_e)</f>
        <v>26.102</v>
      </c>
      <c r="BN3793" s="281">
        <f>$AX$12</f>
        <v>1.3100000000000003</v>
      </c>
      <c r="BO3793" s="281">
        <f t="shared" si="193"/>
        <v>8.291520000000002</v>
      </c>
    </row>
    <row r="3794" spans="65:67" x14ac:dyDescent="0.25">
      <c r="BM3794" s="281">
        <f>$AZ$56+(seat_pitch)</f>
        <v>26.75</v>
      </c>
      <c r="BN3794" s="281">
        <f>$AX$12</f>
        <v>1.3100000000000003</v>
      </c>
      <c r="BO3794" s="281">
        <f t="shared" si="193"/>
        <v>8.9395200000000017</v>
      </c>
    </row>
    <row r="3795" spans="65:67" x14ac:dyDescent="0.25">
      <c r="BM3795" s="281">
        <f>$AZ$57+0.2*(seat_pitch)*($AY$57*n_SA+$AW$12&lt;pax_e)</f>
        <v>26.102</v>
      </c>
      <c r="BN3795" s="281">
        <f>$AX$12</f>
        <v>1.3100000000000003</v>
      </c>
      <c r="BO3795" s="281">
        <f t="shared" si="193"/>
        <v>8.291520000000002</v>
      </c>
    </row>
    <row r="3796" spans="65:67" x14ac:dyDescent="0.25">
      <c r="BM3796" s="281">
        <f>$AZ$57+0.2*(seat_pitch)*($AY$57*n_SA+$AW$12&lt;pax_e)</f>
        <v>26.102</v>
      </c>
      <c r="BN3796" s="281">
        <f>$AX$12+seat_w*($AY$57*n_SA+$AW$12&lt;pax_e)</f>
        <v>1.8400000000000003</v>
      </c>
      <c r="BO3796" s="281">
        <f t="shared" si="193"/>
        <v>8.291520000000002</v>
      </c>
    </row>
    <row r="3797" spans="65:67" x14ac:dyDescent="0.25">
      <c r="BM3797" s="281">
        <f>$AZ$57</f>
        <v>25.94</v>
      </c>
      <c r="BN3797" s="281">
        <f>$AX$12+seat_w*($AY$57*n_SA+$AW$12&lt;pax_e)</f>
        <v>1.8400000000000003</v>
      </c>
      <c r="BO3797" s="281">
        <f t="shared" si="193"/>
        <v>8.129520000000003</v>
      </c>
    </row>
    <row r="3798" spans="65:67" x14ac:dyDescent="0.25">
      <c r="BM3798" s="281">
        <f>$AZ$57+1*(seat_pitch)*($AY$57*n_SA+$AW$12&lt;pax_e)</f>
        <v>26.75</v>
      </c>
      <c r="BN3798" s="281">
        <f>$AX$12+seat_w*($AY$57*n_SA+$AW$12&lt;pax_e)</f>
        <v>1.8400000000000003</v>
      </c>
      <c r="BO3798" s="281">
        <f t="shared" si="193"/>
        <v>8.9395200000000017</v>
      </c>
    </row>
    <row r="3799" spans="65:67" x14ac:dyDescent="0.25">
      <c r="BM3799" s="281">
        <f>$AZ$57+0.8*(seat_pitch)*($AY$57*n_SA+$AW$12&lt;pax_e)</f>
        <v>26.588000000000001</v>
      </c>
      <c r="BN3799" s="281">
        <f>$AX$12+seat_w*($AY$57*n_SA+$AW$12&lt;pax_e)</f>
        <v>1.8400000000000003</v>
      </c>
      <c r="BO3799" s="281">
        <f t="shared" si="193"/>
        <v>8.7775200000000027</v>
      </c>
    </row>
    <row r="3800" spans="65:67" x14ac:dyDescent="0.25">
      <c r="BM3800" s="281">
        <f>$AZ$57+0.8*(seat_pitch)*($AY$57*n_SA+$AW$12&lt;pax_e)</f>
        <v>26.588000000000001</v>
      </c>
      <c r="BN3800" s="281">
        <f>$AX$12</f>
        <v>1.3100000000000003</v>
      </c>
      <c r="BO3800" s="281">
        <f t="shared" si="193"/>
        <v>8.7775200000000027</v>
      </c>
    </row>
    <row r="3801" spans="65:67" x14ac:dyDescent="0.25">
      <c r="BM3801" s="281">
        <f>$AZ$57+0.2*(seat_pitch)*($AY$57*n_SA+$AW$12&lt;pax_e)</f>
        <v>26.102</v>
      </c>
      <c r="BN3801" s="281">
        <f>$AX$12</f>
        <v>1.3100000000000003</v>
      </c>
      <c r="BO3801" s="281">
        <f t="shared" si="193"/>
        <v>8.291520000000002</v>
      </c>
    </row>
    <row r="3802" spans="65:67" x14ac:dyDescent="0.25">
      <c r="BM3802" s="281">
        <f>$AZ$57+(seat_pitch)</f>
        <v>26.75</v>
      </c>
      <c r="BN3802" s="281">
        <f>$AX$12</f>
        <v>1.3100000000000003</v>
      </c>
      <c r="BO3802" s="281">
        <f t="shared" si="193"/>
        <v>8.9395200000000017</v>
      </c>
    </row>
    <row r="3803" spans="65:67" x14ac:dyDescent="0.25">
      <c r="BM3803" s="281">
        <f>$AZ$58+0.2*(seat_pitch)*($AY$58*n_SA+$AW$12&lt;pax_e)</f>
        <v>26.102</v>
      </c>
      <c r="BN3803" s="281">
        <f>$AX$12</f>
        <v>1.3100000000000003</v>
      </c>
      <c r="BO3803" s="281">
        <f t="shared" si="193"/>
        <v>8.291520000000002</v>
      </c>
    </row>
    <row r="3804" spans="65:67" x14ac:dyDescent="0.25">
      <c r="BM3804" s="281">
        <f>$AZ$58+0.2*(seat_pitch)*($AY$58*n_SA+$AW$12&lt;pax_e)</f>
        <v>26.102</v>
      </c>
      <c r="BN3804" s="281">
        <f>$AX$12+seat_w*($AY$58*n_SA+$AW$12&lt;pax_e)</f>
        <v>1.8400000000000003</v>
      </c>
      <c r="BO3804" s="281">
        <f t="shared" si="193"/>
        <v>8.291520000000002</v>
      </c>
    </row>
    <row r="3805" spans="65:67" x14ac:dyDescent="0.25">
      <c r="BM3805" s="281">
        <f>$AZ$58</f>
        <v>25.94</v>
      </c>
      <c r="BN3805" s="281">
        <f>$AX$12+seat_w*($AY$58*n_SA+$AW$12&lt;pax_e)</f>
        <v>1.8400000000000003</v>
      </c>
      <c r="BO3805" s="281">
        <f t="shared" si="193"/>
        <v>8.129520000000003</v>
      </c>
    </row>
    <row r="3806" spans="65:67" x14ac:dyDescent="0.25">
      <c r="BM3806" s="281">
        <f>$AZ$58+1*(seat_pitch)*($AY$58*n_SA+$AW$12&lt;pax_e)</f>
        <v>26.75</v>
      </c>
      <c r="BN3806" s="281">
        <f>$AX$12+seat_w*($AY$58*n_SA+$AW$12&lt;pax_e)</f>
        <v>1.8400000000000003</v>
      </c>
      <c r="BO3806" s="281">
        <f t="shared" si="193"/>
        <v>8.9395200000000017</v>
      </c>
    </row>
    <row r="3807" spans="65:67" x14ac:dyDescent="0.25">
      <c r="BM3807" s="281">
        <f>$AZ$58+0.8*(seat_pitch)*($AY$58*n_SA+$AW$12&lt;pax_e)</f>
        <v>26.588000000000001</v>
      </c>
      <c r="BN3807" s="281">
        <f>$AX$12+seat_w*($AY$58*n_SA+$AW$12&lt;pax_e)</f>
        <v>1.8400000000000003</v>
      </c>
      <c r="BO3807" s="281">
        <f t="shared" si="193"/>
        <v>8.7775200000000027</v>
      </c>
    </row>
    <row r="3808" spans="65:67" x14ac:dyDescent="0.25">
      <c r="BM3808" s="281">
        <f>$AZ$58+0.8*(seat_pitch)*($AY$58*n_SA+$AW$12&lt;pax_e)</f>
        <v>26.588000000000001</v>
      </c>
      <c r="BN3808" s="281">
        <f>$AX$12</f>
        <v>1.3100000000000003</v>
      </c>
      <c r="BO3808" s="281">
        <f t="shared" si="193"/>
        <v>8.7775200000000027</v>
      </c>
    </row>
    <row r="3809" spans="65:67" x14ac:dyDescent="0.25">
      <c r="BM3809" s="281">
        <f>$AZ$58+0.2*(seat_pitch)*($AY$58*n_SA+$AW$12&lt;pax_e)</f>
        <v>26.102</v>
      </c>
      <c r="BN3809" s="281">
        <f>$AX$12</f>
        <v>1.3100000000000003</v>
      </c>
      <c r="BO3809" s="281">
        <f t="shared" si="193"/>
        <v>8.291520000000002</v>
      </c>
    </row>
    <row r="3810" spans="65:67" x14ac:dyDescent="0.25">
      <c r="BM3810" s="281">
        <f>$AZ$58+(seat_pitch)</f>
        <v>26.75</v>
      </c>
      <c r="BN3810" s="281">
        <f>$AX$12</f>
        <v>1.3100000000000003</v>
      </c>
      <c r="BO3810" s="281">
        <f t="shared" si="193"/>
        <v>8.9395200000000017</v>
      </c>
    </row>
    <row r="3811" spans="65:67" x14ac:dyDescent="0.25">
      <c r="BM3811" s="281">
        <f>$AZ$59+0.2*(seat_pitch)*($AY$59*n_SA+$AW$12&lt;pax_e)</f>
        <v>26.102</v>
      </c>
      <c r="BN3811" s="281">
        <f>$AX$12</f>
        <v>1.3100000000000003</v>
      </c>
      <c r="BO3811" s="281">
        <f t="shared" si="193"/>
        <v>8.291520000000002</v>
      </c>
    </row>
    <row r="3812" spans="65:67" x14ac:dyDescent="0.25">
      <c r="BM3812" s="281">
        <f>$AZ$59+0.2*(seat_pitch)*($AY$59*n_SA+$AW$12&lt;pax_e)</f>
        <v>26.102</v>
      </c>
      <c r="BN3812" s="281">
        <f>$AX$12+seat_w*($AY$59*n_SA+$AW$12&lt;pax_e)</f>
        <v>1.8400000000000003</v>
      </c>
      <c r="BO3812" s="281">
        <f t="shared" si="193"/>
        <v>8.291520000000002</v>
      </c>
    </row>
    <row r="3813" spans="65:67" x14ac:dyDescent="0.25">
      <c r="BM3813" s="281">
        <f>$AZ$59</f>
        <v>25.94</v>
      </c>
      <c r="BN3813" s="281">
        <f>$AX$12+seat_w*($AY$59*n_SA+$AW$12&lt;pax_e)</f>
        <v>1.8400000000000003</v>
      </c>
      <c r="BO3813" s="281">
        <f t="shared" si="193"/>
        <v>8.129520000000003</v>
      </c>
    </row>
    <row r="3814" spans="65:67" x14ac:dyDescent="0.25">
      <c r="BM3814" s="281">
        <f>$AZ$59+1*(seat_pitch)*($AY$59*n_SA+$AW$12&lt;pax_e)</f>
        <v>26.75</v>
      </c>
      <c r="BN3814" s="281">
        <f>$AX$12+seat_w*($AY$59*n_SA+$AW$12&lt;pax_e)</f>
        <v>1.8400000000000003</v>
      </c>
      <c r="BO3814" s="281">
        <f t="shared" si="193"/>
        <v>8.9395200000000017</v>
      </c>
    </row>
    <row r="3815" spans="65:67" x14ac:dyDescent="0.25">
      <c r="BM3815" s="281">
        <f>$AZ$59+0.8*(seat_pitch)*($AY$59*n_SA+$AW$12&lt;pax_e)</f>
        <v>26.588000000000001</v>
      </c>
      <c r="BN3815" s="281">
        <f>$AX$12+seat_w*($AY$59*n_SA+$AW$12&lt;pax_e)</f>
        <v>1.8400000000000003</v>
      </c>
      <c r="BO3815" s="281">
        <f t="shared" si="193"/>
        <v>8.7775200000000027</v>
      </c>
    </row>
    <row r="3816" spans="65:67" x14ac:dyDescent="0.25">
      <c r="BM3816" s="281">
        <f>$AZ$59+0.8*(seat_pitch)*($AY$59*n_SA+$AW$12&lt;pax_e)</f>
        <v>26.588000000000001</v>
      </c>
      <c r="BN3816" s="281">
        <f>$AX$12</f>
        <v>1.3100000000000003</v>
      </c>
      <c r="BO3816" s="281">
        <f t="shared" si="193"/>
        <v>8.7775200000000027</v>
      </c>
    </row>
    <row r="3817" spans="65:67" x14ac:dyDescent="0.25">
      <c r="BM3817" s="281">
        <f>$AZ$59+0.2*(seat_pitch)*($AY$59*n_SA+$AW$12&lt;pax_e)</f>
        <v>26.102</v>
      </c>
      <c r="BN3817" s="281">
        <f>$AX$12</f>
        <v>1.3100000000000003</v>
      </c>
      <c r="BO3817" s="281">
        <f t="shared" si="193"/>
        <v>8.291520000000002</v>
      </c>
    </row>
    <row r="3818" spans="65:67" x14ac:dyDescent="0.25">
      <c r="BM3818" s="281">
        <f>$AZ$59+(seat_pitch)</f>
        <v>26.75</v>
      </c>
      <c r="BN3818" s="281">
        <f>$AX$12</f>
        <v>1.3100000000000003</v>
      </c>
      <c r="BO3818" s="281">
        <f t="shared" si="193"/>
        <v>8.9395200000000017</v>
      </c>
    </row>
    <row r="3819" spans="65:67" x14ac:dyDescent="0.25">
      <c r="BM3819" s="281">
        <f>$AZ$60+0.2*(seat_pitch)*($AY$60*n_SA+$AW$12&lt;pax_e)</f>
        <v>26.102</v>
      </c>
      <c r="BN3819" s="281">
        <f>$AX$12</f>
        <v>1.3100000000000003</v>
      </c>
      <c r="BO3819" s="281">
        <f t="shared" si="193"/>
        <v>8.291520000000002</v>
      </c>
    </row>
    <row r="3820" spans="65:67" x14ac:dyDescent="0.25">
      <c r="BM3820" s="281">
        <f>$AZ$60+0.2*(seat_pitch)*($AY$60*n_SA+$AW$12&lt;pax_e)</f>
        <v>26.102</v>
      </c>
      <c r="BN3820" s="281">
        <f>$AX$12+seat_w*($AY$60*n_SA+$AW$12&lt;pax_e)</f>
        <v>1.8400000000000003</v>
      </c>
      <c r="BO3820" s="281">
        <f t="shared" si="193"/>
        <v>8.291520000000002</v>
      </c>
    </row>
    <row r="3821" spans="65:67" x14ac:dyDescent="0.25">
      <c r="BM3821" s="281">
        <f>$AZ$60</f>
        <v>25.94</v>
      </c>
      <c r="BN3821" s="281">
        <f>$AX$12+seat_w*($AY$60*n_SA+$AW$12&lt;pax_e)</f>
        <v>1.8400000000000003</v>
      </c>
      <c r="BO3821" s="281">
        <f t="shared" si="193"/>
        <v>8.129520000000003</v>
      </c>
    </row>
    <row r="3822" spans="65:67" x14ac:dyDescent="0.25">
      <c r="BM3822" s="281">
        <f>$AZ$60+1*(seat_pitch)*($AY$60*n_SA+$AW$12&lt;pax_e)</f>
        <v>26.75</v>
      </c>
      <c r="BN3822" s="281">
        <f>$AX$12+seat_w*($AY$60*n_SA+$AW$12&lt;pax_e)</f>
        <v>1.8400000000000003</v>
      </c>
      <c r="BO3822" s="281">
        <f t="shared" si="193"/>
        <v>8.9395200000000017</v>
      </c>
    </row>
    <row r="3823" spans="65:67" x14ac:dyDescent="0.25">
      <c r="BM3823" s="281">
        <f>$AZ$60+0.8*(seat_pitch)*($AY$60*n_SA+$AW$12&lt;pax_e)</f>
        <v>26.588000000000001</v>
      </c>
      <c r="BN3823" s="281">
        <f>$AX$12+seat_w*($AY$60*n_SA+$AW$12&lt;pax_e)</f>
        <v>1.8400000000000003</v>
      </c>
      <c r="BO3823" s="281">
        <f t="shared" si="193"/>
        <v>8.7775200000000027</v>
      </c>
    </row>
    <row r="3824" spans="65:67" x14ac:dyDescent="0.25">
      <c r="BM3824" s="281">
        <f>$AZ$60+0.8*(seat_pitch)*($AY$60*n_SA+$AW$12&lt;pax_e)</f>
        <v>26.588000000000001</v>
      </c>
      <c r="BN3824" s="281">
        <f>$AX$12</f>
        <v>1.3100000000000003</v>
      </c>
      <c r="BO3824" s="281">
        <f t="shared" si="193"/>
        <v>8.7775200000000027</v>
      </c>
    </row>
    <row r="3825" spans="65:67" x14ac:dyDescent="0.25">
      <c r="BM3825" s="281">
        <f>$AZ$60+0.2*(seat_pitch)*($AY$60*n_SA+$AW$12&lt;pax_e)</f>
        <v>26.102</v>
      </c>
      <c r="BN3825" s="281">
        <f>$AX$12</f>
        <v>1.3100000000000003</v>
      </c>
      <c r="BO3825" s="281">
        <f t="shared" si="193"/>
        <v>8.291520000000002</v>
      </c>
    </row>
    <row r="3826" spans="65:67" x14ac:dyDescent="0.25">
      <c r="BM3826" s="281">
        <f>$AZ$60+(seat_pitch)</f>
        <v>26.75</v>
      </c>
      <c r="BN3826" s="281">
        <f>$AX$12</f>
        <v>1.3100000000000003</v>
      </c>
      <c r="BO3826" s="281">
        <f t="shared" si="193"/>
        <v>8.9395200000000017</v>
      </c>
    </row>
    <row r="3827" spans="65:67" x14ac:dyDescent="0.25">
      <c r="BM3827" s="281">
        <f>$AZ$61+0.2*(seat_pitch)*($AY$61*n_SA+$AW$12&lt;pax_e)</f>
        <v>26.102</v>
      </c>
      <c r="BN3827" s="281">
        <f>$AX$12</f>
        <v>1.3100000000000003</v>
      </c>
      <c r="BO3827" s="281">
        <f t="shared" si="193"/>
        <v>8.291520000000002</v>
      </c>
    </row>
    <row r="3828" spans="65:67" x14ac:dyDescent="0.25">
      <c r="BM3828" s="281">
        <f>$AZ$61+0.2*(seat_pitch)*($AY$61*n_SA+$AW$12&lt;pax_e)</f>
        <v>26.102</v>
      </c>
      <c r="BN3828" s="281">
        <f>$AX$12+seat_w*($AY$61*n_SA+$AW$12&lt;pax_e)</f>
        <v>1.8400000000000003</v>
      </c>
      <c r="BO3828" s="281">
        <f t="shared" si="193"/>
        <v>8.291520000000002</v>
      </c>
    </row>
    <row r="3829" spans="65:67" x14ac:dyDescent="0.25">
      <c r="BM3829" s="281">
        <f>$AZ$61</f>
        <v>25.94</v>
      </c>
      <c r="BN3829" s="281">
        <f>$AX$12+seat_w*($AY$61*n_SA+$AW$12&lt;pax_e)</f>
        <v>1.8400000000000003</v>
      </c>
      <c r="BO3829" s="281">
        <f t="shared" si="193"/>
        <v>8.129520000000003</v>
      </c>
    </row>
    <row r="3830" spans="65:67" x14ac:dyDescent="0.25">
      <c r="BM3830" s="281">
        <f>$AZ$61+1*(seat_pitch)*($AY$61*n_SA+$AW$12&lt;pax_e)</f>
        <v>26.75</v>
      </c>
      <c r="BN3830" s="281">
        <f>$AX$12+seat_w*($AY$61*n_SA+$AW$12&lt;pax_e)</f>
        <v>1.8400000000000003</v>
      </c>
      <c r="BO3830" s="281">
        <f t="shared" si="193"/>
        <v>8.9395200000000017</v>
      </c>
    </row>
    <row r="3831" spans="65:67" x14ac:dyDescent="0.25">
      <c r="BM3831" s="281">
        <f>$AZ$61+0.8*(seat_pitch)*($AY$61*n_SA+$AW$12&lt;pax_e)</f>
        <v>26.588000000000001</v>
      </c>
      <c r="BN3831" s="281">
        <f>$AX$12+seat_w*($AY$61*n_SA+$AW$12&lt;pax_e)</f>
        <v>1.8400000000000003</v>
      </c>
      <c r="BO3831" s="281">
        <f t="shared" si="193"/>
        <v>8.7775200000000027</v>
      </c>
    </row>
    <row r="3832" spans="65:67" x14ac:dyDescent="0.25">
      <c r="BM3832" s="281">
        <f>$AZ$61+0.8*(seat_pitch)*($AY$61*n_SA+$AW$12&lt;pax_e)</f>
        <v>26.588000000000001</v>
      </c>
      <c r="BN3832" s="281">
        <f>$AX$12</f>
        <v>1.3100000000000003</v>
      </c>
      <c r="BO3832" s="281">
        <f t="shared" si="193"/>
        <v>8.7775200000000027</v>
      </c>
    </row>
    <row r="3833" spans="65:67" x14ac:dyDescent="0.25">
      <c r="BM3833" s="281">
        <f>$AZ$61+0.2*(seat_pitch)*($AY$61*n_SA+$AW$12&lt;pax_e)</f>
        <v>26.102</v>
      </c>
      <c r="BN3833" s="281">
        <f>$AX$12</f>
        <v>1.3100000000000003</v>
      </c>
      <c r="BO3833" s="281">
        <f t="shared" si="193"/>
        <v>8.291520000000002</v>
      </c>
    </row>
    <row r="3834" spans="65:67" x14ac:dyDescent="0.25">
      <c r="BM3834" s="281">
        <f>$AZ$61+(seat_pitch)</f>
        <v>26.75</v>
      </c>
      <c r="BN3834" s="281">
        <f>$AX$12</f>
        <v>1.3100000000000003</v>
      </c>
      <c r="BO3834" s="281">
        <f t="shared" si="193"/>
        <v>8.9395200000000017</v>
      </c>
    </row>
    <row r="3835" spans="65:67" x14ac:dyDescent="0.25">
      <c r="BM3835" s="281">
        <f>$AZ$62+0.2*(seat_pitch)*($AY$62*n_SA+$AW$12&lt;pax_e)</f>
        <v>26.102</v>
      </c>
      <c r="BN3835" s="281">
        <f>$AX$12</f>
        <v>1.3100000000000003</v>
      </c>
      <c r="BO3835" s="281">
        <f t="shared" si="193"/>
        <v>8.291520000000002</v>
      </c>
    </row>
    <row r="3836" spans="65:67" x14ac:dyDescent="0.25">
      <c r="BM3836" s="281">
        <f>$AZ$62+0.2*(seat_pitch)*($AY$62*n_SA+$AW$12&lt;pax_e)</f>
        <v>26.102</v>
      </c>
      <c r="BN3836" s="281">
        <f>$AX$12+seat_w*($AY$62*n_SA+$AW$12&lt;pax_e)</f>
        <v>1.8400000000000003</v>
      </c>
      <c r="BO3836" s="281">
        <f t="shared" si="193"/>
        <v>8.291520000000002</v>
      </c>
    </row>
    <row r="3837" spans="65:67" x14ac:dyDescent="0.25">
      <c r="BM3837" s="281">
        <f>$AZ$62</f>
        <v>25.94</v>
      </c>
      <c r="BN3837" s="281">
        <f>$AX$12+seat_w*($AY$62*n_SA+$AW$12&lt;pax_e)</f>
        <v>1.8400000000000003</v>
      </c>
      <c r="BO3837" s="281">
        <f t="shared" si="193"/>
        <v>8.129520000000003</v>
      </c>
    </row>
    <row r="3838" spans="65:67" x14ac:dyDescent="0.25">
      <c r="BM3838" s="281">
        <f>$AZ$62+1*(seat_pitch)*($AY$62*n_SA+$AW$12&lt;pax_e)</f>
        <v>26.75</v>
      </c>
      <c r="BN3838" s="281">
        <f>$AX$12+seat_w*($AY$62*n_SA+$AW$12&lt;pax_e)</f>
        <v>1.8400000000000003</v>
      </c>
      <c r="BO3838" s="281">
        <f t="shared" si="193"/>
        <v>8.9395200000000017</v>
      </c>
    </row>
    <row r="3839" spans="65:67" x14ac:dyDescent="0.25">
      <c r="BM3839" s="281">
        <f>$AZ$62+0.8*(seat_pitch)*($AY$62*n_SA+$AW$12&lt;pax_e)</f>
        <v>26.588000000000001</v>
      </c>
      <c r="BN3839" s="281">
        <f>$AX$12+seat_w*($AY$62*n_SA+$AW$12&lt;pax_e)</f>
        <v>1.8400000000000003</v>
      </c>
      <c r="BO3839" s="281">
        <f t="shared" si="193"/>
        <v>8.7775200000000027</v>
      </c>
    </row>
    <row r="3840" spans="65:67" x14ac:dyDescent="0.25">
      <c r="BM3840" s="281">
        <f>$AZ$62+0.8*(seat_pitch)*($AY$62*n_SA+$AW$12&lt;pax_e)</f>
        <v>26.588000000000001</v>
      </c>
      <c r="BN3840" s="281">
        <f>$AX$12</f>
        <v>1.3100000000000003</v>
      </c>
      <c r="BO3840" s="281">
        <f t="shared" si="193"/>
        <v>8.7775200000000027</v>
      </c>
    </row>
    <row r="3841" spans="65:67" x14ac:dyDescent="0.25">
      <c r="BM3841" s="281">
        <f>$AZ$62+0.2*(seat_pitch)*($AY$62*n_SA+$AW$12&lt;pax_e)</f>
        <v>26.102</v>
      </c>
      <c r="BN3841" s="281">
        <f>$AX$12</f>
        <v>1.3100000000000003</v>
      </c>
      <c r="BO3841" s="281">
        <f t="shared" si="193"/>
        <v>8.291520000000002</v>
      </c>
    </row>
    <row r="3842" spans="65:67" x14ac:dyDescent="0.25">
      <c r="BM3842" s="281">
        <f>$AZ$62+(seat_pitch)</f>
        <v>26.75</v>
      </c>
      <c r="BN3842" s="281">
        <f>$AX$12</f>
        <v>1.3100000000000003</v>
      </c>
      <c r="BO3842" s="281">
        <f t="shared" si="193"/>
        <v>8.9395200000000017</v>
      </c>
    </row>
    <row r="3843" spans="65:67" x14ac:dyDescent="0.25">
      <c r="BM3843" s="281">
        <f>$AZ$63+0.2*(seat_pitch)*($AY$63*n_SA+$AW$12&lt;pax_e)</f>
        <v>26.102</v>
      </c>
      <c r="BN3843" s="281">
        <f>$AX$12</f>
        <v>1.3100000000000003</v>
      </c>
      <c r="BO3843" s="281">
        <f t="shared" si="193"/>
        <v>8.291520000000002</v>
      </c>
    </row>
    <row r="3844" spans="65:67" x14ac:dyDescent="0.25">
      <c r="BM3844" s="281">
        <f>$AZ$63+0.2*(seat_pitch)*($AY$63*n_SA+$AW$12&lt;pax_e)</f>
        <v>26.102</v>
      </c>
      <c r="BN3844" s="281">
        <f>$AX$12+seat_w*($AY$63*n_SA+$AW$12&lt;pax_e)</f>
        <v>1.8400000000000003</v>
      </c>
      <c r="BO3844" s="281">
        <f t="shared" si="193"/>
        <v>8.291520000000002</v>
      </c>
    </row>
    <row r="3845" spans="65:67" x14ac:dyDescent="0.25">
      <c r="BM3845" s="281">
        <f>$AZ$63</f>
        <v>25.94</v>
      </c>
      <c r="BN3845" s="281">
        <f>$AX$12+seat_w*($AY$63*n_SA+$AW$12&lt;pax_e)</f>
        <v>1.8400000000000003</v>
      </c>
      <c r="BO3845" s="281">
        <f t="shared" ref="BO3845:BO3908" si="194">BM3845-L_fus/2</f>
        <v>8.129520000000003</v>
      </c>
    </row>
    <row r="3846" spans="65:67" x14ac:dyDescent="0.25">
      <c r="BM3846" s="281">
        <f>$AZ$63+1*(seat_pitch)*($AY$63*n_SA+$AW$12&lt;pax_e)</f>
        <v>26.75</v>
      </c>
      <c r="BN3846" s="281">
        <f>$AX$12+seat_w*($AY$63*n_SA+$AW$12&lt;pax_e)</f>
        <v>1.8400000000000003</v>
      </c>
      <c r="BO3846" s="281">
        <f t="shared" si="194"/>
        <v>8.9395200000000017</v>
      </c>
    </row>
    <row r="3847" spans="65:67" x14ac:dyDescent="0.25">
      <c r="BM3847" s="281">
        <f>$AZ$63+0.8*(seat_pitch)*($AY$63*n_SA+$AW$12&lt;pax_e)</f>
        <v>26.588000000000001</v>
      </c>
      <c r="BN3847" s="281">
        <f>$AX$12+seat_w*($AY$63*n_SA+$AW$12&lt;pax_e)</f>
        <v>1.8400000000000003</v>
      </c>
      <c r="BO3847" s="281">
        <f t="shared" si="194"/>
        <v>8.7775200000000027</v>
      </c>
    </row>
    <row r="3848" spans="65:67" x14ac:dyDescent="0.25">
      <c r="BM3848" s="281">
        <f>$AZ$63+0.8*(seat_pitch)*($AY$63*n_SA+$AW$12&lt;pax_e)</f>
        <v>26.588000000000001</v>
      </c>
      <c r="BN3848" s="281">
        <f>$AX$12</f>
        <v>1.3100000000000003</v>
      </c>
      <c r="BO3848" s="281">
        <f t="shared" si="194"/>
        <v>8.7775200000000027</v>
      </c>
    </row>
    <row r="3849" spans="65:67" x14ac:dyDescent="0.25">
      <c r="BM3849" s="281">
        <f>$AZ$63+0.2*(seat_pitch)*($AY$63*n_SA+$AW$12&lt;pax_e)</f>
        <v>26.102</v>
      </c>
      <c r="BN3849" s="281">
        <f>$AX$12</f>
        <v>1.3100000000000003</v>
      </c>
      <c r="BO3849" s="281">
        <f t="shared" si="194"/>
        <v>8.291520000000002</v>
      </c>
    </row>
    <row r="3850" spans="65:67" x14ac:dyDescent="0.25">
      <c r="BM3850" s="281">
        <f>$AZ$63+(seat_pitch)</f>
        <v>26.75</v>
      </c>
      <c r="BN3850" s="281">
        <f>$AX$12</f>
        <v>1.3100000000000003</v>
      </c>
      <c r="BO3850" s="281">
        <f t="shared" si="194"/>
        <v>8.9395200000000017</v>
      </c>
    </row>
    <row r="3851" spans="65:67" x14ac:dyDescent="0.25">
      <c r="BM3851" s="281">
        <f>$AZ$64+0.2*(seat_pitch)*($AY$64*n_SA+$AW$12&lt;pax_e)</f>
        <v>26.102</v>
      </c>
      <c r="BN3851" s="281">
        <f>$AX$12</f>
        <v>1.3100000000000003</v>
      </c>
      <c r="BO3851" s="281">
        <f t="shared" si="194"/>
        <v>8.291520000000002</v>
      </c>
    </row>
    <row r="3852" spans="65:67" x14ac:dyDescent="0.25">
      <c r="BM3852" s="281">
        <f>$AZ$64+0.2*(seat_pitch)*($AY$64*n_SA+$AW$12&lt;pax_e)</f>
        <v>26.102</v>
      </c>
      <c r="BN3852" s="281">
        <f>$AX$12+seat_w*($AY$64*n_SA+$AW$12&lt;pax_e)</f>
        <v>1.8400000000000003</v>
      </c>
      <c r="BO3852" s="281">
        <f t="shared" si="194"/>
        <v>8.291520000000002</v>
      </c>
    </row>
    <row r="3853" spans="65:67" x14ac:dyDescent="0.25">
      <c r="BM3853" s="281">
        <f>$AZ$64</f>
        <v>25.94</v>
      </c>
      <c r="BN3853" s="281">
        <f>$AX$12+seat_w*($AY$64*n_SA+$AW$12&lt;pax_e)</f>
        <v>1.8400000000000003</v>
      </c>
      <c r="BO3853" s="281">
        <f t="shared" si="194"/>
        <v>8.129520000000003</v>
      </c>
    </row>
    <row r="3854" spans="65:67" x14ac:dyDescent="0.25">
      <c r="BM3854" s="281">
        <f>$AZ$64+1*(seat_pitch)*($AY$64*n_SA+$AW$12&lt;pax_e)</f>
        <v>26.75</v>
      </c>
      <c r="BN3854" s="281">
        <f>$AX$12+seat_w*($AY$64*n_SA+$AW$12&lt;pax_e)</f>
        <v>1.8400000000000003</v>
      </c>
      <c r="BO3854" s="281">
        <f t="shared" si="194"/>
        <v>8.9395200000000017</v>
      </c>
    </row>
    <row r="3855" spans="65:67" x14ac:dyDescent="0.25">
      <c r="BM3855" s="281">
        <f>$AZ$64+0.8*(seat_pitch)*($AY$64*n_SA+$AW$12&lt;pax_e)</f>
        <v>26.588000000000001</v>
      </c>
      <c r="BN3855" s="281">
        <f>$AX$12+seat_w*($AY$64*n_SA+$AW$12&lt;pax_e)</f>
        <v>1.8400000000000003</v>
      </c>
      <c r="BO3855" s="281">
        <f t="shared" si="194"/>
        <v>8.7775200000000027</v>
      </c>
    </row>
    <row r="3856" spans="65:67" x14ac:dyDescent="0.25">
      <c r="BM3856" s="281">
        <f>$AZ$64+0.8*(seat_pitch)*($AY$64*n_SA+$AW$12&lt;pax_e)</f>
        <v>26.588000000000001</v>
      </c>
      <c r="BN3856" s="281">
        <f>$AX$12</f>
        <v>1.3100000000000003</v>
      </c>
      <c r="BO3856" s="281">
        <f t="shared" si="194"/>
        <v>8.7775200000000027</v>
      </c>
    </row>
    <row r="3857" spans="65:67" x14ac:dyDescent="0.25">
      <c r="BM3857" s="281">
        <f>$AZ$64+0.2*(seat_pitch)*($AY$64*n_SA+$AW$12&lt;pax_e)</f>
        <v>26.102</v>
      </c>
      <c r="BN3857" s="281">
        <f>$AX$12</f>
        <v>1.3100000000000003</v>
      </c>
      <c r="BO3857" s="281">
        <f t="shared" si="194"/>
        <v>8.291520000000002</v>
      </c>
    </row>
    <row r="3858" spans="65:67" x14ac:dyDescent="0.25">
      <c r="BM3858" s="281">
        <f>$AZ$64+(seat_pitch)</f>
        <v>26.75</v>
      </c>
      <c r="BN3858" s="281">
        <f>$AX$12</f>
        <v>1.3100000000000003</v>
      </c>
      <c r="BO3858" s="281">
        <f t="shared" si="194"/>
        <v>8.9395200000000017</v>
      </c>
    </row>
    <row r="3859" spans="65:67" x14ac:dyDescent="0.25">
      <c r="BM3859" s="281">
        <f>x_seat_end</f>
        <v>26.75</v>
      </c>
      <c r="BN3859" s="281">
        <f>$AX$13</f>
        <v>1.3100000000000003</v>
      </c>
      <c r="BO3859" s="281">
        <f t="shared" si="194"/>
        <v>8.9395200000000017</v>
      </c>
    </row>
    <row r="3860" spans="65:67" x14ac:dyDescent="0.25">
      <c r="BM3860" s="281">
        <f>x_eco0</f>
        <v>6.5</v>
      </c>
      <c r="BN3860" s="281">
        <f>$AX$13</f>
        <v>1.3100000000000003</v>
      </c>
      <c r="BO3860" s="281">
        <f t="shared" si="194"/>
        <v>-11.310479999999998</v>
      </c>
    </row>
    <row r="3861" spans="65:67" x14ac:dyDescent="0.25">
      <c r="BM3861" s="281">
        <f>$AZ$5+0.2*(seat_pitch)*($AY$5*n_SA+$AW$13&lt;pax_e)</f>
        <v>6.6619999999999999</v>
      </c>
      <c r="BN3861" s="281">
        <f>$AX$13</f>
        <v>1.3100000000000003</v>
      </c>
      <c r="BO3861" s="281">
        <f t="shared" si="194"/>
        <v>-11.148479999999999</v>
      </c>
    </row>
    <row r="3862" spans="65:67" x14ac:dyDescent="0.25">
      <c r="BM3862" s="281">
        <f>$AZ$5+0.2*(seat_pitch)*($AY$5*n_SA+$AW$13&lt;pax_e)</f>
        <v>6.6619999999999999</v>
      </c>
      <c r="BN3862" s="281">
        <f>$AX$13+seat_w*($AY$5*n_SA+$AW$13&lt;pax_e)</f>
        <v>1.8400000000000003</v>
      </c>
      <c r="BO3862" s="281">
        <f t="shared" si="194"/>
        <v>-11.148479999999999</v>
      </c>
    </row>
    <row r="3863" spans="65:67" x14ac:dyDescent="0.25">
      <c r="BM3863" s="281">
        <f>$AZ$5</f>
        <v>6.5</v>
      </c>
      <c r="BN3863" s="281">
        <f>$AX$13+seat_w*($AY$5*n_SA+$AW$13&lt;pax_e)</f>
        <v>1.8400000000000003</v>
      </c>
      <c r="BO3863" s="281">
        <f t="shared" si="194"/>
        <v>-11.310479999999998</v>
      </c>
    </row>
    <row r="3864" spans="65:67" x14ac:dyDescent="0.25">
      <c r="BM3864" s="281">
        <f>$AZ$5+1*(seat_pitch)*($AY$5*n_SA+$AW$13&lt;pax_e)</f>
        <v>7.3100000000000005</v>
      </c>
      <c r="BN3864" s="281">
        <f>$AX$13+seat_w*($AY$5*n_SA+$AW$13&lt;pax_e)</f>
        <v>1.8400000000000003</v>
      </c>
      <c r="BO3864" s="281">
        <f t="shared" si="194"/>
        <v>-10.500479999999998</v>
      </c>
    </row>
    <row r="3865" spans="65:67" x14ac:dyDescent="0.25">
      <c r="BM3865" s="281">
        <f>$AZ$5+0.8*(seat_pitch)*($AY$5*n_SA+$AW$13&lt;pax_e)</f>
        <v>7.1479999999999997</v>
      </c>
      <c r="BN3865" s="281">
        <f>$AX$13+seat_w*($AY$5*n_SA+$AW$13&lt;pax_e)</f>
        <v>1.8400000000000003</v>
      </c>
      <c r="BO3865" s="281">
        <f t="shared" si="194"/>
        <v>-10.662479999999999</v>
      </c>
    </row>
    <row r="3866" spans="65:67" x14ac:dyDescent="0.25">
      <c r="BM3866" s="281">
        <f>$AZ$5+0.8*(seat_pitch)*($AY$5*n_SA+$AW$13&lt;pax_e)</f>
        <v>7.1479999999999997</v>
      </c>
      <c r="BN3866" s="281">
        <f>$AX$13</f>
        <v>1.3100000000000003</v>
      </c>
      <c r="BO3866" s="281">
        <f t="shared" si="194"/>
        <v>-10.662479999999999</v>
      </c>
    </row>
    <row r="3867" spans="65:67" x14ac:dyDescent="0.25">
      <c r="BM3867" s="281">
        <f>$AZ$5+0.2*(seat_pitch)*($AY$5*n_SA+$AW$13&lt;pax_e)</f>
        <v>6.6619999999999999</v>
      </c>
      <c r="BN3867" s="281">
        <f>$AX$13</f>
        <v>1.3100000000000003</v>
      </c>
      <c r="BO3867" s="281">
        <f t="shared" si="194"/>
        <v>-11.148479999999999</v>
      </c>
    </row>
    <row r="3868" spans="65:67" x14ac:dyDescent="0.25">
      <c r="BM3868" s="281">
        <f>$AZ$5+(seat_pitch)</f>
        <v>7.3100000000000005</v>
      </c>
      <c r="BN3868" s="281">
        <f>$AX$13</f>
        <v>1.3100000000000003</v>
      </c>
      <c r="BO3868" s="281">
        <f t="shared" si="194"/>
        <v>-10.500479999999998</v>
      </c>
    </row>
    <row r="3869" spans="65:67" x14ac:dyDescent="0.25">
      <c r="BM3869" s="281">
        <f>$AZ$6+0.2*(seat_pitch)*($AY$6*n_SA+$AW$13&lt;pax_e)</f>
        <v>7.4720000000000004</v>
      </c>
      <c r="BN3869" s="281">
        <f>$AX$13</f>
        <v>1.3100000000000003</v>
      </c>
      <c r="BO3869" s="281">
        <f t="shared" si="194"/>
        <v>-10.338479999999997</v>
      </c>
    </row>
    <row r="3870" spans="65:67" x14ac:dyDescent="0.25">
      <c r="BM3870" s="281">
        <f>$AZ$6+0.2*(seat_pitch)*($AY$6*n_SA+$AW$13&lt;pax_e)</f>
        <v>7.4720000000000004</v>
      </c>
      <c r="BN3870" s="281">
        <f>$AX$13+seat_w*($AY$6*n_SA+$AW$13&lt;pax_e)</f>
        <v>1.8400000000000003</v>
      </c>
      <c r="BO3870" s="281">
        <f t="shared" si="194"/>
        <v>-10.338479999999997</v>
      </c>
    </row>
    <row r="3871" spans="65:67" x14ac:dyDescent="0.25">
      <c r="BM3871" s="281">
        <f>$AZ$6</f>
        <v>7.3100000000000005</v>
      </c>
      <c r="BN3871" s="281">
        <f>$AX$13+seat_w*($AY$6*n_SA+$AW$13&lt;pax_e)</f>
        <v>1.8400000000000003</v>
      </c>
      <c r="BO3871" s="281">
        <f t="shared" si="194"/>
        <v>-10.500479999999998</v>
      </c>
    </row>
    <row r="3872" spans="65:67" x14ac:dyDescent="0.25">
      <c r="BM3872" s="281">
        <f>$AZ$6+1*(seat_pitch)*($AY$6*n_SA+$AW$13&lt;pax_e)</f>
        <v>8.120000000000001</v>
      </c>
      <c r="BN3872" s="281">
        <f>$AX$13+seat_w*($AY$6*n_SA+$AW$13&lt;pax_e)</f>
        <v>1.8400000000000003</v>
      </c>
      <c r="BO3872" s="281">
        <f t="shared" si="194"/>
        <v>-9.6904799999999973</v>
      </c>
    </row>
    <row r="3873" spans="65:67" x14ac:dyDescent="0.25">
      <c r="BM3873" s="281">
        <f>$AZ$6+0.8*(seat_pitch)*($AY$6*n_SA+$AW$13&lt;pax_e)</f>
        <v>7.9580000000000002</v>
      </c>
      <c r="BN3873" s="281">
        <f>$AX$13+seat_w*($AY$6*n_SA+$AW$13&lt;pax_e)</f>
        <v>1.8400000000000003</v>
      </c>
      <c r="BO3873" s="281">
        <f t="shared" si="194"/>
        <v>-9.8524799999999981</v>
      </c>
    </row>
    <row r="3874" spans="65:67" x14ac:dyDescent="0.25">
      <c r="BM3874" s="281">
        <f>$AZ$6+0.8*(seat_pitch)*($AY$6*n_SA+$AW$13&lt;pax_e)</f>
        <v>7.9580000000000002</v>
      </c>
      <c r="BN3874" s="281">
        <f>$AX$13</f>
        <v>1.3100000000000003</v>
      </c>
      <c r="BO3874" s="281">
        <f t="shared" si="194"/>
        <v>-9.8524799999999981</v>
      </c>
    </row>
    <row r="3875" spans="65:67" x14ac:dyDescent="0.25">
      <c r="BM3875" s="281">
        <f>$AZ$6+0.2*(seat_pitch)*($AY$6*n_SA+$AW$13&lt;pax_e)</f>
        <v>7.4720000000000004</v>
      </c>
      <c r="BN3875" s="281">
        <f>$AX$13</f>
        <v>1.3100000000000003</v>
      </c>
      <c r="BO3875" s="281">
        <f t="shared" si="194"/>
        <v>-10.338479999999997</v>
      </c>
    </row>
    <row r="3876" spans="65:67" x14ac:dyDescent="0.25">
      <c r="BM3876" s="281">
        <f>$AZ$6+(seat_pitch)</f>
        <v>8.120000000000001</v>
      </c>
      <c r="BN3876" s="281">
        <f>$AX$13</f>
        <v>1.3100000000000003</v>
      </c>
      <c r="BO3876" s="281">
        <f t="shared" si="194"/>
        <v>-9.6904799999999973</v>
      </c>
    </row>
    <row r="3877" spans="65:67" x14ac:dyDescent="0.25">
      <c r="BM3877" s="281">
        <f>$AZ$7+0.2*(seat_pitch)*($AY$7*n_SA+$AW$13&lt;pax_e)</f>
        <v>8.2820000000000018</v>
      </c>
      <c r="BN3877" s="281">
        <f>$AX$13</f>
        <v>1.3100000000000003</v>
      </c>
      <c r="BO3877" s="281">
        <f t="shared" si="194"/>
        <v>-9.5284799999999965</v>
      </c>
    </row>
    <row r="3878" spans="65:67" x14ac:dyDescent="0.25">
      <c r="BM3878" s="281">
        <f>$AZ$7+0.2*(seat_pitch)*($AY$7*n_SA+$AW$13&lt;pax_e)</f>
        <v>8.2820000000000018</v>
      </c>
      <c r="BN3878" s="281">
        <f>$AX$13+seat_w*($AY$7*n_SA+$AW$13&lt;pax_e)</f>
        <v>1.8400000000000003</v>
      </c>
      <c r="BO3878" s="281">
        <f t="shared" si="194"/>
        <v>-9.5284799999999965</v>
      </c>
    </row>
    <row r="3879" spans="65:67" x14ac:dyDescent="0.25">
      <c r="BM3879" s="281">
        <f>$AZ$7</f>
        <v>8.120000000000001</v>
      </c>
      <c r="BN3879" s="281">
        <f>$AX$13+seat_w*($AY$7*n_SA+$AW$13&lt;pax_e)</f>
        <v>1.8400000000000003</v>
      </c>
      <c r="BO3879" s="281">
        <f t="shared" si="194"/>
        <v>-9.6904799999999973</v>
      </c>
    </row>
    <row r="3880" spans="65:67" x14ac:dyDescent="0.25">
      <c r="BM3880" s="281">
        <f>$AZ$7+1*(seat_pitch)*($AY$7*n_SA+$AW$13&lt;pax_e)</f>
        <v>8.9300000000000015</v>
      </c>
      <c r="BN3880" s="281">
        <f>$AX$13+seat_w*($AY$7*n_SA+$AW$13&lt;pax_e)</f>
        <v>1.8400000000000003</v>
      </c>
      <c r="BO3880" s="281">
        <f t="shared" si="194"/>
        <v>-8.8804799999999968</v>
      </c>
    </row>
    <row r="3881" spans="65:67" x14ac:dyDescent="0.25">
      <c r="BM3881" s="281">
        <f>$AZ$7+0.8*(seat_pitch)*($AY$7*n_SA+$AW$13&lt;pax_e)</f>
        <v>8.7680000000000007</v>
      </c>
      <c r="BN3881" s="281">
        <f>$AX$13+seat_w*($AY$7*n_SA+$AW$13&lt;pax_e)</f>
        <v>1.8400000000000003</v>
      </c>
      <c r="BO3881" s="281">
        <f t="shared" si="194"/>
        <v>-9.0424799999999976</v>
      </c>
    </row>
    <row r="3882" spans="65:67" x14ac:dyDescent="0.25">
      <c r="BM3882" s="281">
        <f>$AZ$7+0.8*(seat_pitch)*($AY$7*n_SA+$AW$13&lt;pax_e)</f>
        <v>8.7680000000000007</v>
      </c>
      <c r="BN3882" s="281">
        <f>$AX$13</f>
        <v>1.3100000000000003</v>
      </c>
      <c r="BO3882" s="281">
        <f t="shared" si="194"/>
        <v>-9.0424799999999976</v>
      </c>
    </row>
    <row r="3883" spans="65:67" x14ac:dyDescent="0.25">
      <c r="BM3883" s="281">
        <f>$AZ$7+0.2*(seat_pitch)*($AY$7*n_SA+$AW$13&lt;pax_e)</f>
        <v>8.2820000000000018</v>
      </c>
      <c r="BN3883" s="281">
        <f>$AX$13</f>
        <v>1.3100000000000003</v>
      </c>
      <c r="BO3883" s="281">
        <f t="shared" si="194"/>
        <v>-9.5284799999999965</v>
      </c>
    </row>
    <row r="3884" spans="65:67" x14ac:dyDescent="0.25">
      <c r="BM3884" s="281">
        <f>$AZ$7+(seat_pitch)</f>
        <v>8.9300000000000015</v>
      </c>
      <c r="BN3884" s="281">
        <f>$AX$13</f>
        <v>1.3100000000000003</v>
      </c>
      <c r="BO3884" s="281">
        <f t="shared" si="194"/>
        <v>-8.8804799999999968</v>
      </c>
    </row>
    <row r="3885" spans="65:67" x14ac:dyDescent="0.25">
      <c r="BM3885" s="281">
        <f>$AZ$8+0.2*(seat_pitch)*($AY$8*n_SA+$AW$13&lt;pax_e)</f>
        <v>9.0920000000000005</v>
      </c>
      <c r="BN3885" s="281">
        <f>$AX$13</f>
        <v>1.3100000000000003</v>
      </c>
      <c r="BO3885" s="281">
        <f t="shared" si="194"/>
        <v>-8.7184799999999978</v>
      </c>
    </row>
    <row r="3886" spans="65:67" x14ac:dyDescent="0.25">
      <c r="BM3886" s="281">
        <f>$AZ$8+0.2*(seat_pitch)*($AY$8*n_SA+$AW$13&lt;pax_e)</f>
        <v>9.0920000000000005</v>
      </c>
      <c r="BN3886" s="281">
        <f>$AX$13+seat_w*($AY$8*n_SA+$AW$13&lt;pax_e)</f>
        <v>1.8400000000000003</v>
      </c>
      <c r="BO3886" s="281">
        <f t="shared" si="194"/>
        <v>-8.7184799999999978</v>
      </c>
    </row>
    <row r="3887" spans="65:67" x14ac:dyDescent="0.25">
      <c r="BM3887" s="281">
        <f>$AZ$8</f>
        <v>8.93</v>
      </c>
      <c r="BN3887" s="281">
        <f>$AX$13+seat_w*($AY$8*n_SA+$AW$13&lt;pax_e)</f>
        <v>1.8400000000000003</v>
      </c>
      <c r="BO3887" s="281">
        <f t="shared" si="194"/>
        <v>-8.8804799999999986</v>
      </c>
    </row>
    <row r="3888" spans="65:67" x14ac:dyDescent="0.25">
      <c r="BM3888" s="281">
        <f>$AZ$8+1*(seat_pitch)*($AY$8*n_SA+$AW$13&lt;pax_e)</f>
        <v>9.74</v>
      </c>
      <c r="BN3888" s="281">
        <f>$AX$13+seat_w*($AY$8*n_SA+$AW$13&lt;pax_e)</f>
        <v>1.8400000000000003</v>
      </c>
      <c r="BO3888" s="281">
        <f t="shared" si="194"/>
        <v>-8.0704799999999981</v>
      </c>
    </row>
    <row r="3889" spans="65:67" x14ac:dyDescent="0.25">
      <c r="BM3889" s="281">
        <f>$AZ$8+0.8*(seat_pitch)*($AY$8*n_SA+$AW$13&lt;pax_e)</f>
        <v>9.5779999999999994</v>
      </c>
      <c r="BN3889" s="281">
        <f>$AX$13+seat_w*($AY$8*n_SA+$AW$13&lt;pax_e)</f>
        <v>1.8400000000000003</v>
      </c>
      <c r="BO3889" s="281">
        <f t="shared" si="194"/>
        <v>-8.2324799999999989</v>
      </c>
    </row>
    <row r="3890" spans="65:67" x14ac:dyDescent="0.25">
      <c r="BM3890" s="281">
        <f>$AZ$8+0.8*(seat_pitch)*($AY$8*n_SA+$AW$13&lt;pax_e)</f>
        <v>9.5779999999999994</v>
      </c>
      <c r="BN3890" s="281">
        <f>$AX$13</f>
        <v>1.3100000000000003</v>
      </c>
      <c r="BO3890" s="281">
        <f t="shared" si="194"/>
        <v>-8.2324799999999989</v>
      </c>
    </row>
    <row r="3891" spans="65:67" x14ac:dyDescent="0.25">
      <c r="BM3891" s="281">
        <f>$AZ$8+0.2*(seat_pitch)*($AY$8*n_SA+$AW$13&lt;pax_e)</f>
        <v>9.0920000000000005</v>
      </c>
      <c r="BN3891" s="281">
        <f>$AX$13</f>
        <v>1.3100000000000003</v>
      </c>
      <c r="BO3891" s="281">
        <f t="shared" si="194"/>
        <v>-8.7184799999999978</v>
      </c>
    </row>
    <row r="3892" spans="65:67" x14ac:dyDescent="0.25">
      <c r="BM3892" s="281">
        <f>$AZ$8+(seat_pitch)</f>
        <v>9.74</v>
      </c>
      <c r="BN3892" s="281">
        <f>$AX$13</f>
        <v>1.3100000000000003</v>
      </c>
      <c r="BO3892" s="281">
        <f t="shared" si="194"/>
        <v>-8.0704799999999981</v>
      </c>
    </row>
    <row r="3893" spans="65:67" x14ac:dyDescent="0.25">
      <c r="BM3893" s="281">
        <f>$AZ$9+0.2*(seat_pitch)*($AY$9*n_SA+$AW$13&lt;pax_e)</f>
        <v>9.902000000000001</v>
      </c>
      <c r="BN3893" s="281">
        <f>$AX$13</f>
        <v>1.3100000000000003</v>
      </c>
      <c r="BO3893" s="281">
        <f t="shared" si="194"/>
        <v>-7.9084799999999973</v>
      </c>
    </row>
    <row r="3894" spans="65:67" x14ac:dyDescent="0.25">
      <c r="BM3894" s="281">
        <f>$AZ$9+0.2*(seat_pitch)*($AY$9*n_SA+$AW$13&lt;pax_e)</f>
        <v>9.902000000000001</v>
      </c>
      <c r="BN3894" s="281">
        <f>$AX$13+seat_w*($AY$9*n_SA+$AW$13&lt;pax_e)</f>
        <v>1.8400000000000003</v>
      </c>
      <c r="BO3894" s="281">
        <f t="shared" si="194"/>
        <v>-7.9084799999999973</v>
      </c>
    </row>
    <row r="3895" spans="65:67" x14ac:dyDescent="0.25">
      <c r="BM3895" s="281">
        <f>$AZ$9</f>
        <v>9.74</v>
      </c>
      <c r="BN3895" s="281">
        <f>$AX$13+seat_w*($AY$9*n_SA+$AW$13&lt;pax_e)</f>
        <v>1.8400000000000003</v>
      </c>
      <c r="BO3895" s="281">
        <f t="shared" si="194"/>
        <v>-8.0704799999999981</v>
      </c>
    </row>
    <row r="3896" spans="65:67" x14ac:dyDescent="0.25">
      <c r="BM3896" s="281">
        <f>$AZ$9+1*(seat_pitch)*($AY$9*n_SA+$AW$13&lt;pax_e)</f>
        <v>10.55</v>
      </c>
      <c r="BN3896" s="281">
        <f>$AX$13+seat_w*($AY$9*n_SA+$AW$13&lt;pax_e)</f>
        <v>1.8400000000000003</v>
      </c>
      <c r="BO3896" s="281">
        <f t="shared" si="194"/>
        <v>-7.2604799999999976</v>
      </c>
    </row>
    <row r="3897" spans="65:67" x14ac:dyDescent="0.25">
      <c r="BM3897" s="281">
        <f>$AZ$9+0.8*(seat_pitch)*($AY$9*n_SA+$AW$13&lt;pax_e)</f>
        <v>10.388</v>
      </c>
      <c r="BN3897" s="281">
        <f>$AX$13+seat_w*($AY$9*n_SA+$AW$13&lt;pax_e)</f>
        <v>1.8400000000000003</v>
      </c>
      <c r="BO3897" s="281">
        <f t="shared" si="194"/>
        <v>-7.4224799999999984</v>
      </c>
    </row>
    <row r="3898" spans="65:67" x14ac:dyDescent="0.25">
      <c r="BM3898" s="281">
        <f>$AZ$9+0.8*(seat_pitch)*($AY$9*n_SA+$AW$13&lt;pax_e)</f>
        <v>10.388</v>
      </c>
      <c r="BN3898" s="281">
        <f>$AX$13</f>
        <v>1.3100000000000003</v>
      </c>
      <c r="BO3898" s="281">
        <f t="shared" si="194"/>
        <v>-7.4224799999999984</v>
      </c>
    </row>
    <row r="3899" spans="65:67" x14ac:dyDescent="0.25">
      <c r="BM3899" s="281">
        <f>$AZ$9+0.2*(seat_pitch)*($AY$9*n_SA+$AW$13&lt;pax_e)</f>
        <v>9.902000000000001</v>
      </c>
      <c r="BN3899" s="281">
        <f>$AX$13</f>
        <v>1.3100000000000003</v>
      </c>
      <c r="BO3899" s="281">
        <f t="shared" si="194"/>
        <v>-7.9084799999999973</v>
      </c>
    </row>
    <row r="3900" spans="65:67" x14ac:dyDescent="0.25">
      <c r="BM3900" s="281">
        <f>$AZ$9+(seat_pitch)</f>
        <v>10.55</v>
      </c>
      <c r="BN3900" s="281">
        <f>$AX$13</f>
        <v>1.3100000000000003</v>
      </c>
      <c r="BO3900" s="281">
        <f t="shared" si="194"/>
        <v>-7.2604799999999976</v>
      </c>
    </row>
    <row r="3901" spans="65:67" x14ac:dyDescent="0.25">
      <c r="BM3901" s="281">
        <f>$AZ$10+0.2*(seat_pitch)*($AY$10*n_SA+$AW$13&lt;pax_e)</f>
        <v>10.712000000000002</v>
      </c>
      <c r="BN3901" s="281">
        <f>$AX$13</f>
        <v>1.3100000000000003</v>
      </c>
      <c r="BO3901" s="281">
        <f t="shared" si="194"/>
        <v>-7.0984799999999968</v>
      </c>
    </row>
    <row r="3902" spans="65:67" x14ac:dyDescent="0.25">
      <c r="BM3902" s="281">
        <f>$AZ$10+0.2*(seat_pitch)*($AY$10*n_SA+$AW$13&lt;pax_e)</f>
        <v>10.712000000000002</v>
      </c>
      <c r="BN3902" s="281">
        <f>$AX$13+seat_w*($AY$10*n_SA+$AW$13&lt;pax_e)</f>
        <v>1.8400000000000003</v>
      </c>
      <c r="BO3902" s="281">
        <f t="shared" si="194"/>
        <v>-7.0984799999999968</v>
      </c>
    </row>
    <row r="3903" spans="65:67" x14ac:dyDescent="0.25">
      <c r="BM3903" s="281">
        <f>$AZ$10</f>
        <v>10.55</v>
      </c>
      <c r="BN3903" s="281">
        <f>$AX$13+seat_w*($AY$10*n_SA+$AW$13&lt;pax_e)</f>
        <v>1.8400000000000003</v>
      </c>
      <c r="BO3903" s="281">
        <f t="shared" si="194"/>
        <v>-7.2604799999999976</v>
      </c>
    </row>
    <row r="3904" spans="65:67" x14ac:dyDescent="0.25">
      <c r="BM3904" s="281">
        <f>$AZ$10+1*(seat_pitch)*($AY$10*n_SA+$AW$13&lt;pax_e)</f>
        <v>11.360000000000001</v>
      </c>
      <c r="BN3904" s="281">
        <f>$AX$13+seat_w*($AY$10*n_SA+$AW$13&lt;pax_e)</f>
        <v>1.8400000000000003</v>
      </c>
      <c r="BO3904" s="281">
        <f t="shared" si="194"/>
        <v>-6.4504799999999971</v>
      </c>
    </row>
    <row r="3905" spans="65:67" x14ac:dyDescent="0.25">
      <c r="BM3905" s="281">
        <f>$AZ$10+0.8*(seat_pitch)*($AY$10*n_SA+$AW$13&lt;pax_e)</f>
        <v>11.198</v>
      </c>
      <c r="BN3905" s="281">
        <f>$AX$13+seat_w*($AY$10*n_SA+$AW$13&lt;pax_e)</f>
        <v>1.8400000000000003</v>
      </c>
      <c r="BO3905" s="281">
        <f t="shared" si="194"/>
        <v>-6.6124799999999979</v>
      </c>
    </row>
    <row r="3906" spans="65:67" x14ac:dyDescent="0.25">
      <c r="BM3906" s="281">
        <f>$AZ$10+0.8*(seat_pitch)*($AY$10*n_SA+$AW$13&lt;pax_e)</f>
        <v>11.198</v>
      </c>
      <c r="BN3906" s="281">
        <f>$AX$13</f>
        <v>1.3100000000000003</v>
      </c>
      <c r="BO3906" s="281">
        <f t="shared" si="194"/>
        <v>-6.6124799999999979</v>
      </c>
    </row>
    <row r="3907" spans="65:67" x14ac:dyDescent="0.25">
      <c r="BM3907" s="281">
        <f>$AZ$10+0.2*(seat_pitch)*($AY$10*n_SA+$AW$13&lt;pax_e)</f>
        <v>10.712000000000002</v>
      </c>
      <c r="BN3907" s="281">
        <f>$AX$13</f>
        <v>1.3100000000000003</v>
      </c>
      <c r="BO3907" s="281">
        <f t="shared" si="194"/>
        <v>-7.0984799999999968</v>
      </c>
    </row>
    <row r="3908" spans="65:67" x14ac:dyDescent="0.25">
      <c r="BM3908" s="281">
        <f>$AZ$10+(seat_pitch)</f>
        <v>11.360000000000001</v>
      </c>
      <c r="BN3908" s="281">
        <f>$AX$13</f>
        <v>1.3100000000000003</v>
      </c>
      <c r="BO3908" s="281">
        <f t="shared" si="194"/>
        <v>-6.4504799999999971</v>
      </c>
    </row>
    <row r="3909" spans="65:67" x14ac:dyDescent="0.25">
      <c r="BM3909" s="281">
        <f>$AZ$11+0.2*(seat_pitch)*($AY$11*n_SA+$AW$13&lt;pax_e)</f>
        <v>11.522</v>
      </c>
      <c r="BN3909" s="281">
        <f>$AX$13</f>
        <v>1.3100000000000003</v>
      </c>
      <c r="BO3909" s="281">
        <f t="shared" ref="BO3909:BO3972" si="195">BM3909-L_fus/2</f>
        <v>-6.2884799999999981</v>
      </c>
    </row>
    <row r="3910" spans="65:67" x14ac:dyDescent="0.25">
      <c r="BM3910" s="281">
        <f>$AZ$11+0.2*(seat_pitch)*($AY$11*n_SA+$AW$13&lt;pax_e)</f>
        <v>11.522</v>
      </c>
      <c r="BN3910" s="281">
        <f>$AX$13+seat_w*($AY$11*n_SA+$AW$13&lt;pax_e)</f>
        <v>1.8400000000000003</v>
      </c>
      <c r="BO3910" s="281">
        <f t="shared" si="195"/>
        <v>-6.2884799999999981</v>
      </c>
    </row>
    <row r="3911" spans="65:67" x14ac:dyDescent="0.25">
      <c r="BM3911" s="281">
        <f>$AZ$11</f>
        <v>11.36</v>
      </c>
      <c r="BN3911" s="281">
        <f>$AX$13+seat_w*($AY$11*n_SA+$AW$13&lt;pax_e)</f>
        <v>1.8400000000000003</v>
      </c>
      <c r="BO3911" s="281">
        <f t="shared" si="195"/>
        <v>-6.4504799999999989</v>
      </c>
    </row>
    <row r="3912" spans="65:67" x14ac:dyDescent="0.25">
      <c r="BM3912" s="281">
        <f>$AZ$11+1*(seat_pitch)*($AY$11*n_SA+$AW$13&lt;pax_e)</f>
        <v>12.17</v>
      </c>
      <c r="BN3912" s="281">
        <f>$AX$13+seat_w*($AY$11*n_SA+$AW$13&lt;pax_e)</f>
        <v>1.8400000000000003</v>
      </c>
      <c r="BO3912" s="281">
        <f t="shared" si="195"/>
        <v>-5.6404799999999984</v>
      </c>
    </row>
    <row r="3913" spans="65:67" x14ac:dyDescent="0.25">
      <c r="BM3913" s="281">
        <f>$AZ$11+0.8*(seat_pitch)*($AY$11*n_SA+$AW$13&lt;pax_e)</f>
        <v>12.007999999999999</v>
      </c>
      <c r="BN3913" s="281">
        <f>$AX$13+seat_w*($AY$11*n_SA+$AW$13&lt;pax_e)</f>
        <v>1.8400000000000003</v>
      </c>
      <c r="BO3913" s="281">
        <f t="shared" si="195"/>
        <v>-5.8024799999999992</v>
      </c>
    </row>
    <row r="3914" spans="65:67" x14ac:dyDescent="0.25">
      <c r="BM3914" s="281">
        <f>$AZ$11+0.8*(seat_pitch)*($AY$11*n_SA+$AW$13&lt;pax_e)</f>
        <v>12.007999999999999</v>
      </c>
      <c r="BN3914" s="281">
        <f>$AX$13</f>
        <v>1.3100000000000003</v>
      </c>
      <c r="BO3914" s="281">
        <f t="shared" si="195"/>
        <v>-5.8024799999999992</v>
      </c>
    </row>
    <row r="3915" spans="65:67" x14ac:dyDescent="0.25">
      <c r="BM3915" s="281">
        <f>$AZ$11+0.2*(seat_pitch)*($AY$11*n_SA+$AW$13&lt;pax_e)</f>
        <v>11.522</v>
      </c>
      <c r="BN3915" s="281">
        <f>$AX$13</f>
        <v>1.3100000000000003</v>
      </c>
      <c r="BO3915" s="281">
        <f t="shared" si="195"/>
        <v>-6.2884799999999981</v>
      </c>
    </row>
    <row r="3916" spans="65:67" x14ac:dyDescent="0.25">
      <c r="BM3916" s="281">
        <f>$AZ$11+(seat_pitch)</f>
        <v>12.17</v>
      </c>
      <c r="BN3916" s="281">
        <f>$AX$13</f>
        <v>1.3100000000000003</v>
      </c>
      <c r="BO3916" s="281">
        <f t="shared" si="195"/>
        <v>-5.6404799999999984</v>
      </c>
    </row>
    <row r="3917" spans="65:67" x14ac:dyDescent="0.25">
      <c r="BM3917" s="281">
        <f>$AZ$12+0.2*(seat_pitch)*($AY$12*n_SA+$AW$13&lt;pax_e)</f>
        <v>12.332000000000001</v>
      </c>
      <c r="BN3917" s="281">
        <f>$AX$13</f>
        <v>1.3100000000000003</v>
      </c>
      <c r="BO3917" s="281">
        <f t="shared" si="195"/>
        <v>-5.4784799999999976</v>
      </c>
    </row>
    <row r="3918" spans="65:67" x14ac:dyDescent="0.25">
      <c r="BM3918" s="281">
        <f>$AZ$12+0.2*(seat_pitch)*($AY$12*n_SA+$AW$13&lt;pax_e)</f>
        <v>12.332000000000001</v>
      </c>
      <c r="BN3918" s="281">
        <f>$AX$13+seat_w*($AY$12*n_SA+$AW$13&lt;pax_e)</f>
        <v>1.8400000000000003</v>
      </c>
      <c r="BO3918" s="281">
        <f t="shared" si="195"/>
        <v>-5.4784799999999976</v>
      </c>
    </row>
    <row r="3919" spans="65:67" x14ac:dyDescent="0.25">
      <c r="BM3919" s="281">
        <f>$AZ$12</f>
        <v>12.17</v>
      </c>
      <c r="BN3919" s="281">
        <f>$AX$13+seat_w*($AY$12*n_SA+$AW$13&lt;pax_e)</f>
        <v>1.8400000000000003</v>
      </c>
      <c r="BO3919" s="281">
        <f t="shared" si="195"/>
        <v>-5.6404799999999984</v>
      </c>
    </row>
    <row r="3920" spans="65:67" x14ac:dyDescent="0.25">
      <c r="BM3920" s="281">
        <f>$AZ$12+1*(seat_pitch)*($AY$12*n_SA+$AW$13&lt;pax_e)</f>
        <v>12.98</v>
      </c>
      <c r="BN3920" s="281">
        <f>$AX$13+seat_w*($AY$12*n_SA+$AW$13&lt;pax_e)</f>
        <v>1.8400000000000003</v>
      </c>
      <c r="BO3920" s="281">
        <f t="shared" si="195"/>
        <v>-4.8304799999999979</v>
      </c>
    </row>
    <row r="3921" spans="65:67" x14ac:dyDescent="0.25">
      <c r="BM3921" s="281">
        <f>$AZ$12+0.8*(seat_pitch)*($AY$12*n_SA+$AW$13&lt;pax_e)</f>
        <v>12.818</v>
      </c>
      <c r="BN3921" s="281">
        <f>$AX$13+seat_w*($AY$12*n_SA+$AW$13&lt;pax_e)</f>
        <v>1.8400000000000003</v>
      </c>
      <c r="BO3921" s="281">
        <f t="shared" si="195"/>
        <v>-4.9924799999999987</v>
      </c>
    </row>
    <row r="3922" spans="65:67" x14ac:dyDescent="0.25">
      <c r="BM3922" s="281">
        <f>$AZ$12+0.8*(seat_pitch)*($AY$12*n_SA+$AW$13&lt;pax_e)</f>
        <v>12.818</v>
      </c>
      <c r="BN3922" s="281">
        <f>$AX$13</f>
        <v>1.3100000000000003</v>
      </c>
      <c r="BO3922" s="281">
        <f t="shared" si="195"/>
        <v>-4.9924799999999987</v>
      </c>
    </row>
    <row r="3923" spans="65:67" x14ac:dyDescent="0.25">
      <c r="BM3923" s="281">
        <f>$AZ$12+0.2*(seat_pitch)*($AY$12*n_SA+$AW$13&lt;pax_e)</f>
        <v>12.332000000000001</v>
      </c>
      <c r="BN3923" s="281">
        <f>$AX$13</f>
        <v>1.3100000000000003</v>
      </c>
      <c r="BO3923" s="281">
        <f t="shared" si="195"/>
        <v>-5.4784799999999976</v>
      </c>
    </row>
    <row r="3924" spans="65:67" x14ac:dyDescent="0.25">
      <c r="BM3924" s="281">
        <f>$AZ$12+(seat_pitch)</f>
        <v>12.98</v>
      </c>
      <c r="BN3924" s="281">
        <f>$AX$13</f>
        <v>1.3100000000000003</v>
      </c>
      <c r="BO3924" s="281">
        <f t="shared" si="195"/>
        <v>-4.8304799999999979</v>
      </c>
    </row>
    <row r="3925" spans="65:67" x14ac:dyDescent="0.25">
      <c r="BM3925" s="281">
        <f>$AZ$13+0.2*(seat_pitch)*($AY$13*n_SA+$AW$13&lt;pax_e)</f>
        <v>13.142000000000001</v>
      </c>
      <c r="BN3925" s="281">
        <f>$AX$13</f>
        <v>1.3100000000000003</v>
      </c>
      <c r="BO3925" s="281">
        <f t="shared" si="195"/>
        <v>-4.6684799999999971</v>
      </c>
    </row>
    <row r="3926" spans="65:67" x14ac:dyDescent="0.25">
      <c r="BM3926" s="281">
        <f>$AZ$13+0.2*(seat_pitch)*($AY$13*n_SA+$AW$13&lt;pax_e)</f>
        <v>13.142000000000001</v>
      </c>
      <c r="BN3926" s="281">
        <f>$AX$13+seat_w*($AY$13*n_SA+$AW$13&lt;pax_e)</f>
        <v>1.8400000000000003</v>
      </c>
      <c r="BO3926" s="281">
        <f t="shared" si="195"/>
        <v>-4.6684799999999971</v>
      </c>
    </row>
    <row r="3927" spans="65:67" x14ac:dyDescent="0.25">
      <c r="BM3927" s="281">
        <f>$AZ$13</f>
        <v>12.98</v>
      </c>
      <c r="BN3927" s="281">
        <f>$AX$13+seat_w*($AY$13*n_SA+$AW$13&lt;pax_e)</f>
        <v>1.8400000000000003</v>
      </c>
      <c r="BO3927" s="281">
        <f t="shared" si="195"/>
        <v>-4.8304799999999979</v>
      </c>
    </row>
    <row r="3928" spans="65:67" x14ac:dyDescent="0.25">
      <c r="BM3928" s="281">
        <f>$AZ$13+1*(seat_pitch)*($AY$13*n_SA+$AW$13&lt;pax_e)</f>
        <v>13.790000000000001</v>
      </c>
      <c r="BN3928" s="281">
        <f>$AX$13+seat_w*($AY$13*n_SA+$AW$13&lt;pax_e)</f>
        <v>1.8400000000000003</v>
      </c>
      <c r="BO3928" s="281">
        <f t="shared" si="195"/>
        <v>-4.0204799999999974</v>
      </c>
    </row>
    <row r="3929" spans="65:67" x14ac:dyDescent="0.25">
      <c r="BM3929" s="281">
        <f>$AZ$13+0.8*(seat_pitch)*($AY$13*n_SA+$AW$13&lt;pax_e)</f>
        <v>13.628</v>
      </c>
      <c r="BN3929" s="281">
        <f>$AX$13+seat_w*($AY$13*n_SA+$AW$13&lt;pax_e)</f>
        <v>1.8400000000000003</v>
      </c>
      <c r="BO3929" s="281">
        <f t="shared" si="195"/>
        <v>-4.1824799999999982</v>
      </c>
    </row>
    <row r="3930" spans="65:67" x14ac:dyDescent="0.25">
      <c r="BM3930" s="281">
        <f>$AZ$13+0.8*(seat_pitch)*($AY$13*n_SA+$AW$13&lt;pax_e)</f>
        <v>13.628</v>
      </c>
      <c r="BN3930" s="281">
        <f>$AX$13</f>
        <v>1.3100000000000003</v>
      </c>
      <c r="BO3930" s="281">
        <f t="shared" si="195"/>
        <v>-4.1824799999999982</v>
      </c>
    </row>
    <row r="3931" spans="65:67" x14ac:dyDescent="0.25">
      <c r="BM3931" s="281">
        <f>$AZ$13+0.2*(seat_pitch)*($AY$13*n_SA+$AW$13&lt;pax_e)</f>
        <v>13.142000000000001</v>
      </c>
      <c r="BN3931" s="281">
        <f>$AX$13</f>
        <v>1.3100000000000003</v>
      </c>
      <c r="BO3931" s="281">
        <f t="shared" si="195"/>
        <v>-4.6684799999999971</v>
      </c>
    </row>
    <row r="3932" spans="65:67" x14ac:dyDescent="0.25">
      <c r="BM3932" s="281">
        <f>$AZ$13+(seat_pitch)</f>
        <v>13.790000000000001</v>
      </c>
      <c r="BN3932" s="281">
        <f>$AX$13</f>
        <v>1.3100000000000003</v>
      </c>
      <c r="BO3932" s="281">
        <f t="shared" si="195"/>
        <v>-4.0204799999999974</v>
      </c>
    </row>
    <row r="3933" spans="65:67" x14ac:dyDescent="0.25">
      <c r="BM3933" s="281">
        <f>$AZ$14+0.2*(seat_pitch)*($AY$14*n_SA+$AW$13&lt;pax_e)</f>
        <v>13.952000000000002</v>
      </c>
      <c r="BN3933" s="281">
        <f>$AX$13</f>
        <v>1.3100000000000003</v>
      </c>
      <c r="BO3933" s="281">
        <f t="shared" si="195"/>
        <v>-3.8584799999999966</v>
      </c>
    </row>
    <row r="3934" spans="65:67" x14ac:dyDescent="0.25">
      <c r="BM3934" s="281">
        <f>$AZ$14+0.2*(seat_pitch)*($AY$14*n_SA+$AW$13&lt;pax_e)</f>
        <v>13.952000000000002</v>
      </c>
      <c r="BN3934" s="281">
        <f>$AX$13+seat_w*($AY$14*n_SA+$AW$13&lt;pax_e)</f>
        <v>1.8400000000000003</v>
      </c>
      <c r="BO3934" s="281">
        <f t="shared" si="195"/>
        <v>-3.8584799999999966</v>
      </c>
    </row>
    <row r="3935" spans="65:67" x14ac:dyDescent="0.25">
      <c r="BM3935" s="281">
        <f>$AZ$14</f>
        <v>13.790000000000001</v>
      </c>
      <c r="BN3935" s="281">
        <f>$AX$13+seat_w*($AY$14*n_SA+$AW$13&lt;pax_e)</f>
        <v>1.8400000000000003</v>
      </c>
      <c r="BO3935" s="281">
        <f t="shared" si="195"/>
        <v>-4.0204799999999974</v>
      </c>
    </row>
    <row r="3936" spans="65:67" x14ac:dyDescent="0.25">
      <c r="BM3936" s="281">
        <f>$AZ$14+1*(seat_pitch)*($AY$14*n_SA+$AW$13&lt;pax_e)</f>
        <v>14.600000000000001</v>
      </c>
      <c r="BN3936" s="281">
        <f>$AX$13+seat_w*($AY$14*n_SA+$AW$13&lt;pax_e)</f>
        <v>1.8400000000000003</v>
      </c>
      <c r="BO3936" s="281">
        <f t="shared" si="195"/>
        <v>-3.2104799999999969</v>
      </c>
    </row>
    <row r="3937" spans="65:67" x14ac:dyDescent="0.25">
      <c r="BM3937" s="281">
        <f>$AZ$14+0.8*(seat_pitch)*($AY$14*n_SA+$AW$13&lt;pax_e)</f>
        <v>14.438000000000001</v>
      </c>
      <c r="BN3937" s="281">
        <f>$AX$13+seat_w*($AY$14*n_SA+$AW$13&lt;pax_e)</f>
        <v>1.8400000000000003</v>
      </c>
      <c r="BO3937" s="281">
        <f t="shared" si="195"/>
        <v>-3.3724799999999977</v>
      </c>
    </row>
    <row r="3938" spans="65:67" x14ac:dyDescent="0.25">
      <c r="BM3938" s="281">
        <f>$AZ$14+0.8*(seat_pitch)*($AY$14*n_SA+$AW$13&lt;pax_e)</f>
        <v>14.438000000000001</v>
      </c>
      <c r="BN3938" s="281">
        <f>$AX$13</f>
        <v>1.3100000000000003</v>
      </c>
      <c r="BO3938" s="281">
        <f t="shared" si="195"/>
        <v>-3.3724799999999977</v>
      </c>
    </row>
    <row r="3939" spans="65:67" x14ac:dyDescent="0.25">
      <c r="BM3939" s="281">
        <f>$AZ$14+0.2*(seat_pitch)*($AY$14*n_SA+$AW$13&lt;pax_e)</f>
        <v>13.952000000000002</v>
      </c>
      <c r="BN3939" s="281">
        <f>$AX$13</f>
        <v>1.3100000000000003</v>
      </c>
      <c r="BO3939" s="281">
        <f t="shared" si="195"/>
        <v>-3.8584799999999966</v>
      </c>
    </row>
    <row r="3940" spans="65:67" x14ac:dyDescent="0.25">
      <c r="BM3940" s="281">
        <f>$AZ$14+(seat_pitch)</f>
        <v>14.600000000000001</v>
      </c>
      <c r="BN3940" s="281">
        <f>$AX$13</f>
        <v>1.3100000000000003</v>
      </c>
      <c r="BO3940" s="281">
        <f t="shared" si="195"/>
        <v>-3.2104799999999969</v>
      </c>
    </row>
    <row r="3941" spans="65:67" x14ac:dyDescent="0.25">
      <c r="BM3941" s="281">
        <f>$AZ$15+0.2*(seat_pitch)*($AY$15*n_SA+$AW$13&lt;pax_e)</f>
        <v>14.762000000000002</v>
      </c>
      <c r="BN3941" s="281">
        <f>$AX$13</f>
        <v>1.3100000000000003</v>
      </c>
      <c r="BO3941" s="281">
        <f t="shared" si="195"/>
        <v>-3.0484799999999961</v>
      </c>
    </row>
    <row r="3942" spans="65:67" x14ac:dyDescent="0.25">
      <c r="BM3942" s="281">
        <f>$AZ$15+0.2*(seat_pitch)*($AY$15*n_SA+$AW$13&lt;pax_e)</f>
        <v>14.762000000000002</v>
      </c>
      <c r="BN3942" s="281">
        <f>$AX$13+seat_w*($AY$15*n_SA+$AW$13&lt;pax_e)</f>
        <v>1.8400000000000003</v>
      </c>
      <c r="BO3942" s="281">
        <f t="shared" si="195"/>
        <v>-3.0484799999999961</v>
      </c>
    </row>
    <row r="3943" spans="65:67" x14ac:dyDescent="0.25">
      <c r="BM3943" s="281">
        <f>$AZ$15</f>
        <v>14.600000000000001</v>
      </c>
      <c r="BN3943" s="281">
        <f>$AX$13+seat_w*($AY$15*n_SA+$AW$13&lt;pax_e)</f>
        <v>1.8400000000000003</v>
      </c>
      <c r="BO3943" s="281">
        <f t="shared" si="195"/>
        <v>-3.2104799999999969</v>
      </c>
    </row>
    <row r="3944" spans="65:67" x14ac:dyDescent="0.25">
      <c r="BM3944" s="281">
        <f>$AZ$15+1*(seat_pitch)*($AY$15*n_SA+$AW$13&lt;pax_e)</f>
        <v>15.410000000000002</v>
      </c>
      <c r="BN3944" s="281">
        <f>$AX$13+seat_w*($AY$15*n_SA+$AW$13&lt;pax_e)</f>
        <v>1.8400000000000003</v>
      </c>
      <c r="BO3944" s="281">
        <f t="shared" si="195"/>
        <v>-2.4004799999999964</v>
      </c>
    </row>
    <row r="3945" spans="65:67" x14ac:dyDescent="0.25">
      <c r="BM3945" s="281">
        <f>$AZ$15+0.8*(seat_pitch)*($AY$15*n_SA+$AW$13&lt;pax_e)</f>
        <v>15.248000000000001</v>
      </c>
      <c r="BN3945" s="281">
        <f>$AX$13+seat_w*($AY$15*n_SA+$AW$13&lt;pax_e)</f>
        <v>1.8400000000000003</v>
      </c>
      <c r="BO3945" s="281">
        <f t="shared" si="195"/>
        <v>-2.5624799999999972</v>
      </c>
    </row>
    <row r="3946" spans="65:67" x14ac:dyDescent="0.25">
      <c r="BM3946" s="281">
        <f>$AZ$15+0.8*(seat_pitch)*($AY$15*n_SA+$AW$13&lt;pax_e)</f>
        <v>15.248000000000001</v>
      </c>
      <c r="BN3946" s="281">
        <f>$AX$13</f>
        <v>1.3100000000000003</v>
      </c>
      <c r="BO3946" s="281">
        <f t="shared" si="195"/>
        <v>-2.5624799999999972</v>
      </c>
    </row>
    <row r="3947" spans="65:67" x14ac:dyDescent="0.25">
      <c r="BM3947" s="281">
        <f>$AZ$15+0.2*(seat_pitch)*($AY$15*n_SA+$AW$13&lt;pax_e)</f>
        <v>14.762000000000002</v>
      </c>
      <c r="BN3947" s="281">
        <f>$AX$13</f>
        <v>1.3100000000000003</v>
      </c>
      <c r="BO3947" s="281">
        <f t="shared" si="195"/>
        <v>-3.0484799999999961</v>
      </c>
    </row>
    <row r="3948" spans="65:67" x14ac:dyDescent="0.25">
      <c r="BM3948" s="281">
        <f>$AZ$15+(seat_pitch)</f>
        <v>15.410000000000002</v>
      </c>
      <c r="BN3948" s="281">
        <f>$AX$13</f>
        <v>1.3100000000000003</v>
      </c>
      <c r="BO3948" s="281">
        <f t="shared" si="195"/>
        <v>-2.4004799999999964</v>
      </c>
    </row>
    <row r="3949" spans="65:67" x14ac:dyDescent="0.25">
      <c r="BM3949" s="281">
        <f>$AZ$16+0.2*(seat_pitch)*($AY$16*n_SA+$AW$13&lt;pax_e)</f>
        <v>15.572000000000001</v>
      </c>
      <c r="BN3949" s="281">
        <f>$AX$13</f>
        <v>1.3100000000000003</v>
      </c>
      <c r="BO3949" s="281">
        <f t="shared" si="195"/>
        <v>-2.2384799999999974</v>
      </c>
    </row>
    <row r="3950" spans="65:67" x14ac:dyDescent="0.25">
      <c r="BM3950" s="281">
        <f>$AZ$16+0.2*(seat_pitch)*($AY$16*n_SA+$AW$13&lt;pax_e)</f>
        <v>15.572000000000001</v>
      </c>
      <c r="BN3950" s="281">
        <f>$AX$13+seat_w*($AY$16*n_SA+$AW$13&lt;pax_e)</f>
        <v>1.8400000000000003</v>
      </c>
      <c r="BO3950" s="281">
        <f t="shared" si="195"/>
        <v>-2.2384799999999974</v>
      </c>
    </row>
    <row r="3951" spans="65:67" x14ac:dyDescent="0.25">
      <c r="BM3951" s="281">
        <f>$AZ$16</f>
        <v>15.41</v>
      </c>
      <c r="BN3951" s="281">
        <f>$AX$13+seat_w*($AY$16*n_SA+$AW$13&lt;pax_e)</f>
        <v>1.8400000000000003</v>
      </c>
      <c r="BO3951" s="281">
        <f t="shared" si="195"/>
        <v>-2.4004799999999982</v>
      </c>
    </row>
    <row r="3952" spans="65:67" x14ac:dyDescent="0.25">
      <c r="BM3952" s="281">
        <f>$AZ$16+1*(seat_pitch)*($AY$16*n_SA+$AW$13&lt;pax_e)</f>
        <v>16.22</v>
      </c>
      <c r="BN3952" s="281">
        <f>$AX$13+seat_w*($AY$16*n_SA+$AW$13&lt;pax_e)</f>
        <v>1.8400000000000003</v>
      </c>
      <c r="BO3952" s="281">
        <f t="shared" si="195"/>
        <v>-1.5904799999999994</v>
      </c>
    </row>
    <row r="3953" spans="65:67" x14ac:dyDescent="0.25">
      <c r="BM3953" s="281">
        <f>$AZ$16+0.8*(seat_pitch)*($AY$16*n_SA+$AW$13&lt;pax_e)</f>
        <v>16.058</v>
      </c>
      <c r="BN3953" s="281">
        <f>$AX$13+seat_w*($AY$16*n_SA+$AW$13&lt;pax_e)</f>
        <v>1.8400000000000003</v>
      </c>
      <c r="BO3953" s="281">
        <f t="shared" si="195"/>
        <v>-1.7524799999999985</v>
      </c>
    </row>
    <row r="3954" spans="65:67" x14ac:dyDescent="0.25">
      <c r="BM3954" s="281">
        <f>$AZ$16+0.8*(seat_pitch)*($AY$16*n_SA+$AW$13&lt;pax_e)</f>
        <v>16.058</v>
      </c>
      <c r="BN3954" s="281">
        <f>$AX$13</f>
        <v>1.3100000000000003</v>
      </c>
      <c r="BO3954" s="281">
        <f t="shared" si="195"/>
        <v>-1.7524799999999985</v>
      </c>
    </row>
    <row r="3955" spans="65:67" x14ac:dyDescent="0.25">
      <c r="BM3955" s="281">
        <f>$AZ$16+0.2*(seat_pitch)*($AY$16*n_SA+$AW$13&lt;pax_e)</f>
        <v>15.572000000000001</v>
      </c>
      <c r="BN3955" s="281">
        <f>$AX$13</f>
        <v>1.3100000000000003</v>
      </c>
      <c r="BO3955" s="281">
        <f t="shared" si="195"/>
        <v>-2.2384799999999974</v>
      </c>
    </row>
    <row r="3956" spans="65:67" x14ac:dyDescent="0.25">
      <c r="BM3956" s="281">
        <f>$AZ$16+(seat_pitch)</f>
        <v>16.22</v>
      </c>
      <c r="BN3956" s="281">
        <f>$AX$13</f>
        <v>1.3100000000000003</v>
      </c>
      <c r="BO3956" s="281">
        <f t="shared" si="195"/>
        <v>-1.5904799999999994</v>
      </c>
    </row>
    <row r="3957" spans="65:67" x14ac:dyDescent="0.25">
      <c r="BM3957" s="281">
        <f>$AZ$17+0.2*(seat_pitch)*($AY$17*n_SA+$AW$13&lt;pax_e)</f>
        <v>16.381999999999998</v>
      </c>
      <c r="BN3957" s="281">
        <f>$AX$13</f>
        <v>1.3100000000000003</v>
      </c>
      <c r="BO3957" s="281">
        <f t="shared" si="195"/>
        <v>-1.4284800000000004</v>
      </c>
    </row>
    <row r="3958" spans="65:67" x14ac:dyDescent="0.25">
      <c r="BM3958" s="281">
        <f>$AZ$17+0.2*(seat_pitch)*($AY$17*n_SA+$AW$13&lt;pax_e)</f>
        <v>16.381999999999998</v>
      </c>
      <c r="BN3958" s="281">
        <f>$AX$13+seat_w*($AY$17*n_SA+$AW$13&lt;pax_e)</f>
        <v>1.8400000000000003</v>
      </c>
      <c r="BO3958" s="281">
        <f t="shared" si="195"/>
        <v>-1.4284800000000004</v>
      </c>
    </row>
    <row r="3959" spans="65:67" x14ac:dyDescent="0.25">
      <c r="BM3959" s="281">
        <f>$AZ$17</f>
        <v>16.22</v>
      </c>
      <c r="BN3959" s="281">
        <f>$AX$13+seat_w*($AY$17*n_SA+$AW$13&lt;pax_e)</f>
        <v>1.8400000000000003</v>
      </c>
      <c r="BO3959" s="281">
        <f t="shared" si="195"/>
        <v>-1.5904799999999994</v>
      </c>
    </row>
    <row r="3960" spans="65:67" x14ac:dyDescent="0.25">
      <c r="BM3960" s="281">
        <f>$AZ$17+1*(seat_pitch)*($AY$17*n_SA+$AW$13&lt;pax_e)</f>
        <v>17.029999999999998</v>
      </c>
      <c r="BN3960" s="281">
        <f>$AX$13+seat_w*($AY$17*n_SA+$AW$13&lt;pax_e)</f>
        <v>1.8400000000000003</v>
      </c>
      <c r="BO3960" s="281">
        <f t="shared" si="195"/>
        <v>-0.78048000000000073</v>
      </c>
    </row>
    <row r="3961" spans="65:67" x14ac:dyDescent="0.25">
      <c r="BM3961" s="281">
        <f>$AZ$17+0.8*(seat_pitch)*($AY$17*n_SA+$AW$13&lt;pax_e)</f>
        <v>16.867999999999999</v>
      </c>
      <c r="BN3961" s="281">
        <f>$AX$13+seat_w*($AY$17*n_SA+$AW$13&lt;pax_e)</f>
        <v>1.8400000000000003</v>
      </c>
      <c r="BO3961" s="281">
        <f t="shared" si="195"/>
        <v>-0.94247999999999976</v>
      </c>
    </row>
    <row r="3962" spans="65:67" x14ac:dyDescent="0.25">
      <c r="BM3962" s="281">
        <f>$AZ$17+0.8*(seat_pitch)*($AY$17*n_SA+$AW$13&lt;pax_e)</f>
        <v>16.867999999999999</v>
      </c>
      <c r="BN3962" s="281">
        <f>$AX$13</f>
        <v>1.3100000000000003</v>
      </c>
      <c r="BO3962" s="281">
        <f t="shared" si="195"/>
        <v>-0.94247999999999976</v>
      </c>
    </row>
    <row r="3963" spans="65:67" x14ac:dyDescent="0.25">
      <c r="BM3963" s="281">
        <f>$AZ$17+0.2*(seat_pitch)*($AY$17*n_SA+$AW$13&lt;pax_e)</f>
        <v>16.381999999999998</v>
      </c>
      <c r="BN3963" s="281">
        <f>$AX$13</f>
        <v>1.3100000000000003</v>
      </c>
      <c r="BO3963" s="281">
        <f t="shared" si="195"/>
        <v>-1.4284800000000004</v>
      </c>
    </row>
    <row r="3964" spans="65:67" x14ac:dyDescent="0.25">
      <c r="BM3964" s="281">
        <f>$AZ$17+(seat_pitch)</f>
        <v>17.029999999999998</v>
      </c>
      <c r="BN3964" s="281">
        <f>$AX$13</f>
        <v>1.3100000000000003</v>
      </c>
      <c r="BO3964" s="281">
        <f t="shared" si="195"/>
        <v>-0.78048000000000073</v>
      </c>
    </row>
    <row r="3965" spans="65:67" x14ac:dyDescent="0.25">
      <c r="BM3965" s="281">
        <f>$AZ$18+0.2*(seat_pitch)*($AY$18*n_SA+$AW$13&lt;pax_e)</f>
        <v>17.192</v>
      </c>
      <c r="BN3965" s="281">
        <f>$AX$13</f>
        <v>1.3100000000000003</v>
      </c>
      <c r="BO3965" s="281">
        <f t="shared" si="195"/>
        <v>-0.61847999999999814</v>
      </c>
    </row>
    <row r="3966" spans="65:67" x14ac:dyDescent="0.25">
      <c r="BM3966" s="281">
        <f>$AZ$18+0.2*(seat_pitch)*($AY$18*n_SA+$AW$13&lt;pax_e)</f>
        <v>17.192</v>
      </c>
      <c r="BN3966" s="281">
        <f>$AX$13+seat_w*($AY$18*n_SA+$AW$13&lt;pax_e)</f>
        <v>1.8400000000000003</v>
      </c>
      <c r="BO3966" s="281">
        <f t="shared" si="195"/>
        <v>-0.61847999999999814</v>
      </c>
    </row>
    <row r="3967" spans="65:67" x14ac:dyDescent="0.25">
      <c r="BM3967" s="281">
        <f>$AZ$18</f>
        <v>17.03</v>
      </c>
      <c r="BN3967" s="281">
        <f>$AX$13+seat_w*($AY$18*n_SA+$AW$13&lt;pax_e)</f>
        <v>1.8400000000000003</v>
      </c>
      <c r="BO3967" s="281">
        <f t="shared" si="195"/>
        <v>-0.78047999999999718</v>
      </c>
    </row>
    <row r="3968" spans="65:67" x14ac:dyDescent="0.25">
      <c r="BM3968" s="281">
        <f>$AZ$18+1*(seat_pitch)*($AY$18*n_SA+$AW$13&lt;pax_e)</f>
        <v>17.84</v>
      </c>
      <c r="BN3968" s="281">
        <f>$AX$13+seat_w*($AY$18*n_SA+$AW$13&lt;pax_e)</f>
        <v>1.8400000000000003</v>
      </c>
      <c r="BO3968" s="281">
        <f t="shared" si="195"/>
        <v>2.9520000000001545E-2</v>
      </c>
    </row>
    <row r="3969" spans="65:67" x14ac:dyDescent="0.25">
      <c r="BM3969" s="281">
        <f>$AZ$18+0.8*(seat_pitch)*($AY$18*n_SA+$AW$13&lt;pax_e)</f>
        <v>17.678000000000001</v>
      </c>
      <c r="BN3969" s="281">
        <f>$AX$13+seat_w*($AY$18*n_SA+$AW$13&lt;pax_e)</f>
        <v>1.8400000000000003</v>
      </c>
      <c r="BO3969" s="281">
        <f t="shared" si="195"/>
        <v>-0.13247999999999749</v>
      </c>
    </row>
    <row r="3970" spans="65:67" x14ac:dyDescent="0.25">
      <c r="BM3970" s="281">
        <f>$AZ$18+0.8*(seat_pitch)*($AY$18*n_SA+$AW$13&lt;pax_e)</f>
        <v>17.678000000000001</v>
      </c>
      <c r="BN3970" s="281">
        <f>$AX$13</f>
        <v>1.3100000000000003</v>
      </c>
      <c r="BO3970" s="281">
        <f t="shared" si="195"/>
        <v>-0.13247999999999749</v>
      </c>
    </row>
    <row r="3971" spans="65:67" x14ac:dyDescent="0.25">
      <c r="BM3971" s="281">
        <f>$AZ$18+0.2*(seat_pitch)*($AY$18*n_SA+$AW$13&lt;pax_e)</f>
        <v>17.192</v>
      </c>
      <c r="BN3971" s="281">
        <f>$AX$13</f>
        <v>1.3100000000000003</v>
      </c>
      <c r="BO3971" s="281">
        <f t="shared" si="195"/>
        <v>-0.61847999999999814</v>
      </c>
    </row>
    <row r="3972" spans="65:67" x14ac:dyDescent="0.25">
      <c r="BM3972" s="281">
        <f>$AZ$18+(seat_pitch)</f>
        <v>17.84</v>
      </c>
      <c r="BN3972" s="281">
        <f>$AX$13</f>
        <v>1.3100000000000003</v>
      </c>
      <c r="BO3972" s="281">
        <f t="shared" si="195"/>
        <v>2.9520000000001545E-2</v>
      </c>
    </row>
    <row r="3973" spans="65:67" x14ac:dyDescent="0.25">
      <c r="BM3973" s="281">
        <f>$AZ$19+0.2*(seat_pitch)*($AY$19*n_SA+$AW$13&lt;pax_e)</f>
        <v>18.001999999999999</v>
      </c>
      <c r="BN3973" s="281">
        <f>$AX$13</f>
        <v>1.3100000000000003</v>
      </c>
      <c r="BO3973" s="281">
        <f t="shared" ref="BO3973:BO4036" si="196">BM3973-L_fus/2</f>
        <v>0.19152000000000058</v>
      </c>
    </row>
    <row r="3974" spans="65:67" x14ac:dyDescent="0.25">
      <c r="BM3974" s="281">
        <f>$AZ$19+0.2*(seat_pitch)*($AY$19*n_SA+$AW$13&lt;pax_e)</f>
        <v>18.001999999999999</v>
      </c>
      <c r="BN3974" s="281">
        <f>$AX$13+seat_w*($AY$19*n_SA+$AW$13&lt;pax_e)</f>
        <v>1.8400000000000003</v>
      </c>
      <c r="BO3974" s="281">
        <f t="shared" si="196"/>
        <v>0.19152000000000058</v>
      </c>
    </row>
    <row r="3975" spans="65:67" x14ac:dyDescent="0.25">
      <c r="BM3975" s="281">
        <f>$AZ$19</f>
        <v>17.84</v>
      </c>
      <c r="BN3975" s="281">
        <f>$AX$13+seat_w*($AY$19*n_SA+$AW$13&lt;pax_e)</f>
        <v>1.8400000000000003</v>
      </c>
      <c r="BO3975" s="281">
        <f t="shared" si="196"/>
        <v>2.9520000000001545E-2</v>
      </c>
    </row>
    <row r="3976" spans="65:67" x14ac:dyDescent="0.25">
      <c r="BM3976" s="281">
        <f>$AZ$19+1*(seat_pitch)*($AY$19*n_SA+$AW$13&lt;pax_e)</f>
        <v>18.649999999999999</v>
      </c>
      <c r="BN3976" s="281">
        <f>$AX$13+seat_w*($AY$19*n_SA+$AW$13&lt;pax_e)</f>
        <v>1.8400000000000003</v>
      </c>
      <c r="BO3976" s="281">
        <f t="shared" si="196"/>
        <v>0.83952000000000027</v>
      </c>
    </row>
    <row r="3977" spans="65:67" x14ac:dyDescent="0.25">
      <c r="BM3977" s="281">
        <f>$AZ$19+0.8*(seat_pitch)*($AY$19*n_SA+$AW$13&lt;pax_e)</f>
        <v>18.488</v>
      </c>
      <c r="BN3977" s="281">
        <f>$AX$13+seat_w*($AY$19*n_SA+$AW$13&lt;pax_e)</f>
        <v>1.8400000000000003</v>
      </c>
      <c r="BO3977" s="281">
        <f t="shared" si="196"/>
        <v>0.67752000000000123</v>
      </c>
    </row>
    <row r="3978" spans="65:67" x14ac:dyDescent="0.25">
      <c r="BM3978" s="281">
        <f>$AZ$19+0.8*(seat_pitch)*($AY$19*n_SA+$AW$13&lt;pax_e)</f>
        <v>18.488</v>
      </c>
      <c r="BN3978" s="281">
        <f>$AX$13</f>
        <v>1.3100000000000003</v>
      </c>
      <c r="BO3978" s="281">
        <f t="shared" si="196"/>
        <v>0.67752000000000123</v>
      </c>
    </row>
    <row r="3979" spans="65:67" x14ac:dyDescent="0.25">
      <c r="BM3979" s="281">
        <f>$AZ$19+0.2*(seat_pitch)*($AY$19*n_SA+$AW$13&lt;pax_e)</f>
        <v>18.001999999999999</v>
      </c>
      <c r="BN3979" s="281">
        <f>$AX$13</f>
        <v>1.3100000000000003</v>
      </c>
      <c r="BO3979" s="281">
        <f t="shared" si="196"/>
        <v>0.19152000000000058</v>
      </c>
    </row>
    <row r="3980" spans="65:67" x14ac:dyDescent="0.25">
      <c r="BM3980" s="281">
        <f>$AZ$19+(seat_pitch)</f>
        <v>18.649999999999999</v>
      </c>
      <c r="BN3980" s="281">
        <f>$AX$13</f>
        <v>1.3100000000000003</v>
      </c>
      <c r="BO3980" s="281">
        <f t="shared" si="196"/>
        <v>0.83952000000000027</v>
      </c>
    </row>
    <row r="3981" spans="65:67" x14ac:dyDescent="0.25">
      <c r="BM3981" s="281">
        <f>$AZ$20+0.2*(seat_pitch)*($AY$20*n_SA+$AW$13&lt;pax_e)</f>
        <v>18.811999999999998</v>
      </c>
      <c r="BN3981" s="281">
        <f>$AX$13</f>
        <v>1.3100000000000003</v>
      </c>
      <c r="BO3981" s="281">
        <f t="shared" si="196"/>
        <v>1.0015199999999993</v>
      </c>
    </row>
    <row r="3982" spans="65:67" x14ac:dyDescent="0.25">
      <c r="BM3982" s="281">
        <f>$AZ$20+0.2*(seat_pitch)*($AY$20*n_SA+$AW$13&lt;pax_e)</f>
        <v>18.811999999999998</v>
      </c>
      <c r="BN3982" s="281">
        <f>$AX$13+seat_w*($AY$20*n_SA+$AW$13&lt;pax_e)</f>
        <v>1.8400000000000003</v>
      </c>
      <c r="BO3982" s="281">
        <f t="shared" si="196"/>
        <v>1.0015199999999993</v>
      </c>
    </row>
    <row r="3983" spans="65:67" x14ac:dyDescent="0.25">
      <c r="BM3983" s="281">
        <f>$AZ$20</f>
        <v>18.649999999999999</v>
      </c>
      <c r="BN3983" s="281">
        <f>$AX$13+seat_w*($AY$20*n_SA+$AW$13&lt;pax_e)</f>
        <v>1.8400000000000003</v>
      </c>
      <c r="BO3983" s="281">
        <f t="shared" si="196"/>
        <v>0.83952000000000027</v>
      </c>
    </row>
    <row r="3984" spans="65:67" x14ac:dyDescent="0.25">
      <c r="BM3984" s="281">
        <f>$AZ$20+1*(seat_pitch)*($AY$20*n_SA+$AW$13&lt;pax_e)</f>
        <v>19.459999999999997</v>
      </c>
      <c r="BN3984" s="281">
        <f>$AX$13+seat_w*($AY$20*n_SA+$AW$13&lt;pax_e)</f>
        <v>1.8400000000000003</v>
      </c>
      <c r="BO3984" s="281">
        <f t="shared" si="196"/>
        <v>1.649519999999999</v>
      </c>
    </row>
    <row r="3985" spans="65:67" x14ac:dyDescent="0.25">
      <c r="BM3985" s="281">
        <f>$AZ$20+0.8*(seat_pitch)*($AY$20*n_SA+$AW$13&lt;pax_e)</f>
        <v>19.297999999999998</v>
      </c>
      <c r="BN3985" s="281">
        <f>$AX$13+seat_w*($AY$20*n_SA+$AW$13&lt;pax_e)</f>
        <v>1.8400000000000003</v>
      </c>
      <c r="BO3985" s="281">
        <f t="shared" si="196"/>
        <v>1.48752</v>
      </c>
    </row>
    <row r="3986" spans="65:67" x14ac:dyDescent="0.25">
      <c r="BM3986" s="281">
        <f>$AZ$20+0.8*(seat_pitch)*($AY$20*n_SA+$AW$13&lt;pax_e)</f>
        <v>19.297999999999998</v>
      </c>
      <c r="BN3986" s="281">
        <f>$AX$13</f>
        <v>1.3100000000000003</v>
      </c>
      <c r="BO3986" s="281">
        <f t="shared" si="196"/>
        <v>1.48752</v>
      </c>
    </row>
    <row r="3987" spans="65:67" x14ac:dyDescent="0.25">
      <c r="BM3987" s="281">
        <f>$AZ$20+0.2*(seat_pitch)*($AY$20*n_SA+$AW$13&lt;pax_e)</f>
        <v>18.811999999999998</v>
      </c>
      <c r="BN3987" s="281">
        <f>$AX$13</f>
        <v>1.3100000000000003</v>
      </c>
      <c r="BO3987" s="281">
        <f t="shared" si="196"/>
        <v>1.0015199999999993</v>
      </c>
    </row>
    <row r="3988" spans="65:67" x14ac:dyDescent="0.25">
      <c r="BM3988" s="281">
        <f>$AZ$20+(seat_pitch)</f>
        <v>19.459999999999997</v>
      </c>
      <c r="BN3988" s="281">
        <f>$AX$13</f>
        <v>1.3100000000000003</v>
      </c>
      <c r="BO3988" s="281">
        <f t="shared" si="196"/>
        <v>1.649519999999999</v>
      </c>
    </row>
    <row r="3989" spans="65:67" x14ac:dyDescent="0.25">
      <c r="BM3989" s="281">
        <f>$AZ$21+0.2*(seat_pitch)*($AY$21*n_SA+$AW$13&lt;pax_e)</f>
        <v>19.622</v>
      </c>
      <c r="BN3989" s="281">
        <f>$AX$13</f>
        <v>1.3100000000000003</v>
      </c>
      <c r="BO3989" s="281">
        <f t="shared" si="196"/>
        <v>1.8115200000000016</v>
      </c>
    </row>
    <row r="3990" spans="65:67" x14ac:dyDescent="0.25">
      <c r="BM3990" s="281">
        <f>$AZ$21+0.2*(seat_pitch)*($AY$21*n_SA+$AW$13&lt;pax_e)</f>
        <v>19.622</v>
      </c>
      <c r="BN3990" s="281">
        <f>$AX$13+seat_w*($AY$21*n_SA+$AW$13&lt;pax_e)</f>
        <v>1.8400000000000003</v>
      </c>
      <c r="BO3990" s="281">
        <f t="shared" si="196"/>
        <v>1.8115200000000016</v>
      </c>
    </row>
    <row r="3991" spans="65:67" x14ac:dyDescent="0.25">
      <c r="BM3991" s="281">
        <f>$AZ$21</f>
        <v>19.46</v>
      </c>
      <c r="BN3991" s="281">
        <f>$AX$13+seat_w*($AY$21*n_SA+$AW$13&lt;pax_e)</f>
        <v>1.8400000000000003</v>
      </c>
      <c r="BO3991" s="281">
        <f t="shared" si="196"/>
        <v>1.6495200000000025</v>
      </c>
    </row>
    <row r="3992" spans="65:67" x14ac:dyDescent="0.25">
      <c r="BM3992" s="281">
        <f>$AZ$21+1*(seat_pitch)*($AY$21*n_SA+$AW$13&lt;pax_e)</f>
        <v>20.27</v>
      </c>
      <c r="BN3992" s="281">
        <f>$AX$13+seat_w*($AY$21*n_SA+$AW$13&lt;pax_e)</f>
        <v>1.8400000000000003</v>
      </c>
      <c r="BO3992" s="281">
        <f t="shared" si="196"/>
        <v>2.4595200000000013</v>
      </c>
    </row>
    <row r="3993" spans="65:67" x14ac:dyDescent="0.25">
      <c r="BM3993" s="281">
        <f>$AZ$21+0.8*(seat_pitch)*($AY$21*n_SA+$AW$13&lt;pax_e)</f>
        <v>20.108000000000001</v>
      </c>
      <c r="BN3993" s="281">
        <f>$AX$13+seat_w*($AY$21*n_SA+$AW$13&lt;pax_e)</f>
        <v>1.8400000000000003</v>
      </c>
      <c r="BO3993" s="281">
        <f t="shared" si="196"/>
        <v>2.2975200000000022</v>
      </c>
    </row>
    <row r="3994" spans="65:67" x14ac:dyDescent="0.25">
      <c r="BM3994" s="281">
        <f>$AZ$21+0.8*(seat_pitch)*($AY$21*n_SA+$AW$13&lt;pax_e)</f>
        <v>20.108000000000001</v>
      </c>
      <c r="BN3994" s="281">
        <f>$AX$13</f>
        <v>1.3100000000000003</v>
      </c>
      <c r="BO3994" s="281">
        <f t="shared" si="196"/>
        <v>2.2975200000000022</v>
      </c>
    </row>
    <row r="3995" spans="65:67" x14ac:dyDescent="0.25">
      <c r="BM3995" s="281">
        <f>$AZ$21+0.2*(seat_pitch)*($AY$21*n_SA+$AW$13&lt;pax_e)</f>
        <v>19.622</v>
      </c>
      <c r="BN3995" s="281">
        <f>$AX$13</f>
        <v>1.3100000000000003</v>
      </c>
      <c r="BO3995" s="281">
        <f t="shared" si="196"/>
        <v>1.8115200000000016</v>
      </c>
    </row>
    <row r="3996" spans="65:67" x14ac:dyDescent="0.25">
      <c r="BM3996" s="281">
        <f>$AZ$21+(seat_pitch)</f>
        <v>20.27</v>
      </c>
      <c r="BN3996" s="281">
        <f>$AX$13</f>
        <v>1.3100000000000003</v>
      </c>
      <c r="BO3996" s="281">
        <f t="shared" si="196"/>
        <v>2.4595200000000013</v>
      </c>
    </row>
    <row r="3997" spans="65:67" x14ac:dyDescent="0.25">
      <c r="BM3997" s="281">
        <f>$AZ$22+0.2*(seat_pitch)*($AY$22*n_SA+$AW$13&lt;pax_e)</f>
        <v>20.432000000000002</v>
      </c>
      <c r="BN3997" s="281">
        <f>$AX$13</f>
        <v>1.3100000000000003</v>
      </c>
      <c r="BO3997" s="281">
        <f t="shared" si="196"/>
        <v>2.6215200000000038</v>
      </c>
    </row>
    <row r="3998" spans="65:67" x14ac:dyDescent="0.25">
      <c r="BM3998" s="281">
        <f>$AZ$22+0.2*(seat_pitch)*($AY$22*n_SA+$AW$13&lt;pax_e)</f>
        <v>20.432000000000002</v>
      </c>
      <c r="BN3998" s="281">
        <f>$AX$13+seat_w*($AY$22*n_SA+$AW$13&lt;pax_e)</f>
        <v>1.8400000000000003</v>
      </c>
      <c r="BO3998" s="281">
        <f t="shared" si="196"/>
        <v>2.6215200000000038</v>
      </c>
    </row>
    <row r="3999" spans="65:67" x14ac:dyDescent="0.25">
      <c r="BM3999" s="281">
        <f>$AZ$22</f>
        <v>20.270000000000003</v>
      </c>
      <c r="BN3999" s="281">
        <f>$AX$13+seat_w*($AY$22*n_SA+$AW$13&lt;pax_e)</f>
        <v>1.8400000000000003</v>
      </c>
      <c r="BO3999" s="281">
        <f t="shared" si="196"/>
        <v>2.4595200000000048</v>
      </c>
    </row>
    <row r="4000" spans="65:67" x14ac:dyDescent="0.25">
      <c r="BM4000" s="281">
        <f>$AZ$22+1*(seat_pitch)*($AY$22*n_SA+$AW$13&lt;pax_e)</f>
        <v>21.080000000000002</v>
      </c>
      <c r="BN4000" s="281">
        <f>$AX$13+seat_w*($AY$22*n_SA+$AW$13&lt;pax_e)</f>
        <v>1.8400000000000003</v>
      </c>
      <c r="BO4000" s="281">
        <f t="shared" si="196"/>
        <v>3.2695200000000035</v>
      </c>
    </row>
    <row r="4001" spans="65:67" x14ac:dyDescent="0.25">
      <c r="BM4001" s="281">
        <f>$AZ$22+0.8*(seat_pitch)*($AY$22*n_SA+$AW$13&lt;pax_e)</f>
        <v>20.918000000000003</v>
      </c>
      <c r="BN4001" s="281">
        <f>$AX$13+seat_w*($AY$22*n_SA+$AW$13&lt;pax_e)</f>
        <v>1.8400000000000003</v>
      </c>
      <c r="BO4001" s="281">
        <f t="shared" si="196"/>
        <v>3.1075200000000045</v>
      </c>
    </row>
    <row r="4002" spans="65:67" x14ac:dyDescent="0.25">
      <c r="BM4002" s="281">
        <f>$AZ$22+0.8*(seat_pitch)*($AY$22*n_SA+$AW$13&lt;pax_e)</f>
        <v>20.918000000000003</v>
      </c>
      <c r="BN4002" s="281">
        <f>$AX$13</f>
        <v>1.3100000000000003</v>
      </c>
      <c r="BO4002" s="281">
        <f t="shared" si="196"/>
        <v>3.1075200000000045</v>
      </c>
    </row>
    <row r="4003" spans="65:67" x14ac:dyDescent="0.25">
      <c r="BM4003" s="281">
        <f>$AZ$22+0.2*(seat_pitch)*($AY$22*n_SA+$AW$13&lt;pax_e)</f>
        <v>20.432000000000002</v>
      </c>
      <c r="BN4003" s="281">
        <f>$AX$13</f>
        <v>1.3100000000000003</v>
      </c>
      <c r="BO4003" s="281">
        <f t="shared" si="196"/>
        <v>2.6215200000000038</v>
      </c>
    </row>
    <row r="4004" spans="65:67" x14ac:dyDescent="0.25">
      <c r="BM4004" s="281">
        <f>$AZ$22+(seat_pitch)</f>
        <v>21.080000000000002</v>
      </c>
      <c r="BN4004" s="281">
        <f>$AX$13</f>
        <v>1.3100000000000003</v>
      </c>
      <c r="BO4004" s="281">
        <f t="shared" si="196"/>
        <v>3.2695200000000035</v>
      </c>
    </row>
    <row r="4005" spans="65:67" x14ac:dyDescent="0.25">
      <c r="BM4005" s="281">
        <f>$AZ$23+0.2*(seat_pitch)*($AY$23*n_SA+$AW$13&lt;pax_e)</f>
        <v>21.242000000000001</v>
      </c>
      <c r="BN4005" s="281">
        <f>$AX$13</f>
        <v>1.3100000000000003</v>
      </c>
      <c r="BO4005" s="281">
        <f t="shared" si="196"/>
        <v>3.4315200000000026</v>
      </c>
    </row>
    <row r="4006" spans="65:67" x14ac:dyDescent="0.25">
      <c r="BM4006" s="281">
        <f>$AZ$23+0.2*(seat_pitch)*($AY$23*n_SA+$AW$13&lt;pax_e)</f>
        <v>21.242000000000001</v>
      </c>
      <c r="BN4006" s="281">
        <f>$AX$13+seat_w*($AY$23*n_SA+$AW$13&lt;pax_e)</f>
        <v>1.8400000000000003</v>
      </c>
      <c r="BO4006" s="281">
        <f t="shared" si="196"/>
        <v>3.4315200000000026</v>
      </c>
    </row>
    <row r="4007" spans="65:67" x14ac:dyDescent="0.25">
      <c r="BM4007" s="281">
        <f>$AZ$23</f>
        <v>21.080000000000002</v>
      </c>
      <c r="BN4007" s="281">
        <f>$AX$13+seat_w*($AY$23*n_SA+$AW$13&lt;pax_e)</f>
        <v>1.8400000000000003</v>
      </c>
      <c r="BO4007" s="281">
        <f t="shared" si="196"/>
        <v>3.2695200000000035</v>
      </c>
    </row>
    <row r="4008" spans="65:67" x14ac:dyDescent="0.25">
      <c r="BM4008" s="281">
        <f>$AZ$23+1*(seat_pitch)*($AY$23*n_SA+$AW$13&lt;pax_e)</f>
        <v>21.89</v>
      </c>
      <c r="BN4008" s="281">
        <f>$AX$13+seat_w*($AY$23*n_SA+$AW$13&lt;pax_e)</f>
        <v>1.8400000000000003</v>
      </c>
      <c r="BO4008" s="281">
        <f t="shared" si="196"/>
        <v>4.0795200000000023</v>
      </c>
    </row>
    <row r="4009" spans="65:67" x14ac:dyDescent="0.25">
      <c r="BM4009" s="281">
        <f>$AZ$23+0.8*(seat_pitch)*($AY$23*n_SA+$AW$13&lt;pax_e)</f>
        <v>21.728000000000002</v>
      </c>
      <c r="BN4009" s="281">
        <f>$AX$13+seat_w*($AY$23*n_SA+$AW$13&lt;pax_e)</f>
        <v>1.8400000000000003</v>
      </c>
      <c r="BO4009" s="281">
        <f t="shared" si="196"/>
        <v>3.9175200000000032</v>
      </c>
    </row>
    <row r="4010" spans="65:67" x14ac:dyDescent="0.25">
      <c r="BM4010" s="281">
        <f>$AZ$23+0.8*(seat_pitch)*($AY$23*n_SA+$AW$13&lt;pax_e)</f>
        <v>21.728000000000002</v>
      </c>
      <c r="BN4010" s="281">
        <f>$AX$13</f>
        <v>1.3100000000000003</v>
      </c>
      <c r="BO4010" s="281">
        <f t="shared" si="196"/>
        <v>3.9175200000000032</v>
      </c>
    </row>
    <row r="4011" spans="65:67" x14ac:dyDescent="0.25">
      <c r="BM4011" s="281">
        <f>$AZ$23+0.2*(seat_pitch)*($AY$23*n_SA+$AW$13&lt;pax_e)</f>
        <v>21.242000000000001</v>
      </c>
      <c r="BN4011" s="281">
        <f>$AX$13</f>
        <v>1.3100000000000003</v>
      </c>
      <c r="BO4011" s="281">
        <f t="shared" si="196"/>
        <v>3.4315200000000026</v>
      </c>
    </row>
    <row r="4012" spans="65:67" x14ac:dyDescent="0.25">
      <c r="BM4012" s="281">
        <f>$AZ$23+(seat_pitch)</f>
        <v>21.89</v>
      </c>
      <c r="BN4012" s="281">
        <f>$AX$13</f>
        <v>1.3100000000000003</v>
      </c>
      <c r="BO4012" s="281">
        <f t="shared" si="196"/>
        <v>4.0795200000000023</v>
      </c>
    </row>
    <row r="4013" spans="65:67" x14ac:dyDescent="0.25">
      <c r="BM4013" s="281">
        <f>$AZ$24+0.2*(seat_pitch)*($AY$24*n_SA+$AW$13&lt;pax_e)</f>
        <v>22.052</v>
      </c>
      <c r="BN4013" s="281">
        <f>$AX$13</f>
        <v>1.3100000000000003</v>
      </c>
      <c r="BO4013" s="281">
        <f t="shared" si="196"/>
        <v>4.2415200000000013</v>
      </c>
    </row>
    <row r="4014" spans="65:67" x14ac:dyDescent="0.25">
      <c r="BM4014" s="281">
        <f>$AZ$24+0.2*(seat_pitch)*($AY$24*n_SA+$AW$13&lt;pax_e)</f>
        <v>22.052</v>
      </c>
      <c r="BN4014" s="281">
        <f>$AX$13+seat_w*($AY$24*n_SA+$AW$13&lt;pax_e)</f>
        <v>1.8400000000000003</v>
      </c>
      <c r="BO4014" s="281">
        <f t="shared" si="196"/>
        <v>4.2415200000000013</v>
      </c>
    </row>
    <row r="4015" spans="65:67" x14ac:dyDescent="0.25">
      <c r="BM4015" s="281">
        <f>$AZ$24</f>
        <v>21.89</v>
      </c>
      <c r="BN4015" s="281">
        <f>$AX$13+seat_w*($AY$24*n_SA+$AW$13&lt;pax_e)</f>
        <v>1.8400000000000003</v>
      </c>
      <c r="BO4015" s="281">
        <f t="shared" si="196"/>
        <v>4.0795200000000023</v>
      </c>
    </row>
    <row r="4016" spans="65:67" x14ac:dyDescent="0.25">
      <c r="BM4016" s="281">
        <f>$AZ$24+1*(seat_pitch)*($AY$24*n_SA+$AW$13&lt;pax_e)</f>
        <v>22.7</v>
      </c>
      <c r="BN4016" s="281">
        <f>$AX$13+seat_w*($AY$24*n_SA+$AW$13&lt;pax_e)</f>
        <v>1.8400000000000003</v>
      </c>
      <c r="BO4016" s="281">
        <f t="shared" si="196"/>
        <v>4.889520000000001</v>
      </c>
    </row>
    <row r="4017" spans="65:67" x14ac:dyDescent="0.25">
      <c r="BM4017" s="281">
        <f>$AZ$24+0.8*(seat_pitch)*($AY$24*n_SA+$AW$13&lt;pax_e)</f>
        <v>22.538</v>
      </c>
      <c r="BN4017" s="281">
        <f>$AX$13+seat_w*($AY$24*n_SA+$AW$13&lt;pax_e)</f>
        <v>1.8400000000000003</v>
      </c>
      <c r="BO4017" s="281">
        <f t="shared" si="196"/>
        <v>4.7275200000000019</v>
      </c>
    </row>
    <row r="4018" spans="65:67" x14ac:dyDescent="0.25">
      <c r="BM4018" s="281">
        <f>$AZ$24+0.8*(seat_pitch)*($AY$24*n_SA+$AW$13&lt;pax_e)</f>
        <v>22.538</v>
      </c>
      <c r="BN4018" s="281">
        <f>$AX$13</f>
        <v>1.3100000000000003</v>
      </c>
      <c r="BO4018" s="281">
        <f t="shared" si="196"/>
        <v>4.7275200000000019</v>
      </c>
    </row>
    <row r="4019" spans="65:67" x14ac:dyDescent="0.25">
      <c r="BM4019" s="281">
        <f>$AZ$24+0.2*(seat_pitch)*($AY$24*n_SA+$AW$13&lt;pax_e)</f>
        <v>22.052</v>
      </c>
      <c r="BN4019" s="281">
        <f>$AX$13</f>
        <v>1.3100000000000003</v>
      </c>
      <c r="BO4019" s="281">
        <f t="shared" si="196"/>
        <v>4.2415200000000013</v>
      </c>
    </row>
    <row r="4020" spans="65:67" x14ac:dyDescent="0.25">
      <c r="BM4020" s="281">
        <f>$AZ$24+(seat_pitch)</f>
        <v>22.7</v>
      </c>
      <c r="BN4020" s="281">
        <f>$AX$13</f>
        <v>1.3100000000000003</v>
      </c>
      <c r="BO4020" s="281">
        <f t="shared" si="196"/>
        <v>4.889520000000001</v>
      </c>
    </row>
    <row r="4021" spans="65:67" x14ac:dyDescent="0.25">
      <c r="BM4021" s="281">
        <f>$AZ$25+0.2*(seat_pitch)*($AY$25*n_SA+$AW$13&lt;pax_e)</f>
        <v>22.862000000000002</v>
      </c>
      <c r="BN4021" s="281">
        <f>$AX$13</f>
        <v>1.3100000000000003</v>
      </c>
      <c r="BO4021" s="281">
        <f t="shared" si="196"/>
        <v>5.0515200000000036</v>
      </c>
    </row>
    <row r="4022" spans="65:67" x14ac:dyDescent="0.25">
      <c r="BM4022" s="281">
        <f>$AZ$25+0.2*(seat_pitch)*($AY$25*n_SA+$AW$13&lt;pax_e)</f>
        <v>22.862000000000002</v>
      </c>
      <c r="BN4022" s="281">
        <f>$AX$13+seat_w*($AY$25*n_SA+$AW$13&lt;pax_e)</f>
        <v>1.8400000000000003</v>
      </c>
      <c r="BO4022" s="281">
        <f t="shared" si="196"/>
        <v>5.0515200000000036</v>
      </c>
    </row>
    <row r="4023" spans="65:67" x14ac:dyDescent="0.25">
      <c r="BM4023" s="281">
        <f>$AZ$25</f>
        <v>22.700000000000003</v>
      </c>
      <c r="BN4023" s="281">
        <f>$AX$13+seat_w*($AY$25*n_SA+$AW$13&lt;pax_e)</f>
        <v>1.8400000000000003</v>
      </c>
      <c r="BO4023" s="281">
        <f t="shared" si="196"/>
        <v>4.8895200000000045</v>
      </c>
    </row>
    <row r="4024" spans="65:67" x14ac:dyDescent="0.25">
      <c r="BM4024" s="281">
        <f>$AZ$25+1*(seat_pitch)*($AY$25*n_SA+$AW$13&lt;pax_e)</f>
        <v>23.51</v>
      </c>
      <c r="BN4024" s="281">
        <f>$AX$13+seat_w*($AY$25*n_SA+$AW$13&lt;pax_e)</f>
        <v>1.8400000000000003</v>
      </c>
      <c r="BO4024" s="281">
        <f t="shared" si="196"/>
        <v>5.6995200000000033</v>
      </c>
    </row>
    <row r="4025" spans="65:67" x14ac:dyDescent="0.25">
      <c r="BM4025" s="281">
        <f>$AZ$25+0.8*(seat_pitch)*($AY$25*n_SA+$AW$13&lt;pax_e)</f>
        <v>23.348000000000003</v>
      </c>
      <c r="BN4025" s="281">
        <f>$AX$13+seat_w*($AY$25*n_SA+$AW$13&lt;pax_e)</f>
        <v>1.8400000000000003</v>
      </c>
      <c r="BO4025" s="281">
        <f t="shared" si="196"/>
        <v>5.5375200000000042</v>
      </c>
    </row>
    <row r="4026" spans="65:67" x14ac:dyDescent="0.25">
      <c r="BM4026" s="281">
        <f>$AZ$25+0.8*(seat_pitch)*($AY$25*n_SA+$AW$13&lt;pax_e)</f>
        <v>23.348000000000003</v>
      </c>
      <c r="BN4026" s="281">
        <f>$AX$13</f>
        <v>1.3100000000000003</v>
      </c>
      <c r="BO4026" s="281">
        <f t="shared" si="196"/>
        <v>5.5375200000000042</v>
      </c>
    </row>
    <row r="4027" spans="65:67" x14ac:dyDescent="0.25">
      <c r="BM4027" s="281">
        <f>$AZ$25+0.2*(seat_pitch)*($AY$25*n_SA+$AW$13&lt;pax_e)</f>
        <v>22.862000000000002</v>
      </c>
      <c r="BN4027" s="281">
        <f>$AX$13</f>
        <v>1.3100000000000003</v>
      </c>
      <c r="BO4027" s="281">
        <f t="shared" si="196"/>
        <v>5.0515200000000036</v>
      </c>
    </row>
    <row r="4028" spans="65:67" x14ac:dyDescent="0.25">
      <c r="BM4028" s="281">
        <f>$AZ$25+(seat_pitch)</f>
        <v>23.51</v>
      </c>
      <c r="BN4028" s="281">
        <f>$AX$13</f>
        <v>1.3100000000000003</v>
      </c>
      <c r="BO4028" s="281">
        <f t="shared" si="196"/>
        <v>5.6995200000000033</v>
      </c>
    </row>
    <row r="4029" spans="65:67" x14ac:dyDescent="0.25">
      <c r="BM4029" s="281">
        <f>$AZ$26+0.2*(seat_pitch)*($AY$26*n_SA+$AW$13&lt;pax_e)</f>
        <v>23.672000000000001</v>
      </c>
      <c r="BN4029" s="281">
        <f>$AX$13</f>
        <v>1.3100000000000003</v>
      </c>
      <c r="BO4029" s="281">
        <f t="shared" si="196"/>
        <v>5.8615200000000023</v>
      </c>
    </row>
    <row r="4030" spans="65:67" x14ac:dyDescent="0.25">
      <c r="BM4030" s="281">
        <f>$AZ$26+0.2*(seat_pitch)*($AY$26*n_SA+$AW$13&lt;pax_e)</f>
        <v>23.672000000000001</v>
      </c>
      <c r="BN4030" s="281">
        <f>$AX$13+seat_w*($AY$26*n_SA+$AW$13&lt;pax_e)</f>
        <v>1.8400000000000003</v>
      </c>
      <c r="BO4030" s="281">
        <f t="shared" si="196"/>
        <v>5.8615200000000023</v>
      </c>
    </row>
    <row r="4031" spans="65:67" x14ac:dyDescent="0.25">
      <c r="BM4031" s="281">
        <f>$AZ$26</f>
        <v>23.51</v>
      </c>
      <c r="BN4031" s="281">
        <f>$AX$13+seat_w*($AY$26*n_SA+$AW$13&lt;pax_e)</f>
        <v>1.8400000000000003</v>
      </c>
      <c r="BO4031" s="281">
        <f t="shared" si="196"/>
        <v>5.6995200000000033</v>
      </c>
    </row>
    <row r="4032" spans="65:67" x14ac:dyDescent="0.25">
      <c r="BM4032" s="281">
        <f>$AZ$26+1*(seat_pitch)*($AY$26*n_SA+$AW$13&lt;pax_e)</f>
        <v>24.32</v>
      </c>
      <c r="BN4032" s="281">
        <f>$AX$13+seat_w*($AY$26*n_SA+$AW$13&lt;pax_e)</f>
        <v>1.8400000000000003</v>
      </c>
      <c r="BO4032" s="281">
        <f t="shared" si="196"/>
        <v>6.509520000000002</v>
      </c>
    </row>
    <row r="4033" spans="65:67" x14ac:dyDescent="0.25">
      <c r="BM4033" s="281">
        <f>$AZ$26+0.8*(seat_pitch)*($AY$26*n_SA+$AW$13&lt;pax_e)</f>
        <v>24.158000000000001</v>
      </c>
      <c r="BN4033" s="281">
        <f>$AX$13+seat_w*($AY$26*n_SA+$AW$13&lt;pax_e)</f>
        <v>1.8400000000000003</v>
      </c>
      <c r="BO4033" s="281">
        <f t="shared" si="196"/>
        <v>6.3475200000000029</v>
      </c>
    </row>
    <row r="4034" spans="65:67" x14ac:dyDescent="0.25">
      <c r="BM4034" s="281">
        <f>$AZ$26+0.8*(seat_pitch)*($AY$26*n_SA+$AW$13&lt;pax_e)</f>
        <v>24.158000000000001</v>
      </c>
      <c r="BN4034" s="281">
        <f>$AX$13</f>
        <v>1.3100000000000003</v>
      </c>
      <c r="BO4034" s="281">
        <f t="shared" si="196"/>
        <v>6.3475200000000029</v>
      </c>
    </row>
    <row r="4035" spans="65:67" x14ac:dyDescent="0.25">
      <c r="BM4035" s="281">
        <f>$AZ$26+0.2*(seat_pitch)*($AY$26*n_SA+$AW$13&lt;pax_e)</f>
        <v>23.672000000000001</v>
      </c>
      <c r="BN4035" s="281">
        <f>$AX$13</f>
        <v>1.3100000000000003</v>
      </c>
      <c r="BO4035" s="281">
        <f t="shared" si="196"/>
        <v>5.8615200000000023</v>
      </c>
    </row>
    <row r="4036" spans="65:67" x14ac:dyDescent="0.25">
      <c r="BM4036" s="281">
        <f>$AZ$26+(seat_pitch)</f>
        <v>24.32</v>
      </c>
      <c r="BN4036" s="281">
        <f>$AX$13</f>
        <v>1.3100000000000003</v>
      </c>
      <c r="BO4036" s="281">
        <f t="shared" si="196"/>
        <v>6.509520000000002</v>
      </c>
    </row>
    <row r="4037" spans="65:67" x14ac:dyDescent="0.25">
      <c r="BM4037" s="281">
        <f>$AZ$27+0.2*(seat_pitch)*($AY$27*n_SA+$AW$13&lt;pax_e)</f>
        <v>24.481999999999999</v>
      </c>
      <c r="BN4037" s="281">
        <f>$AX$13</f>
        <v>1.3100000000000003</v>
      </c>
      <c r="BO4037" s="281">
        <f t="shared" ref="BO4037:BO4100" si="197">BM4037-L_fus/2</f>
        <v>6.671520000000001</v>
      </c>
    </row>
    <row r="4038" spans="65:67" x14ac:dyDescent="0.25">
      <c r="BM4038" s="281">
        <f>$AZ$27+0.2*(seat_pitch)*($AY$27*n_SA+$AW$13&lt;pax_e)</f>
        <v>24.481999999999999</v>
      </c>
      <c r="BN4038" s="281">
        <f>$AX$13+seat_w*($AY$27*n_SA+$AW$13&lt;pax_e)</f>
        <v>1.8400000000000003</v>
      </c>
      <c r="BO4038" s="281">
        <f t="shared" si="197"/>
        <v>6.671520000000001</v>
      </c>
    </row>
    <row r="4039" spans="65:67" x14ac:dyDescent="0.25">
      <c r="BM4039" s="281">
        <f>$AZ$27</f>
        <v>24.32</v>
      </c>
      <c r="BN4039" s="281">
        <f>$AX$13+seat_w*($AY$27*n_SA+$AW$13&lt;pax_e)</f>
        <v>1.8400000000000003</v>
      </c>
      <c r="BO4039" s="281">
        <f t="shared" si="197"/>
        <v>6.509520000000002</v>
      </c>
    </row>
    <row r="4040" spans="65:67" x14ac:dyDescent="0.25">
      <c r="BM4040" s="281">
        <f>$AZ$27+1*(seat_pitch)*($AY$27*n_SA+$AW$13&lt;pax_e)</f>
        <v>25.13</v>
      </c>
      <c r="BN4040" s="281">
        <f>$AX$13+seat_w*($AY$27*n_SA+$AW$13&lt;pax_e)</f>
        <v>1.8400000000000003</v>
      </c>
      <c r="BO4040" s="281">
        <f t="shared" si="197"/>
        <v>7.3195200000000007</v>
      </c>
    </row>
    <row r="4041" spans="65:67" x14ac:dyDescent="0.25">
      <c r="BM4041" s="281">
        <f>$AZ$27+0.8*(seat_pitch)*($AY$27*n_SA+$AW$13&lt;pax_e)</f>
        <v>24.968</v>
      </c>
      <c r="BN4041" s="281">
        <f>$AX$13+seat_w*($AY$27*n_SA+$AW$13&lt;pax_e)</f>
        <v>1.8400000000000003</v>
      </c>
      <c r="BO4041" s="281">
        <f t="shared" si="197"/>
        <v>7.1575200000000017</v>
      </c>
    </row>
    <row r="4042" spans="65:67" x14ac:dyDescent="0.25">
      <c r="BM4042" s="281">
        <f>$AZ$27+0.8*(seat_pitch)*($AY$27*n_SA+$AW$13&lt;pax_e)</f>
        <v>24.968</v>
      </c>
      <c r="BN4042" s="281">
        <f>$AX$13</f>
        <v>1.3100000000000003</v>
      </c>
      <c r="BO4042" s="281">
        <f t="shared" si="197"/>
        <v>7.1575200000000017</v>
      </c>
    </row>
    <row r="4043" spans="65:67" x14ac:dyDescent="0.25">
      <c r="BM4043" s="281">
        <f>$AZ$27+0.2*(seat_pitch)*($AY$27*n_SA+$AW$13&lt;pax_e)</f>
        <v>24.481999999999999</v>
      </c>
      <c r="BN4043" s="281">
        <f>$AX$13</f>
        <v>1.3100000000000003</v>
      </c>
      <c r="BO4043" s="281">
        <f t="shared" si="197"/>
        <v>6.671520000000001</v>
      </c>
    </row>
    <row r="4044" spans="65:67" x14ac:dyDescent="0.25">
      <c r="BM4044" s="281">
        <f>$AZ$27+(seat_pitch)</f>
        <v>25.13</v>
      </c>
      <c r="BN4044" s="281">
        <f>$AX$13</f>
        <v>1.3100000000000003</v>
      </c>
      <c r="BO4044" s="281">
        <f t="shared" si="197"/>
        <v>7.3195200000000007</v>
      </c>
    </row>
    <row r="4045" spans="65:67" x14ac:dyDescent="0.25">
      <c r="BM4045" s="281">
        <f>$AZ$28+0.2*(seat_pitch)*($AY$28*n_SA+$AW$13&lt;pax_e)</f>
        <v>25.292000000000002</v>
      </c>
      <c r="BN4045" s="281">
        <f>$AX$13</f>
        <v>1.3100000000000003</v>
      </c>
      <c r="BO4045" s="281">
        <f t="shared" si="197"/>
        <v>7.4815200000000033</v>
      </c>
    </row>
    <row r="4046" spans="65:67" x14ac:dyDescent="0.25">
      <c r="BM4046" s="281">
        <f>$AZ$28+0.2*(seat_pitch)*($AY$28*n_SA+$AW$13&lt;pax_e)</f>
        <v>25.292000000000002</v>
      </c>
      <c r="BN4046" s="281">
        <f>$AX$13+seat_w*($AY$28*n_SA+$AW$13&lt;pax_e)</f>
        <v>1.8400000000000003</v>
      </c>
      <c r="BO4046" s="281">
        <f t="shared" si="197"/>
        <v>7.4815200000000033</v>
      </c>
    </row>
    <row r="4047" spans="65:67" x14ac:dyDescent="0.25">
      <c r="BM4047" s="281">
        <f>$AZ$28</f>
        <v>25.130000000000003</v>
      </c>
      <c r="BN4047" s="281">
        <f>$AX$13+seat_w*($AY$28*n_SA+$AW$13&lt;pax_e)</f>
        <v>1.8400000000000003</v>
      </c>
      <c r="BO4047" s="281">
        <f t="shared" si="197"/>
        <v>7.3195200000000042</v>
      </c>
    </row>
    <row r="4048" spans="65:67" x14ac:dyDescent="0.25">
      <c r="BM4048" s="281">
        <f>$AZ$28+1*(seat_pitch)*($AY$28*n_SA+$AW$13&lt;pax_e)</f>
        <v>25.94</v>
      </c>
      <c r="BN4048" s="281">
        <f>$AX$13+seat_w*($AY$28*n_SA+$AW$13&lt;pax_e)</f>
        <v>1.8400000000000003</v>
      </c>
      <c r="BO4048" s="281">
        <f t="shared" si="197"/>
        <v>8.129520000000003</v>
      </c>
    </row>
    <row r="4049" spans="65:67" x14ac:dyDescent="0.25">
      <c r="BM4049" s="281">
        <f>$AZ$28+0.8*(seat_pitch)*($AY$28*n_SA+$AW$13&lt;pax_e)</f>
        <v>25.778000000000002</v>
      </c>
      <c r="BN4049" s="281">
        <f>$AX$13+seat_w*($AY$28*n_SA+$AW$13&lt;pax_e)</f>
        <v>1.8400000000000003</v>
      </c>
      <c r="BO4049" s="281">
        <f t="shared" si="197"/>
        <v>7.9675200000000039</v>
      </c>
    </row>
    <row r="4050" spans="65:67" x14ac:dyDescent="0.25">
      <c r="BM4050" s="281">
        <f>$AZ$28+0.8*(seat_pitch)*($AY$28*n_SA+$AW$13&lt;pax_e)</f>
        <v>25.778000000000002</v>
      </c>
      <c r="BN4050" s="281">
        <f>$AX$13</f>
        <v>1.3100000000000003</v>
      </c>
      <c r="BO4050" s="281">
        <f t="shared" si="197"/>
        <v>7.9675200000000039</v>
      </c>
    </row>
    <row r="4051" spans="65:67" x14ac:dyDescent="0.25">
      <c r="BM4051" s="281">
        <f>$AZ$28+0.2*(seat_pitch)*($AY$28*n_SA+$AW$13&lt;pax_e)</f>
        <v>25.292000000000002</v>
      </c>
      <c r="BN4051" s="281">
        <f>$AX$13</f>
        <v>1.3100000000000003</v>
      </c>
      <c r="BO4051" s="281">
        <f t="shared" si="197"/>
        <v>7.4815200000000033</v>
      </c>
    </row>
    <row r="4052" spans="65:67" x14ac:dyDescent="0.25">
      <c r="BM4052" s="281">
        <f>$AZ$28+(seat_pitch)</f>
        <v>25.94</v>
      </c>
      <c r="BN4052" s="281">
        <f>$AX$13</f>
        <v>1.3100000000000003</v>
      </c>
      <c r="BO4052" s="281">
        <f t="shared" si="197"/>
        <v>8.129520000000003</v>
      </c>
    </row>
    <row r="4053" spans="65:67" x14ac:dyDescent="0.25">
      <c r="BM4053" s="281">
        <f>$AZ$29+0.2*(seat_pitch)*($AY$29*n_SA+$AW$13&lt;pax_e)</f>
        <v>26.102</v>
      </c>
      <c r="BN4053" s="281">
        <f>$AX$13</f>
        <v>1.3100000000000003</v>
      </c>
      <c r="BO4053" s="281">
        <f t="shared" si="197"/>
        <v>8.291520000000002</v>
      </c>
    </row>
    <row r="4054" spans="65:67" x14ac:dyDescent="0.25">
      <c r="BM4054" s="281">
        <f>$AZ$29+0.2*(seat_pitch)*($AY$29*n_SA+$AW$13&lt;pax_e)</f>
        <v>26.102</v>
      </c>
      <c r="BN4054" s="281">
        <f>$AX$13+seat_w*($AY$29*n_SA+$AW$13&lt;pax_e)</f>
        <v>1.8400000000000003</v>
      </c>
      <c r="BO4054" s="281">
        <f t="shared" si="197"/>
        <v>8.291520000000002</v>
      </c>
    </row>
    <row r="4055" spans="65:67" x14ac:dyDescent="0.25">
      <c r="BM4055" s="281">
        <f>$AZ$29</f>
        <v>25.94</v>
      </c>
      <c r="BN4055" s="281">
        <f>$AX$13+seat_w*($AY$29*n_SA+$AW$13&lt;pax_e)</f>
        <v>1.8400000000000003</v>
      </c>
      <c r="BO4055" s="281">
        <f t="shared" si="197"/>
        <v>8.129520000000003</v>
      </c>
    </row>
    <row r="4056" spans="65:67" x14ac:dyDescent="0.25">
      <c r="BM4056" s="281">
        <f>$AZ$29+1*(seat_pitch)*($AY$29*n_SA+$AW$13&lt;pax_e)</f>
        <v>26.75</v>
      </c>
      <c r="BN4056" s="281">
        <f>$AX$13+seat_w*($AY$29*n_SA+$AW$13&lt;pax_e)</f>
        <v>1.8400000000000003</v>
      </c>
      <c r="BO4056" s="281">
        <f t="shared" si="197"/>
        <v>8.9395200000000017</v>
      </c>
    </row>
    <row r="4057" spans="65:67" x14ac:dyDescent="0.25">
      <c r="BM4057" s="281">
        <f>$AZ$29+0.8*(seat_pitch)*($AY$29*n_SA+$AW$13&lt;pax_e)</f>
        <v>26.588000000000001</v>
      </c>
      <c r="BN4057" s="281">
        <f>$AX$13+seat_w*($AY$29*n_SA+$AW$13&lt;pax_e)</f>
        <v>1.8400000000000003</v>
      </c>
      <c r="BO4057" s="281">
        <f t="shared" si="197"/>
        <v>8.7775200000000027</v>
      </c>
    </row>
    <row r="4058" spans="65:67" x14ac:dyDescent="0.25">
      <c r="BM4058" s="281">
        <f>$AZ$29+0.8*(seat_pitch)*($AY$29*n_SA+$AW$13&lt;pax_e)</f>
        <v>26.588000000000001</v>
      </c>
      <c r="BN4058" s="281">
        <f>$AX$13</f>
        <v>1.3100000000000003</v>
      </c>
      <c r="BO4058" s="281">
        <f t="shared" si="197"/>
        <v>8.7775200000000027</v>
      </c>
    </row>
    <row r="4059" spans="65:67" x14ac:dyDescent="0.25">
      <c r="BM4059" s="281">
        <f>$AZ$29+0.2*(seat_pitch)*($AY$29*n_SA+$AW$13&lt;pax_e)</f>
        <v>26.102</v>
      </c>
      <c r="BN4059" s="281">
        <f>$AX$13</f>
        <v>1.3100000000000003</v>
      </c>
      <c r="BO4059" s="281">
        <f t="shared" si="197"/>
        <v>8.291520000000002</v>
      </c>
    </row>
    <row r="4060" spans="65:67" x14ac:dyDescent="0.25">
      <c r="BM4060" s="281">
        <f>$AZ$29+(seat_pitch)</f>
        <v>26.75</v>
      </c>
      <c r="BN4060" s="281">
        <f>$AX$13</f>
        <v>1.3100000000000003</v>
      </c>
      <c r="BO4060" s="281">
        <f t="shared" si="197"/>
        <v>8.9395200000000017</v>
      </c>
    </row>
    <row r="4061" spans="65:67" x14ac:dyDescent="0.25">
      <c r="BM4061" s="281">
        <f>$AZ$30+0.2*(seat_pitch)*($AY$30*n_SA+$AW$13&lt;pax_e)</f>
        <v>26.102</v>
      </c>
      <c r="BN4061" s="281">
        <f>$AX$13</f>
        <v>1.3100000000000003</v>
      </c>
      <c r="BO4061" s="281">
        <f t="shared" si="197"/>
        <v>8.291520000000002</v>
      </c>
    </row>
    <row r="4062" spans="65:67" x14ac:dyDescent="0.25">
      <c r="BM4062" s="281">
        <f>$AZ$30+0.2*(seat_pitch)*($AY$30*n_SA+$AW$13&lt;pax_e)</f>
        <v>26.102</v>
      </c>
      <c r="BN4062" s="281">
        <f>$AX$13+seat_w*($AY$30*n_SA+$AW$13&lt;pax_e)</f>
        <v>1.8400000000000003</v>
      </c>
      <c r="BO4062" s="281">
        <f t="shared" si="197"/>
        <v>8.291520000000002</v>
      </c>
    </row>
    <row r="4063" spans="65:67" x14ac:dyDescent="0.25">
      <c r="BM4063" s="281">
        <f>$AZ$30</f>
        <v>25.94</v>
      </c>
      <c r="BN4063" s="281">
        <f>$AX$13+seat_w*($AY$30*n_SA+$AW$13&lt;pax_e)</f>
        <v>1.8400000000000003</v>
      </c>
      <c r="BO4063" s="281">
        <f t="shared" si="197"/>
        <v>8.129520000000003</v>
      </c>
    </row>
    <row r="4064" spans="65:67" x14ac:dyDescent="0.25">
      <c r="BM4064" s="281">
        <f>$AZ$30+1*(seat_pitch)*($AY$30*n_SA+$AW$13&lt;pax_e)</f>
        <v>26.75</v>
      </c>
      <c r="BN4064" s="281">
        <f>$AX$13+seat_w*($AY$30*n_SA+$AW$13&lt;pax_e)</f>
        <v>1.8400000000000003</v>
      </c>
      <c r="BO4064" s="281">
        <f t="shared" si="197"/>
        <v>8.9395200000000017</v>
      </c>
    </row>
    <row r="4065" spans="65:67" x14ac:dyDescent="0.25">
      <c r="BM4065" s="281">
        <f>$AZ$30+0.8*(seat_pitch)*($AY$30*n_SA+$AW$13&lt;pax_e)</f>
        <v>26.588000000000001</v>
      </c>
      <c r="BN4065" s="281">
        <f>$AX$13+seat_w*($AY$30*n_SA+$AW$13&lt;pax_e)</f>
        <v>1.8400000000000003</v>
      </c>
      <c r="BO4065" s="281">
        <f t="shared" si="197"/>
        <v>8.7775200000000027</v>
      </c>
    </row>
    <row r="4066" spans="65:67" x14ac:dyDescent="0.25">
      <c r="BM4066" s="281">
        <f>$AZ$30+0.8*(seat_pitch)*($AY$30*n_SA+$AW$13&lt;pax_e)</f>
        <v>26.588000000000001</v>
      </c>
      <c r="BN4066" s="281">
        <f>$AX$13</f>
        <v>1.3100000000000003</v>
      </c>
      <c r="BO4066" s="281">
        <f t="shared" si="197"/>
        <v>8.7775200000000027</v>
      </c>
    </row>
    <row r="4067" spans="65:67" x14ac:dyDescent="0.25">
      <c r="BM4067" s="281">
        <f>$AZ$30+0.2*(seat_pitch)*($AY$30*n_SA+$AW$13&lt;pax_e)</f>
        <v>26.102</v>
      </c>
      <c r="BN4067" s="281">
        <f>$AX$13</f>
        <v>1.3100000000000003</v>
      </c>
      <c r="BO4067" s="281">
        <f t="shared" si="197"/>
        <v>8.291520000000002</v>
      </c>
    </row>
    <row r="4068" spans="65:67" x14ac:dyDescent="0.25">
      <c r="BM4068" s="281">
        <f>$AZ$30+(seat_pitch)</f>
        <v>26.75</v>
      </c>
      <c r="BN4068" s="281">
        <f>$AX$13</f>
        <v>1.3100000000000003</v>
      </c>
      <c r="BO4068" s="281">
        <f t="shared" si="197"/>
        <v>8.9395200000000017</v>
      </c>
    </row>
    <row r="4069" spans="65:67" x14ac:dyDescent="0.25">
      <c r="BM4069" s="281">
        <f>$AZ$31+0.2*(seat_pitch)*($AY$31*n_SA+$AW$13&lt;pax_e)</f>
        <v>26.102</v>
      </c>
      <c r="BN4069" s="281">
        <f>$AX$13</f>
        <v>1.3100000000000003</v>
      </c>
      <c r="BO4069" s="281">
        <f t="shared" si="197"/>
        <v>8.291520000000002</v>
      </c>
    </row>
    <row r="4070" spans="65:67" x14ac:dyDescent="0.25">
      <c r="BM4070" s="281">
        <f>$AZ$31+0.2*(seat_pitch)*($AY$31*n_SA+$AW$13&lt;pax_e)</f>
        <v>26.102</v>
      </c>
      <c r="BN4070" s="281">
        <f>$AX$13+seat_w*($AY$31*n_SA+$AW$13&lt;pax_e)</f>
        <v>1.8400000000000003</v>
      </c>
      <c r="BO4070" s="281">
        <f t="shared" si="197"/>
        <v>8.291520000000002</v>
      </c>
    </row>
    <row r="4071" spans="65:67" x14ac:dyDescent="0.25">
      <c r="BM4071" s="281">
        <f>$AZ$31</f>
        <v>25.94</v>
      </c>
      <c r="BN4071" s="281">
        <f>$AX$13+seat_w*($AY$31*n_SA+$AW$13&lt;pax_e)</f>
        <v>1.8400000000000003</v>
      </c>
      <c r="BO4071" s="281">
        <f t="shared" si="197"/>
        <v>8.129520000000003</v>
      </c>
    </row>
    <row r="4072" spans="65:67" x14ac:dyDescent="0.25">
      <c r="BM4072" s="281">
        <f>$AZ$31+1*(seat_pitch)*($AY$31*n_SA+$AW$13&lt;pax_e)</f>
        <v>26.75</v>
      </c>
      <c r="BN4072" s="281">
        <f>$AX$13+seat_w*($AY$31*n_SA+$AW$13&lt;pax_e)</f>
        <v>1.8400000000000003</v>
      </c>
      <c r="BO4072" s="281">
        <f t="shared" si="197"/>
        <v>8.9395200000000017</v>
      </c>
    </row>
    <row r="4073" spans="65:67" x14ac:dyDescent="0.25">
      <c r="BM4073" s="281">
        <f>$AZ$31+0.8*(seat_pitch)*($AY$31*n_SA+$AW$13&lt;pax_e)</f>
        <v>26.588000000000001</v>
      </c>
      <c r="BN4073" s="281">
        <f>$AX$13+seat_w*($AY$31*n_SA+$AW$13&lt;pax_e)</f>
        <v>1.8400000000000003</v>
      </c>
      <c r="BO4073" s="281">
        <f t="shared" si="197"/>
        <v>8.7775200000000027</v>
      </c>
    </row>
    <row r="4074" spans="65:67" x14ac:dyDescent="0.25">
      <c r="BM4074" s="281">
        <f>$AZ$31+0.8*(seat_pitch)*($AY$31*n_SA+$AW$13&lt;pax_e)</f>
        <v>26.588000000000001</v>
      </c>
      <c r="BN4074" s="281">
        <f>$AX$13</f>
        <v>1.3100000000000003</v>
      </c>
      <c r="BO4074" s="281">
        <f t="shared" si="197"/>
        <v>8.7775200000000027</v>
      </c>
    </row>
    <row r="4075" spans="65:67" x14ac:dyDescent="0.25">
      <c r="BM4075" s="281">
        <f>$AZ$31+0.2*(seat_pitch)*($AY$31*n_SA+$AW$13&lt;pax_e)</f>
        <v>26.102</v>
      </c>
      <c r="BN4075" s="281">
        <f>$AX$13</f>
        <v>1.3100000000000003</v>
      </c>
      <c r="BO4075" s="281">
        <f t="shared" si="197"/>
        <v>8.291520000000002</v>
      </c>
    </row>
    <row r="4076" spans="65:67" x14ac:dyDescent="0.25">
      <c r="BM4076" s="281">
        <f>$AZ$31+(seat_pitch)</f>
        <v>26.75</v>
      </c>
      <c r="BN4076" s="281">
        <f>$AX$13</f>
        <v>1.3100000000000003</v>
      </c>
      <c r="BO4076" s="281">
        <f t="shared" si="197"/>
        <v>8.9395200000000017</v>
      </c>
    </row>
    <row r="4077" spans="65:67" x14ac:dyDescent="0.25">
      <c r="BM4077" s="281">
        <f>$AZ$32+0.2*(seat_pitch)*($AY$32*n_SA+$AW$13&lt;pax_e)</f>
        <v>26.102</v>
      </c>
      <c r="BN4077" s="281">
        <f>$AX$13</f>
        <v>1.3100000000000003</v>
      </c>
      <c r="BO4077" s="281">
        <f t="shared" si="197"/>
        <v>8.291520000000002</v>
      </c>
    </row>
    <row r="4078" spans="65:67" x14ac:dyDescent="0.25">
      <c r="BM4078" s="281">
        <f>$AZ$32+0.2*(seat_pitch)*($AY$32*n_SA+$AW$13&lt;pax_e)</f>
        <v>26.102</v>
      </c>
      <c r="BN4078" s="281">
        <f>$AX$13+seat_w*($AY$32*n_SA+$AW$13&lt;pax_e)</f>
        <v>1.8400000000000003</v>
      </c>
      <c r="BO4078" s="281">
        <f t="shared" si="197"/>
        <v>8.291520000000002</v>
      </c>
    </row>
    <row r="4079" spans="65:67" x14ac:dyDescent="0.25">
      <c r="BM4079" s="281">
        <f>$AZ$32</f>
        <v>25.94</v>
      </c>
      <c r="BN4079" s="281">
        <f>$AX$13+seat_w*($AY$32*n_SA+$AW$13&lt;pax_e)</f>
        <v>1.8400000000000003</v>
      </c>
      <c r="BO4079" s="281">
        <f t="shared" si="197"/>
        <v>8.129520000000003</v>
      </c>
    </row>
    <row r="4080" spans="65:67" x14ac:dyDescent="0.25">
      <c r="BM4080" s="281">
        <f>$AZ$32+1*(seat_pitch)*($AY$32*n_SA+$AW$13&lt;pax_e)</f>
        <v>26.75</v>
      </c>
      <c r="BN4080" s="281">
        <f>$AX$13+seat_w*($AY$32*n_SA+$AW$13&lt;pax_e)</f>
        <v>1.8400000000000003</v>
      </c>
      <c r="BO4080" s="281">
        <f t="shared" si="197"/>
        <v>8.9395200000000017</v>
      </c>
    </row>
    <row r="4081" spans="65:67" x14ac:dyDescent="0.25">
      <c r="BM4081" s="281">
        <f>$AZ$32+0.8*(seat_pitch)*($AY$32*n_SA+$AW$13&lt;pax_e)</f>
        <v>26.588000000000001</v>
      </c>
      <c r="BN4081" s="281">
        <f>$AX$13+seat_w*($AY$32*n_SA+$AW$13&lt;pax_e)</f>
        <v>1.8400000000000003</v>
      </c>
      <c r="BO4081" s="281">
        <f t="shared" si="197"/>
        <v>8.7775200000000027</v>
      </c>
    </row>
    <row r="4082" spans="65:67" x14ac:dyDescent="0.25">
      <c r="BM4082" s="281">
        <f>$AZ$32+0.8*(seat_pitch)*($AY$32*n_SA+$AW$13&lt;pax_e)</f>
        <v>26.588000000000001</v>
      </c>
      <c r="BN4082" s="281">
        <f>$AX$13</f>
        <v>1.3100000000000003</v>
      </c>
      <c r="BO4082" s="281">
        <f t="shared" si="197"/>
        <v>8.7775200000000027</v>
      </c>
    </row>
    <row r="4083" spans="65:67" x14ac:dyDescent="0.25">
      <c r="BM4083" s="281">
        <f>$AZ$32+0.2*(seat_pitch)*($AY$32*n_SA+$AW$13&lt;pax_e)</f>
        <v>26.102</v>
      </c>
      <c r="BN4083" s="281">
        <f>$AX$13</f>
        <v>1.3100000000000003</v>
      </c>
      <c r="BO4083" s="281">
        <f t="shared" si="197"/>
        <v>8.291520000000002</v>
      </c>
    </row>
    <row r="4084" spans="65:67" x14ac:dyDescent="0.25">
      <c r="BM4084" s="281">
        <f>$AZ$32+(seat_pitch)</f>
        <v>26.75</v>
      </c>
      <c r="BN4084" s="281">
        <f>$AX$13</f>
        <v>1.3100000000000003</v>
      </c>
      <c r="BO4084" s="281">
        <f t="shared" si="197"/>
        <v>8.9395200000000017</v>
      </c>
    </row>
    <row r="4085" spans="65:67" x14ac:dyDescent="0.25">
      <c r="BM4085" s="281">
        <f>$AZ$33+0.2*(seat_pitch)*($AY$33*n_SA+$AW$13&lt;pax_e)</f>
        <v>26.102</v>
      </c>
      <c r="BN4085" s="281">
        <f>$AX$13</f>
        <v>1.3100000000000003</v>
      </c>
      <c r="BO4085" s="281">
        <f t="shared" si="197"/>
        <v>8.291520000000002</v>
      </c>
    </row>
    <row r="4086" spans="65:67" x14ac:dyDescent="0.25">
      <c r="BM4086" s="281">
        <f>$AZ$33+0.2*(seat_pitch)*($AY$33*n_SA+$AW$13&lt;pax_e)</f>
        <v>26.102</v>
      </c>
      <c r="BN4086" s="281">
        <f>$AX$13+seat_w*($AY$33*n_SA+$AW$13&lt;pax_e)</f>
        <v>1.8400000000000003</v>
      </c>
      <c r="BO4086" s="281">
        <f t="shared" si="197"/>
        <v>8.291520000000002</v>
      </c>
    </row>
    <row r="4087" spans="65:67" x14ac:dyDescent="0.25">
      <c r="BM4087" s="281">
        <f>$AZ$33</f>
        <v>25.94</v>
      </c>
      <c r="BN4087" s="281">
        <f>$AX$13+seat_w*($AY$33*n_SA+$AW$13&lt;pax_e)</f>
        <v>1.8400000000000003</v>
      </c>
      <c r="BO4087" s="281">
        <f t="shared" si="197"/>
        <v>8.129520000000003</v>
      </c>
    </row>
    <row r="4088" spans="65:67" x14ac:dyDescent="0.25">
      <c r="BM4088" s="281">
        <f>$AZ$33+1*(seat_pitch)*($AY$33*n_SA+$AW$13&lt;pax_e)</f>
        <v>26.75</v>
      </c>
      <c r="BN4088" s="281">
        <f>$AX$13+seat_w*($AY$33*n_SA+$AW$13&lt;pax_e)</f>
        <v>1.8400000000000003</v>
      </c>
      <c r="BO4088" s="281">
        <f t="shared" si="197"/>
        <v>8.9395200000000017</v>
      </c>
    </row>
    <row r="4089" spans="65:67" x14ac:dyDescent="0.25">
      <c r="BM4089" s="281">
        <f>$AZ$33+0.8*(seat_pitch)*($AY$33*n_SA+$AW$13&lt;pax_e)</f>
        <v>26.588000000000001</v>
      </c>
      <c r="BN4089" s="281">
        <f>$AX$13+seat_w*($AY$33*n_SA+$AW$13&lt;pax_e)</f>
        <v>1.8400000000000003</v>
      </c>
      <c r="BO4089" s="281">
        <f t="shared" si="197"/>
        <v>8.7775200000000027</v>
      </c>
    </row>
    <row r="4090" spans="65:67" x14ac:dyDescent="0.25">
      <c r="BM4090" s="281">
        <f>$AZ$33+0.8*(seat_pitch)*($AY$33*n_SA+$AW$13&lt;pax_e)</f>
        <v>26.588000000000001</v>
      </c>
      <c r="BN4090" s="281">
        <f>$AX$13</f>
        <v>1.3100000000000003</v>
      </c>
      <c r="BO4090" s="281">
        <f t="shared" si="197"/>
        <v>8.7775200000000027</v>
      </c>
    </row>
    <row r="4091" spans="65:67" x14ac:dyDescent="0.25">
      <c r="BM4091" s="281">
        <f>$AZ$33+0.2*(seat_pitch)*($AY$33*n_SA+$AW$13&lt;pax_e)</f>
        <v>26.102</v>
      </c>
      <c r="BN4091" s="281">
        <f>$AX$13</f>
        <v>1.3100000000000003</v>
      </c>
      <c r="BO4091" s="281">
        <f t="shared" si="197"/>
        <v>8.291520000000002</v>
      </c>
    </row>
    <row r="4092" spans="65:67" x14ac:dyDescent="0.25">
      <c r="BM4092" s="281">
        <f>$AZ$33+(seat_pitch)</f>
        <v>26.75</v>
      </c>
      <c r="BN4092" s="281">
        <f>$AX$13</f>
        <v>1.3100000000000003</v>
      </c>
      <c r="BO4092" s="281">
        <f t="shared" si="197"/>
        <v>8.9395200000000017</v>
      </c>
    </row>
    <row r="4093" spans="65:67" x14ac:dyDescent="0.25">
      <c r="BM4093" s="281">
        <f>$AZ$34+0.2*(seat_pitch)*($AY$34*n_SA+$AW$13&lt;pax_e)</f>
        <v>26.102</v>
      </c>
      <c r="BN4093" s="281">
        <f>$AX$13</f>
        <v>1.3100000000000003</v>
      </c>
      <c r="BO4093" s="281">
        <f t="shared" si="197"/>
        <v>8.291520000000002</v>
      </c>
    </row>
    <row r="4094" spans="65:67" x14ac:dyDescent="0.25">
      <c r="BM4094" s="281">
        <f>$AZ$34+0.2*(seat_pitch)*($AY$34*n_SA+$AW$13&lt;pax_e)</f>
        <v>26.102</v>
      </c>
      <c r="BN4094" s="281">
        <f>$AX$13+seat_w*($AY$34*n_SA+$AW$13&lt;pax_e)</f>
        <v>1.8400000000000003</v>
      </c>
      <c r="BO4094" s="281">
        <f t="shared" si="197"/>
        <v>8.291520000000002</v>
      </c>
    </row>
    <row r="4095" spans="65:67" x14ac:dyDescent="0.25">
      <c r="BM4095" s="281">
        <f>$AZ$34</f>
        <v>25.94</v>
      </c>
      <c r="BN4095" s="281">
        <f>$AX$13+seat_w*($AY$34*n_SA+$AW$13&lt;pax_e)</f>
        <v>1.8400000000000003</v>
      </c>
      <c r="BO4095" s="281">
        <f t="shared" si="197"/>
        <v>8.129520000000003</v>
      </c>
    </row>
    <row r="4096" spans="65:67" x14ac:dyDescent="0.25">
      <c r="BM4096" s="281">
        <f>$AZ$34+1*(seat_pitch)*($AY$34*n_SA+$AW$13&lt;pax_e)</f>
        <v>26.75</v>
      </c>
      <c r="BN4096" s="281">
        <f>$AX$13+seat_w*($AY$34*n_SA+$AW$13&lt;pax_e)</f>
        <v>1.8400000000000003</v>
      </c>
      <c r="BO4096" s="281">
        <f t="shared" si="197"/>
        <v>8.9395200000000017</v>
      </c>
    </row>
    <row r="4097" spans="65:67" x14ac:dyDescent="0.25">
      <c r="BM4097" s="281">
        <f>$AZ$34+0.8*(seat_pitch)*($AY$34*n_SA+$AW$13&lt;pax_e)</f>
        <v>26.588000000000001</v>
      </c>
      <c r="BN4097" s="281">
        <f>$AX$13+seat_w*($AY$34*n_SA+$AW$13&lt;pax_e)</f>
        <v>1.8400000000000003</v>
      </c>
      <c r="BO4097" s="281">
        <f t="shared" si="197"/>
        <v>8.7775200000000027</v>
      </c>
    </row>
    <row r="4098" spans="65:67" x14ac:dyDescent="0.25">
      <c r="BM4098" s="281">
        <f>$AZ$34+0.8*(seat_pitch)*($AY$34*n_SA+$AW$13&lt;pax_e)</f>
        <v>26.588000000000001</v>
      </c>
      <c r="BN4098" s="281">
        <f>$AX$13</f>
        <v>1.3100000000000003</v>
      </c>
      <c r="BO4098" s="281">
        <f t="shared" si="197"/>
        <v>8.7775200000000027</v>
      </c>
    </row>
    <row r="4099" spans="65:67" x14ac:dyDescent="0.25">
      <c r="BM4099" s="281">
        <f>$AZ$34+0.2*(seat_pitch)*($AY$34*n_SA+$AW$13&lt;pax_e)</f>
        <v>26.102</v>
      </c>
      <c r="BN4099" s="281">
        <f>$AX$13</f>
        <v>1.3100000000000003</v>
      </c>
      <c r="BO4099" s="281">
        <f t="shared" si="197"/>
        <v>8.291520000000002</v>
      </c>
    </row>
    <row r="4100" spans="65:67" x14ac:dyDescent="0.25">
      <c r="BM4100" s="281">
        <f>$AZ$34+(seat_pitch)</f>
        <v>26.75</v>
      </c>
      <c r="BN4100" s="281">
        <f>$AX$13</f>
        <v>1.3100000000000003</v>
      </c>
      <c r="BO4100" s="281">
        <f t="shared" si="197"/>
        <v>8.9395200000000017</v>
      </c>
    </row>
    <row r="4101" spans="65:67" x14ac:dyDescent="0.25">
      <c r="BM4101" s="281">
        <f>$AZ$35+0.2*(seat_pitch)*($AY$35*n_SA+$AW$13&lt;pax_e)</f>
        <v>26.102</v>
      </c>
      <c r="BN4101" s="281">
        <f>$AX$13</f>
        <v>1.3100000000000003</v>
      </c>
      <c r="BO4101" s="281">
        <f t="shared" ref="BO4101:BO4164" si="198">BM4101-L_fus/2</f>
        <v>8.291520000000002</v>
      </c>
    </row>
    <row r="4102" spans="65:67" x14ac:dyDescent="0.25">
      <c r="BM4102" s="281">
        <f>$AZ$35+0.2*(seat_pitch)*($AY$35*n_SA+$AW$13&lt;pax_e)</f>
        <v>26.102</v>
      </c>
      <c r="BN4102" s="281">
        <f>$AX$13+seat_w*($AY$35*n_SA+$AW$13&lt;pax_e)</f>
        <v>1.8400000000000003</v>
      </c>
      <c r="BO4102" s="281">
        <f t="shared" si="198"/>
        <v>8.291520000000002</v>
      </c>
    </row>
    <row r="4103" spans="65:67" x14ac:dyDescent="0.25">
      <c r="BM4103" s="281">
        <f>$AZ$35</f>
        <v>25.94</v>
      </c>
      <c r="BN4103" s="281">
        <f>$AX$13+seat_w*($AY$35*n_SA+$AW$13&lt;pax_e)</f>
        <v>1.8400000000000003</v>
      </c>
      <c r="BO4103" s="281">
        <f t="shared" si="198"/>
        <v>8.129520000000003</v>
      </c>
    </row>
    <row r="4104" spans="65:67" x14ac:dyDescent="0.25">
      <c r="BM4104" s="281">
        <f>$AZ$35+1*(seat_pitch)*($AY$35*n_SA+$AW$13&lt;pax_e)</f>
        <v>26.75</v>
      </c>
      <c r="BN4104" s="281">
        <f>$AX$13+seat_w*($AY$35*n_SA+$AW$13&lt;pax_e)</f>
        <v>1.8400000000000003</v>
      </c>
      <c r="BO4104" s="281">
        <f t="shared" si="198"/>
        <v>8.9395200000000017</v>
      </c>
    </row>
    <row r="4105" spans="65:67" x14ac:dyDescent="0.25">
      <c r="BM4105" s="281">
        <f>$AZ$35+0.8*(seat_pitch)*($AY$35*n_SA+$AW$13&lt;pax_e)</f>
        <v>26.588000000000001</v>
      </c>
      <c r="BN4105" s="281">
        <f>$AX$13+seat_w*($AY$35*n_SA+$AW$13&lt;pax_e)</f>
        <v>1.8400000000000003</v>
      </c>
      <c r="BO4105" s="281">
        <f t="shared" si="198"/>
        <v>8.7775200000000027</v>
      </c>
    </row>
    <row r="4106" spans="65:67" x14ac:dyDescent="0.25">
      <c r="BM4106" s="281">
        <f>$AZ$35+0.8*(seat_pitch)*($AY$35*n_SA+$AW$13&lt;pax_e)</f>
        <v>26.588000000000001</v>
      </c>
      <c r="BN4106" s="281">
        <f>$AX$13</f>
        <v>1.3100000000000003</v>
      </c>
      <c r="BO4106" s="281">
        <f t="shared" si="198"/>
        <v>8.7775200000000027</v>
      </c>
    </row>
    <row r="4107" spans="65:67" x14ac:dyDescent="0.25">
      <c r="BM4107" s="281">
        <f>$AZ$35+0.2*(seat_pitch)*($AY$35*n_SA+$AW$13&lt;pax_e)</f>
        <v>26.102</v>
      </c>
      <c r="BN4107" s="281">
        <f>$AX$13</f>
        <v>1.3100000000000003</v>
      </c>
      <c r="BO4107" s="281">
        <f t="shared" si="198"/>
        <v>8.291520000000002</v>
      </c>
    </row>
    <row r="4108" spans="65:67" x14ac:dyDescent="0.25">
      <c r="BM4108" s="281">
        <f>$AZ$35+(seat_pitch)</f>
        <v>26.75</v>
      </c>
      <c r="BN4108" s="281">
        <f>$AX$13</f>
        <v>1.3100000000000003</v>
      </c>
      <c r="BO4108" s="281">
        <f t="shared" si="198"/>
        <v>8.9395200000000017</v>
      </c>
    </row>
    <row r="4109" spans="65:67" x14ac:dyDescent="0.25">
      <c r="BM4109" s="281">
        <f>$AZ$36+0.2*(seat_pitch)*($AY$36*n_SA+$AW$13&lt;pax_e)</f>
        <v>26.102</v>
      </c>
      <c r="BN4109" s="281">
        <f>$AX$13</f>
        <v>1.3100000000000003</v>
      </c>
      <c r="BO4109" s="281">
        <f t="shared" si="198"/>
        <v>8.291520000000002</v>
      </c>
    </row>
    <row r="4110" spans="65:67" x14ac:dyDescent="0.25">
      <c r="BM4110" s="281">
        <f>$AZ$36+0.2*(seat_pitch)*($AY$36*n_SA+$AW$13&lt;pax_e)</f>
        <v>26.102</v>
      </c>
      <c r="BN4110" s="281">
        <f>$AX$13+seat_w*($AY$36*n_SA+$AW$13&lt;pax_e)</f>
        <v>1.8400000000000003</v>
      </c>
      <c r="BO4110" s="281">
        <f t="shared" si="198"/>
        <v>8.291520000000002</v>
      </c>
    </row>
    <row r="4111" spans="65:67" x14ac:dyDescent="0.25">
      <c r="BM4111" s="281">
        <f>$AZ$36</f>
        <v>25.94</v>
      </c>
      <c r="BN4111" s="281">
        <f>$AX$13+seat_w*($AY$36*n_SA+$AW$13&lt;pax_e)</f>
        <v>1.8400000000000003</v>
      </c>
      <c r="BO4111" s="281">
        <f t="shared" si="198"/>
        <v>8.129520000000003</v>
      </c>
    </row>
    <row r="4112" spans="65:67" x14ac:dyDescent="0.25">
      <c r="BM4112" s="281">
        <f>$AZ$36+1*(seat_pitch)*($AY$36*n_SA+$AW$13&lt;pax_e)</f>
        <v>26.75</v>
      </c>
      <c r="BN4112" s="281">
        <f>$AX$13+seat_w*($AY$36*n_SA+$AW$13&lt;pax_e)</f>
        <v>1.8400000000000003</v>
      </c>
      <c r="BO4112" s="281">
        <f t="shared" si="198"/>
        <v>8.9395200000000017</v>
      </c>
    </row>
    <row r="4113" spans="65:67" x14ac:dyDescent="0.25">
      <c r="BM4113" s="281">
        <f>$AZ$36+0.8*(seat_pitch)*($AY$36*n_SA+$AW$13&lt;pax_e)</f>
        <v>26.588000000000001</v>
      </c>
      <c r="BN4113" s="281">
        <f>$AX$13+seat_w*($AY$36*n_SA+$AW$13&lt;pax_e)</f>
        <v>1.8400000000000003</v>
      </c>
      <c r="BO4113" s="281">
        <f t="shared" si="198"/>
        <v>8.7775200000000027</v>
      </c>
    </row>
    <row r="4114" spans="65:67" x14ac:dyDescent="0.25">
      <c r="BM4114" s="281">
        <f>$AZ$36+0.8*(seat_pitch)*($AY$36*n_SA+$AW$13&lt;pax_e)</f>
        <v>26.588000000000001</v>
      </c>
      <c r="BN4114" s="281">
        <f>$AX$13</f>
        <v>1.3100000000000003</v>
      </c>
      <c r="BO4114" s="281">
        <f t="shared" si="198"/>
        <v>8.7775200000000027</v>
      </c>
    </row>
    <row r="4115" spans="65:67" x14ac:dyDescent="0.25">
      <c r="BM4115" s="281">
        <f>$AZ$36+0.2*(seat_pitch)*($AY$36*n_SA+$AW$13&lt;pax_e)</f>
        <v>26.102</v>
      </c>
      <c r="BN4115" s="281">
        <f>$AX$13</f>
        <v>1.3100000000000003</v>
      </c>
      <c r="BO4115" s="281">
        <f t="shared" si="198"/>
        <v>8.291520000000002</v>
      </c>
    </row>
    <row r="4116" spans="65:67" x14ac:dyDescent="0.25">
      <c r="BM4116" s="281">
        <f>$AZ$36+(seat_pitch)</f>
        <v>26.75</v>
      </c>
      <c r="BN4116" s="281">
        <f>$AX$13</f>
        <v>1.3100000000000003</v>
      </c>
      <c r="BO4116" s="281">
        <f t="shared" si="198"/>
        <v>8.9395200000000017</v>
      </c>
    </row>
    <row r="4117" spans="65:67" x14ac:dyDescent="0.25">
      <c r="BM4117" s="281">
        <f>$AZ$37+0.2*(seat_pitch)*($AY$37*n_SA+$AW$13&lt;pax_e)</f>
        <v>26.102</v>
      </c>
      <c r="BN4117" s="281">
        <f>$AX$13</f>
        <v>1.3100000000000003</v>
      </c>
      <c r="BO4117" s="281">
        <f t="shared" si="198"/>
        <v>8.291520000000002</v>
      </c>
    </row>
    <row r="4118" spans="65:67" x14ac:dyDescent="0.25">
      <c r="BM4118" s="281">
        <f>$AZ$37+0.2*(seat_pitch)*($AY$37*n_SA+$AW$13&lt;pax_e)</f>
        <v>26.102</v>
      </c>
      <c r="BN4118" s="281">
        <f>$AX$13+seat_w*($AY$37*n_SA+$AW$13&lt;pax_e)</f>
        <v>1.8400000000000003</v>
      </c>
      <c r="BO4118" s="281">
        <f t="shared" si="198"/>
        <v>8.291520000000002</v>
      </c>
    </row>
    <row r="4119" spans="65:67" x14ac:dyDescent="0.25">
      <c r="BM4119" s="281">
        <f>$AZ$37</f>
        <v>25.94</v>
      </c>
      <c r="BN4119" s="281">
        <f>$AX$13+seat_w*($AY$37*n_SA+$AW$13&lt;pax_e)</f>
        <v>1.8400000000000003</v>
      </c>
      <c r="BO4119" s="281">
        <f t="shared" si="198"/>
        <v>8.129520000000003</v>
      </c>
    </row>
    <row r="4120" spans="65:67" x14ac:dyDescent="0.25">
      <c r="BM4120" s="281">
        <f>$AZ$37+1*(seat_pitch)*($AY$37*n_SA+$AW$13&lt;pax_e)</f>
        <v>26.75</v>
      </c>
      <c r="BN4120" s="281">
        <f>$AX$13+seat_w*($AY$37*n_SA+$AW$13&lt;pax_e)</f>
        <v>1.8400000000000003</v>
      </c>
      <c r="BO4120" s="281">
        <f t="shared" si="198"/>
        <v>8.9395200000000017</v>
      </c>
    </row>
    <row r="4121" spans="65:67" x14ac:dyDescent="0.25">
      <c r="BM4121" s="281">
        <f>$AZ$37+0.8*(seat_pitch)*($AY$37*n_SA+$AW$13&lt;pax_e)</f>
        <v>26.588000000000001</v>
      </c>
      <c r="BN4121" s="281">
        <f>$AX$13+seat_w*($AY$37*n_SA+$AW$13&lt;pax_e)</f>
        <v>1.8400000000000003</v>
      </c>
      <c r="BO4121" s="281">
        <f t="shared" si="198"/>
        <v>8.7775200000000027</v>
      </c>
    </row>
    <row r="4122" spans="65:67" x14ac:dyDescent="0.25">
      <c r="BM4122" s="281">
        <f>$AZ$37+0.8*(seat_pitch)*($AY$37*n_SA+$AW$13&lt;pax_e)</f>
        <v>26.588000000000001</v>
      </c>
      <c r="BN4122" s="281">
        <f>$AX$13</f>
        <v>1.3100000000000003</v>
      </c>
      <c r="BO4122" s="281">
        <f t="shared" si="198"/>
        <v>8.7775200000000027</v>
      </c>
    </row>
    <row r="4123" spans="65:67" x14ac:dyDescent="0.25">
      <c r="BM4123" s="281">
        <f>$AZ$37+0.2*(seat_pitch)*($AY$37*n_SA+$AW$13&lt;pax_e)</f>
        <v>26.102</v>
      </c>
      <c r="BN4123" s="281">
        <f>$AX$13</f>
        <v>1.3100000000000003</v>
      </c>
      <c r="BO4123" s="281">
        <f t="shared" si="198"/>
        <v>8.291520000000002</v>
      </c>
    </row>
    <row r="4124" spans="65:67" x14ac:dyDescent="0.25">
      <c r="BM4124" s="281">
        <f>$AZ$37+(seat_pitch)</f>
        <v>26.75</v>
      </c>
      <c r="BN4124" s="281">
        <f>$AX$13</f>
        <v>1.3100000000000003</v>
      </c>
      <c r="BO4124" s="281">
        <f t="shared" si="198"/>
        <v>8.9395200000000017</v>
      </c>
    </row>
    <row r="4125" spans="65:67" x14ac:dyDescent="0.25">
      <c r="BM4125" s="281">
        <f>$AZ$38+0.2*(seat_pitch)*($AY$38*n_SA+$AW$13&lt;pax_e)</f>
        <v>26.102</v>
      </c>
      <c r="BN4125" s="281">
        <f>$AX$13</f>
        <v>1.3100000000000003</v>
      </c>
      <c r="BO4125" s="281">
        <f t="shared" si="198"/>
        <v>8.291520000000002</v>
      </c>
    </row>
    <row r="4126" spans="65:67" x14ac:dyDescent="0.25">
      <c r="BM4126" s="281">
        <f>$AZ$38+0.2*(seat_pitch)*($AY$38*n_SA+$AW$13&lt;pax_e)</f>
        <v>26.102</v>
      </c>
      <c r="BN4126" s="281">
        <f>$AX$13+seat_w*($AY$38*n_SA+$AW$13&lt;pax_e)</f>
        <v>1.8400000000000003</v>
      </c>
      <c r="BO4126" s="281">
        <f t="shared" si="198"/>
        <v>8.291520000000002</v>
      </c>
    </row>
    <row r="4127" spans="65:67" x14ac:dyDescent="0.25">
      <c r="BM4127" s="281">
        <f>$AZ$38</f>
        <v>25.94</v>
      </c>
      <c r="BN4127" s="281">
        <f>$AX$13+seat_w*($AY$38*n_SA+$AW$13&lt;pax_e)</f>
        <v>1.8400000000000003</v>
      </c>
      <c r="BO4127" s="281">
        <f t="shared" si="198"/>
        <v>8.129520000000003</v>
      </c>
    </row>
    <row r="4128" spans="65:67" x14ac:dyDescent="0.25">
      <c r="BM4128" s="281">
        <f>$AZ$38+1*(seat_pitch)*($AY$38*n_SA+$AW$13&lt;pax_e)</f>
        <v>26.75</v>
      </c>
      <c r="BN4128" s="281">
        <f>$AX$13+seat_w*($AY$38*n_SA+$AW$13&lt;pax_e)</f>
        <v>1.8400000000000003</v>
      </c>
      <c r="BO4128" s="281">
        <f t="shared" si="198"/>
        <v>8.9395200000000017</v>
      </c>
    </row>
    <row r="4129" spans="65:67" x14ac:dyDescent="0.25">
      <c r="BM4129" s="281">
        <f>$AZ$38+0.8*(seat_pitch)*($AY$38*n_SA+$AW$13&lt;pax_e)</f>
        <v>26.588000000000001</v>
      </c>
      <c r="BN4129" s="281">
        <f>$AX$13+seat_w*($AY$38*n_SA+$AW$13&lt;pax_e)</f>
        <v>1.8400000000000003</v>
      </c>
      <c r="BO4129" s="281">
        <f t="shared" si="198"/>
        <v>8.7775200000000027</v>
      </c>
    </row>
    <row r="4130" spans="65:67" x14ac:dyDescent="0.25">
      <c r="BM4130" s="281">
        <f>$AZ$38+0.8*(seat_pitch)*($AY$38*n_SA+$AW$13&lt;pax_e)</f>
        <v>26.588000000000001</v>
      </c>
      <c r="BN4130" s="281">
        <f>$AX$13</f>
        <v>1.3100000000000003</v>
      </c>
      <c r="BO4130" s="281">
        <f t="shared" si="198"/>
        <v>8.7775200000000027</v>
      </c>
    </row>
    <row r="4131" spans="65:67" x14ac:dyDescent="0.25">
      <c r="BM4131" s="281">
        <f>$AZ$38+0.2*(seat_pitch)*($AY$38*n_SA+$AW$13&lt;pax_e)</f>
        <v>26.102</v>
      </c>
      <c r="BN4131" s="281">
        <f>$AX$13</f>
        <v>1.3100000000000003</v>
      </c>
      <c r="BO4131" s="281">
        <f t="shared" si="198"/>
        <v>8.291520000000002</v>
      </c>
    </row>
    <row r="4132" spans="65:67" x14ac:dyDescent="0.25">
      <c r="BM4132" s="281">
        <f>$AZ$38+(seat_pitch)</f>
        <v>26.75</v>
      </c>
      <c r="BN4132" s="281">
        <f>$AX$13</f>
        <v>1.3100000000000003</v>
      </c>
      <c r="BO4132" s="281">
        <f t="shared" si="198"/>
        <v>8.9395200000000017</v>
      </c>
    </row>
    <row r="4133" spans="65:67" x14ac:dyDescent="0.25">
      <c r="BM4133" s="281">
        <f>$AZ$39+0.2*(seat_pitch)*($AY$39*n_SA+$AW$13&lt;pax_e)</f>
        <v>26.102</v>
      </c>
      <c r="BN4133" s="281">
        <f>$AX$13</f>
        <v>1.3100000000000003</v>
      </c>
      <c r="BO4133" s="281">
        <f t="shared" si="198"/>
        <v>8.291520000000002</v>
      </c>
    </row>
    <row r="4134" spans="65:67" x14ac:dyDescent="0.25">
      <c r="BM4134" s="281">
        <f>$AZ$39+0.2*(seat_pitch)*($AY$39*n_SA+$AW$13&lt;pax_e)</f>
        <v>26.102</v>
      </c>
      <c r="BN4134" s="281">
        <f>$AX$13+seat_w*($AY$39*n_SA+$AW$13&lt;pax_e)</f>
        <v>1.8400000000000003</v>
      </c>
      <c r="BO4134" s="281">
        <f t="shared" si="198"/>
        <v>8.291520000000002</v>
      </c>
    </row>
    <row r="4135" spans="65:67" x14ac:dyDescent="0.25">
      <c r="BM4135" s="281">
        <f>$AZ$39</f>
        <v>25.94</v>
      </c>
      <c r="BN4135" s="281">
        <f>$AX$13+seat_w*($AY$39*n_SA+$AW$13&lt;pax_e)</f>
        <v>1.8400000000000003</v>
      </c>
      <c r="BO4135" s="281">
        <f t="shared" si="198"/>
        <v>8.129520000000003</v>
      </c>
    </row>
    <row r="4136" spans="65:67" x14ac:dyDescent="0.25">
      <c r="BM4136" s="281">
        <f>$AZ$39+1*(seat_pitch)*($AY$39*n_SA+$AW$13&lt;pax_e)</f>
        <v>26.75</v>
      </c>
      <c r="BN4136" s="281">
        <f>$AX$13+seat_w*($AY$39*n_SA+$AW$13&lt;pax_e)</f>
        <v>1.8400000000000003</v>
      </c>
      <c r="BO4136" s="281">
        <f t="shared" si="198"/>
        <v>8.9395200000000017</v>
      </c>
    </row>
    <row r="4137" spans="65:67" x14ac:dyDescent="0.25">
      <c r="BM4137" s="281">
        <f>$AZ$39+0.8*(seat_pitch)*($AY$39*n_SA+$AW$13&lt;pax_e)</f>
        <v>26.588000000000001</v>
      </c>
      <c r="BN4137" s="281">
        <f>$AX$13+seat_w*($AY$39*n_SA+$AW$13&lt;pax_e)</f>
        <v>1.8400000000000003</v>
      </c>
      <c r="BO4137" s="281">
        <f t="shared" si="198"/>
        <v>8.7775200000000027</v>
      </c>
    </row>
    <row r="4138" spans="65:67" x14ac:dyDescent="0.25">
      <c r="BM4138" s="281">
        <f>$AZ$39+0.8*(seat_pitch)*($AY$39*n_SA+$AW$13&lt;pax_e)</f>
        <v>26.588000000000001</v>
      </c>
      <c r="BN4138" s="281">
        <f>$AX$13</f>
        <v>1.3100000000000003</v>
      </c>
      <c r="BO4138" s="281">
        <f t="shared" si="198"/>
        <v>8.7775200000000027</v>
      </c>
    </row>
    <row r="4139" spans="65:67" x14ac:dyDescent="0.25">
      <c r="BM4139" s="281">
        <f>$AZ$39+0.2*(seat_pitch)*($AY$39*n_SA+$AW$13&lt;pax_e)</f>
        <v>26.102</v>
      </c>
      <c r="BN4139" s="281">
        <f>$AX$13</f>
        <v>1.3100000000000003</v>
      </c>
      <c r="BO4139" s="281">
        <f t="shared" si="198"/>
        <v>8.291520000000002</v>
      </c>
    </row>
    <row r="4140" spans="65:67" x14ac:dyDescent="0.25">
      <c r="BM4140" s="281">
        <f>$AZ$39+(seat_pitch)</f>
        <v>26.75</v>
      </c>
      <c r="BN4140" s="281">
        <f>$AX$13</f>
        <v>1.3100000000000003</v>
      </c>
      <c r="BO4140" s="281">
        <f t="shared" si="198"/>
        <v>8.9395200000000017</v>
      </c>
    </row>
    <row r="4141" spans="65:67" x14ac:dyDescent="0.25">
      <c r="BM4141" s="281">
        <f>$AZ$40+0.2*(seat_pitch)*($AY$40*n_SA+$AW$13&lt;pax_e)</f>
        <v>26.102</v>
      </c>
      <c r="BN4141" s="281">
        <f>$AX$13</f>
        <v>1.3100000000000003</v>
      </c>
      <c r="BO4141" s="281">
        <f t="shared" si="198"/>
        <v>8.291520000000002</v>
      </c>
    </row>
    <row r="4142" spans="65:67" x14ac:dyDescent="0.25">
      <c r="BM4142" s="281">
        <f>$AZ$40+0.2*(seat_pitch)*($AY$40*n_SA+$AW$13&lt;pax_e)</f>
        <v>26.102</v>
      </c>
      <c r="BN4142" s="281">
        <f>$AX$13+seat_w*($AY$40*n_SA+$AW$13&lt;pax_e)</f>
        <v>1.8400000000000003</v>
      </c>
      <c r="BO4142" s="281">
        <f t="shared" si="198"/>
        <v>8.291520000000002</v>
      </c>
    </row>
    <row r="4143" spans="65:67" x14ac:dyDescent="0.25">
      <c r="BM4143" s="281">
        <f>$AZ$40</f>
        <v>25.94</v>
      </c>
      <c r="BN4143" s="281">
        <f>$AX$13+seat_w*($AY$40*n_SA+$AW$13&lt;pax_e)</f>
        <v>1.8400000000000003</v>
      </c>
      <c r="BO4143" s="281">
        <f t="shared" si="198"/>
        <v>8.129520000000003</v>
      </c>
    </row>
    <row r="4144" spans="65:67" x14ac:dyDescent="0.25">
      <c r="BM4144" s="281">
        <f>$AZ$40+1*(seat_pitch)*($AY$40*n_SA+$AW$13&lt;pax_e)</f>
        <v>26.75</v>
      </c>
      <c r="BN4144" s="281">
        <f>$AX$13+seat_w*($AY$40*n_SA+$AW$13&lt;pax_e)</f>
        <v>1.8400000000000003</v>
      </c>
      <c r="BO4144" s="281">
        <f t="shared" si="198"/>
        <v>8.9395200000000017</v>
      </c>
    </row>
    <row r="4145" spans="65:67" x14ac:dyDescent="0.25">
      <c r="BM4145" s="281">
        <f>$AZ$40+0.8*(seat_pitch)*($AY$40*n_SA+$AW$13&lt;pax_e)</f>
        <v>26.588000000000001</v>
      </c>
      <c r="BN4145" s="281">
        <f>$AX$13+seat_w*($AY$40*n_SA+$AW$13&lt;pax_e)</f>
        <v>1.8400000000000003</v>
      </c>
      <c r="BO4145" s="281">
        <f t="shared" si="198"/>
        <v>8.7775200000000027</v>
      </c>
    </row>
    <row r="4146" spans="65:67" x14ac:dyDescent="0.25">
      <c r="BM4146" s="281">
        <f>$AZ$40+0.8*(seat_pitch)*($AY$40*n_SA+$AW$13&lt;pax_e)</f>
        <v>26.588000000000001</v>
      </c>
      <c r="BN4146" s="281">
        <f>$AX$13</f>
        <v>1.3100000000000003</v>
      </c>
      <c r="BO4146" s="281">
        <f t="shared" si="198"/>
        <v>8.7775200000000027</v>
      </c>
    </row>
    <row r="4147" spans="65:67" x14ac:dyDescent="0.25">
      <c r="BM4147" s="281">
        <f>$AZ$40+0.2*(seat_pitch)*($AY$40*n_SA+$AW$13&lt;pax_e)</f>
        <v>26.102</v>
      </c>
      <c r="BN4147" s="281">
        <f>$AX$13</f>
        <v>1.3100000000000003</v>
      </c>
      <c r="BO4147" s="281">
        <f t="shared" si="198"/>
        <v>8.291520000000002</v>
      </c>
    </row>
    <row r="4148" spans="65:67" x14ac:dyDescent="0.25">
      <c r="BM4148" s="281">
        <f>$AZ$40+(seat_pitch)</f>
        <v>26.75</v>
      </c>
      <c r="BN4148" s="281">
        <f>$AX$13</f>
        <v>1.3100000000000003</v>
      </c>
      <c r="BO4148" s="281">
        <f t="shared" si="198"/>
        <v>8.9395200000000017</v>
      </c>
    </row>
    <row r="4149" spans="65:67" x14ac:dyDescent="0.25">
      <c r="BM4149" s="281">
        <f>$AZ$41+0.2*(seat_pitch)*($AY$41*n_SA+$AW$13&lt;pax_e)</f>
        <v>26.102</v>
      </c>
      <c r="BN4149" s="281">
        <f>$AX$13</f>
        <v>1.3100000000000003</v>
      </c>
      <c r="BO4149" s="281">
        <f t="shared" si="198"/>
        <v>8.291520000000002</v>
      </c>
    </row>
    <row r="4150" spans="65:67" x14ac:dyDescent="0.25">
      <c r="BM4150" s="281">
        <f>$AZ$41+0.2*(seat_pitch)*($AY$41*n_SA+$AW$13&lt;pax_e)</f>
        <v>26.102</v>
      </c>
      <c r="BN4150" s="281">
        <f>$AX$13+seat_w*($AY$41*n_SA+$AW$13&lt;pax_e)</f>
        <v>1.8400000000000003</v>
      </c>
      <c r="BO4150" s="281">
        <f t="shared" si="198"/>
        <v>8.291520000000002</v>
      </c>
    </row>
    <row r="4151" spans="65:67" x14ac:dyDescent="0.25">
      <c r="BM4151" s="281">
        <f>$AZ$41</f>
        <v>25.94</v>
      </c>
      <c r="BN4151" s="281">
        <f>$AX$13+seat_w*($AY$41*n_SA+$AW$13&lt;pax_e)</f>
        <v>1.8400000000000003</v>
      </c>
      <c r="BO4151" s="281">
        <f t="shared" si="198"/>
        <v>8.129520000000003</v>
      </c>
    </row>
    <row r="4152" spans="65:67" x14ac:dyDescent="0.25">
      <c r="BM4152" s="281">
        <f>$AZ$41+1*(seat_pitch)*($AY$41*n_SA+$AW$13&lt;pax_e)</f>
        <v>26.75</v>
      </c>
      <c r="BN4152" s="281">
        <f>$AX$13+seat_w*($AY$41*n_SA+$AW$13&lt;pax_e)</f>
        <v>1.8400000000000003</v>
      </c>
      <c r="BO4152" s="281">
        <f t="shared" si="198"/>
        <v>8.9395200000000017</v>
      </c>
    </row>
    <row r="4153" spans="65:67" x14ac:dyDescent="0.25">
      <c r="BM4153" s="281">
        <f>$AZ$41+0.8*(seat_pitch)*($AY$41*n_SA+$AW$13&lt;pax_e)</f>
        <v>26.588000000000001</v>
      </c>
      <c r="BN4153" s="281">
        <f>$AX$13+seat_w*($AY$41*n_SA+$AW$13&lt;pax_e)</f>
        <v>1.8400000000000003</v>
      </c>
      <c r="BO4153" s="281">
        <f t="shared" si="198"/>
        <v>8.7775200000000027</v>
      </c>
    </row>
    <row r="4154" spans="65:67" x14ac:dyDescent="0.25">
      <c r="BM4154" s="281">
        <f>$AZ$41+0.8*(seat_pitch)*($AY$41*n_SA+$AW$13&lt;pax_e)</f>
        <v>26.588000000000001</v>
      </c>
      <c r="BN4154" s="281">
        <f>$AX$13</f>
        <v>1.3100000000000003</v>
      </c>
      <c r="BO4154" s="281">
        <f t="shared" si="198"/>
        <v>8.7775200000000027</v>
      </c>
    </row>
    <row r="4155" spans="65:67" x14ac:dyDescent="0.25">
      <c r="BM4155" s="281">
        <f>$AZ$41+0.2*(seat_pitch)*($AY$41*n_SA+$AW$13&lt;pax_e)</f>
        <v>26.102</v>
      </c>
      <c r="BN4155" s="281">
        <f>$AX$13</f>
        <v>1.3100000000000003</v>
      </c>
      <c r="BO4155" s="281">
        <f t="shared" si="198"/>
        <v>8.291520000000002</v>
      </c>
    </row>
    <row r="4156" spans="65:67" x14ac:dyDescent="0.25">
      <c r="BM4156" s="281">
        <f>$AZ$41+(seat_pitch)</f>
        <v>26.75</v>
      </c>
      <c r="BN4156" s="281">
        <f>$AX$13</f>
        <v>1.3100000000000003</v>
      </c>
      <c r="BO4156" s="281">
        <f t="shared" si="198"/>
        <v>8.9395200000000017</v>
      </c>
    </row>
    <row r="4157" spans="65:67" x14ac:dyDescent="0.25">
      <c r="BM4157" s="281">
        <f>$AZ$42+0.2*(seat_pitch)*($AY$42*n_SA+$AW$13&lt;pax_e)</f>
        <v>26.102</v>
      </c>
      <c r="BN4157" s="281">
        <f>$AX$13</f>
        <v>1.3100000000000003</v>
      </c>
      <c r="BO4157" s="281">
        <f t="shared" si="198"/>
        <v>8.291520000000002</v>
      </c>
    </row>
    <row r="4158" spans="65:67" x14ac:dyDescent="0.25">
      <c r="BM4158" s="281">
        <f>$AZ$42+0.2*(seat_pitch)*($AY$42*n_SA+$AW$13&lt;pax_e)</f>
        <v>26.102</v>
      </c>
      <c r="BN4158" s="281">
        <f>$AX$13+seat_w*($AY$42*n_SA+$AW$13&lt;pax_e)</f>
        <v>1.8400000000000003</v>
      </c>
      <c r="BO4158" s="281">
        <f t="shared" si="198"/>
        <v>8.291520000000002</v>
      </c>
    </row>
    <row r="4159" spans="65:67" x14ac:dyDescent="0.25">
      <c r="BM4159" s="281">
        <f>$AZ$42</f>
        <v>25.94</v>
      </c>
      <c r="BN4159" s="281">
        <f>$AX$13+seat_w*($AY$42*n_SA+$AW$13&lt;pax_e)</f>
        <v>1.8400000000000003</v>
      </c>
      <c r="BO4159" s="281">
        <f t="shared" si="198"/>
        <v>8.129520000000003</v>
      </c>
    </row>
    <row r="4160" spans="65:67" x14ac:dyDescent="0.25">
      <c r="BM4160" s="281">
        <f>$AZ$42+1*(seat_pitch)*($AY$42*n_SA+$AW$13&lt;pax_e)</f>
        <v>26.75</v>
      </c>
      <c r="BN4160" s="281">
        <f>$AX$13+seat_w*($AY$42*n_SA+$AW$13&lt;pax_e)</f>
        <v>1.8400000000000003</v>
      </c>
      <c r="BO4160" s="281">
        <f t="shared" si="198"/>
        <v>8.9395200000000017</v>
      </c>
    </row>
    <row r="4161" spans="65:67" x14ac:dyDescent="0.25">
      <c r="BM4161" s="281">
        <f>$AZ$42+0.8*(seat_pitch)*($AY$42*n_SA+$AW$13&lt;pax_e)</f>
        <v>26.588000000000001</v>
      </c>
      <c r="BN4161" s="281">
        <f>$AX$13+seat_w*($AY$42*n_SA+$AW$13&lt;pax_e)</f>
        <v>1.8400000000000003</v>
      </c>
      <c r="BO4161" s="281">
        <f t="shared" si="198"/>
        <v>8.7775200000000027</v>
      </c>
    </row>
    <row r="4162" spans="65:67" x14ac:dyDescent="0.25">
      <c r="BM4162" s="281">
        <f>$AZ$42+0.8*(seat_pitch)*($AY$42*n_SA+$AW$13&lt;pax_e)</f>
        <v>26.588000000000001</v>
      </c>
      <c r="BN4162" s="281">
        <f>$AX$13</f>
        <v>1.3100000000000003</v>
      </c>
      <c r="BO4162" s="281">
        <f t="shared" si="198"/>
        <v>8.7775200000000027</v>
      </c>
    </row>
    <row r="4163" spans="65:67" x14ac:dyDescent="0.25">
      <c r="BM4163" s="281">
        <f>$AZ$42+0.2*(seat_pitch)*($AY$42*n_SA+$AW$13&lt;pax_e)</f>
        <v>26.102</v>
      </c>
      <c r="BN4163" s="281">
        <f>$AX$13</f>
        <v>1.3100000000000003</v>
      </c>
      <c r="BO4163" s="281">
        <f t="shared" si="198"/>
        <v>8.291520000000002</v>
      </c>
    </row>
    <row r="4164" spans="65:67" x14ac:dyDescent="0.25">
      <c r="BM4164" s="281">
        <f>$AZ$42+(seat_pitch)</f>
        <v>26.75</v>
      </c>
      <c r="BN4164" s="281">
        <f>$AX$13</f>
        <v>1.3100000000000003</v>
      </c>
      <c r="BO4164" s="281">
        <f t="shared" si="198"/>
        <v>8.9395200000000017</v>
      </c>
    </row>
    <row r="4165" spans="65:67" x14ac:dyDescent="0.25">
      <c r="BM4165" s="281">
        <f>$AZ$43+0.2*(seat_pitch)*($AY$43*n_SA+$AW$13&lt;pax_e)</f>
        <v>26.102</v>
      </c>
      <c r="BN4165" s="281">
        <f>$AX$13</f>
        <v>1.3100000000000003</v>
      </c>
      <c r="BO4165" s="281">
        <f t="shared" ref="BO4165:BO4228" si="199">BM4165-L_fus/2</f>
        <v>8.291520000000002</v>
      </c>
    </row>
    <row r="4166" spans="65:67" x14ac:dyDescent="0.25">
      <c r="BM4166" s="281">
        <f>$AZ$43+0.2*(seat_pitch)*($AY$43*n_SA+$AW$13&lt;pax_e)</f>
        <v>26.102</v>
      </c>
      <c r="BN4166" s="281">
        <f>$AX$13+seat_w*($AY$43*n_SA+$AW$13&lt;pax_e)</f>
        <v>1.8400000000000003</v>
      </c>
      <c r="BO4166" s="281">
        <f t="shared" si="199"/>
        <v>8.291520000000002</v>
      </c>
    </row>
    <row r="4167" spans="65:67" x14ac:dyDescent="0.25">
      <c r="BM4167" s="281">
        <f>$AZ$43</f>
        <v>25.94</v>
      </c>
      <c r="BN4167" s="281">
        <f>$AX$13+seat_w*($AY$43*n_SA+$AW$13&lt;pax_e)</f>
        <v>1.8400000000000003</v>
      </c>
      <c r="BO4167" s="281">
        <f t="shared" si="199"/>
        <v>8.129520000000003</v>
      </c>
    </row>
    <row r="4168" spans="65:67" x14ac:dyDescent="0.25">
      <c r="BM4168" s="281">
        <f>$AZ$43+1*(seat_pitch)*($AY$43*n_SA+$AW$13&lt;pax_e)</f>
        <v>26.75</v>
      </c>
      <c r="BN4168" s="281">
        <f>$AX$13+seat_w*($AY$43*n_SA+$AW$13&lt;pax_e)</f>
        <v>1.8400000000000003</v>
      </c>
      <c r="BO4168" s="281">
        <f t="shared" si="199"/>
        <v>8.9395200000000017</v>
      </c>
    </row>
    <row r="4169" spans="65:67" x14ac:dyDescent="0.25">
      <c r="BM4169" s="281">
        <f>$AZ$43+0.8*(seat_pitch)*($AY$43*n_SA+$AW$13&lt;pax_e)</f>
        <v>26.588000000000001</v>
      </c>
      <c r="BN4169" s="281">
        <f>$AX$13+seat_w*($AY$43*n_SA+$AW$13&lt;pax_e)</f>
        <v>1.8400000000000003</v>
      </c>
      <c r="BO4169" s="281">
        <f t="shared" si="199"/>
        <v>8.7775200000000027</v>
      </c>
    </row>
    <row r="4170" spans="65:67" x14ac:dyDescent="0.25">
      <c r="BM4170" s="281">
        <f>$AZ$43+0.8*(seat_pitch)*($AY$43*n_SA+$AW$13&lt;pax_e)</f>
        <v>26.588000000000001</v>
      </c>
      <c r="BN4170" s="281">
        <f>$AX$13</f>
        <v>1.3100000000000003</v>
      </c>
      <c r="BO4170" s="281">
        <f t="shared" si="199"/>
        <v>8.7775200000000027</v>
      </c>
    </row>
    <row r="4171" spans="65:67" x14ac:dyDescent="0.25">
      <c r="BM4171" s="281">
        <f>$AZ$43+0.2*(seat_pitch)*($AY$43*n_SA+$AW$13&lt;pax_e)</f>
        <v>26.102</v>
      </c>
      <c r="BN4171" s="281">
        <f>$AX$13</f>
        <v>1.3100000000000003</v>
      </c>
      <c r="BO4171" s="281">
        <f t="shared" si="199"/>
        <v>8.291520000000002</v>
      </c>
    </row>
    <row r="4172" spans="65:67" x14ac:dyDescent="0.25">
      <c r="BM4172" s="281">
        <f>$AZ$43+(seat_pitch)</f>
        <v>26.75</v>
      </c>
      <c r="BN4172" s="281">
        <f>$AX$13</f>
        <v>1.3100000000000003</v>
      </c>
      <c r="BO4172" s="281">
        <f t="shared" si="199"/>
        <v>8.9395200000000017</v>
      </c>
    </row>
    <row r="4173" spans="65:67" x14ac:dyDescent="0.25">
      <c r="BM4173" s="281">
        <f>$AZ$44+0.2*(seat_pitch)*($AY$44*n_SA+$AW$13&lt;pax_e)</f>
        <v>26.102</v>
      </c>
      <c r="BN4173" s="281">
        <f>$AX$13</f>
        <v>1.3100000000000003</v>
      </c>
      <c r="BO4173" s="281">
        <f t="shared" si="199"/>
        <v>8.291520000000002</v>
      </c>
    </row>
    <row r="4174" spans="65:67" x14ac:dyDescent="0.25">
      <c r="BM4174" s="281">
        <f>$AZ$44+0.2*(seat_pitch)*($AY$44*n_SA+$AW$13&lt;pax_e)</f>
        <v>26.102</v>
      </c>
      <c r="BN4174" s="281">
        <f>$AX$13+seat_w*($AY$44*n_SA+$AW$13&lt;pax_e)</f>
        <v>1.8400000000000003</v>
      </c>
      <c r="BO4174" s="281">
        <f t="shared" si="199"/>
        <v>8.291520000000002</v>
      </c>
    </row>
    <row r="4175" spans="65:67" x14ac:dyDescent="0.25">
      <c r="BM4175" s="281">
        <f>$AZ$44</f>
        <v>25.94</v>
      </c>
      <c r="BN4175" s="281">
        <f>$AX$13+seat_w*($AY$44*n_SA+$AW$13&lt;pax_e)</f>
        <v>1.8400000000000003</v>
      </c>
      <c r="BO4175" s="281">
        <f t="shared" si="199"/>
        <v>8.129520000000003</v>
      </c>
    </row>
    <row r="4176" spans="65:67" x14ac:dyDescent="0.25">
      <c r="BM4176" s="281">
        <f>$AZ$44+1*(seat_pitch)*($AY$44*n_SA+$AW$13&lt;pax_e)</f>
        <v>26.75</v>
      </c>
      <c r="BN4176" s="281">
        <f>$AX$13+seat_w*($AY$44*n_SA+$AW$13&lt;pax_e)</f>
        <v>1.8400000000000003</v>
      </c>
      <c r="BO4176" s="281">
        <f t="shared" si="199"/>
        <v>8.9395200000000017</v>
      </c>
    </row>
    <row r="4177" spans="65:67" x14ac:dyDescent="0.25">
      <c r="BM4177" s="281">
        <f>$AZ$44+0.8*(seat_pitch)*($AY$44*n_SA+$AW$13&lt;pax_e)</f>
        <v>26.588000000000001</v>
      </c>
      <c r="BN4177" s="281">
        <f>$AX$13+seat_w*($AY$44*n_SA+$AW$13&lt;pax_e)</f>
        <v>1.8400000000000003</v>
      </c>
      <c r="BO4177" s="281">
        <f t="shared" si="199"/>
        <v>8.7775200000000027</v>
      </c>
    </row>
    <row r="4178" spans="65:67" x14ac:dyDescent="0.25">
      <c r="BM4178" s="281">
        <f>$AZ$44+0.8*(seat_pitch)*($AY$44*n_SA+$AW$13&lt;pax_e)</f>
        <v>26.588000000000001</v>
      </c>
      <c r="BN4178" s="281">
        <f>$AX$13</f>
        <v>1.3100000000000003</v>
      </c>
      <c r="BO4178" s="281">
        <f t="shared" si="199"/>
        <v>8.7775200000000027</v>
      </c>
    </row>
    <row r="4179" spans="65:67" x14ac:dyDescent="0.25">
      <c r="BM4179" s="281">
        <f>$AZ$44+0.2*(seat_pitch)*($AY$44*n_SA+$AW$13&lt;pax_e)</f>
        <v>26.102</v>
      </c>
      <c r="BN4179" s="281">
        <f>$AX$13</f>
        <v>1.3100000000000003</v>
      </c>
      <c r="BO4179" s="281">
        <f t="shared" si="199"/>
        <v>8.291520000000002</v>
      </c>
    </row>
    <row r="4180" spans="65:67" x14ac:dyDescent="0.25">
      <c r="BM4180" s="281">
        <f>$AZ$44+(seat_pitch)</f>
        <v>26.75</v>
      </c>
      <c r="BN4180" s="281">
        <f>$AX$13</f>
        <v>1.3100000000000003</v>
      </c>
      <c r="BO4180" s="281">
        <f t="shared" si="199"/>
        <v>8.9395200000000017</v>
      </c>
    </row>
    <row r="4181" spans="65:67" x14ac:dyDescent="0.25">
      <c r="BM4181" s="281">
        <f>$AZ$45+0.2*(seat_pitch)*($AY$45*n_SA+$AW$13&lt;pax_e)</f>
        <v>26.102</v>
      </c>
      <c r="BN4181" s="281">
        <f>$AX$13</f>
        <v>1.3100000000000003</v>
      </c>
      <c r="BO4181" s="281">
        <f t="shared" si="199"/>
        <v>8.291520000000002</v>
      </c>
    </row>
    <row r="4182" spans="65:67" x14ac:dyDescent="0.25">
      <c r="BM4182" s="281">
        <f>$AZ$45+0.2*(seat_pitch)*($AY$45*n_SA+$AW$13&lt;pax_e)</f>
        <v>26.102</v>
      </c>
      <c r="BN4182" s="281">
        <f>$AX$13+seat_w*($AY$45*n_SA+$AW$13&lt;pax_e)</f>
        <v>1.8400000000000003</v>
      </c>
      <c r="BO4182" s="281">
        <f t="shared" si="199"/>
        <v>8.291520000000002</v>
      </c>
    </row>
    <row r="4183" spans="65:67" x14ac:dyDescent="0.25">
      <c r="BM4183" s="281">
        <f>$AZ$45</f>
        <v>25.94</v>
      </c>
      <c r="BN4183" s="281">
        <f>$AX$13+seat_w*($AY$45*n_SA+$AW$13&lt;pax_e)</f>
        <v>1.8400000000000003</v>
      </c>
      <c r="BO4183" s="281">
        <f t="shared" si="199"/>
        <v>8.129520000000003</v>
      </c>
    </row>
    <row r="4184" spans="65:67" x14ac:dyDescent="0.25">
      <c r="BM4184" s="281">
        <f>$AZ$45+1*(seat_pitch)*($AY$45*n_SA+$AW$13&lt;pax_e)</f>
        <v>26.75</v>
      </c>
      <c r="BN4184" s="281">
        <f>$AX$13+seat_w*($AY$45*n_SA+$AW$13&lt;pax_e)</f>
        <v>1.8400000000000003</v>
      </c>
      <c r="BO4184" s="281">
        <f t="shared" si="199"/>
        <v>8.9395200000000017</v>
      </c>
    </row>
    <row r="4185" spans="65:67" x14ac:dyDescent="0.25">
      <c r="BM4185" s="281">
        <f>$AZ$45+0.8*(seat_pitch)*($AY$45*n_SA+$AW$13&lt;pax_e)</f>
        <v>26.588000000000001</v>
      </c>
      <c r="BN4185" s="281">
        <f>$AX$13+seat_w*($AY$45*n_SA+$AW$13&lt;pax_e)</f>
        <v>1.8400000000000003</v>
      </c>
      <c r="BO4185" s="281">
        <f t="shared" si="199"/>
        <v>8.7775200000000027</v>
      </c>
    </row>
    <row r="4186" spans="65:67" x14ac:dyDescent="0.25">
      <c r="BM4186" s="281">
        <f>$AZ$45+0.8*(seat_pitch)*($AY$45*n_SA+$AW$13&lt;pax_e)</f>
        <v>26.588000000000001</v>
      </c>
      <c r="BN4186" s="281">
        <f>$AX$13</f>
        <v>1.3100000000000003</v>
      </c>
      <c r="BO4186" s="281">
        <f t="shared" si="199"/>
        <v>8.7775200000000027</v>
      </c>
    </row>
    <row r="4187" spans="65:67" x14ac:dyDescent="0.25">
      <c r="BM4187" s="281">
        <f>$AZ$45+0.2*(seat_pitch)*($AY$45*n_SA+$AW$13&lt;pax_e)</f>
        <v>26.102</v>
      </c>
      <c r="BN4187" s="281">
        <f>$AX$13</f>
        <v>1.3100000000000003</v>
      </c>
      <c r="BO4187" s="281">
        <f t="shared" si="199"/>
        <v>8.291520000000002</v>
      </c>
    </row>
    <row r="4188" spans="65:67" x14ac:dyDescent="0.25">
      <c r="BM4188" s="281">
        <f>$AZ$45+(seat_pitch)</f>
        <v>26.75</v>
      </c>
      <c r="BN4188" s="281">
        <f>$AX$13</f>
        <v>1.3100000000000003</v>
      </c>
      <c r="BO4188" s="281">
        <f t="shared" si="199"/>
        <v>8.9395200000000017</v>
      </c>
    </row>
    <row r="4189" spans="65:67" x14ac:dyDescent="0.25">
      <c r="BM4189" s="281">
        <f>$AZ$46+0.2*(seat_pitch)*($AY$46*n_SA+$AW$13&lt;pax_e)</f>
        <v>26.102</v>
      </c>
      <c r="BN4189" s="281">
        <f>$AX$13</f>
        <v>1.3100000000000003</v>
      </c>
      <c r="BO4189" s="281">
        <f t="shared" si="199"/>
        <v>8.291520000000002</v>
      </c>
    </row>
    <row r="4190" spans="65:67" x14ac:dyDescent="0.25">
      <c r="BM4190" s="281">
        <f>$AZ$46+0.2*(seat_pitch)*($AY$46*n_SA+$AW$13&lt;pax_e)</f>
        <v>26.102</v>
      </c>
      <c r="BN4190" s="281">
        <f>$AX$13+seat_w*($AY$46*n_SA+$AW$13&lt;pax_e)</f>
        <v>1.8400000000000003</v>
      </c>
      <c r="BO4190" s="281">
        <f t="shared" si="199"/>
        <v>8.291520000000002</v>
      </c>
    </row>
    <row r="4191" spans="65:67" x14ac:dyDescent="0.25">
      <c r="BM4191" s="281">
        <f>$AZ$46</f>
        <v>25.94</v>
      </c>
      <c r="BN4191" s="281">
        <f>$AX$13+seat_w*($AY$46*n_SA+$AW$13&lt;pax_e)</f>
        <v>1.8400000000000003</v>
      </c>
      <c r="BO4191" s="281">
        <f t="shared" si="199"/>
        <v>8.129520000000003</v>
      </c>
    </row>
    <row r="4192" spans="65:67" x14ac:dyDescent="0.25">
      <c r="BM4192" s="281">
        <f>$AZ$46+1*(seat_pitch)*($AY$46*n_SA+$AW$13&lt;pax_e)</f>
        <v>26.75</v>
      </c>
      <c r="BN4192" s="281">
        <f>$AX$13+seat_w*($AY$46*n_SA+$AW$13&lt;pax_e)</f>
        <v>1.8400000000000003</v>
      </c>
      <c r="BO4192" s="281">
        <f t="shared" si="199"/>
        <v>8.9395200000000017</v>
      </c>
    </row>
    <row r="4193" spans="65:67" x14ac:dyDescent="0.25">
      <c r="BM4193" s="281">
        <f>$AZ$46+0.8*(seat_pitch)*($AY$46*n_SA+$AW$13&lt;pax_e)</f>
        <v>26.588000000000001</v>
      </c>
      <c r="BN4193" s="281">
        <f>$AX$13+seat_w*($AY$46*n_SA+$AW$13&lt;pax_e)</f>
        <v>1.8400000000000003</v>
      </c>
      <c r="BO4193" s="281">
        <f t="shared" si="199"/>
        <v>8.7775200000000027</v>
      </c>
    </row>
    <row r="4194" spans="65:67" x14ac:dyDescent="0.25">
      <c r="BM4194" s="281">
        <f>$AZ$46+0.8*(seat_pitch)*($AY$46*n_SA+$AW$13&lt;pax_e)</f>
        <v>26.588000000000001</v>
      </c>
      <c r="BN4194" s="281">
        <f>$AX$13</f>
        <v>1.3100000000000003</v>
      </c>
      <c r="BO4194" s="281">
        <f t="shared" si="199"/>
        <v>8.7775200000000027</v>
      </c>
    </row>
    <row r="4195" spans="65:67" x14ac:dyDescent="0.25">
      <c r="BM4195" s="281">
        <f>$AZ$46+0.2*(seat_pitch)*($AY$46*n_SA+$AW$13&lt;pax_e)</f>
        <v>26.102</v>
      </c>
      <c r="BN4195" s="281">
        <f>$AX$13</f>
        <v>1.3100000000000003</v>
      </c>
      <c r="BO4195" s="281">
        <f t="shared" si="199"/>
        <v>8.291520000000002</v>
      </c>
    </row>
    <row r="4196" spans="65:67" x14ac:dyDescent="0.25">
      <c r="BM4196" s="281">
        <f>$AZ$46+(seat_pitch)</f>
        <v>26.75</v>
      </c>
      <c r="BN4196" s="281">
        <f>$AX$13</f>
        <v>1.3100000000000003</v>
      </c>
      <c r="BO4196" s="281">
        <f t="shared" si="199"/>
        <v>8.9395200000000017</v>
      </c>
    </row>
    <row r="4197" spans="65:67" x14ac:dyDescent="0.25">
      <c r="BM4197" s="281">
        <f>$AZ$47+0.2*(seat_pitch)*($AY$47*n_SA+$AW$13&lt;pax_e)</f>
        <v>26.102</v>
      </c>
      <c r="BN4197" s="281">
        <f>$AX$13</f>
        <v>1.3100000000000003</v>
      </c>
      <c r="BO4197" s="281">
        <f t="shared" si="199"/>
        <v>8.291520000000002</v>
      </c>
    </row>
    <row r="4198" spans="65:67" x14ac:dyDescent="0.25">
      <c r="BM4198" s="281">
        <f>$AZ$47+0.2*(seat_pitch)*($AY$47*n_SA+$AW$13&lt;pax_e)</f>
        <v>26.102</v>
      </c>
      <c r="BN4198" s="281">
        <f>$AX$13+seat_w*($AY$47*n_SA+$AW$13&lt;pax_e)</f>
        <v>1.8400000000000003</v>
      </c>
      <c r="BO4198" s="281">
        <f t="shared" si="199"/>
        <v>8.291520000000002</v>
      </c>
    </row>
    <row r="4199" spans="65:67" x14ac:dyDescent="0.25">
      <c r="BM4199" s="281">
        <f>$AZ$47</f>
        <v>25.94</v>
      </c>
      <c r="BN4199" s="281">
        <f>$AX$13+seat_w*($AY$47*n_SA+$AW$13&lt;pax_e)</f>
        <v>1.8400000000000003</v>
      </c>
      <c r="BO4199" s="281">
        <f t="shared" si="199"/>
        <v>8.129520000000003</v>
      </c>
    </row>
    <row r="4200" spans="65:67" x14ac:dyDescent="0.25">
      <c r="BM4200" s="281">
        <f>$AZ$47+1*(seat_pitch)*($AY$47*n_SA+$AW$13&lt;pax_e)</f>
        <v>26.75</v>
      </c>
      <c r="BN4200" s="281">
        <f>$AX$13+seat_w*($AY$47*n_SA+$AW$13&lt;pax_e)</f>
        <v>1.8400000000000003</v>
      </c>
      <c r="BO4200" s="281">
        <f t="shared" si="199"/>
        <v>8.9395200000000017</v>
      </c>
    </row>
    <row r="4201" spans="65:67" x14ac:dyDescent="0.25">
      <c r="BM4201" s="281">
        <f>$AZ$47+0.8*(seat_pitch)*($AY$47*n_SA+$AW$13&lt;pax_e)</f>
        <v>26.588000000000001</v>
      </c>
      <c r="BN4201" s="281">
        <f>$AX$13+seat_w*($AY$47*n_SA+$AW$13&lt;pax_e)</f>
        <v>1.8400000000000003</v>
      </c>
      <c r="BO4201" s="281">
        <f t="shared" si="199"/>
        <v>8.7775200000000027</v>
      </c>
    </row>
    <row r="4202" spans="65:67" x14ac:dyDescent="0.25">
      <c r="BM4202" s="281">
        <f>$AZ$47+0.8*(seat_pitch)*($AY$47*n_SA+$AW$13&lt;pax_e)</f>
        <v>26.588000000000001</v>
      </c>
      <c r="BN4202" s="281">
        <f>$AX$13</f>
        <v>1.3100000000000003</v>
      </c>
      <c r="BO4202" s="281">
        <f t="shared" si="199"/>
        <v>8.7775200000000027</v>
      </c>
    </row>
    <row r="4203" spans="65:67" x14ac:dyDescent="0.25">
      <c r="BM4203" s="281">
        <f>$AZ$47+0.2*(seat_pitch)*($AY$47*n_SA+$AW$13&lt;pax_e)</f>
        <v>26.102</v>
      </c>
      <c r="BN4203" s="281">
        <f>$AX$13</f>
        <v>1.3100000000000003</v>
      </c>
      <c r="BO4203" s="281">
        <f t="shared" si="199"/>
        <v>8.291520000000002</v>
      </c>
    </row>
    <row r="4204" spans="65:67" x14ac:dyDescent="0.25">
      <c r="BM4204" s="281">
        <f>$AZ$47+(seat_pitch)</f>
        <v>26.75</v>
      </c>
      <c r="BN4204" s="281">
        <f>$AX$13</f>
        <v>1.3100000000000003</v>
      </c>
      <c r="BO4204" s="281">
        <f t="shared" si="199"/>
        <v>8.9395200000000017</v>
      </c>
    </row>
    <row r="4205" spans="65:67" x14ac:dyDescent="0.25">
      <c r="BM4205" s="281">
        <f>$AZ$48+0.2*(seat_pitch)*($AY$48*n_SA+$AW$13&lt;pax_e)</f>
        <v>26.102</v>
      </c>
      <c r="BN4205" s="281">
        <f>$AX$13</f>
        <v>1.3100000000000003</v>
      </c>
      <c r="BO4205" s="281">
        <f t="shared" si="199"/>
        <v>8.291520000000002</v>
      </c>
    </row>
    <row r="4206" spans="65:67" x14ac:dyDescent="0.25">
      <c r="BM4206" s="281">
        <f>$AZ$48+0.2*(seat_pitch)*($AY$48*n_SA+$AW$13&lt;pax_e)</f>
        <v>26.102</v>
      </c>
      <c r="BN4206" s="281">
        <f>$AX$13+seat_w*($AY$48*n_SA+$AW$13&lt;pax_e)</f>
        <v>1.8400000000000003</v>
      </c>
      <c r="BO4206" s="281">
        <f t="shared" si="199"/>
        <v>8.291520000000002</v>
      </c>
    </row>
    <row r="4207" spans="65:67" x14ac:dyDescent="0.25">
      <c r="BM4207" s="281">
        <f>$AZ$48</f>
        <v>25.94</v>
      </c>
      <c r="BN4207" s="281">
        <f>$AX$13+seat_w*($AY$48*n_SA+$AW$13&lt;pax_e)</f>
        <v>1.8400000000000003</v>
      </c>
      <c r="BO4207" s="281">
        <f t="shared" si="199"/>
        <v>8.129520000000003</v>
      </c>
    </row>
    <row r="4208" spans="65:67" x14ac:dyDescent="0.25">
      <c r="BM4208" s="281">
        <f>$AZ$48+1*(seat_pitch)*($AY$48*n_SA+$AW$13&lt;pax_e)</f>
        <v>26.75</v>
      </c>
      <c r="BN4208" s="281">
        <f>$AX$13+seat_w*($AY$48*n_SA+$AW$13&lt;pax_e)</f>
        <v>1.8400000000000003</v>
      </c>
      <c r="BO4208" s="281">
        <f t="shared" si="199"/>
        <v>8.9395200000000017</v>
      </c>
    </row>
    <row r="4209" spans="65:67" x14ac:dyDescent="0.25">
      <c r="BM4209" s="281">
        <f>$AZ$48+0.8*(seat_pitch)*($AY$48*n_SA+$AW$13&lt;pax_e)</f>
        <v>26.588000000000001</v>
      </c>
      <c r="BN4209" s="281">
        <f>$AX$13+seat_w*($AY$48*n_SA+$AW$13&lt;pax_e)</f>
        <v>1.8400000000000003</v>
      </c>
      <c r="BO4209" s="281">
        <f t="shared" si="199"/>
        <v>8.7775200000000027</v>
      </c>
    </row>
    <row r="4210" spans="65:67" x14ac:dyDescent="0.25">
      <c r="BM4210" s="281">
        <f>$AZ$48+0.8*(seat_pitch)*($AY$48*n_SA+$AW$13&lt;pax_e)</f>
        <v>26.588000000000001</v>
      </c>
      <c r="BN4210" s="281">
        <f>$AX$13</f>
        <v>1.3100000000000003</v>
      </c>
      <c r="BO4210" s="281">
        <f t="shared" si="199"/>
        <v>8.7775200000000027</v>
      </c>
    </row>
    <row r="4211" spans="65:67" x14ac:dyDescent="0.25">
      <c r="BM4211" s="281">
        <f>$AZ$48+0.2*(seat_pitch)*($AY$48*n_SA+$AW$13&lt;pax_e)</f>
        <v>26.102</v>
      </c>
      <c r="BN4211" s="281">
        <f>$AX$13</f>
        <v>1.3100000000000003</v>
      </c>
      <c r="BO4211" s="281">
        <f t="shared" si="199"/>
        <v>8.291520000000002</v>
      </c>
    </row>
    <row r="4212" spans="65:67" x14ac:dyDescent="0.25">
      <c r="BM4212" s="281">
        <f>$AZ$48+(seat_pitch)</f>
        <v>26.75</v>
      </c>
      <c r="BN4212" s="281">
        <f>$AX$13</f>
        <v>1.3100000000000003</v>
      </c>
      <c r="BO4212" s="281">
        <f t="shared" si="199"/>
        <v>8.9395200000000017</v>
      </c>
    </row>
    <row r="4213" spans="65:67" x14ac:dyDescent="0.25">
      <c r="BM4213" s="281">
        <f>$AZ$49+0.2*(seat_pitch)*($AY$49*n_SA+$AW$13&lt;pax_e)</f>
        <v>26.102</v>
      </c>
      <c r="BN4213" s="281">
        <f>$AX$13</f>
        <v>1.3100000000000003</v>
      </c>
      <c r="BO4213" s="281">
        <f t="shared" si="199"/>
        <v>8.291520000000002</v>
      </c>
    </row>
    <row r="4214" spans="65:67" x14ac:dyDescent="0.25">
      <c r="BM4214" s="281">
        <f>$AZ$49+0.2*(seat_pitch)*($AY$49*n_SA+$AW$13&lt;pax_e)</f>
        <v>26.102</v>
      </c>
      <c r="BN4214" s="281">
        <f>$AX$13+seat_w*($AY$49*n_SA+$AW$13&lt;pax_e)</f>
        <v>1.8400000000000003</v>
      </c>
      <c r="BO4214" s="281">
        <f t="shared" si="199"/>
        <v>8.291520000000002</v>
      </c>
    </row>
    <row r="4215" spans="65:67" x14ac:dyDescent="0.25">
      <c r="BM4215" s="281">
        <f>$AZ$49</f>
        <v>25.94</v>
      </c>
      <c r="BN4215" s="281">
        <f>$AX$13+seat_w*($AY$49*n_SA+$AW$13&lt;pax_e)</f>
        <v>1.8400000000000003</v>
      </c>
      <c r="BO4215" s="281">
        <f t="shared" si="199"/>
        <v>8.129520000000003</v>
      </c>
    </row>
    <row r="4216" spans="65:67" x14ac:dyDescent="0.25">
      <c r="BM4216" s="281">
        <f>$AZ$49+1*(seat_pitch)*($AY$49*n_SA+$AW$13&lt;pax_e)</f>
        <v>26.75</v>
      </c>
      <c r="BN4216" s="281">
        <f>$AX$13+seat_w*($AY$49*n_SA+$AW$13&lt;pax_e)</f>
        <v>1.8400000000000003</v>
      </c>
      <c r="BO4216" s="281">
        <f t="shared" si="199"/>
        <v>8.9395200000000017</v>
      </c>
    </row>
    <row r="4217" spans="65:67" x14ac:dyDescent="0.25">
      <c r="BM4217" s="281">
        <f>$AZ$49+0.8*(seat_pitch)*($AY$49*n_SA+$AW$13&lt;pax_e)</f>
        <v>26.588000000000001</v>
      </c>
      <c r="BN4217" s="281">
        <f>$AX$13+seat_w*($AY$49*n_SA+$AW$13&lt;pax_e)</f>
        <v>1.8400000000000003</v>
      </c>
      <c r="BO4217" s="281">
        <f t="shared" si="199"/>
        <v>8.7775200000000027</v>
      </c>
    </row>
    <row r="4218" spans="65:67" x14ac:dyDescent="0.25">
      <c r="BM4218" s="281">
        <f>$AZ$49+0.8*(seat_pitch)*($AY$49*n_SA+$AW$13&lt;pax_e)</f>
        <v>26.588000000000001</v>
      </c>
      <c r="BN4218" s="281">
        <f>$AX$13</f>
        <v>1.3100000000000003</v>
      </c>
      <c r="BO4218" s="281">
        <f t="shared" si="199"/>
        <v>8.7775200000000027</v>
      </c>
    </row>
    <row r="4219" spans="65:67" x14ac:dyDescent="0.25">
      <c r="BM4219" s="281">
        <f>$AZ$49+0.2*(seat_pitch)*($AY$49*n_SA+$AW$13&lt;pax_e)</f>
        <v>26.102</v>
      </c>
      <c r="BN4219" s="281">
        <f>$AX$13</f>
        <v>1.3100000000000003</v>
      </c>
      <c r="BO4219" s="281">
        <f t="shared" si="199"/>
        <v>8.291520000000002</v>
      </c>
    </row>
    <row r="4220" spans="65:67" x14ac:dyDescent="0.25">
      <c r="BM4220" s="281">
        <f>$AZ$49+(seat_pitch)</f>
        <v>26.75</v>
      </c>
      <c r="BN4220" s="281">
        <f>$AX$13</f>
        <v>1.3100000000000003</v>
      </c>
      <c r="BO4220" s="281">
        <f t="shared" si="199"/>
        <v>8.9395200000000017</v>
      </c>
    </row>
    <row r="4221" spans="65:67" x14ac:dyDescent="0.25">
      <c r="BM4221" s="281">
        <f>$AZ$50+0.2*(seat_pitch)*($AY$50*n_SA+$AW$13&lt;pax_e)</f>
        <v>26.102</v>
      </c>
      <c r="BN4221" s="281">
        <f>$AX$13</f>
        <v>1.3100000000000003</v>
      </c>
      <c r="BO4221" s="281">
        <f t="shared" si="199"/>
        <v>8.291520000000002</v>
      </c>
    </row>
    <row r="4222" spans="65:67" x14ac:dyDescent="0.25">
      <c r="BM4222" s="281">
        <f>$AZ$50+0.2*(seat_pitch)*($AY$50*n_SA+$AW$13&lt;pax_e)</f>
        <v>26.102</v>
      </c>
      <c r="BN4222" s="281">
        <f>$AX$13+seat_w*($AY$50*n_SA+$AW$13&lt;pax_e)</f>
        <v>1.8400000000000003</v>
      </c>
      <c r="BO4222" s="281">
        <f t="shared" si="199"/>
        <v>8.291520000000002</v>
      </c>
    </row>
    <row r="4223" spans="65:67" x14ac:dyDescent="0.25">
      <c r="BM4223" s="281">
        <f>$AZ$50</f>
        <v>25.94</v>
      </c>
      <c r="BN4223" s="281">
        <f>$AX$13+seat_w*($AY$50*n_SA+$AW$13&lt;pax_e)</f>
        <v>1.8400000000000003</v>
      </c>
      <c r="BO4223" s="281">
        <f t="shared" si="199"/>
        <v>8.129520000000003</v>
      </c>
    </row>
    <row r="4224" spans="65:67" x14ac:dyDescent="0.25">
      <c r="BM4224" s="281">
        <f>$AZ$50+1*(seat_pitch)*($AY$50*n_SA+$AW$13&lt;pax_e)</f>
        <v>26.75</v>
      </c>
      <c r="BN4224" s="281">
        <f>$AX$13+seat_w*($AY$50*n_SA+$AW$13&lt;pax_e)</f>
        <v>1.8400000000000003</v>
      </c>
      <c r="BO4224" s="281">
        <f t="shared" si="199"/>
        <v>8.9395200000000017</v>
      </c>
    </row>
    <row r="4225" spans="65:67" x14ac:dyDescent="0.25">
      <c r="BM4225" s="281">
        <f>$AZ$50+0.8*(seat_pitch)*($AY$50*n_SA+$AW$13&lt;pax_e)</f>
        <v>26.588000000000001</v>
      </c>
      <c r="BN4225" s="281">
        <f>$AX$13+seat_w*($AY$50*n_SA+$AW$13&lt;pax_e)</f>
        <v>1.8400000000000003</v>
      </c>
      <c r="BO4225" s="281">
        <f t="shared" si="199"/>
        <v>8.7775200000000027</v>
      </c>
    </row>
    <row r="4226" spans="65:67" x14ac:dyDescent="0.25">
      <c r="BM4226" s="281">
        <f>$AZ$50+0.8*(seat_pitch)*($AY$50*n_SA+$AW$13&lt;pax_e)</f>
        <v>26.588000000000001</v>
      </c>
      <c r="BN4226" s="281">
        <f>$AX$13</f>
        <v>1.3100000000000003</v>
      </c>
      <c r="BO4226" s="281">
        <f t="shared" si="199"/>
        <v>8.7775200000000027</v>
      </c>
    </row>
    <row r="4227" spans="65:67" x14ac:dyDescent="0.25">
      <c r="BM4227" s="281">
        <f>$AZ$50+0.2*(seat_pitch)*($AY$50*n_SA+$AW$13&lt;pax_e)</f>
        <v>26.102</v>
      </c>
      <c r="BN4227" s="281">
        <f>$AX$13</f>
        <v>1.3100000000000003</v>
      </c>
      <c r="BO4227" s="281">
        <f t="shared" si="199"/>
        <v>8.291520000000002</v>
      </c>
    </row>
    <row r="4228" spans="65:67" x14ac:dyDescent="0.25">
      <c r="BM4228" s="281">
        <f>$AZ$50+(seat_pitch)</f>
        <v>26.75</v>
      </c>
      <c r="BN4228" s="281">
        <f>$AX$13</f>
        <v>1.3100000000000003</v>
      </c>
      <c r="BO4228" s="281">
        <f t="shared" si="199"/>
        <v>8.9395200000000017</v>
      </c>
    </row>
    <row r="4229" spans="65:67" x14ac:dyDescent="0.25">
      <c r="BM4229" s="281">
        <f>$AZ$51+0.2*(seat_pitch)*($AY$51*n_SA+$AW$13&lt;pax_e)</f>
        <v>26.102</v>
      </c>
      <c r="BN4229" s="281">
        <f>$AX$13</f>
        <v>1.3100000000000003</v>
      </c>
      <c r="BO4229" s="281">
        <f t="shared" ref="BO4229:BO4292" si="200">BM4229-L_fus/2</f>
        <v>8.291520000000002</v>
      </c>
    </row>
    <row r="4230" spans="65:67" x14ac:dyDescent="0.25">
      <c r="BM4230" s="281">
        <f>$AZ$51+0.2*(seat_pitch)*($AY$51*n_SA+$AW$13&lt;pax_e)</f>
        <v>26.102</v>
      </c>
      <c r="BN4230" s="281">
        <f>$AX$13+seat_w*($AY$51*n_SA+$AW$13&lt;pax_e)</f>
        <v>1.8400000000000003</v>
      </c>
      <c r="BO4230" s="281">
        <f t="shared" si="200"/>
        <v>8.291520000000002</v>
      </c>
    </row>
    <row r="4231" spans="65:67" x14ac:dyDescent="0.25">
      <c r="BM4231" s="281">
        <f>$AZ$51</f>
        <v>25.94</v>
      </c>
      <c r="BN4231" s="281">
        <f>$AX$13+seat_w*($AY$51*n_SA+$AW$13&lt;pax_e)</f>
        <v>1.8400000000000003</v>
      </c>
      <c r="BO4231" s="281">
        <f t="shared" si="200"/>
        <v>8.129520000000003</v>
      </c>
    </row>
    <row r="4232" spans="65:67" x14ac:dyDescent="0.25">
      <c r="BM4232" s="281">
        <f>$AZ$51+1*(seat_pitch)*($AY$51*n_SA+$AW$13&lt;pax_e)</f>
        <v>26.75</v>
      </c>
      <c r="BN4232" s="281">
        <f>$AX$13+seat_w*($AY$51*n_SA+$AW$13&lt;pax_e)</f>
        <v>1.8400000000000003</v>
      </c>
      <c r="BO4232" s="281">
        <f t="shared" si="200"/>
        <v>8.9395200000000017</v>
      </c>
    </row>
    <row r="4233" spans="65:67" x14ac:dyDescent="0.25">
      <c r="BM4233" s="281">
        <f>$AZ$51+0.8*(seat_pitch)*($AY$51*n_SA+$AW$13&lt;pax_e)</f>
        <v>26.588000000000001</v>
      </c>
      <c r="BN4233" s="281">
        <f>$AX$13+seat_w*($AY$51*n_SA+$AW$13&lt;pax_e)</f>
        <v>1.8400000000000003</v>
      </c>
      <c r="BO4233" s="281">
        <f t="shared" si="200"/>
        <v>8.7775200000000027</v>
      </c>
    </row>
    <row r="4234" spans="65:67" x14ac:dyDescent="0.25">
      <c r="BM4234" s="281">
        <f>$AZ$51+0.8*(seat_pitch)*($AY$51*n_SA+$AW$13&lt;pax_e)</f>
        <v>26.588000000000001</v>
      </c>
      <c r="BN4234" s="281">
        <f>$AX$13</f>
        <v>1.3100000000000003</v>
      </c>
      <c r="BO4234" s="281">
        <f t="shared" si="200"/>
        <v>8.7775200000000027</v>
      </c>
    </row>
    <row r="4235" spans="65:67" x14ac:dyDescent="0.25">
      <c r="BM4235" s="281">
        <f>$AZ$51+0.2*(seat_pitch)*($AY$51*n_SA+$AW$13&lt;pax_e)</f>
        <v>26.102</v>
      </c>
      <c r="BN4235" s="281">
        <f>$AX$13</f>
        <v>1.3100000000000003</v>
      </c>
      <c r="BO4235" s="281">
        <f t="shared" si="200"/>
        <v>8.291520000000002</v>
      </c>
    </row>
    <row r="4236" spans="65:67" x14ac:dyDescent="0.25">
      <c r="BM4236" s="281">
        <f>$AZ$51+(seat_pitch)</f>
        <v>26.75</v>
      </c>
      <c r="BN4236" s="281">
        <f>$AX$13</f>
        <v>1.3100000000000003</v>
      </c>
      <c r="BO4236" s="281">
        <f t="shared" si="200"/>
        <v>8.9395200000000017</v>
      </c>
    </row>
    <row r="4237" spans="65:67" x14ac:dyDescent="0.25">
      <c r="BM4237" s="281">
        <f>$AZ$52+0.2*(seat_pitch)*($AY$52*n_SA+$AW$13&lt;pax_e)</f>
        <v>26.102</v>
      </c>
      <c r="BN4237" s="281">
        <f>$AX$13</f>
        <v>1.3100000000000003</v>
      </c>
      <c r="BO4237" s="281">
        <f t="shared" si="200"/>
        <v>8.291520000000002</v>
      </c>
    </row>
    <row r="4238" spans="65:67" x14ac:dyDescent="0.25">
      <c r="BM4238" s="281">
        <f>$AZ$52+0.2*(seat_pitch)*($AY$52*n_SA+$AW$13&lt;pax_e)</f>
        <v>26.102</v>
      </c>
      <c r="BN4238" s="281">
        <f>$AX$13+seat_w*($AY$52*n_SA+$AW$13&lt;pax_e)</f>
        <v>1.8400000000000003</v>
      </c>
      <c r="BO4238" s="281">
        <f t="shared" si="200"/>
        <v>8.291520000000002</v>
      </c>
    </row>
    <row r="4239" spans="65:67" x14ac:dyDescent="0.25">
      <c r="BM4239" s="281">
        <f>$AZ$52</f>
        <v>25.94</v>
      </c>
      <c r="BN4239" s="281">
        <f>$AX$13+seat_w*($AY$52*n_SA+$AW$13&lt;pax_e)</f>
        <v>1.8400000000000003</v>
      </c>
      <c r="BO4239" s="281">
        <f t="shared" si="200"/>
        <v>8.129520000000003</v>
      </c>
    </row>
    <row r="4240" spans="65:67" x14ac:dyDescent="0.25">
      <c r="BM4240" s="281">
        <f>$AZ$52+1*(seat_pitch)*($AY$52*n_SA+$AW$13&lt;pax_e)</f>
        <v>26.75</v>
      </c>
      <c r="BN4240" s="281">
        <f>$AX$13+seat_w*($AY$52*n_SA+$AW$13&lt;pax_e)</f>
        <v>1.8400000000000003</v>
      </c>
      <c r="BO4240" s="281">
        <f t="shared" si="200"/>
        <v>8.9395200000000017</v>
      </c>
    </row>
    <row r="4241" spans="65:67" x14ac:dyDescent="0.25">
      <c r="BM4241" s="281">
        <f>$AZ$52+0.8*(seat_pitch)*($AY$52*n_SA+$AW$13&lt;pax_e)</f>
        <v>26.588000000000001</v>
      </c>
      <c r="BN4241" s="281">
        <f>$AX$13+seat_w*($AY$52*n_SA+$AW$13&lt;pax_e)</f>
        <v>1.8400000000000003</v>
      </c>
      <c r="BO4241" s="281">
        <f t="shared" si="200"/>
        <v>8.7775200000000027</v>
      </c>
    </row>
    <row r="4242" spans="65:67" x14ac:dyDescent="0.25">
      <c r="BM4242" s="281">
        <f>$AZ$52+0.8*(seat_pitch)*($AY$52*n_SA+$AW$13&lt;pax_e)</f>
        <v>26.588000000000001</v>
      </c>
      <c r="BN4242" s="281">
        <f>$AX$13</f>
        <v>1.3100000000000003</v>
      </c>
      <c r="BO4242" s="281">
        <f t="shared" si="200"/>
        <v>8.7775200000000027</v>
      </c>
    </row>
    <row r="4243" spans="65:67" x14ac:dyDescent="0.25">
      <c r="BM4243" s="281">
        <f>$AZ$52+0.2*(seat_pitch)*($AY$52*n_SA+$AW$13&lt;pax_e)</f>
        <v>26.102</v>
      </c>
      <c r="BN4243" s="281">
        <f>$AX$13</f>
        <v>1.3100000000000003</v>
      </c>
      <c r="BO4243" s="281">
        <f t="shared" si="200"/>
        <v>8.291520000000002</v>
      </c>
    </row>
    <row r="4244" spans="65:67" x14ac:dyDescent="0.25">
      <c r="BM4244" s="281">
        <f>$AZ$52+(seat_pitch)</f>
        <v>26.75</v>
      </c>
      <c r="BN4244" s="281">
        <f>$AX$13</f>
        <v>1.3100000000000003</v>
      </c>
      <c r="BO4244" s="281">
        <f t="shared" si="200"/>
        <v>8.9395200000000017</v>
      </c>
    </row>
    <row r="4245" spans="65:67" x14ac:dyDescent="0.25">
      <c r="BM4245" s="281">
        <f>$AZ$53+0.2*(seat_pitch)*($AY$53*n_SA+$AW$13&lt;pax_e)</f>
        <v>26.102</v>
      </c>
      <c r="BN4245" s="281">
        <f>$AX$13</f>
        <v>1.3100000000000003</v>
      </c>
      <c r="BO4245" s="281">
        <f t="shared" si="200"/>
        <v>8.291520000000002</v>
      </c>
    </row>
    <row r="4246" spans="65:67" x14ac:dyDescent="0.25">
      <c r="BM4246" s="281">
        <f>$AZ$53+0.2*(seat_pitch)*($AY$53*n_SA+$AW$13&lt;pax_e)</f>
        <v>26.102</v>
      </c>
      <c r="BN4246" s="281">
        <f>$AX$13+seat_w*($AY$53*n_SA+$AW$13&lt;pax_e)</f>
        <v>1.8400000000000003</v>
      </c>
      <c r="BO4246" s="281">
        <f t="shared" si="200"/>
        <v>8.291520000000002</v>
      </c>
    </row>
    <row r="4247" spans="65:67" x14ac:dyDescent="0.25">
      <c r="BM4247" s="281">
        <f>$AZ$53</f>
        <v>25.94</v>
      </c>
      <c r="BN4247" s="281">
        <f>$AX$13+seat_w*($AY$53*n_SA+$AW$13&lt;pax_e)</f>
        <v>1.8400000000000003</v>
      </c>
      <c r="BO4247" s="281">
        <f t="shared" si="200"/>
        <v>8.129520000000003</v>
      </c>
    </row>
    <row r="4248" spans="65:67" x14ac:dyDescent="0.25">
      <c r="BM4248" s="281">
        <f>$AZ$53+1*(seat_pitch)*($AY$53*n_SA+$AW$13&lt;pax_e)</f>
        <v>26.75</v>
      </c>
      <c r="BN4248" s="281">
        <f>$AX$13+seat_w*($AY$53*n_SA+$AW$13&lt;pax_e)</f>
        <v>1.8400000000000003</v>
      </c>
      <c r="BO4248" s="281">
        <f t="shared" si="200"/>
        <v>8.9395200000000017</v>
      </c>
    </row>
    <row r="4249" spans="65:67" x14ac:dyDescent="0.25">
      <c r="BM4249" s="281">
        <f>$AZ$53+0.8*(seat_pitch)*($AY$53*n_SA+$AW$13&lt;pax_e)</f>
        <v>26.588000000000001</v>
      </c>
      <c r="BN4249" s="281">
        <f>$AX$13+seat_w*($AY$53*n_SA+$AW$13&lt;pax_e)</f>
        <v>1.8400000000000003</v>
      </c>
      <c r="BO4249" s="281">
        <f t="shared" si="200"/>
        <v>8.7775200000000027</v>
      </c>
    </row>
    <row r="4250" spans="65:67" x14ac:dyDescent="0.25">
      <c r="BM4250" s="281">
        <f>$AZ$53+0.8*(seat_pitch)*($AY$53*n_SA+$AW$13&lt;pax_e)</f>
        <v>26.588000000000001</v>
      </c>
      <c r="BN4250" s="281">
        <f>$AX$13</f>
        <v>1.3100000000000003</v>
      </c>
      <c r="BO4250" s="281">
        <f t="shared" si="200"/>
        <v>8.7775200000000027</v>
      </c>
    </row>
    <row r="4251" spans="65:67" x14ac:dyDescent="0.25">
      <c r="BM4251" s="281">
        <f>$AZ$53+0.2*(seat_pitch)*($AY$53*n_SA+$AW$13&lt;pax_e)</f>
        <v>26.102</v>
      </c>
      <c r="BN4251" s="281">
        <f>$AX$13</f>
        <v>1.3100000000000003</v>
      </c>
      <c r="BO4251" s="281">
        <f t="shared" si="200"/>
        <v>8.291520000000002</v>
      </c>
    </row>
    <row r="4252" spans="65:67" x14ac:dyDescent="0.25">
      <c r="BM4252" s="281">
        <f>$AZ$53+(seat_pitch)</f>
        <v>26.75</v>
      </c>
      <c r="BN4252" s="281">
        <f>$AX$13</f>
        <v>1.3100000000000003</v>
      </c>
      <c r="BO4252" s="281">
        <f t="shared" si="200"/>
        <v>8.9395200000000017</v>
      </c>
    </row>
    <row r="4253" spans="65:67" x14ac:dyDescent="0.25">
      <c r="BM4253" s="281">
        <f>$AZ$54+0.2*(seat_pitch)*($AY$54*n_SA+$AW$13&lt;pax_e)</f>
        <v>26.102</v>
      </c>
      <c r="BN4253" s="281">
        <f>$AX$13</f>
        <v>1.3100000000000003</v>
      </c>
      <c r="BO4253" s="281">
        <f t="shared" si="200"/>
        <v>8.291520000000002</v>
      </c>
    </row>
    <row r="4254" spans="65:67" x14ac:dyDescent="0.25">
      <c r="BM4254" s="281">
        <f>$AZ$54+0.2*(seat_pitch)*($AY$54*n_SA+$AW$13&lt;pax_e)</f>
        <v>26.102</v>
      </c>
      <c r="BN4254" s="281">
        <f>$AX$13+seat_w*($AY$54*n_SA+$AW$13&lt;pax_e)</f>
        <v>1.8400000000000003</v>
      </c>
      <c r="BO4254" s="281">
        <f t="shared" si="200"/>
        <v>8.291520000000002</v>
      </c>
    </row>
    <row r="4255" spans="65:67" x14ac:dyDescent="0.25">
      <c r="BM4255" s="281">
        <f>$AZ$54</f>
        <v>25.94</v>
      </c>
      <c r="BN4255" s="281">
        <f>$AX$13+seat_w*($AY$54*n_SA+$AW$13&lt;pax_e)</f>
        <v>1.8400000000000003</v>
      </c>
      <c r="BO4255" s="281">
        <f t="shared" si="200"/>
        <v>8.129520000000003</v>
      </c>
    </row>
    <row r="4256" spans="65:67" x14ac:dyDescent="0.25">
      <c r="BM4256" s="281">
        <f>$AZ$54+1*(seat_pitch)*($AY$54*n_SA+$AW$13&lt;pax_e)</f>
        <v>26.75</v>
      </c>
      <c r="BN4256" s="281">
        <f>$AX$13+seat_w*($AY$54*n_SA+$AW$13&lt;pax_e)</f>
        <v>1.8400000000000003</v>
      </c>
      <c r="BO4256" s="281">
        <f t="shared" si="200"/>
        <v>8.9395200000000017</v>
      </c>
    </row>
    <row r="4257" spans="65:67" x14ac:dyDescent="0.25">
      <c r="BM4257" s="281">
        <f>$AZ$54+0.8*(seat_pitch)*($AY$54*n_SA+$AW$13&lt;pax_e)</f>
        <v>26.588000000000001</v>
      </c>
      <c r="BN4257" s="281">
        <f>$AX$13+seat_w*($AY$54*n_SA+$AW$13&lt;pax_e)</f>
        <v>1.8400000000000003</v>
      </c>
      <c r="BO4257" s="281">
        <f t="shared" si="200"/>
        <v>8.7775200000000027</v>
      </c>
    </row>
    <row r="4258" spans="65:67" x14ac:dyDescent="0.25">
      <c r="BM4258" s="281">
        <f>$AZ$54+0.8*(seat_pitch)*($AY$54*n_SA+$AW$13&lt;pax_e)</f>
        <v>26.588000000000001</v>
      </c>
      <c r="BN4258" s="281">
        <f>$AX$13</f>
        <v>1.3100000000000003</v>
      </c>
      <c r="BO4258" s="281">
        <f t="shared" si="200"/>
        <v>8.7775200000000027</v>
      </c>
    </row>
    <row r="4259" spans="65:67" x14ac:dyDescent="0.25">
      <c r="BM4259" s="281">
        <f>$AZ$54+0.2*(seat_pitch)*($AY$54*n_SA+$AW$13&lt;pax_e)</f>
        <v>26.102</v>
      </c>
      <c r="BN4259" s="281">
        <f>$AX$13</f>
        <v>1.3100000000000003</v>
      </c>
      <c r="BO4259" s="281">
        <f t="shared" si="200"/>
        <v>8.291520000000002</v>
      </c>
    </row>
    <row r="4260" spans="65:67" x14ac:dyDescent="0.25">
      <c r="BM4260" s="281">
        <f>$AZ$54+(seat_pitch)</f>
        <v>26.75</v>
      </c>
      <c r="BN4260" s="281">
        <f>$AX$13</f>
        <v>1.3100000000000003</v>
      </c>
      <c r="BO4260" s="281">
        <f t="shared" si="200"/>
        <v>8.9395200000000017</v>
      </c>
    </row>
    <row r="4261" spans="65:67" x14ac:dyDescent="0.25">
      <c r="BM4261" s="281">
        <f>$AZ$55+0.2*(seat_pitch)*($AY$55*n_SA+$AW$13&lt;pax_e)</f>
        <v>26.102</v>
      </c>
      <c r="BN4261" s="281">
        <f>$AX$13</f>
        <v>1.3100000000000003</v>
      </c>
      <c r="BO4261" s="281">
        <f t="shared" si="200"/>
        <v>8.291520000000002</v>
      </c>
    </row>
    <row r="4262" spans="65:67" x14ac:dyDescent="0.25">
      <c r="BM4262" s="281">
        <f>$AZ$55+0.2*(seat_pitch)*($AY$55*n_SA+$AW$13&lt;pax_e)</f>
        <v>26.102</v>
      </c>
      <c r="BN4262" s="281">
        <f>$AX$13+seat_w*($AY$55*n_SA+$AW$13&lt;pax_e)</f>
        <v>1.8400000000000003</v>
      </c>
      <c r="BO4262" s="281">
        <f t="shared" si="200"/>
        <v>8.291520000000002</v>
      </c>
    </row>
    <row r="4263" spans="65:67" x14ac:dyDescent="0.25">
      <c r="BM4263" s="281">
        <f>$AZ$55</f>
        <v>25.94</v>
      </c>
      <c r="BN4263" s="281">
        <f>$AX$13+seat_w*($AY$55*n_SA+$AW$13&lt;pax_e)</f>
        <v>1.8400000000000003</v>
      </c>
      <c r="BO4263" s="281">
        <f t="shared" si="200"/>
        <v>8.129520000000003</v>
      </c>
    </row>
    <row r="4264" spans="65:67" x14ac:dyDescent="0.25">
      <c r="BM4264" s="281">
        <f>$AZ$55+1*(seat_pitch)*($AY$55*n_SA+$AW$13&lt;pax_e)</f>
        <v>26.75</v>
      </c>
      <c r="BN4264" s="281">
        <f>$AX$13+seat_w*($AY$55*n_SA+$AW$13&lt;pax_e)</f>
        <v>1.8400000000000003</v>
      </c>
      <c r="BO4264" s="281">
        <f t="shared" si="200"/>
        <v>8.9395200000000017</v>
      </c>
    </row>
    <row r="4265" spans="65:67" x14ac:dyDescent="0.25">
      <c r="BM4265" s="281">
        <f>$AZ$55+0.8*(seat_pitch)*($AY$55*n_SA+$AW$13&lt;pax_e)</f>
        <v>26.588000000000001</v>
      </c>
      <c r="BN4265" s="281">
        <f>$AX$13+seat_w*($AY$55*n_SA+$AW$13&lt;pax_e)</f>
        <v>1.8400000000000003</v>
      </c>
      <c r="BO4265" s="281">
        <f t="shared" si="200"/>
        <v>8.7775200000000027</v>
      </c>
    </row>
    <row r="4266" spans="65:67" x14ac:dyDescent="0.25">
      <c r="BM4266" s="281">
        <f>$AZ$55+0.8*(seat_pitch)*($AY$55*n_SA+$AW$13&lt;pax_e)</f>
        <v>26.588000000000001</v>
      </c>
      <c r="BN4266" s="281">
        <f>$AX$13</f>
        <v>1.3100000000000003</v>
      </c>
      <c r="BO4266" s="281">
        <f t="shared" si="200"/>
        <v>8.7775200000000027</v>
      </c>
    </row>
    <row r="4267" spans="65:67" x14ac:dyDescent="0.25">
      <c r="BM4267" s="281">
        <f>$AZ$55+0.2*(seat_pitch)*($AY$55*n_SA+$AW$13&lt;pax_e)</f>
        <v>26.102</v>
      </c>
      <c r="BN4267" s="281">
        <f>$AX$13</f>
        <v>1.3100000000000003</v>
      </c>
      <c r="BO4267" s="281">
        <f t="shared" si="200"/>
        <v>8.291520000000002</v>
      </c>
    </row>
    <row r="4268" spans="65:67" x14ac:dyDescent="0.25">
      <c r="BM4268" s="281">
        <f>$AZ$55+(seat_pitch)</f>
        <v>26.75</v>
      </c>
      <c r="BN4268" s="281">
        <f>$AX$13</f>
        <v>1.3100000000000003</v>
      </c>
      <c r="BO4268" s="281">
        <f t="shared" si="200"/>
        <v>8.9395200000000017</v>
      </c>
    </row>
    <row r="4269" spans="65:67" x14ac:dyDescent="0.25">
      <c r="BM4269" s="281">
        <f>$AZ$56+0.2*(seat_pitch)*($AY$56*n_SA+$AW$13&lt;pax_e)</f>
        <v>26.102</v>
      </c>
      <c r="BN4269" s="281">
        <f>$AX$13</f>
        <v>1.3100000000000003</v>
      </c>
      <c r="BO4269" s="281">
        <f t="shared" si="200"/>
        <v>8.291520000000002</v>
      </c>
    </row>
    <row r="4270" spans="65:67" x14ac:dyDescent="0.25">
      <c r="BM4270" s="281">
        <f>$AZ$56+0.2*(seat_pitch)*($AY$56*n_SA+$AW$13&lt;pax_e)</f>
        <v>26.102</v>
      </c>
      <c r="BN4270" s="281">
        <f>$AX$13+seat_w*($AY$56*n_SA+$AW$13&lt;pax_e)</f>
        <v>1.8400000000000003</v>
      </c>
      <c r="BO4270" s="281">
        <f t="shared" si="200"/>
        <v>8.291520000000002</v>
      </c>
    </row>
    <row r="4271" spans="65:67" x14ac:dyDescent="0.25">
      <c r="BM4271" s="281">
        <f>$AZ$56</f>
        <v>25.94</v>
      </c>
      <c r="BN4271" s="281">
        <f>$AX$13+seat_w*($AY$56*n_SA+$AW$13&lt;pax_e)</f>
        <v>1.8400000000000003</v>
      </c>
      <c r="BO4271" s="281">
        <f t="shared" si="200"/>
        <v>8.129520000000003</v>
      </c>
    </row>
    <row r="4272" spans="65:67" x14ac:dyDescent="0.25">
      <c r="BM4272" s="281">
        <f>$AZ$56+1*(seat_pitch)*($AY$56*n_SA+$AW$13&lt;pax_e)</f>
        <v>26.75</v>
      </c>
      <c r="BN4272" s="281">
        <f>$AX$13+seat_w*($AY$56*n_SA+$AW$13&lt;pax_e)</f>
        <v>1.8400000000000003</v>
      </c>
      <c r="BO4272" s="281">
        <f t="shared" si="200"/>
        <v>8.9395200000000017</v>
      </c>
    </row>
    <row r="4273" spans="65:67" x14ac:dyDescent="0.25">
      <c r="BM4273" s="281">
        <f>$AZ$56+0.8*(seat_pitch)*($AY$56*n_SA+$AW$13&lt;pax_e)</f>
        <v>26.588000000000001</v>
      </c>
      <c r="BN4273" s="281">
        <f>$AX$13+seat_w*($AY$56*n_SA+$AW$13&lt;pax_e)</f>
        <v>1.8400000000000003</v>
      </c>
      <c r="BO4273" s="281">
        <f t="shared" si="200"/>
        <v>8.7775200000000027</v>
      </c>
    </row>
    <row r="4274" spans="65:67" x14ac:dyDescent="0.25">
      <c r="BM4274" s="281">
        <f>$AZ$56+0.8*(seat_pitch)*($AY$56*n_SA+$AW$13&lt;pax_e)</f>
        <v>26.588000000000001</v>
      </c>
      <c r="BN4274" s="281">
        <f>$AX$13</f>
        <v>1.3100000000000003</v>
      </c>
      <c r="BO4274" s="281">
        <f t="shared" si="200"/>
        <v>8.7775200000000027</v>
      </c>
    </row>
    <row r="4275" spans="65:67" x14ac:dyDescent="0.25">
      <c r="BM4275" s="281">
        <f>$AZ$56+0.2*(seat_pitch)*($AY$56*n_SA+$AW$13&lt;pax_e)</f>
        <v>26.102</v>
      </c>
      <c r="BN4275" s="281">
        <f>$AX$13</f>
        <v>1.3100000000000003</v>
      </c>
      <c r="BO4275" s="281">
        <f t="shared" si="200"/>
        <v>8.291520000000002</v>
      </c>
    </row>
    <row r="4276" spans="65:67" x14ac:dyDescent="0.25">
      <c r="BM4276" s="281">
        <f>$AZ$56+(seat_pitch)</f>
        <v>26.75</v>
      </c>
      <c r="BN4276" s="281">
        <f>$AX$13</f>
        <v>1.3100000000000003</v>
      </c>
      <c r="BO4276" s="281">
        <f t="shared" si="200"/>
        <v>8.9395200000000017</v>
      </c>
    </row>
    <row r="4277" spans="65:67" x14ac:dyDescent="0.25">
      <c r="BM4277" s="281">
        <f>$AZ$57+0.2*(seat_pitch)*($AY$57*n_SA+$AW$13&lt;pax_e)</f>
        <v>26.102</v>
      </c>
      <c r="BN4277" s="281">
        <f>$AX$13</f>
        <v>1.3100000000000003</v>
      </c>
      <c r="BO4277" s="281">
        <f t="shared" si="200"/>
        <v>8.291520000000002</v>
      </c>
    </row>
    <row r="4278" spans="65:67" x14ac:dyDescent="0.25">
      <c r="BM4278" s="281">
        <f>$AZ$57+0.2*(seat_pitch)*($AY$57*n_SA+$AW$13&lt;pax_e)</f>
        <v>26.102</v>
      </c>
      <c r="BN4278" s="281">
        <f>$AX$13+seat_w*($AY$57*n_SA+$AW$13&lt;pax_e)</f>
        <v>1.8400000000000003</v>
      </c>
      <c r="BO4278" s="281">
        <f t="shared" si="200"/>
        <v>8.291520000000002</v>
      </c>
    </row>
    <row r="4279" spans="65:67" x14ac:dyDescent="0.25">
      <c r="BM4279" s="281">
        <f>$AZ$57</f>
        <v>25.94</v>
      </c>
      <c r="BN4279" s="281">
        <f>$AX$13+seat_w*($AY$57*n_SA+$AW$13&lt;pax_e)</f>
        <v>1.8400000000000003</v>
      </c>
      <c r="BO4279" s="281">
        <f t="shared" si="200"/>
        <v>8.129520000000003</v>
      </c>
    </row>
    <row r="4280" spans="65:67" x14ac:dyDescent="0.25">
      <c r="BM4280" s="281">
        <f>$AZ$57+1*(seat_pitch)*($AY$57*n_SA+$AW$13&lt;pax_e)</f>
        <v>26.75</v>
      </c>
      <c r="BN4280" s="281">
        <f>$AX$13+seat_w*($AY$57*n_SA+$AW$13&lt;pax_e)</f>
        <v>1.8400000000000003</v>
      </c>
      <c r="BO4280" s="281">
        <f t="shared" si="200"/>
        <v>8.9395200000000017</v>
      </c>
    </row>
    <row r="4281" spans="65:67" x14ac:dyDescent="0.25">
      <c r="BM4281" s="281">
        <f>$AZ$57+0.8*(seat_pitch)*($AY$57*n_SA+$AW$13&lt;pax_e)</f>
        <v>26.588000000000001</v>
      </c>
      <c r="BN4281" s="281">
        <f>$AX$13+seat_w*($AY$57*n_SA+$AW$13&lt;pax_e)</f>
        <v>1.8400000000000003</v>
      </c>
      <c r="BO4281" s="281">
        <f t="shared" si="200"/>
        <v>8.7775200000000027</v>
      </c>
    </row>
    <row r="4282" spans="65:67" x14ac:dyDescent="0.25">
      <c r="BM4282" s="281">
        <f>$AZ$57+0.8*(seat_pitch)*($AY$57*n_SA+$AW$13&lt;pax_e)</f>
        <v>26.588000000000001</v>
      </c>
      <c r="BN4282" s="281">
        <f>$AX$13</f>
        <v>1.3100000000000003</v>
      </c>
      <c r="BO4282" s="281">
        <f t="shared" si="200"/>
        <v>8.7775200000000027</v>
      </c>
    </row>
    <row r="4283" spans="65:67" x14ac:dyDescent="0.25">
      <c r="BM4283" s="281">
        <f>$AZ$57+0.2*(seat_pitch)*($AY$57*n_SA+$AW$13&lt;pax_e)</f>
        <v>26.102</v>
      </c>
      <c r="BN4283" s="281">
        <f>$AX$13</f>
        <v>1.3100000000000003</v>
      </c>
      <c r="BO4283" s="281">
        <f t="shared" si="200"/>
        <v>8.291520000000002</v>
      </c>
    </row>
    <row r="4284" spans="65:67" x14ac:dyDescent="0.25">
      <c r="BM4284" s="281">
        <f>$AZ$57+(seat_pitch)</f>
        <v>26.75</v>
      </c>
      <c r="BN4284" s="281">
        <f>$AX$13</f>
        <v>1.3100000000000003</v>
      </c>
      <c r="BO4284" s="281">
        <f t="shared" si="200"/>
        <v>8.9395200000000017</v>
      </c>
    </row>
    <row r="4285" spans="65:67" x14ac:dyDescent="0.25">
      <c r="BM4285" s="281">
        <f>$AZ$58+0.2*(seat_pitch)*($AY$58*n_SA+$AW$13&lt;pax_e)</f>
        <v>26.102</v>
      </c>
      <c r="BN4285" s="281">
        <f>$AX$13</f>
        <v>1.3100000000000003</v>
      </c>
      <c r="BO4285" s="281">
        <f t="shared" si="200"/>
        <v>8.291520000000002</v>
      </c>
    </row>
    <row r="4286" spans="65:67" x14ac:dyDescent="0.25">
      <c r="BM4286" s="281">
        <f>$AZ$58+0.2*(seat_pitch)*($AY$58*n_SA+$AW$13&lt;pax_e)</f>
        <v>26.102</v>
      </c>
      <c r="BN4286" s="281">
        <f>$AX$13+seat_w*($AY$58*n_SA+$AW$13&lt;pax_e)</f>
        <v>1.8400000000000003</v>
      </c>
      <c r="BO4286" s="281">
        <f t="shared" si="200"/>
        <v>8.291520000000002</v>
      </c>
    </row>
    <row r="4287" spans="65:67" x14ac:dyDescent="0.25">
      <c r="BM4287" s="281">
        <f>$AZ$58</f>
        <v>25.94</v>
      </c>
      <c r="BN4287" s="281">
        <f>$AX$13+seat_w*($AY$58*n_SA+$AW$13&lt;pax_e)</f>
        <v>1.8400000000000003</v>
      </c>
      <c r="BO4287" s="281">
        <f t="shared" si="200"/>
        <v>8.129520000000003</v>
      </c>
    </row>
    <row r="4288" spans="65:67" x14ac:dyDescent="0.25">
      <c r="BM4288" s="281">
        <f>$AZ$58+1*(seat_pitch)*($AY$58*n_SA+$AW$13&lt;pax_e)</f>
        <v>26.75</v>
      </c>
      <c r="BN4288" s="281">
        <f>$AX$13+seat_w*($AY$58*n_SA+$AW$13&lt;pax_e)</f>
        <v>1.8400000000000003</v>
      </c>
      <c r="BO4288" s="281">
        <f t="shared" si="200"/>
        <v>8.9395200000000017</v>
      </c>
    </row>
    <row r="4289" spans="65:67" x14ac:dyDescent="0.25">
      <c r="BM4289" s="281">
        <f>$AZ$58+0.8*(seat_pitch)*($AY$58*n_SA+$AW$13&lt;pax_e)</f>
        <v>26.588000000000001</v>
      </c>
      <c r="BN4289" s="281">
        <f>$AX$13+seat_w*($AY$58*n_SA+$AW$13&lt;pax_e)</f>
        <v>1.8400000000000003</v>
      </c>
      <c r="BO4289" s="281">
        <f t="shared" si="200"/>
        <v>8.7775200000000027</v>
      </c>
    </row>
    <row r="4290" spans="65:67" x14ac:dyDescent="0.25">
      <c r="BM4290" s="281">
        <f>$AZ$58+0.8*(seat_pitch)*($AY$58*n_SA+$AW$13&lt;pax_e)</f>
        <v>26.588000000000001</v>
      </c>
      <c r="BN4290" s="281">
        <f>$AX$13</f>
        <v>1.3100000000000003</v>
      </c>
      <c r="BO4290" s="281">
        <f t="shared" si="200"/>
        <v>8.7775200000000027</v>
      </c>
    </row>
    <row r="4291" spans="65:67" x14ac:dyDescent="0.25">
      <c r="BM4291" s="281">
        <f>$AZ$58+0.2*(seat_pitch)*($AY$58*n_SA+$AW$13&lt;pax_e)</f>
        <v>26.102</v>
      </c>
      <c r="BN4291" s="281">
        <f>$AX$13</f>
        <v>1.3100000000000003</v>
      </c>
      <c r="BO4291" s="281">
        <f t="shared" si="200"/>
        <v>8.291520000000002</v>
      </c>
    </row>
    <row r="4292" spans="65:67" x14ac:dyDescent="0.25">
      <c r="BM4292" s="281">
        <f>$AZ$58+(seat_pitch)</f>
        <v>26.75</v>
      </c>
      <c r="BN4292" s="281">
        <f>$AX$13</f>
        <v>1.3100000000000003</v>
      </c>
      <c r="BO4292" s="281">
        <f t="shared" si="200"/>
        <v>8.9395200000000017</v>
      </c>
    </row>
    <row r="4293" spans="65:67" x14ac:dyDescent="0.25">
      <c r="BM4293" s="281">
        <f>$AZ$59+0.2*(seat_pitch)*($AY$59*n_SA+$AW$13&lt;pax_e)</f>
        <v>26.102</v>
      </c>
      <c r="BN4293" s="281">
        <f>$AX$13</f>
        <v>1.3100000000000003</v>
      </c>
      <c r="BO4293" s="281">
        <f t="shared" ref="BO4293:BO4356" si="201">BM4293-L_fus/2</f>
        <v>8.291520000000002</v>
      </c>
    </row>
    <row r="4294" spans="65:67" x14ac:dyDescent="0.25">
      <c r="BM4294" s="281">
        <f>$AZ$59+0.2*(seat_pitch)*($AY$59*n_SA+$AW$13&lt;pax_e)</f>
        <v>26.102</v>
      </c>
      <c r="BN4294" s="281">
        <f>$AX$13+seat_w*($AY$59*n_SA+$AW$13&lt;pax_e)</f>
        <v>1.8400000000000003</v>
      </c>
      <c r="BO4294" s="281">
        <f t="shared" si="201"/>
        <v>8.291520000000002</v>
      </c>
    </row>
    <row r="4295" spans="65:67" x14ac:dyDescent="0.25">
      <c r="BM4295" s="281">
        <f>$AZ$59</f>
        <v>25.94</v>
      </c>
      <c r="BN4295" s="281">
        <f>$AX$13+seat_w*($AY$59*n_SA+$AW$13&lt;pax_e)</f>
        <v>1.8400000000000003</v>
      </c>
      <c r="BO4295" s="281">
        <f t="shared" si="201"/>
        <v>8.129520000000003</v>
      </c>
    </row>
    <row r="4296" spans="65:67" x14ac:dyDescent="0.25">
      <c r="BM4296" s="281">
        <f>$AZ$59+1*(seat_pitch)*($AY$59*n_SA+$AW$13&lt;pax_e)</f>
        <v>26.75</v>
      </c>
      <c r="BN4296" s="281">
        <f>$AX$13+seat_w*($AY$59*n_SA+$AW$13&lt;pax_e)</f>
        <v>1.8400000000000003</v>
      </c>
      <c r="BO4296" s="281">
        <f t="shared" si="201"/>
        <v>8.9395200000000017</v>
      </c>
    </row>
    <row r="4297" spans="65:67" x14ac:dyDescent="0.25">
      <c r="BM4297" s="281">
        <f>$AZ$59+0.8*(seat_pitch)*($AY$59*n_SA+$AW$13&lt;pax_e)</f>
        <v>26.588000000000001</v>
      </c>
      <c r="BN4297" s="281">
        <f>$AX$13+seat_w*($AY$59*n_SA+$AW$13&lt;pax_e)</f>
        <v>1.8400000000000003</v>
      </c>
      <c r="BO4297" s="281">
        <f t="shared" si="201"/>
        <v>8.7775200000000027</v>
      </c>
    </row>
    <row r="4298" spans="65:67" x14ac:dyDescent="0.25">
      <c r="BM4298" s="281">
        <f>$AZ$59+0.8*(seat_pitch)*($AY$59*n_SA+$AW$13&lt;pax_e)</f>
        <v>26.588000000000001</v>
      </c>
      <c r="BN4298" s="281">
        <f>$AX$13</f>
        <v>1.3100000000000003</v>
      </c>
      <c r="BO4298" s="281">
        <f t="shared" si="201"/>
        <v>8.7775200000000027</v>
      </c>
    </row>
    <row r="4299" spans="65:67" x14ac:dyDescent="0.25">
      <c r="BM4299" s="281">
        <f>$AZ$59+0.2*(seat_pitch)*($AY$59*n_SA+$AW$13&lt;pax_e)</f>
        <v>26.102</v>
      </c>
      <c r="BN4299" s="281">
        <f>$AX$13</f>
        <v>1.3100000000000003</v>
      </c>
      <c r="BO4299" s="281">
        <f t="shared" si="201"/>
        <v>8.291520000000002</v>
      </c>
    </row>
    <row r="4300" spans="65:67" x14ac:dyDescent="0.25">
      <c r="BM4300" s="281">
        <f>$AZ$59+(seat_pitch)</f>
        <v>26.75</v>
      </c>
      <c r="BN4300" s="281">
        <f>$AX$13</f>
        <v>1.3100000000000003</v>
      </c>
      <c r="BO4300" s="281">
        <f t="shared" si="201"/>
        <v>8.9395200000000017</v>
      </c>
    </row>
    <row r="4301" spans="65:67" x14ac:dyDescent="0.25">
      <c r="BM4301" s="281">
        <f>$AZ$60+0.2*(seat_pitch)*($AY$60*n_SA+$AW$13&lt;pax_e)</f>
        <v>26.102</v>
      </c>
      <c r="BN4301" s="281">
        <f>$AX$13</f>
        <v>1.3100000000000003</v>
      </c>
      <c r="BO4301" s="281">
        <f t="shared" si="201"/>
        <v>8.291520000000002</v>
      </c>
    </row>
    <row r="4302" spans="65:67" x14ac:dyDescent="0.25">
      <c r="BM4302" s="281">
        <f>$AZ$60+0.2*(seat_pitch)*($AY$60*n_SA+$AW$13&lt;pax_e)</f>
        <v>26.102</v>
      </c>
      <c r="BN4302" s="281">
        <f>$AX$13+seat_w*($AY$60*n_SA+$AW$13&lt;pax_e)</f>
        <v>1.8400000000000003</v>
      </c>
      <c r="BO4302" s="281">
        <f t="shared" si="201"/>
        <v>8.291520000000002</v>
      </c>
    </row>
    <row r="4303" spans="65:67" x14ac:dyDescent="0.25">
      <c r="BM4303" s="281">
        <f>$AZ$60</f>
        <v>25.94</v>
      </c>
      <c r="BN4303" s="281">
        <f>$AX$13+seat_w*($AY$60*n_SA+$AW$13&lt;pax_e)</f>
        <v>1.8400000000000003</v>
      </c>
      <c r="BO4303" s="281">
        <f t="shared" si="201"/>
        <v>8.129520000000003</v>
      </c>
    </row>
    <row r="4304" spans="65:67" x14ac:dyDescent="0.25">
      <c r="BM4304" s="281">
        <f>$AZ$60+1*(seat_pitch)*($AY$60*n_SA+$AW$13&lt;pax_e)</f>
        <v>26.75</v>
      </c>
      <c r="BN4304" s="281">
        <f>$AX$13+seat_w*($AY$60*n_SA+$AW$13&lt;pax_e)</f>
        <v>1.8400000000000003</v>
      </c>
      <c r="BO4304" s="281">
        <f t="shared" si="201"/>
        <v>8.9395200000000017</v>
      </c>
    </row>
    <row r="4305" spans="65:67" x14ac:dyDescent="0.25">
      <c r="BM4305" s="281">
        <f>$AZ$60+0.8*(seat_pitch)*($AY$60*n_SA+$AW$13&lt;pax_e)</f>
        <v>26.588000000000001</v>
      </c>
      <c r="BN4305" s="281">
        <f>$AX$13+seat_w*($AY$60*n_SA+$AW$13&lt;pax_e)</f>
        <v>1.8400000000000003</v>
      </c>
      <c r="BO4305" s="281">
        <f t="shared" si="201"/>
        <v>8.7775200000000027</v>
      </c>
    </row>
    <row r="4306" spans="65:67" x14ac:dyDescent="0.25">
      <c r="BM4306" s="281">
        <f>$AZ$60+0.8*(seat_pitch)*($AY$60*n_SA+$AW$13&lt;pax_e)</f>
        <v>26.588000000000001</v>
      </c>
      <c r="BN4306" s="281">
        <f>$AX$13</f>
        <v>1.3100000000000003</v>
      </c>
      <c r="BO4306" s="281">
        <f t="shared" si="201"/>
        <v>8.7775200000000027</v>
      </c>
    </row>
    <row r="4307" spans="65:67" x14ac:dyDescent="0.25">
      <c r="BM4307" s="281">
        <f>$AZ$60+0.2*(seat_pitch)*($AY$60*n_SA+$AW$13&lt;pax_e)</f>
        <v>26.102</v>
      </c>
      <c r="BN4307" s="281">
        <f>$AX$13</f>
        <v>1.3100000000000003</v>
      </c>
      <c r="BO4307" s="281">
        <f t="shared" si="201"/>
        <v>8.291520000000002</v>
      </c>
    </row>
    <row r="4308" spans="65:67" x14ac:dyDescent="0.25">
      <c r="BM4308" s="281">
        <f>$AZ$60+(seat_pitch)</f>
        <v>26.75</v>
      </c>
      <c r="BN4308" s="281">
        <f>$AX$13</f>
        <v>1.3100000000000003</v>
      </c>
      <c r="BO4308" s="281">
        <f t="shared" si="201"/>
        <v>8.9395200000000017</v>
      </c>
    </row>
    <row r="4309" spans="65:67" x14ac:dyDescent="0.25">
      <c r="BM4309" s="281">
        <f>$AZ$61+0.2*(seat_pitch)*($AY$61*n_SA+$AW$13&lt;pax_e)</f>
        <v>26.102</v>
      </c>
      <c r="BN4309" s="281">
        <f>$AX$13</f>
        <v>1.3100000000000003</v>
      </c>
      <c r="BO4309" s="281">
        <f t="shared" si="201"/>
        <v>8.291520000000002</v>
      </c>
    </row>
    <row r="4310" spans="65:67" x14ac:dyDescent="0.25">
      <c r="BM4310" s="281">
        <f>$AZ$61+0.2*(seat_pitch)*($AY$61*n_SA+$AW$13&lt;pax_e)</f>
        <v>26.102</v>
      </c>
      <c r="BN4310" s="281">
        <f>$AX$13+seat_w*($AY$61*n_SA+$AW$13&lt;pax_e)</f>
        <v>1.8400000000000003</v>
      </c>
      <c r="BO4310" s="281">
        <f t="shared" si="201"/>
        <v>8.291520000000002</v>
      </c>
    </row>
    <row r="4311" spans="65:67" x14ac:dyDescent="0.25">
      <c r="BM4311" s="281">
        <f>$AZ$61</f>
        <v>25.94</v>
      </c>
      <c r="BN4311" s="281">
        <f>$AX$13+seat_w*($AY$61*n_SA+$AW$13&lt;pax_e)</f>
        <v>1.8400000000000003</v>
      </c>
      <c r="BO4311" s="281">
        <f t="shared" si="201"/>
        <v>8.129520000000003</v>
      </c>
    </row>
    <row r="4312" spans="65:67" x14ac:dyDescent="0.25">
      <c r="BM4312" s="281">
        <f>$AZ$61+1*(seat_pitch)*($AY$61*n_SA+$AW$13&lt;pax_e)</f>
        <v>26.75</v>
      </c>
      <c r="BN4312" s="281">
        <f>$AX$13+seat_w*($AY$61*n_SA+$AW$13&lt;pax_e)</f>
        <v>1.8400000000000003</v>
      </c>
      <c r="BO4312" s="281">
        <f t="shared" si="201"/>
        <v>8.9395200000000017</v>
      </c>
    </row>
    <row r="4313" spans="65:67" x14ac:dyDescent="0.25">
      <c r="BM4313" s="281">
        <f>$AZ$61+0.8*(seat_pitch)*($AY$61*n_SA+$AW$13&lt;pax_e)</f>
        <v>26.588000000000001</v>
      </c>
      <c r="BN4313" s="281">
        <f>$AX$13+seat_w*($AY$61*n_SA+$AW$13&lt;pax_e)</f>
        <v>1.8400000000000003</v>
      </c>
      <c r="BO4313" s="281">
        <f t="shared" si="201"/>
        <v>8.7775200000000027</v>
      </c>
    </row>
    <row r="4314" spans="65:67" x14ac:dyDescent="0.25">
      <c r="BM4314" s="281">
        <f>$AZ$61+0.8*(seat_pitch)*($AY$61*n_SA+$AW$13&lt;pax_e)</f>
        <v>26.588000000000001</v>
      </c>
      <c r="BN4314" s="281">
        <f>$AX$13</f>
        <v>1.3100000000000003</v>
      </c>
      <c r="BO4314" s="281">
        <f t="shared" si="201"/>
        <v>8.7775200000000027</v>
      </c>
    </row>
    <row r="4315" spans="65:67" x14ac:dyDescent="0.25">
      <c r="BM4315" s="281">
        <f>$AZ$61+0.2*(seat_pitch)*($AY$61*n_SA+$AW$13&lt;pax_e)</f>
        <v>26.102</v>
      </c>
      <c r="BN4315" s="281">
        <f>$AX$13</f>
        <v>1.3100000000000003</v>
      </c>
      <c r="BO4315" s="281">
        <f t="shared" si="201"/>
        <v>8.291520000000002</v>
      </c>
    </row>
    <row r="4316" spans="65:67" x14ac:dyDescent="0.25">
      <c r="BM4316" s="281">
        <f>$AZ$61+(seat_pitch)</f>
        <v>26.75</v>
      </c>
      <c r="BN4316" s="281">
        <f>$AX$13</f>
        <v>1.3100000000000003</v>
      </c>
      <c r="BO4316" s="281">
        <f t="shared" si="201"/>
        <v>8.9395200000000017</v>
      </c>
    </row>
    <row r="4317" spans="65:67" x14ac:dyDescent="0.25">
      <c r="BM4317" s="281">
        <f>$AZ$62+0.2*(seat_pitch)*($AY$62*n_SA+$AW$13&lt;pax_e)</f>
        <v>26.102</v>
      </c>
      <c r="BN4317" s="281">
        <f>$AX$13</f>
        <v>1.3100000000000003</v>
      </c>
      <c r="BO4317" s="281">
        <f t="shared" si="201"/>
        <v>8.291520000000002</v>
      </c>
    </row>
    <row r="4318" spans="65:67" x14ac:dyDescent="0.25">
      <c r="BM4318" s="281">
        <f>$AZ$62+0.2*(seat_pitch)*($AY$62*n_SA+$AW$13&lt;pax_e)</f>
        <v>26.102</v>
      </c>
      <c r="BN4318" s="281">
        <f>$AX$13+seat_w*($AY$62*n_SA+$AW$13&lt;pax_e)</f>
        <v>1.8400000000000003</v>
      </c>
      <c r="BO4318" s="281">
        <f t="shared" si="201"/>
        <v>8.291520000000002</v>
      </c>
    </row>
    <row r="4319" spans="65:67" x14ac:dyDescent="0.25">
      <c r="BM4319" s="281">
        <f>$AZ$62</f>
        <v>25.94</v>
      </c>
      <c r="BN4319" s="281">
        <f>$AX$13+seat_w*($AY$62*n_SA+$AW$13&lt;pax_e)</f>
        <v>1.8400000000000003</v>
      </c>
      <c r="BO4319" s="281">
        <f t="shared" si="201"/>
        <v>8.129520000000003</v>
      </c>
    </row>
    <row r="4320" spans="65:67" x14ac:dyDescent="0.25">
      <c r="BM4320" s="281">
        <f>$AZ$62+1*(seat_pitch)*($AY$62*n_SA+$AW$13&lt;pax_e)</f>
        <v>26.75</v>
      </c>
      <c r="BN4320" s="281">
        <f>$AX$13+seat_w*($AY$62*n_SA+$AW$13&lt;pax_e)</f>
        <v>1.8400000000000003</v>
      </c>
      <c r="BO4320" s="281">
        <f t="shared" si="201"/>
        <v>8.9395200000000017</v>
      </c>
    </row>
    <row r="4321" spans="65:67" x14ac:dyDescent="0.25">
      <c r="BM4321" s="281">
        <f>$AZ$62+0.8*(seat_pitch)*($AY$62*n_SA+$AW$13&lt;pax_e)</f>
        <v>26.588000000000001</v>
      </c>
      <c r="BN4321" s="281">
        <f>$AX$13+seat_w*($AY$62*n_SA+$AW$13&lt;pax_e)</f>
        <v>1.8400000000000003</v>
      </c>
      <c r="BO4321" s="281">
        <f t="shared" si="201"/>
        <v>8.7775200000000027</v>
      </c>
    </row>
    <row r="4322" spans="65:67" x14ac:dyDescent="0.25">
      <c r="BM4322" s="281">
        <f>$AZ$62+0.8*(seat_pitch)*($AY$62*n_SA+$AW$13&lt;pax_e)</f>
        <v>26.588000000000001</v>
      </c>
      <c r="BN4322" s="281">
        <f>$AX$13</f>
        <v>1.3100000000000003</v>
      </c>
      <c r="BO4322" s="281">
        <f t="shared" si="201"/>
        <v>8.7775200000000027</v>
      </c>
    </row>
    <row r="4323" spans="65:67" x14ac:dyDescent="0.25">
      <c r="BM4323" s="281">
        <f>$AZ$62+0.2*(seat_pitch)*($AY$62*n_SA+$AW$13&lt;pax_e)</f>
        <v>26.102</v>
      </c>
      <c r="BN4323" s="281">
        <f>$AX$13</f>
        <v>1.3100000000000003</v>
      </c>
      <c r="BO4323" s="281">
        <f t="shared" si="201"/>
        <v>8.291520000000002</v>
      </c>
    </row>
    <row r="4324" spans="65:67" x14ac:dyDescent="0.25">
      <c r="BM4324" s="281">
        <f>$AZ$62+(seat_pitch)</f>
        <v>26.75</v>
      </c>
      <c r="BN4324" s="281">
        <f>$AX$13</f>
        <v>1.3100000000000003</v>
      </c>
      <c r="BO4324" s="281">
        <f t="shared" si="201"/>
        <v>8.9395200000000017</v>
      </c>
    </row>
    <row r="4325" spans="65:67" x14ac:dyDescent="0.25">
      <c r="BM4325" s="281">
        <f>$AZ$63+0.2*(seat_pitch)*($AY$63*n_SA+$AW$13&lt;pax_e)</f>
        <v>26.102</v>
      </c>
      <c r="BN4325" s="281">
        <f>$AX$13</f>
        <v>1.3100000000000003</v>
      </c>
      <c r="BO4325" s="281">
        <f t="shared" si="201"/>
        <v>8.291520000000002</v>
      </c>
    </row>
    <row r="4326" spans="65:67" x14ac:dyDescent="0.25">
      <c r="BM4326" s="281">
        <f>$AZ$63+0.2*(seat_pitch)*($AY$63*n_SA+$AW$13&lt;pax_e)</f>
        <v>26.102</v>
      </c>
      <c r="BN4326" s="281">
        <f>$AX$13+seat_w*($AY$63*n_SA+$AW$13&lt;pax_e)</f>
        <v>1.8400000000000003</v>
      </c>
      <c r="BO4326" s="281">
        <f t="shared" si="201"/>
        <v>8.291520000000002</v>
      </c>
    </row>
    <row r="4327" spans="65:67" x14ac:dyDescent="0.25">
      <c r="BM4327" s="281">
        <f>$AZ$63</f>
        <v>25.94</v>
      </c>
      <c r="BN4327" s="281">
        <f>$AX$13+seat_w*($AY$63*n_SA+$AW$13&lt;pax_e)</f>
        <v>1.8400000000000003</v>
      </c>
      <c r="BO4327" s="281">
        <f t="shared" si="201"/>
        <v>8.129520000000003</v>
      </c>
    </row>
    <row r="4328" spans="65:67" x14ac:dyDescent="0.25">
      <c r="BM4328" s="281">
        <f>$AZ$63+1*(seat_pitch)*($AY$63*n_SA+$AW$13&lt;pax_e)</f>
        <v>26.75</v>
      </c>
      <c r="BN4328" s="281">
        <f>$AX$13+seat_w*($AY$63*n_SA+$AW$13&lt;pax_e)</f>
        <v>1.8400000000000003</v>
      </c>
      <c r="BO4328" s="281">
        <f t="shared" si="201"/>
        <v>8.9395200000000017</v>
      </c>
    </row>
    <row r="4329" spans="65:67" x14ac:dyDescent="0.25">
      <c r="BM4329" s="281">
        <f>$AZ$63+0.8*(seat_pitch)*($AY$63*n_SA+$AW$13&lt;pax_e)</f>
        <v>26.588000000000001</v>
      </c>
      <c r="BN4329" s="281">
        <f>$AX$13+seat_w*($AY$63*n_SA+$AW$13&lt;pax_e)</f>
        <v>1.8400000000000003</v>
      </c>
      <c r="BO4329" s="281">
        <f t="shared" si="201"/>
        <v>8.7775200000000027</v>
      </c>
    </row>
    <row r="4330" spans="65:67" x14ac:dyDescent="0.25">
      <c r="BM4330" s="281">
        <f>$AZ$63+0.8*(seat_pitch)*($AY$63*n_SA+$AW$13&lt;pax_e)</f>
        <v>26.588000000000001</v>
      </c>
      <c r="BN4330" s="281">
        <f>$AX$13</f>
        <v>1.3100000000000003</v>
      </c>
      <c r="BO4330" s="281">
        <f t="shared" si="201"/>
        <v>8.7775200000000027</v>
      </c>
    </row>
    <row r="4331" spans="65:67" x14ac:dyDescent="0.25">
      <c r="BM4331" s="281">
        <f>$AZ$63+0.2*(seat_pitch)*($AY$63*n_SA+$AW$13&lt;pax_e)</f>
        <v>26.102</v>
      </c>
      <c r="BN4331" s="281">
        <f>$AX$13</f>
        <v>1.3100000000000003</v>
      </c>
      <c r="BO4331" s="281">
        <f t="shared" si="201"/>
        <v>8.291520000000002</v>
      </c>
    </row>
    <row r="4332" spans="65:67" x14ac:dyDescent="0.25">
      <c r="BM4332" s="281">
        <f>$AZ$63+(seat_pitch)</f>
        <v>26.75</v>
      </c>
      <c r="BN4332" s="281">
        <f>$AX$13</f>
        <v>1.3100000000000003</v>
      </c>
      <c r="BO4332" s="281">
        <f t="shared" si="201"/>
        <v>8.9395200000000017</v>
      </c>
    </row>
    <row r="4333" spans="65:67" x14ac:dyDescent="0.25">
      <c r="BM4333" s="281">
        <f>$AZ$64+0.2*(seat_pitch)*($AY$64*n_SA+$AW$13&lt;pax_e)</f>
        <v>26.102</v>
      </c>
      <c r="BN4333" s="281">
        <f>$AX$13</f>
        <v>1.3100000000000003</v>
      </c>
      <c r="BO4333" s="281">
        <f t="shared" si="201"/>
        <v>8.291520000000002</v>
      </c>
    </row>
    <row r="4334" spans="65:67" x14ac:dyDescent="0.25">
      <c r="BM4334" s="281">
        <f>$AZ$64+0.2*(seat_pitch)*($AY$64*n_SA+$AW$13&lt;pax_e)</f>
        <v>26.102</v>
      </c>
      <c r="BN4334" s="281">
        <f>$AX$13+seat_w*($AY$64*n_SA+$AW$13&lt;pax_e)</f>
        <v>1.8400000000000003</v>
      </c>
      <c r="BO4334" s="281">
        <f t="shared" si="201"/>
        <v>8.291520000000002</v>
      </c>
    </row>
    <row r="4335" spans="65:67" x14ac:dyDescent="0.25">
      <c r="BM4335" s="281">
        <f>$AZ$64</f>
        <v>25.94</v>
      </c>
      <c r="BN4335" s="281">
        <f>$AX$13+seat_w*($AY$64*n_SA+$AW$13&lt;pax_e)</f>
        <v>1.8400000000000003</v>
      </c>
      <c r="BO4335" s="281">
        <f t="shared" si="201"/>
        <v>8.129520000000003</v>
      </c>
    </row>
    <row r="4336" spans="65:67" x14ac:dyDescent="0.25">
      <c r="BM4336" s="281">
        <f>$AZ$64+1*(seat_pitch)*($AY$64*n_SA+$AW$13&lt;pax_e)</f>
        <v>26.75</v>
      </c>
      <c r="BN4336" s="281">
        <f>$AX$13+seat_w*($AY$64*n_SA+$AW$13&lt;pax_e)</f>
        <v>1.8400000000000003</v>
      </c>
      <c r="BO4336" s="281">
        <f t="shared" si="201"/>
        <v>8.9395200000000017</v>
      </c>
    </row>
    <row r="4337" spans="65:67" x14ac:dyDescent="0.25">
      <c r="BM4337" s="281">
        <f>$AZ$64+0.8*(seat_pitch)*($AY$64*n_SA+$AW$13&lt;pax_e)</f>
        <v>26.588000000000001</v>
      </c>
      <c r="BN4337" s="281">
        <f>$AX$13+seat_w*($AY$64*n_SA+$AW$13&lt;pax_e)</f>
        <v>1.8400000000000003</v>
      </c>
      <c r="BO4337" s="281">
        <f t="shared" si="201"/>
        <v>8.7775200000000027</v>
      </c>
    </row>
    <row r="4338" spans="65:67" x14ac:dyDescent="0.25">
      <c r="BM4338" s="281">
        <f>$AZ$64+0.8*(seat_pitch)*($AY$64*n_SA+$AW$13&lt;pax_e)</f>
        <v>26.588000000000001</v>
      </c>
      <c r="BN4338" s="281">
        <f>$AX$13</f>
        <v>1.3100000000000003</v>
      </c>
      <c r="BO4338" s="281">
        <f t="shared" si="201"/>
        <v>8.7775200000000027</v>
      </c>
    </row>
    <row r="4339" spans="65:67" x14ac:dyDescent="0.25">
      <c r="BM4339" s="281">
        <f>$AZ$64+0.2*(seat_pitch)*($AY$64*n_SA+$AW$13&lt;pax_e)</f>
        <v>26.102</v>
      </c>
      <c r="BN4339" s="281">
        <f>$AX$13</f>
        <v>1.3100000000000003</v>
      </c>
      <c r="BO4339" s="281">
        <f t="shared" si="201"/>
        <v>8.291520000000002</v>
      </c>
    </row>
    <row r="4340" spans="65:67" x14ac:dyDescent="0.25">
      <c r="BM4340" s="281">
        <f>$AZ$64+(seat_pitch)</f>
        <v>26.75</v>
      </c>
      <c r="BN4340" s="281">
        <f>$AX$13</f>
        <v>1.3100000000000003</v>
      </c>
      <c r="BO4340" s="281">
        <f t="shared" si="201"/>
        <v>8.9395200000000017</v>
      </c>
    </row>
    <row r="4341" spans="65:67" x14ac:dyDescent="0.25">
      <c r="BM4341" s="281">
        <f>x_seat_end</f>
        <v>26.75</v>
      </c>
      <c r="BN4341" s="281">
        <f>$AX$14</f>
        <v>1.3100000000000003</v>
      </c>
      <c r="BO4341" s="281">
        <f t="shared" si="201"/>
        <v>8.9395200000000017</v>
      </c>
    </row>
    <row r="4342" spans="65:67" x14ac:dyDescent="0.25">
      <c r="BM4342" s="281">
        <f>x_eco0</f>
        <v>6.5</v>
      </c>
      <c r="BN4342" s="281">
        <f>$AX$14</f>
        <v>1.3100000000000003</v>
      </c>
      <c r="BO4342" s="281">
        <f t="shared" si="201"/>
        <v>-11.310479999999998</v>
      </c>
    </row>
    <row r="4343" spans="65:67" x14ac:dyDescent="0.25">
      <c r="BM4343" s="281">
        <f>$AZ$5+0.2*(seat_pitch)*($AY$5*n_SA+$AW$14&lt;pax_e)</f>
        <v>6.6619999999999999</v>
      </c>
      <c r="BN4343" s="281">
        <f>$AX$14</f>
        <v>1.3100000000000003</v>
      </c>
      <c r="BO4343" s="281">
        <f t="shared" si="201"/>
        <v>-11.148479999999999</v>
      </c>
    </row>
    <row r="4344" spans="65:67" x14ac:dyDescent="0.25">
      <c r="BM4344" s="281">
        <f>$AZ$5+0.2*(seat_pitch)*($AY$5*n_SA+$AW$14&lt;pax_e)</f>
        <v>6.6619999999999999</v>
      </c>
      <c r="BN4344" s="281">
        <f>$AX$14+seat_w*($AY$5*n_SA+$AW$14&lt;pax_e)</f>
        <v>1.8400000000000003</v>
      </c>
      <c r="BO4344" s="281">
        <f t="shared" si="201"/>
        <v>-11.148479999999999</v>
      </c>
    </row>
    <row r="4345" spans="65:67" x14ac:dyDescent="0.25">
      <c r="BM4345" s="281">
        <f>$AZ$5</f>
        <v>6.5</v>
      </c>
      <c r="BN4345" s="281">
        <f>$AX$14+seat_w*($AY$5*n_SA+$AW$14&lt;pax_e)</f>
        <v>1.8400000000000003</v>
      </c>
      <c r="BO4345" s="281">
        <f t="shared" si="201"/>
        <v>-11.310479999999998</v>
      </c>
    </row>
    <row r="4346" spans="65:67" x14ac:dyDescent="0.25">
      <c r="BM4346" s="281">
        <f>$AZ$5+1*(seat_pitch)*($AY$5*n_SA+$AW$14&lt;pax_e)</f>
        <v>7.3100000000000005</v>
      </c>
      <c r="BN4346" s="281">
        <f>$AX$14+seat_w*($AY$5*n_SA+$AW$14&lt;pax_e)</f>
        <v>1.8400000000000003</v>
      </c>
      <c r="BO4346" s="281">
        <f t="shared" si="201"/>
        <v>-10.500479999999998</v>
      </c>
    </row>
    <row r="4347" spans="65:67" x14ac:dyDescent="0.25">
      <c r="BM4347" s="281">
        <f>$AZ$5+0.8*(seat_pitch)*($AY$5*n_SA+$AW$14&lt;pax_e)</f>
        <v>7.1479999999999997</v>
      </c>
      <c r="BN4347" s="281">
        <f>$AX$14+seat_w*($AY$5*n_SA+$AW$14&lt;pax_e)</f>
        <v>1.8400000000000003</v>
      </c>
      <c r="BO4347" s="281">
        <f t="shared" si="201"/>
        <v>-10.662479999999999</v>
      </c>
    </row>
    <row r="4348" spans="65:67" x14ac:dyDescent="0.25">
      <c r="BM4348" s="281">
        <f>$AZ$5+0.8*(seat_pitch)*($AY$5*n_SA+$AW$14&lt;pax_e)</f>
        <v>7.1479999999999997</v>
      </c>
      <c r="BN4348" s="281">
        <f>$AX$14</f>
        <v>1.3100000000000003</v>
      </c>
      <c r="BO4348" s="281">
        <f t="shared" si="201"/>
        <v>-10.662479999999999</v>
      </c>
    </row>
    <row r="4349" spans="65:67" x14ac:dyDescent="0.25">
      <c r="BM4349" s="281">
        <f>$AZ$5+0.2*(seat_pitch)*($AY$5*n_SA+$AW$14&lt;pax_e)</f>
        <v>6.6619999999999999</v>
      </c>
      <c r="BN4349" s="281">
        <f>$AX$14</f>
        <v>1.3100000000000003</v>
      </c>
      <c r="BO4349" s="281">
        <f t="shared" si="201"/>
        <v>-11.148479999999999</v>
      </c>
    </row>
    <row r="4350" spans="65:67" x14ac:dyDescent="0.25">
      <c r="BM4350" s="281">
        <f>$AZ$5+(seat_pitch)</f>
        <v>7.3100000000000005</v>
      </c>
      <c r="BN4350" s="281">
        <f>$AX$14</f>
        <v>1.3100000000000003</v>
      </c>
      <c r="BO4350" s="281">
        <f t="shared" si="201"/>
        <v>-10.500479999999998</v>
      </c>
    </row>
    <row r="4351" spans="65:67" x14ac:dyDescent="0.25">
      <c r="BM4351" s="281">
        <f>$AZ$6+0.2*(seat_pitch)*($AY$6*n_SA+$AW$14&lt;pax_e)</f>
        <v>7.4720000000000004</v>
      </c>
      <c r="BN4351" s="281">
        <f>$AX$14</f>
        <v>1.3100000000000003</v>
      </c>
      <c r="BO4351" s="281">
        <f t="shared" si="201"/>
        <v>-10.338479999999997</v>
      </c>
    </row>
    <row r="4352" spans="65:67" x14ac:dyDescent="0.25">
      <c r="BM4352" s="281">
        <f>$AZ$6+0.2*(seat_pitch)*($AY$6*n_SA+$AW$14&lt;pax_e)</f>
        <v>7.4720000000000004</v>
      </c>
      <c r="BN4352" s="281">
        <f>$AX$14+seat_w*($AY$6*n_SA+$AW$14&lt;pax_e)</f>
        <v>1.8400000000000003</v>
      </c>
      <c r="BO4352" s="281">
        <f t="shared" si="201"/>
        <v>-10.338479999999997</v>
      </c>
    </row>
    <row r="4353" spans="65:67" x14ac:dyDescent="0.25">
      <c r="BM4353" s="281">
        <f>$AZ$6</f>
        <v>7.3100000000000005</v>
      </c>
      <c r="BN4353" s="281">
        <f>$AX$14+seat_w*($AY$6*n_SA+$AW$14&lt;pax_e)</f>
        <v>1.8400000000000003</v>
      </c>
      <c r="BO4353" s="281">
        <f t="shared" si="201"/>
        <v>-10.500479999999998</v>
      </c>
    </row>
    <row r="4354" spans="65:67" x14ac:dyDescent="0.25">
      <c r="BM4354" s="281">
        <f>$AZ$6+1*(seat_pitch)*($AY$6*n_SA+$AW$14&lt;pax_e)</f>
        <v>8.120000000000001</v>
      </c>
      <c r="BN4354" s="281">
        <f>$AX$14+seat_w*($AY$6*n_SA+$AW$14&lt;pax_e)</f>
        <v>1.8400000000000003</v>
      </c>
      <c r="BO4354" s="281">
        <f t="shared" si="201"/>
        <v>-9.6904799999999973</v>
      </c>
    </row>
    <row r="4355" spans="65:67" x14ac:dyDescent="0.25">
      <c r="BM4355" s="281">
        <f>$AZ$6+0.8*(seat_pitch)*($AY$6*n_SA+$AW$14&lt;pax_e)</f>
        <v>7.9580000000000002</v>
      </c>
      <c r="BN4355" s="281">
        <f>$AX$14+seat_w*($AY$6*n_SA+$AW$14&lt;pax_e)</f>
        <v>1.8400000000000003</v>
      </c>
      <c r="BO4355" s="281">
        <f t="shared" si="201"/>
        <v>-9.8524799999999981</v>
      </c>
    </row>
    <row r="4356" spans="65:67" x14ac:dyDescent="0.25">
      <c r="BM4356" s="281">
        <f>$AZ$6+0.8*(seat_pitch)*($AY$6*n_SA+$AW$14&lt;pax_e)</f>
        <v>7.9580000000000002</v>
      </c>
      <c r="BN4356" s="281">
        <f>$AX$14</f>
        <v>1.3100000000000003</v>
      </c>
      <c r="BO4356" s="281">
        <f t="shared" si="201"/>
        <v>-9.8524799999999981</v>
      </c>
    </row>
    <row r="4357" spans="65:67" x14ac:dyDescent="0.25">
      <c r="BM4357" s="281">
        <f>$AZ$6+0.2*(seat_pitch)*($AY$6*n_SA+$AW$14&lt;pax_e)</f>
        <v>7.4720000000000004</v>
      </c>
      <c r="BN4357" s="281">
        <f>$AX$14</f>
        <v>1.3100000000000003</v>
      </c>
      <c r="BO4357" s="281">
        <f t="shared" ref="BO4357:BO4420" si="202">BM4357-L_fus/2</f>
        <v>-10.338479999999997</v>
      </c>
    </row>
    <row r="4358" spans="65:67" x14ac:dyDescent="0.25">
      <c r="BM4358" s="281">
        <f>$AZ$6+(seat_pitch)</f>
        <v>8.120000000000001</v>
      </c>
      <c r="BN4358" s="281">
        <f>$AX$14</f>
        <v>1.3100000000000003</v>
      </c>
      <c r="BO4358" s="281">
        <f t="shared" si="202"/>
        <v>-9.6904799999999973</v>
      </c>
    </row>
    <row r="4359" spans="65:67" x14ac:dyDescent="0.25">
      <c r="BM4359" s="281">
        <f>$AZ$7+0.2*(seat_pitch)*($AY$7*n_SA+$AW$14&lt;pax_e)</f>
        <v>8.2820000000000018</v>
      </c>
      <c r="BN4359" s="281">
        <f>$AX$14</f>
        <v>1.3100000000000003</v>
      </c>
      <c r="BO4359" s="281">
        <f t="shared" si="202"/>
        <v>-9.5284799999999965</v>
      </c>
    </row>
    <row r="4360" spans="65:67" x14ac:dyDescent="0.25">
      <c r="BM4360" s="281">
        <f>$AZ$7+0.2*(seat_pitch)*($AY$7*n_SA+$AW$14&lt;pax_e)</f>
        <v>8.2820000000000018</v>
      </c>
      <c r="BN4360" s="281">
        <f>$AX$14+seat_w*($AY$7*n_SA+$AW$14&lt;pax_e)</f>
        <v>1.8400000000000003</v>
      </c>
      <c r="BO4360" s="281">
        <f t="shared" si="202"/>
        <v>-9.5284799999999965</v>
      </c>
    </row>
    <row r="4361" spans="65:67" x14ac:dyDescent="0.25">
      <c r="BM4361" s="281">
        <f>$AZ$7</f>
        <v>8.120000000000001</v>
      </c>
      <c r="BN4361" s="281">
        <f>$AX$14+seat_w*($AY$7*n_SA+$AW$14&lt;pax_e)</f>
        <v>1.8400000000000003</v>
      </c>
      <c r="BO4361" s="281">
        <f t="shared" si="202"/>
        <v>-9.6904799999999973</v>
      </c>
    </row>
    <row r="4362" spans="65:67" x14ac:dyDescent="0.25">
      <c r="BM4362" s="281">
        <f>$AZ$7+1*(seat_pitch)*($AY$7*n_SA+$AW$14&lt;pax_e)</f>
        <v>8.9300000000000015</v>
      </c>
      <c r="BN4362" s="281">
        <f>$AX$14+seat_w*($AY$7*n_SA+$AW$14&lt;pax_e)</f>
        <v>1.8400000000000003</v>
      </c>
      <c r="BO4362" s="281">
        <f t="shared" si="202"/>
        <v>-8.8804799999999968</v>
      </c>
    </row>
    <row r="4363" spans="65:67" x14ac:dyDescent="0.25">
      <c r="BM4363" s="281">
        <f>$AZ$7+0.8*(seat_pitch)*($AY$7*n_SA+$AW$14&lt;pax_e)</f>
        <v>8.7680000000000007</v>
      </c>
      <c r="BN4363" s="281">
        <f>$AX$14+seat_w*($AY$7*n_SA+$AW$14&lt;pax_e)</f>
        <v>1.8400000000000003</v>
      </c>
      <c r="BO4363" s="281">
        <f t="shared" si="202"/>
        <v>-9.0424799999999976</v>
      </c>
    </row>
    <row r="4364" spans="65:67" x14ac:dyDescent="0.25">
      <c r="BM4364" s="281">
        <f>$AZ$7+0.8*(seat_pitch)*($AY$7*n_SA+$AW$14&lt;pax_e)</f>
        <v>8.7680000000000007</v>
      </c>
      <c r="BN4364" s="281">
        <f>$AX$14</f>
        <v>1.3100000000000003</v>
      </c>
      <c r="BO4364" s="281">
        <f t="shared" si="202"/>
        <v>-9.0424799999999976</v>
      </c>
    </row>
    <row r="4365" spans="65:67" x14ac:dyDescent="0.25">
      <c r="BM4365" s="281">
        <f>$AZ$7+0.2*(seat_pitch)*($AY$7*n_SA+$AW$14&lt;pax_e)</f>
        <v>8.2820000000000018</v>
      </c>
      <c r="BN4365" s="281">
        <f>$AX$14</f>
        <v>1.3100000000000003</v>
      </c>
      <c r="BO4365" s="281">
        <f t="shared" si="202"/>
        <v>-9.5284799999999965</v>
      </c>
    </row>
    <row r="4366" spans="65:67" x14ac:dyDescent="0.25">
      <c r="BM4366" s="281">
        <f>$AZ$7+(seat_pitch)</f>
        <v>8.9300000000000015</v>
      </c>
      <c r="BN4366" s="281">
        <f>$AX$14</f>
        <v>1.3100000000000003</v>
      </c>
      <c r="BO4366" s="281">
        <f t="shared" si="202"/>
        <v>-8.8804799999999968</v>
      </c>
    </row>
    <row r="4367" spans="65:67" x14ac:dyDescent="0.25">
      <c r="BM4367" s="281">
        <f>$AZ$8+0.2*(seat_pitch)*($AY$8*n_SA+$AW$14&lt;pax_e)</f>
        <v>9.0920000000000005</v>
      </c>
      <c r="BN4367" s="281">
        <f>$AX$14</f>
        <v>1.3100000000000003</v>
      </c>
      <c r="BO4367" s="281">
        <f t="shared" si="202"/>
        <v>-8.7184799999999978</v>
      </c>
    </row>
    <row r="4368" spans="65:67" x14ac:dyDescent="0.25">
      <c r="BM4368" s="281">
        <f>$AZ$8+0.2*(seat_pitch)*($AY$8*n_SA+$AW$14&lt;pax_e)</f>
        <v>9.0920000000000005</v>
      </c>
      <c r="BN4368" s="281">
        <f>$AX$14+seat_w*($AY$8*n_SA+$AW$14&lt;pax_e)</f>
        <v>1.8400000000000003</v>
      </c>
      <c r="BO4368" s="281">
        <f t="shared" si="202"/>
        <v>-8.7184799999999978</v>
      </c>
    </row>
    <row r="4369" spans="65:67" x14ac:dyDescent="0.25">
      <c r="BM4369" s="281">
        <f>$AZ$8</f>
        <v>8.93</v>
      </c>
      <c r="BN4369" s="281">
        <f>$AX$14+seat_w*($AY$8*n_SA+$AW$14&lt;pax_e)</f>
        <v>1.8400000000000003</v>
      </c>
      <c r="BO4369" s="281">
        <f t="shared" si="202"/>
        <v>-8.8804799999999986</v>
      </c>
    </row>
    <row r="4370" spans="65:67" x14ac:dyDescent="0.25">
      <c r="BM4370" s="281">
        <f>$AZ$8+1*(seat_pitch)*($AY$8*n_SA+$AW$14&lt;pax_e)</f>
        <v>9.74</v>
      </c>
      <c r="BN4370" s="281">
        <f>$AX$14+seat_w*($AY$8*n_SA+$AW$14&lt;pax_e)</f>
        <v>1.8400000000000003</v>
      </c>
      <c r="BO4370" s="281">
        <f t="shared" si="202"/>
        <v>-8.0704799999999981</v>
      </c>
    </row>
    <row r="4371" spans="65:67" x14ac:dyDescent="0.25">
      <c r="BM4371" s="281">
        <f>$AZ$8+0.8*(seat_pitch)*($AY$8*n_SA+$AW$14&lt;pax_e)</f>
        <v>9.5779999999999994</v>
      </c>
      <c r="BN4371" s="281">
        <f>$AX$14+seat_w*($AY$8*n_SA+$AW$14&lt;pax_e)</f>
        <v>1.8400000000000003</v>
      </c>
      <c r="BO4371" s="281">
        <f t="shared" si="202"/>
        <v>-8.2324799999999989</v>
      </c>
    </row>
    <row r="4372" spans="65:67" x14ac:dyDescent="0.25">
      <c r="BM4372" s="281">
        <f>$AZ$8+0.8*(seat_pitch)*($AY$8*n_SA+$AW$14&lt;pax_e)</f>
        <v>9.5779999999999994</v>
      </c>
      <c r="BN4372" s="281">
        <f>$AX$14</f>
        <v>1.3100000000000003</v>
      </c>
      <c r="BO4372" s="281">
        <f t="shared" si="202"/>
        <v>-8.2324799999999989</v>
      </c>
    </row>
    <row r="4373" spans="65:67" x14ac:dyDescent="0.25">
      <c r="BM4373" s="281">
        <f>$AZ$8+0.2*(seat_pitch)*($AY$8*n_SA+$AW$14&lt;pax_e)</f>
        <v>9.0920000000000005</v>
      </c>
      <c r="BN4373" s="281">
        <f>$AX$14</f>
        <v>1.3100000000000003</v>
      </c>
      <c r="BO4373" s="281">
        <f t="shared" si="202"/>
        <v>-8.7184799999999978</v>
      </c>
    </row>
    <row r="4374" spans="65:67" x14ac:dyDescent="0.25">
      <c r="BM4374" s="281">
        <f>$AZ$8+(seat_pitch)</f>
        <v>9.74</v>
      </c>
      <c r="BN4374" s="281">
        <f>$AX$14</f>
        <v>1.3100000000000003</v>
      </c>
      <c r="BO4374" s="281">
        <f t="shared" si="202"/>
        <v>-8.0704799999999981</v>
      </c>
    </row>
    <row r="4375" spans="65:67" x14ac:dyDescent="0.25">
      <c r="BM4375" s="281">
        <f>$AZ$9+0.2*(seat_pitch)*($AY$9*n_SA+$AW$14&lt;pax_e)</f>
        <v>9.902000000000001</v>
      </c>
      <c r="BN4375" s="281">
        <f>$AX$14</f>
        <v>1.3100000000000003</v>
      </c>
      <c r="BO4375" s="281">
        <f t="shared" si="202"/>
        <v>-7.9084799999999973</v>
      </c>
    </row>
    <row r="4376" spans="65:67" x14ac:dyDescent="0.25">
      <c r="BM4376" s="281">
        <f>$AZ$9+0.2*(seat_pitch)*($AY$9*n_SA+$AW$14&lt;pax_e)</f>
        <v>9.902000000000001</v>
      </c>
      <c r="BN4376" s="281">
        <f>$AX$14+seat_w*($AY$9*n_SA+$AW$14&lt;pax_e)</f>
        <v>1.8400000000000003</v>
      </c>
      <c r="BO4376" s="281">
        <f t="shared" si="202"/>
        <v>-7.9084799999999973</v>
      </c>
    </row>
    <row r="4377" spans="65:67" x14ac:dyDescent="0.25">
      <c r="BM4377" s="281">
        <f>$AZ$9</f>
        <v>9.74</v>
      </c>
      <c r="BN4377" s="281">
        <f>$AX$14+seat_w*($AY$9*n_SA+$AW$14&lt;pax_e)</f>
        <v>1.8400000000000003</v>
      </c>
      <c r="BO4377" s="281">
        <f t="shared" si="202"/>
        <v>-8.0704799999999981</v>
      </c>
    </row>
    <row r="4378" spans="65:67" x14ac:dyDescent="0.25">
      <c r="BM4378" s="281">
        <f>$AZ$9+1*(seat_pitch)*($AY$9*n_SA+$AW$14&lt;pax_e)</f>
        <v>10.55</v>
      </c>
      <c r="BN4378" s="281">
        <f>$AX$14+seat_w*($AY$9*n_SA+$AW$14&lt;pax_e)</f>
        <v>1.8400000000000003</v>
      </c>
      <c r="BO4378" s="281">
        <f t="shared" si="202"/>
        <v>-7.2604799999999976</v>
      </c>
    </row>
    <row r="4379" spans="65:67" x14ac:dyDescent="0.25">
      <c r="BM4379" s="281">
        <f>$AZ$9+0.8*(seat_pitch)*($AY$9*n_SA+$AW$14&lt;pax_e)</f>
        <v>10.388</v>
      </c>
      <c r="BN4379" s="281">
        <f>$AX$14+seat_w*($AY$9*n_SA+$AW$14&lt;pax_e)</f>
        <v>1.8400000000000003</v>
      </c>
      <c r="BO4379" s="281">
        <f t="shared" si="202"/>
        <v>-7.4224799999999984</v>
      </c>
    </row>
    <row r="4380" spans="65:67" x14ac:dyDescent="0.25">
      <c r="BM4380" s="281">
        <f>$AZ$9+0.8*(seat_pitch)*($AY$9*n_SA+$AW$14&lt;pax_e)</f>
        <v>10.388</v>
      </c>
      <c r="BN4380" s="281">
        <f>$AX$14</f>
        <v>1.3100000000000003</v>
      </c>
      <c r="BO4380" s="281">
        <f t="shared" si="202"/>
        <v>-7.4224799999999984</v>
      </c>
    </row>
    <row r="4381" spans="65:67" x14ac:dyDescent="0.25">
      <c r="BM4381" s="281">
        <f>$AZ$9+0.2*(seat_pitch)*($AY$9*n_SA+$AW$14&lt;pax_e)</f>
        <v>9.902000000000001</v>
      </c>
      <c r="BN4381" s="281">
        <f>$AX$14</f>
        <v>1.3100000000000003</v>
      </c>
      <c r="BO4381" s="281">
        <f t="shared" si="202"/>
        <v>-7.9084799999999973</v>
      </c>
    </row>
    <row r="4382" spans="65:67" x14ac:dyDescent="0.25">
      <c r="BM4382" s="281">
        <f>$AZ$9+(seat_pitch)</f>
        <v>10.55</v>
      </c>
      <c r="BN4382" s="281">
        <f>$AX$14</f>
        <v>1.3100000000000003</v>
      </c>
      <c r="BO4382" s="281">
        <f t="shared" si="202"/>
        <v>-7.2604799999999976</v>
      </c>
    </row>
    <row r="4383" spans="65:67" x14ac:dyDescent="0.25">
      <c r="BM4383" s="281">
        <f>$AZ$10+0.2*(seat_pitch)*($AY$10*n_SA+$AW$14&lt;pax_e)</f>
        <v>10.712000000000002</v>
      </c>
      <c r="BN4383" s="281">
        <f>$AX$14</f>
        <v>1.3100000000000003</v>
      </c>
      <c r="BO4383" s="281">
        <f t="shared" si="202"/>
        <v>-7.0984799999999968</v>
      </c>
    </row>
    <row r="4384" spans="65:67" x14ac:dyDescent="0.25">
      <c r="BM4384" s="281">
        <f>$AZ$10+0.2*(seat_pitch)*($AY$10*n_SA+$AW$14&lt;pax_e)</f>
        <v>10.712000000000002</v>
      </c>
      <c r="BN4384" s="281">
        <f>$AX$14+seat_w*($AY$10*n_SA+$AW$14&lt;pax_e)</f>
        <v>1.8400000000000003</v>
      </c>
      <c r="BO4384" s="281">
        <f t="shared" si="202"/>
        <v>-7.0984799999999968</v>
      </c>
    </row>
    <row r="4385" spans="65:67" x14ac:dyDescent="0.25">
      <c r="BM4385" s="281">
        <f>$AZ$10</f>
        <v>10.55</v>
      </c>
      <c r="BN4385" s="281">
        <f>$AX$14+seat_w*($AY$10*n_SA+$AW$14&lt;pax_e)</f>
        <v>1.8400000000000003</v>
      </c>
      <c r="BO4385" s="281">
        <f t="shared" si="202"/>
        <v>-7.2604799999999976</v>
      </c>
    </row>
    <row r="4386" spans="65:67" x14ac:dyDescent="0.25">
      <c r="BM4386" s="281">
        <f>$AZ$10+1*(seat_pitch)*($AY$10*n_SA+$AW$14&lt;pax_e)</f>
        <v>11.360000000000001</v>
      </c>
      <c r="BN4386" s="281">
        <f>$AX$14+seat_w*($AY$10*n_SA+$AW$14&lt;pax_e)</f>
        <v>1.8400000000000003</v>
      </c>
      <c r="BO4386" s="281">
        <f t="shared" si="202"/>
        <v>-6.4504799999999971</v>
      </c>
    </row>
    <row r="4387" spans="65:67" x14ac:dyDescent="0.25">
      <c r="BM4387" s="281">
        <f>$AZ$10+0.8*(seat_pitch)*($AY$10*n_SA+$AW$14&lt;pax_e)</f>
        <v>11.198</v>
      </c>
      <c r="BN4387" s="281">
        <f>$AX$14+seat_w*($AY$10*n_SA+$AW$14&lt;pax_e)</f>
        <v>1.8400000000000003</v>
      </c>
      <c r="BO4387" s="281">
        <f t="shared" si="202"/>
        <v>-6.6124799999999979</v>
      </c>
    </row>
    <row r="4388" spans="65:67" x14ac:dyDescent="0.25">
      <c r="BM4388" s="281">
        <f>$AZ$10+0.8*(seat_pitch)*($AY$10*n_SA+$AW$14&lt;pax_e)</f>
        <v>11.198</v>
      </c>
      <c r="BN4388" s="281">
        <f>$AX$14</f>
        <v>1.3100000000000003</v>
      </c>
      <c r="BO4388" s="281">
        <f t="shared" si="202"/>
        <v>-6.6124799999999979</v>
      </c>
    </row>
    <row r="4389" spans="65:67" x14ac:dyDescent="0.25">
      <c r="BM4389" s="281">
        <f>$AZ$10+0.2*(seat_pitch)*($AY$10*n_SA+$AW$14&lt;pax_e)</f>
        <v>10.712000000000002</v>
      </c>
      <c r="BN4389" s="281">
        <f>$AX$14</f>
        <v>1.3100000000000003</v>
      </c>
      <c r="BO4389" s="281">
        <f t="shared" si="202"/>
        <v>-7.0984799999999968</v>
      </c>
    </row>
    <row r="4390" spans="65:67" x14ac:dyDescent="0.25">
      <c r="BM4390" s="281">
        <f>$AZ$10+(seat_pitch)</f>
        <v>11.360000000000001</v>
      </c>
      <c r="BN4390" s="281">
        <f>$AX$14</f>
        <v>1.3100000000000003</v>
      </c>
      <c r="BO4390" s="281">
        <f t="shared" si="202"/>
        <v>-6.4504799999999971</v>
      </c>
    </row>
    <row r="4391" spans="65:67" x14ac:dyDescent="0.25">
      <c r="BM4391" s="281">
        <f>$AZ$11+0.2*(seat_pitch)*($AY$11*n_SA+$AW$14&lt;pax_e)</f>
        <v>11.522</v>
      </c>
      <c r="BN4391" s="281">
        <f>$AX$14</f>
        <v>1.3100000000000003</v>
      </c>
      <c r="BO4391" s="281">
        <f t="shared" si="202"/>
        <v>-6.2884799999999981</v>
      </c>
    </row>
    <row r="4392" spans="65:67" x14ac:dyDescent="0.25">
      <c r="BM4392" s="281">
        <f>$AZ$11+0.2*(seat_pitch)*($AY$11*n_SA+$AW$14&lt;pax_e)</f>
        <v>11.522</v>
      </c>
      <c r="BN4392" s="281">
        <f>$AX$14+seat_w*($AY$11*n_SA+$AW$14&lt;pax_e)</f>
        <v>1.8400000000000003</v>
      </c>
      <c r="BO4392" s="281">
        <f t="shared" si="202"/>
        <v>-6.2884799999999981</v>
      </c>
    </row>
    <row r="4393" spans="65:67" x14ac:dyDescent="0.25">
      <c r="BM4393" s="281">
        <f>$AZ$11</f>
        <v>11.36</v>
      </c>
      <c r="BN4393" s="281">
        <f>$AX$14+seat_w*($AY$11*n_SA+$AW$14&lt;pax_e)</f>
        <v>1.8400000000000003</v>
      </c>
      <c r="BO4393" s="281">
        <f t="shared" si="202"/>
        <v>-6.4504799999999989</v>
      </c>
    </row>
    <row r="4394" spans="65:67" x14ac:dyDescent="0.25">
      <c r="BM4394" s="281">
        <f>$AZ$11+1*(seat_pitch)*($AY$11*n_SA+$AW$14&lt;pax_e)</f>
        <v>12.17</v>
      </c>
      <c r="BN4394" s="281">
        <f>$AX$14+seat_w*($AY$11*n_SA+$AW$14&lt;pax_e)</f>
        <v>1.8400000000000003</v>
      </c>
      <c r="BO4394" s="281">
        <f t="shared" si="202"/>
        <v>-5.6404799999999984</v>
      </c>
    </row>
    <row r="4395" spans="65:67" x14ac:dyDescent="0.25">
      <c r="BM4395" s="281">
        <f>$AZ$11+0.8*(seat_pitch)*($AY$11*n_SA+$AW$14&lt;pax_e)</f>
        <v>12.007999999999999</v>
      </c>
      <c r="BN4395" s="281">
        <f>$AX$14+seat_w*($AY$11*n_SA+$AW$14&lt;pax_e)</f>
        <v>1.8400000000000003</v>
      </c>
      <c r="BO4395" s="281">
        <f t="shared" si="202"/>
        <v>-5.8024799999999992</v>
      </c>
    </row>
    <row r="4396" spans="65:67" x14ac:dyDescent="0.25">
      <c r="BM4396" s="281">
        <f>$AZ$11+0.8*(seat_pitch)*($AY$11*n_SA+$AW$14&lt;pax_e)</f>
        <v>12.007999999999999</v>
      </c>
      <c r="BN4396" s="281">
        <f>$AX$14</f>
        <v>1.3100000000000003</v>
      </c>
      <c r="BO4396" s="281">
        <f t="shared" si="202"/>
        <v>-5.8024799999999992</v>
      </c>
    </row>
    <row r="4397" spans="65:67" x14ac:dyDescent="0.25">
      <c r="BM4397" s="281">
        <f>$AZ$11+0.2*(seat_pitch)*($AY$11*n_SA+$AW$14&lt;pax_e)</f>
        <v>11.522</v>
      </c>
      <c r="BN4397" s="281">
        <f>$AX$14</f>
        <v>1.3100000000000003</v>
      </c>
      <c r="BO4397" s="281">
        <f t="shared" si="202"/>
        <v>-6.2884799999999981</v>
      </c>
    </row>
    <row r="4398" spans="65:67" x14ac:dyDescent="0.25">
      <c r="BM4398" s="281">
        <f>$AZ$11+(seat_pitch)</f>
        <v>12.17</v>
      </c>
      <c r="BN4398" s="281">
        <f>$AX$14</f>
        <v>1.3100000000000003</v>
      </c>
      <c r="BO4398" s="281">
        <f t="shared" si="202"/>
        <v>-5.6404799999999984</v>
      </c>
    </row>
    <row r="4399" spans="65:67" x14ac:dyDescent="0.25">
      <c r="BM4399" s="281">
        <f>$AZ$12+0.2*(seat_pitch)*($AY$12*n_SA+$AW$14&lt;pax_e)</f>
        <v>12.332000000000001</v>
      </c>
      <c r="BN4399" s="281">
        <f>$AX$14</f>
        <v>1.3100000000000003</v>
      </c>
      <c r="BO4399" s="281">
        <f t="shared" si="202"/>
        <v>-5.4784799999999976</v>
      </c>
    </row>
    <row r="4400" spans="65:67" x14ac:dyDescent="0.25">
      <c r="BM4400" s="281">
        <f>$AZ$12+0.2*(seat_pitch)*($AY$12*n_SA+$AW$14&lt;pax_e)</f>
        <v>12.332000000000001</v>
      </c>
      <c r="BN4400" s="281">
        <f>$AX$14+seat_w*($AY$12*n_SA+$AW$14&lt;pax_e)</f>
        <v>1.8400000000000003</v>
      </c>
      <c r="BO4400" s="281">
        <f t="shared" si="202"/>
        <v>-5.4784799999999976</v>
      </c>
    </row>
    <row r="4401" spans="65:67" x14ac:dyDescent="0.25">
      <c r="BM4401" s="281">
        <f>$AZ$12</f>
        <v>12.17</v>
      </c>
      <c r="BN4401" s="281">
        <f>$AX$14+seat_w*($AY$12*n_SA+$AW$14&lt;pax_e)</f>
        <v>1.8400000000000003</v>
      </c>
      <c r="BO4401" s="281">
        <f t="shared" si="202"/>
        <v>-5.6404799999999984</v>
      </c>
    </row>
    <row r="4402" spans="65:67" x14ac:dyDescent="0.25">
      <c r="BM4402" s="281">
        <f>$AZ$12+1*(seat_pitch)*($AY$12*n_SA+$AW$14&lt;pax_e)</f>
        <v>12.98</v>
      </c>
      <c r="BN4402" s="281">
        <f>$AX$14+seat_w*($AY$12*n_SA+$AW$14&lt;pax_e)</f>
        <v>1.8400000000000003</v>
      </c>
      <c r="BO4402" s="281">
        <f t="shared" si="202"/>
        <v>-4.8304799999999979</v>
      </c>
    </row>
    <row r="4403" spans="65:67" x14ac:dyDescent="0.25">
      <c r="BM4403" s="281">
        <f>$AZ$12+0.8*(seat_pitch)*($AY$12*n_SA+$AW$14&lt;pax_e)</f>
        <v>12.818</v>
      </c>
      <c r="BN4403" s="281">
        <f>$AX$14+seat_w*($AY$12*n_SA+$AW$14&lt;pax_e)</f>
        <v>1.8400000000000003</v>
      </c>
      <c r="BO4403" s="281">
        <f t="shared" si="202"/>
        <v>-4.9924799999999987</v>
      </c>
    </row>
    <row r="4404" spans="65:67" x14ac:dyDescent="0.25">
      <c r="BM4404" s="281">
        <f>$AZ$12+0.8*(seat_pitch)*($AY$12*n_SA+$AW$14&lt;pax_e)</f>
        <v>12.818</v>
      </c>
      <c r="BN4404" s="281">
        <f>$AX$14</f>
        <v>1.3100000000000003</v>
      </c>
      <c r="BO4404" s="281">
        <f t="shared" si="202"/>
        <v>-4.9924799999999987</v>
      </c>
    </row>
    <row r="4405" spans="65:67" x14ac:dyDescent="0.25">
      <c r="BM4405" s="281">
        <f>$AZ$12+0.2*(seat_pitch)*($AY$12*n_SA+$AW$14&lt;pax_e)</f>
        <v>12.332000000000001</v>
      </c>
      <c r="BN4405" s="281">
        <f>$AX$14</f>
        <v>1.3100000000000003</v>
      </c>
      <c r="BO4405" s="281">
        <f t="shared" si="202"/>
        <v>-5.4784799999999976</v>
      </c>
    </row>
    <row r="4406" spans="65:67" x14ac:dyDescent="0.25">
      <c r="BM4406" s="281">
        <f>$AZ$12+(seat_pitch)</f>
        <v>12.98</v>
      </c>
      <c r="BN4406" s="281">
        <f>$AX$14</f>
        <v>1.3100000000000003</v>
      </c>
      <c r="BO4406" s="281">
        <f t="shared" si="202"/>
        <v>-4.8304799999999979</v>
      </c>
    </row>
    <row r="4407" spans="65:67" x14ac:dyDescent="0.25">
      <c r="BM4407" s="281">
        <f>$AZ$13+0.2*(seat_pitch)*($AY$13*n_SA+$AW$14&lt;pax_e)</f>
        <v>13.142000000000001</v>
      </c>
      <c r="BN4407" s="281">
        <f>$AX$14</f>
        <v>1.3100000000000003</v>
      </c>
      <c r="BO4407" s="281">
        <f t="shared" si="202"/>
        <v>-4.6684799999999971</v>
      </c>
    </row>
    <row r="4408" spans="65:67" x14ac:dyDescent="0.25">
      <c r="BM4408" s="281">
        <f>$AZ$13+0.2*(seat_pitch)*($AY$13*n_SA+$AW$14&lt;pax_e)</f>
        <v>13.142000000000001</v>
      </c>
      <c r="BN4408" s="281">
        <f>$AX$14+seat_w*($AY$13*n_SA+$AW$14&lt;pax_e)</f>
        <v>1.8400000000000003</v>
      </c>
      <c r="BO4408" s="281">
        <f t="shared" si="202"/>
        <v>-4.6684799999999971</v>
      </c>
    </row>
    <row r="4409" spans="65:67" x14ac:dyDescent="0.25">
      <c r="BM4409" s="281">
        <f>$AZ$13</f>
        <v>12.98</v>
      </c>
      <c r="BN4409" s="281">
        <f>$AX$14+seat_w*($AY$13*n_SA+$AW$14&lt;pax_e)</f>
        <v>1.8400000000000003</v>
      </c>
      <c r="BO4409" s="281">
        <f t="shared" si="202"/>
        <v>-4.8304799999999979</v>
      </c>
    </row>
    <row r="4410" spans="65:67" x14ac:dyDescent="0.25">
      <c r="BM4410" s="281">
        <f>$AZ$13+1*(seat_pitch)*($AY$13*n_SA+$AW$14&lt;pax_e)</f>
        <v>13.790000000000001</v>
      </c>
      <c r="BN4410" s="281">
        <f>$AX$14+seat_w*($AY$13*n_SA+$AW$14&lt;pax_e)</f>
        <v>1.8400000000000003</v>
      </c>
      <c r="BO4410" s="281">
        <f t="shared" si="202"/>
        <v>-4.0204799999999974</v>
      </c>
    </row>
    <row r="4411" spans="65:67" x14ac:dyDescent="0.25">
      <c r="BM4411" s="281">
        <f>$AZ$13+0.8*(seat_pitch)*($AY$13*n_SA+$AW$14&lt;pax_e)</f>
        <v>13.628</v>
      </c>
      <c r="BN4411" s="281">
        <f>$AX$14+seat_w*($AY$13*n_SA+$AW$14&lt;pax_e)</f>
        <v>1.8400000000000003</v>
      </c>
      <c r="BO4411" s="281">
        <f t="shared" si="202"/>
        <v>-4.1824799999999982</v>
      </c>
    </row>
    <row r="4412" spans="65:67" x14ac:dyDescent="0.25">
      <c r="BM4412" s="281">
        <f>$AZ$13+0.8*(seat_pitch)*($AY$13*n_SA+$AW$14&lt;pax_e)</f>
        <v>13.628</v>
      </c>
      <c r="BN4412" s="281">
        <f>$AX$14</f>
        <v>1.3100000000000003</v>
      </c>
      <c r="BO4412" s="281">
        <f t="shared" si="202"/>
        <v>-4.1824799999999982</v>
      </c>
    </row>
    <row r="4413" spans="65:67" x14ac:dyDescent="0.25">
      <c r="BM4413" s="281">
        <f>$AZ$13+0.2*(seat_pitch)*($AY$13*n_SA+$AW$14&lt;pax_e)</f>
        <v>13.142000000000001</v>
      </c>
      <c r="BN4413" s="281">
        <f>$AX$14</f>
        <v>1.3100000000000003</v>
      </c>
      <c r="BO4413" s="281">
        <f t="shared" si="202"/>
        <v>-4.6684799999999971</v>
      </c>
    </row>
    <row r="4414" spans="65:67" x14ac:dyDescent="0.25">
      <c r="BM4414" s="281">
        <f>$AZ$13+(seat_pitch)</f>
        <v>13.790000000000001</v>
      </c>
      <c r="BN4414" s="281">
        <f>$AX$14</f>
        <v>1.3100000000000003</v>
      </c>
      <c r="BO4414" s="281">
        <f t="shared" si="202"/>
        <v>-4.0204799999999974</v>
      </c>
    </row>
    <row r="4415" spans="65:67" x14ac:dyDescent="0.25">
      <c r="BM4415" s="281">
        <f>$AZ$14+0.2*(seat_pitch)*($AY$14*n_SA+$AW$14&lt;pax_e)</f>
        <v>13.952000000000002</v>
      </c>
      <c r="BN4415" s="281">
        <f>$AX$14</f>
        <v>1.3100000000000003</v>
      </c>
      <c r="BO4415" s="281">
        <f t="shared" si="202"/>
        <v>-3.8584799999999966</v>
      </c>
    </row>
    <row r="4416" spans="65:67" x14ac:dyDescent="0.25">
      <c r="BM4416" s="281">
        <f>$AZ$14+0.2*(seat_pitch)*($AY$14*n_SA+$AW$14&lt;pax_e)</f>
        <v>13.952000000000002</v>
      </c>
      <c r="BN4416" s="281">
        <f>$AX$14+seat_w*($AY$14*n_SA+$AW$14&lt;pax_e)</f>
        <v>1.8400000000000003</v>
      </c>
      <c r="BO4416" s="281">
        <f t="shared" si="202"/>
        <v>-3.8584799999999966</v>
      </c>
    </row>
    <row r="4417" spans="65:67" x14ac:dyDescent="0.25">
      <c r="BM4417" s="281">
        <f>$AZ$14</f>
        <v>13.790000000000001</v>
      </c>
      <c r="BN4417" s="281">
        <f>$AX$14+seat_w*($AY$14*n_SA+$AW$14&lt;pax_e)</f>
        <v>1.8400000000000003</v>
      </c>
      <c r="BO4417" s="281">
        <f t="shared" si="202"/>
        <v>-4.0204799999999974</v>
      </c>
    </row>
    <row r="4418" spans="65:67" x14ac:dyDescent="0.25">
      <c r="BM4418" s="281">
        <f>$AZ$14+1*(seat_pitch)*($AY$14*n_SA+$AW$14&lt;pax_e)</f>
        <v>14.600000000000001</v>
      </c>
      <c r="BN4418" s="281">
        <f>$AX$14+seat_w*($AY$14*n_SA+$AW$14&lt;pax_e)</f>
        <v>1.8400000000000003</v>
      </c>
      <c r="BO4418" s="281">
        <f t="shared" si="202"/>
        <v>-3.2104799999999969</v>
      </c>
    </row>
    <row r="4419" spans="65:67" x14ac:dyDescent="0.25">
      <c r="BM4419" s="281">
        <f>$AZ$14+0.8*(seat_pitch)*($AY$14*n_SA+$AW$14&lt;pax_e)</f>
        <v>14.438000000000001</v>
      </c>
      <c r="BN4419" s="281">
        <f>$AX$14+seat_w*($AY$14*n_SA+$AW$14&lt;pax_e)</f>
        <v>1.8400000000000003</v>
      </c>
      <c r="BO4419" s="281">
        <f t="shared" si="202"/>
        <v>-3.3724799999999977</v>
      </c>
    </row>
    <row r="4420" spans="65:67" x14ac:dyDescent="0.25">
      <c r="BM4420" s="281">
        <f>$AZ$14+0.8*(seat_pitch)*($AY$14*n_SA+$AW$14&lt;pax_e)</f>
        <v>14.438000000000001</v>
      </c>
      <c r="BN4420" s="281">
        <f>$AX$14</f>
        <v>1.3100000000000003</v>
      </c>
      <c r="BO4420" s="281">
        <f t="shared" si="202"/>
        <v>-3.3724799999999977</v>
      </c>
    </row>
    <row r="4421" spans="65:67" x14ac:dyDescent="0.25">
      <c r="BM4421" s="281">
        <f>$AZ$14+0.2*(seat_pitch)*($AY$14*n_SA+$AW$14&lt;pax_e)</f>
        <v>13.952000000000002</v>
      </c>
      <c r="BN4421" s="281">
        <f>$AX$14</f>
        <v>1.3100000000000003</v>
      </c>
      <c r="BO4421" s="281">
        <f t="shared" ref="BO4421:BO4484" si="203">BM4421-L_fus/2</f>
        <v>-3.8584799999999966</v>
      </c>
    </row>
    <row r="4422" spans="65:67" x14ac:dyDescent="0.25">
      <c r="BM4422" s="281">
        <f>$AZ$14+(seat_pitch)</f>
        <v>14.600000000000001</v>
      </c>
      <c r="BN4422" s="281">
        <f>$AX$14</f>
        <v>1.3100000000000003</v>
      </c>
      <c r="BO4422" s="281">
        <f t="shared" si="203"/>
        <v>-3.2104799999999969</v>
      </c>
    </row>
    <row r="4423" spans="65:67" x14ac:dyDescent="0.25">
      <c r="BM4423" s="281">
        <f>$AZ$15+0.2*(seat_pitch)*($AY$15*n_SA+$AW$14&lt;pax_e)</f>
        <v>14.762000000000002</v>
      </c>
      <c r="BN4423" s="281">
        <f>$AX$14</f>
        <v>1.3100000000000003</v>
      </c>
      <c r="BO4423" s="281">
        <f t="shared" si="203"/>
        <v>-3.0484799999999961</v>
      </c>
    </row>
    <row r="4424" spans="65:67" x14ac:dyDescent="0.25">
      <c r="BM4424" s="281">
        <f>$AZ$15+0.2*(seat_pitch)*($AY$15*n_SA+$AW$14&lt;pax_e)</f>
        <v>14.762000000000002</v>
      </c>
      <c r="BN4424" s="281">
        <f>$AX$14+seat_w*($AY$15*n_SA+$AW$14&lt;pax_e)</f>
        <v>1.8400000000000003</v>
      </c>
      <c r="BO4424" s="281">
        <f t="shared" si="203"/>
        <v>-3.0484799999999961</v>
      </c>
    </row>
    <row r="4425" spans="65:67" x14ac:dyDescent="0.25">
      <c r="BM4425" s="281">
        <f>$AZ$15</f>
        <v>14.600000000000001</v>
      </c>
      <c r="BN4425" s="281">
        <f>$AX$14+seat_w*($AY$15*n_SA+$AW$14&lt;pax_e)</f>
        <v>1.8400000000000003</v>
      </c>
      <c r="BO4425" s="281">
        <f t="shared" si="203"/>
        <v>-3.2104799999999969</v>
      </c>
    </row>
    <row r="4426" spans="65:67" x14ac:dyDescent="0.25">
      <c r="BM4426" s="281">
        <f>$AZ$15+1*(seat_pitch)*($AY$15*n_SA+$AW$14&lt;pax_e)</f>
        <v>15.410000000000002</v>
      </c>
      <c r="BN4426" s="281">
        <f>$AX$14+seat_w*($AY$15*n_SA+$AW$14&lt;pax_e)</f>
        <v>1.8400000000000003</v>
      </c>
      <c r="BO4426" s="281">
        <f t="shared" si="203"/>
        <v>-2.4004799999999964</v>
      </c>
    </row>
    <row r="4427" spans="65:67" x14ac:dyDescent="0.25">
      <c r="BM4427" s="281">
        <f>$AZ$15+0.8*(seat_pitch)*($AY$15*n_SA+$AW$14&lt;pax_e)</f>
        <v>15.248000000000001</v>
      </c>
      <c r="BN4427" s="281">
        <f>$AX$14+seat_w*($AY$15*n_SA+$AW$14&lt;pax_e)</f>
        <v>1.8400000000000003</v>
      </c>
      <c r="BO4427" s="281">
        <f t="shared" si="203"/>
        <v>-2.5624799999999972</v>
      </c>
    </row>
    <row r="4428" spans="65:67" x14ac:dyDescent="0.25">
      <c r="BM4428" s="281">
        <f>$AZ$15+0.8*(seat_pitch)*($AY$15*n_SA+$AW$14&lt;pax_e)</f>
        <v>15.248000000000001</v>
      </c>
      <c r="BN4428" s="281">
        <f>$AX$14</f>
        <v>1.3100000000000003</v>
      </c>
      <c r="BO4428" s="281">
        <f t="shared" si="203"/>
        <v>-2.5624799999999972</v>
      </c>
    </row>
    <row r="4429" spans="65:67" x14ac:dyDescent="0.25">
      <c r="BM4429" s="281">
        <f>$AZ$15+0.2*(seat_pitch)*($AY$15*n_SA+$AW$14&lt;pax_e)</f>
        <v>14.762000000000002</v>
      </c>
      <c r="BN4429" s="281">
        <f>$AX$14</f>
        <v>1.3100000000000003</v>
      </c>
      <c r="BO4429" s="281">
        <f t="shared" si="203"/>
        <v>-3.0484799999999961</v>
      </c>
    </row>
    <row r="4430" spans="65:67" x14ac:dyDescent="0.25">
      <c r="BM4430" s="281">
        <f>$AZ$15+(seat_pitch)</f>
        <v>15.410000000000002</v>
      </c>
      <c r="BN4430" s="281">
        <f>$AX$14</f>
        <v>1.3100000000000003</v>
      </c>
      <c r="BO4430" s="281">
        <f t="shared" si="203"/>
        <v>-2.4004799999999964</v>
      </c>
    </row>
    <row r="4431" spans="65:67" x14ac:dyDescent="0.25">
      <c r="BM4431" s="281">
        <f>$AZ$16+0.2*(seat_pitch)*($AY$16*n_SA+$AW$14&lt;pax_e)</f>
        <v>15.572000000000001</v>
      </c>
      <c r="BN4431" s="281">
        <f>$AX$14</f>
        <v>1.3100000000000003</v>
      </c>
      <c r="BO4431" s="281">
        <f t="shared" si="203"/>
        <v>-2.2384799999999974</v>
      </c>
    </row>
    <row r="4432" spans="65:67" x14ac:dyDescent="0.25">
      <c r="BM4432" s="281">
        <f>$AZ$16+0.2*(seat_pitch)*($AY$16*n_SA+$AW$14&lt;pax_e)</f>
        <v>15.572000000000001</v>
      </c>
      <c r="BN4432" s="281">
        <f>$AX$14+seat_w*($AY$16*n_SA+$AW$14&lt;pax_e)</f>
        <v>1.8400000000000003</v>
      </c>
      <c r="BO4432" s="281">
        <f t="shared" si="203"/>
        <v>-2.2384799999999974</v>
      </c>
    </row>
    <row r="4433" spans="65:67" x14ac:dyDescent="0.25">
      <c r="BM4433" s="281">
        <f>$AZ$16</f>
        <v>15.41</v>
      </c>
      <c r="BN4433" s="281">
        <f>$AX$14+seat_w*($AY$16*n_SA+$AW$14&lt;pax_e)</f>
        <v>1.8400000000000003</v>
      </c>
      <c r="BO4433" s="281">
        <f t="shared" si="203"/>
        <v>-2.4004799999999982</v>
      </c>
    </row>
    <row r="4434" spans="65:67" x14ac:dyDescent="0.25">
      <c r="BM4434" s="281">
        <f>$AZ$16+1*(seat_pitch)*($AY$16*n_SA+$AW$14&lt;pax_e)</f>
        <v>16.22</v>
      </c>
      <c r="BN4434" s="281">
        <f>$AX$14+seat_w*($AY$16*n_SA+$AW$14&lt;pax_e)</f>
        <v>1.8400000000000003</v>
      </c>
      <c r="BO4434" s="281">
        <f t="shared" si="203"/>
        <v>-1.5904799999999994</v>
      </c>
    </row>
    <row r="4435" spans="65:67" x14ac:dyDescent="0.25">
      <c r="BM4435" s="281">
        <f>$AZ$16+0.8*(seat_pitch)*($AY$16*n_SA+$AW$14&lt;pax_e)</f>
        <v>16.058</v>
      </c>
      <c r="BN4435" s="281">
        <f>$AX$14+seat_w*($AY$16*n_SA+$AW$14&lt;pax_e)</f>
        <v>1.8400000000000003</v>
      </c>
      <c r="BO4435" s="281">
        <f t="shared" si="203"/>
        <v>-1.7524799999999985</v>
      </c>
    </row>
    <row r="4436" spans="65:67" x14ac:dyDescent="0.25">
      <c r="BM4436" s="281">
        <f>$AZ$16+0.8*(seat_pitch)*($AY$16*n_SA+$AW$14&lt;pax_e)</f>
        <v>16.058</v>
      </c>
      <c r="BN4436" s="281">
        <f>$AX$14</f>
        <v>1.3100000000000003</v>
      </c>
      <c r="BO4436" s="281">
        <f t="shared" si="203"/>
        <v>-1.7524799999999985</v>
      </c>
    </row>
    <row r="4437" spans="65:67" x14ac:dyDescent="0.25">
      <c r="BM4437" s="281">
        <f>$AZ$16+0.2*(seat_pitch)*($AY$16*n_SA+$AW$14&lt;pax_e)</f>
        <v>15.572000000000001</v>
      </c>
      <c r="BN4437" s="281">
        <f>$AX$14</f>
        <v>1.3100000000000003</v>
      </c>
      <c r="BO4437" s="281">
        <f t="shared" si="203"/>
        <v>-2.2384799999999974</v>
      </c>
    </row>
    <row r="4438" spans="65:67" x14ac:dyDescent="0.25">
      <c r="BM4438" s="281">
        <f>$AZ$16+(seat_pitch)</f>
        <v>16.22</v>
      </c>
      <c r="BN4438" s="281">
        <f>$AX$14</f>
        <v>1.3100000000000003</v>
      </c>
      <c r="BO4438" s="281">
        <f t="shared" si="203"/>
        <v>-1.5904799999999994</v>
      </c>
    </row>
    <row r="4439" spans="65:67" x14ac:dyDescent="0.25">
      <c r="BM4439" s="281">
        <f>$AZ$17+0.2*(seat_pitch)*($AY$17*n_SA+$AW$14&lt;pax_e)</f>
        <v>16.381999999999998</v>
      </c>
      <c r="BN4439" s="281">
        <f>$AX$14</f>
        <v>1.3100000000000003</v>
      </c>
      <c r="BO4439" s="281">
        <f t="shared" si="203"/>
        <v>-1.4284800000000004</v>
      </c>
    </row>
    <row r="4440" spans="65:67" x14ac:dyDescent="0.25">
      <c r="BM4440" s="281">
        <f>$AZ$17+0.2*(seat_pitch)*($AY$17*n_SA+$AW$14&lt;pax_e)</f>
        <v>16.381999999999998</v>
      </c>
      <c r="BN4440" s="281">
        <f>$AX$14+seat_w*($AY$17*n_SA+$AW$14&lt;pax_e)</f>
        <v>1.8400000000000003</v>
      </c>
      <c r="BO4440" s="281">
        <f t="shared" si="203"/>
        <v>-1.4284800000000004</v>
      </c>
    </row>
    <row r="4441" spans="65:67" x14ac:dyDescent="0.25">
      <c r="BM4441" s="281">
        <f>$AZ$17</f>
        <v>16.22</v>
      </c>
      <c r="BN4441" s="281">
        <f>$AX$14+seat_w*($AY$17*n_SA+$AW$14&lt;pax_e)</f>
        <v>1.8400000000000003</v>
      </c>
      <c r="BO4441" s="281">
        <f t="shared" si="203"/>
        <v>-1.5904799999999994</v>
      </c>
    </row>
    <row r="4442" spans="65:67" x14ac:dyDescent="0.25">
      <c r="BM4442" s="281">
        <f>$AZ$17+1*(seat_pitch)*($AY$17*n_SA+$AW$14&lt;pax_e)</f>
        <v>17.029999999999998</v>
      </c>
      <c r="BN4442" s="281">
        <f>$AX$14+seat_w*($AY$17*n_SA+$AW$14&lt;pax_e)</f>
        <v>1.8400000000000003</v>
      </c>
      <c r="BO4442" s="281">
        <f t="shared" si="203"/>
        <v>-0.78048000000000073</v>
      </c>
    </row>
    <row r="4443" spans="65:67" x14ac:dyDescent="0.25">
      <c r="BM4443" s="281">
        <f>$AZ$17+0.8*(seat_pitch)*($AY$17*n_SA+$AW$14&lt;pax_e)</f>
        <v>16.867999999999999</v>
      </c>
      <c r="BN4443" s="281">
        <f>$AX$14+seat_w*($AY$17*n_SA+$AW$14&lt;pax_e)</f>
        <v>1.8400000000000003</v>
      </c>
      <c r="BO4443" s="281">
        <f t="shared" si="203"/>
        <v>-0.94247999999999976</v>
      </c>
    </row>
    <row r="4444" spans="65:67" x14ac:dyDescent="0.25">
      <c r="BM4444" s="281">
        <f>$AZ$17+0.8*(seat_pitch)*($AY$17*n_SA+$AW$14&lt;pax_e)</f>
        <v>16.867999999999999</v>
      </c>
      <c r="BN4444" s="281">
        <f>$AX$14</f>
        <v>1.3100000000000003</v>
      </c>
      <c r="BO4444" s="281">
        <f t="shared" si="203"/>
        <v>-0.94247999999999976</v>
      </c>
    </row>
    <row r="4445" spans="65:67" x14ac:dyDescent="0.25">
      <c r="BM4445" s="281">
        <f>$AZ$17+0.2*(seat_pitch)*($AY$17*n_SA+$AW$14&lt;pax_e)</f>
        <v>16.381999999999998</v>
      </c>
      <c r="BN4445" s="281">
        <f>$AX$14</f>
        <v>1.3100000000000003</v>
      </c>
      <c r="BO4445" s="281">
        <f t="shared" si="203"/>
        <v>-1.4284800000000004</v>
      </c>
    </row>
    <row r="4446" spans="65:67" x14ac:dyDescent="0.25">
      <c r="BM4446" s="281">
        <f>$AZ$17+(seat_pitch)</f>
        <v>17.029999999999998</v>
      </c>
      <c r="BN4446" s="281">
        <f>$AX$14</f>
        <v>1.3100000000000003</v>
      </c>
      <c r="BO4446" s="281">
        <f t="shared" si="203"/>
        <v>-0.78048000000000073</v>
      </c>
    </row>
    <row r="4447" spans="65:67" x14ac:dyDescent="0.25">
      <c r="BM4447" s="281">
        <f>$AZ$18+0.2*(seat_pitch)*($AY$18*n_SA+$AW$14&lt;pax_e)</f>
        <v>17.192</v>
      </c>
      <c r="BN4447" s="281">
        <f>$AX$14</f>
        <v>1.3100000000000003</v>
      </c>
      <c r="BO4447" s="281">
        <f t="shared" si="203"/>
        <v>-0.61847999999999814</v>
      </c>
    </row>
    <row r="4448" spans="65:67" x14ac:dyDescent="0.25">
      <c r="BM4448" s="281">
        <f>$AZ$18+0.2*(seat_pitch)*($AY$18*n_SA+$AW$14&lt;pax_e)</f>
        <v>17.192</v>
      </c>
      <c r="BN4448" s="281">
        <f>$AX$14+seat_w*($AY$18*n_SA+$AW$14&lt;pax_e)</f>
        <v>1.8400000000000003</v>
      </c>
      <c r="BO4448" s="281">
        <f t="shared" si="203"/>
        <v>-0.61847999999999814</v>
      </c>
    </row>
    <row r="4449" spans="65:67" x14ac:dyDescent="0.25">
      <c r="BM4449" s="281">
        <f>$AZ$18</f>
        <v>17.03</v>
      </c>
      <c r="BN4449" s="281">
        <f>$AX$14+seat_w*($AY$18*n_SA+$AW$14&lt;pax_e)</f>
        <v>1.8400000000000003</v>
      </c>
      <c r="BO4449" s="281">
        <f t="shared" si="203"/>
        <v>-0.78047999999999718</v>
      </c>
    </row>
    <row r="4450" spans="65:67" x14ac:dyDescent="0.25">
      <c r="BM4450" s="281">
        <f>$AZ$18+1*(seat_pitch)*($AY$18*n_SA+$AW$14&lt;pax_e)</f>
        <v>17.84</v>
      </c>
      <c r="BN4450" s="281">
        <f>$AX$14+seat_w*($AY$18*n_SA+$AW$14&lt;pax_e)</f>
        <v>1.8400000000000003</v>
      </c>
      <c r="BO4450" s="281">
        <f t="shared" si="203"/>
        <v>2.9520000000001545E-2</v>
      </c>
    </row>
    <row r="4451" spans="65:67" x14ac:dyDescent="0.25">
      <c r="BM4451" s="281">
        <f>$AZ$18+0.8*(seat_pitch)*($AY$18*n_SA+$AW$14&lt;pax_e)</f>
        <v>17.678000000000001</v>
      </c>
      <c r="BN4451" s="281">
        <f>$AX$14+seat_w*($AY$18*n_SA+$AW$14&lt;pax_e)</f>
        <v>1.8400000000000003</v>
      </c>
      <c r="BO4451" s="281">
        <f t="shared" si="203"/>
        <v>-0.13247999999999749</v>
      </c>
    </row>
    <row r="4452" spans="65:67" x14ac:dyDescent="0.25">
      <c r="BM4452" s="281">
        <f>$AZ$18+0.8*(seat_pitch)*($AY$18*n_SA+$AW$14&lt;pax_e)</f>
        <v>17.678000000000001</v>
      </c>
      <c r="BN4452" s="281">
        <f>$AX$14</f>
        <v>1.3100000000000003</v>
      </c>
      <c r="BO4452" s="281">
        <f t="shared" si="203"/>
        <v>-0.13247999999999749</v>
      </c>
    </row>
    <row r="4453" spans="65:67" x14ac:dyDescent="0.25">
      <c r="BM4453" s="281">
        <f>$AZ$18+0.2*(seat_pitch)*($AY$18*n_SA+$AW$14&lt;pax_e)</f>
        <v>17.192</v>
      </c>
      <c r="BN4453" s="281">
        <f>$AX$14</f>
        <v>1.3100000000000003</v>
      </c>
      <c r="BO4453" s="281">
        <f t="shared" si="203"/>
        <v>-0.61847999999999814</v>
      </c>
    </row>
    <row r="4454" spans="65:67" x14ac:dyDescent="0.25">
      <c r="BM4454" s="281">
        <f>$AZ$18+(seat_pitch)</f>
        <v>17.84</v>
      </c>
      <c r="BN4454" s="281">
        <f>$AX$14</f>
        <v>1.3100000000000003</v>
      </c>
      <c r="BO4454" s="281">
        <f t="shared" si="203"/>
        <v>2.9520000000001545E-2</v>
      </c>
    </row>
    <row r="4455" spans="65:67" x14ac:dyDescent="0.25">
      <c r="BM4455" s="281">
        <f>$AZ$19+0.2*(seat_pitch)*($AY$19*n_SA+$AW$14&lt;pax_e)</f>
        <v>18.001999999999999</v>
      </c>
      <c r="BN4455" s="281">
        <f>$AX$14</f>
        <v>1.3100000000000003</v>
      </c>
      <c r="BO4455" s="281">
        <f t="shared" si="203"/>
        <v>0.19152000000000058</v>
      </c>
    </row>
    <row r="4456" spans="65:67" x14ac:dyDescent="0.25">
      <c r="BM4456" s="281">
        <f>$AZ$19+0.2*(seat_pitch)*($AY$19*n_SA+$AW$14&lt;pax_e)</f>
        <v>18.001999999999999</v>
      </c>
      <c r="BN4456" s="281">
        <f>$AX$14+seat_w*($AY$19*n_SA+$AW$14&lt;pax_e)</f>
        <v>1.8400000000000003</v>
      </c>
      <c r="BO4456" s="281">
        <f t="shared" si="203"/>
        <v>0.19152000000000058</v>
      </c>
    </row>
    <row r="4457" spans="65:67" x14ac:dyDescent="0.25">
      <c r="BM4457" s="281">
        <f>$AZ$19</f>
        <v>17.84</v>
      </c>
      <c r="BN4457" s="281">
        <f>$AX$14+seat_w*($AY$19*n_SA+$AW$14&lt;pax_e)</f>
        <v>1.8400000000000003</v>
      </c>
      <c r="BO4457" s="281">
        <f t="shared" si="203"/>
        <v>2.9520000000001545E-2</v>
      </c>
    </row>
    <row r="4458" spans="65:67" x14ac:dyDescent="0.25">
      <c r="BM4458" s="281">
        <f>$AZ$19+1*(seat_pitch)*($AY$19*n_SA+$AW$14&lt;pax_e)</f>
        <v>18.649999999999999</v>
      </c>
      <c r="BN4458" s="281">
        <f>$AX$14+seat_w*($AY$19*n_SA+$AW$14&lt;pax_e)</f>
        <v>1.8400000000000003</v>
      </c>
      <c r="BO4458" s="281">
        <f t="shared" si="203"/>
        <v>0.83952000000000027</v>
      </c>
    </row>
    <row r="4459" spans="65:67" x14ac:dyDescent="0.25">
      <c r="BM4459" s="281">
        <f>$AZ$19+0.8*(seat_pitch)*($AY$19*n_SA+$AW$14&lt;pax_e)</f>
        <v>18.488</v>
      </c>
      <c r="BN4459" s="281">
        <f>$AX$14+seat_w*($AY$19*n_SA+$AW$14&lt;pax_e)</f>
        <v>1.8400000000000003</v>
      </c>
      <c r="BO4459" s="281">
        <f t="shared" si="203"/>
        <v>0.67752000000000123</v>
      </c>
    </row>
    <row r="4460" spans="65:67" x14ac:dyDescent="0.25">
      <c r="BM4460" s="281">
        <f>$AZ$19+0.8*(seat_pitch)*($AY$19*n_SA+$AW$14&lt;pax_e)</f>
        <v>18.488</v>
      </c>
      <c r="BN4460" s="281">
        <f>$AX$14</f>
        <v>1.3100000000000003</v>
      </c>
      <c r="BO4460" s="281">
        <f t="shared" si="203"/>
        <v>0.67752000000000123</v>
      </c>
    </row>
    <row r="4461" spans="65:67" x14ac:dyDescent="0.25">
      <c r="BM4461" s="281">
        <f>$AZ$19+0.2*(seat_pitch)*($AY$19*n_SA+$AW$14&lt;pax_e)</f>
        <v>18.001999999999999</v>
      </c>
      <c r="BN4461" s="281">
        <f>$AX$14</f>
        <v>1.3100000000000003</v>
      </c>
      <c r="BO4461" s="281">
        <f t="shared" si="203"/>
        <v>0.19152000000000058</v>
      </c>
    </row>
    <row r="4462" spans="65:67" x14ac:dyDescent="0.25">
      <c r="BM4462" s="281">
        <f>$AZ$19+(seat_pitch)</f>
        <v>18.649999999999999</v>
      </c>
      <c r="BN4462" s="281">
        <f>$AX$14</f>
        <v>1.3100000000000003</v>
      </c>
      <c r="BO4462" s="281">
        <f t="shared" si="203"/>
        <v>0.83952000000000027</v>
      </c>
    </row>
    <row r="4463" spans="65:67" x14ac:dyDescent="0.25">
      <c r="BM4463" s="281">
        <f>$AZ$20+0.2*(seat_pitch)*($AY$20*n_SA+$AW$14&lt;pax_e)</f>
        <v>18.811999999999998</v>
      </c>
      <c r="BN4463" s="281">
        <f>$AX$14</f>
        <v>1.3100000000000003</v>
      </c>
      <c r="BO4463" s="281">
        <f t="shared" si="203"/>
        <v>1.0015199999999993</v>
      </c>
    </row>
    <row r="4464" spans="65:67" x14ac:dyDescent="0.25">
      <c r="BM4464" s="281">
        <f>$AZ$20+0.2*(seat_pitch)*($AY$20*n_SA+$AW$14&lt;pax_e)</f>
        <v>18.811999999999998</v>
      </c>
      <c r="BN4464" s="281">
        <f>$AX$14+seat_w*($AY$20*n_SA+$AW$14&lt;pax_e)</f>
        <v>1.8400000000000003</v>
      </c>
      <c r="BO4464" s="281">
        <f t="shared" si="203"/>
        <v>1.0015199999999993</v>
      </c>
    </row>
    <row r="4465" spans="65:67" x14ac:dyDescent="0.25">
      <c r="BM4465" s="281">
        <f>$AZ$20</f>
        <v>18.649999999999999</v>
      </c>
      <c r="BN4465" s="281">
        <f>$AX$14+seat_w*($AY$20*n_SA+$AW$14&lt;pax_e)</f>
        <v>1.8400000000000003</v>
      </c>
      <c r="BO4465" s="281">
        <f t="shared" si="203"/>
        <v>0.83952000000000027</v>
      </c>
    </row>
    <row r="4466" spans="65:67" x14ac:dyDescent="0.25">
      <c r="BM4466" s="281">
        <f>$AZ$20+1*(seat_pitch)*($AY$20*n_SA+$AW$14&lt;pax_e)</f>
        <v>19.459999999999997</v>
      </c>
      <c r="BN4466" s="281">
        <f>$AX$14+seat_w*($AY$20*n_SA+$AW$14&lt;pax_e)</f>
        <v>1.8400000000000003</v>
      </c>
      <c r="BO4466" s="281">
        <f t="shared" si="203"/>
        <v>1.649519999999999</v>
      </c>
    </row>
    <row r="4467" spans="65:67" x14ac:dyDescent="0.25">
      <c r="BM4467" s="281">
        <f>$AZ$20+0.8*(seat_pitch)*($AY$20*n_SA+$AW$14&lt;pax_e)</f>
        <v>19.297999999999998</v>
      </c>
      <c r="BN4467" s="281">
        <f>$AX$14+seat_w*($AY$20*n_SA+$AW$14&lt;pax_e)</f>
        <v>1.8400000000000003</v>
      </c>
      <c r="BO4467" s="281">
        <f t="shared" si="203"/>
        <v>1.48752</v>
      </c>
    </row>
    <row r="4468" spans="65:67" x14ac:dyDescent="0.25">
      <c r="BM4468" s="281">
        <f>$AZ$20+0.8*(seat_pitch)*($AY$20*n_SA+$AW$14&lt;pax_e)</f>
        <v>19.297999999999998</v>
      </c>
      <c r="BN4468" s="281">
        <f>$AX$14</f>
        <v>1.3100000000000003</v>
      </c>
      <c r="BO4468" s="281">
        <f t="shared" si="203"/>
        <v>1.48752</v>
      </c>
    </row>
    <row r="4469" spans="65:67" x14ac:dyDescent="0.25">
      <c r="BM4469" s="281">
        <f>$AZ$20+0.2*(seat_pitch)*($AY$20*n_SA+$AW$14&lt;pax_e)</f>
        <v>18.811999999999998</v>
      </c>
      <c r="BN4469" s="281">
        <f>$AX$14</f>
        <v>1.3100000000000003</v>
      </c>
      <c r="BO4469" s="281">
        <f t="shared" si="203"/>
        <v>1.0015199999999993</v>
      </c>
    </row>
    <row r="4470" spans="65:67" x14ac:dyDescent="0.25">
      <c r="BM4470" s="281">
        <f>$AZ$20+(seat_pitch)</f>
        <v>19.459999999999997</v>
      </c>
      <c r="BN4470" s="281">
        <f>$AX$14</f>
        <v>1.3100000000000003</v>
      </c>
      <c r="BO4470" s="281">
        <f t="shared" si="203"/>
        <v>1.649519999999999</v>
      </c>
    </row>
    <row r="4471" spans="65:67" x14ac:dyDescent="0.25">
      <c r="BM4471" s="281">
        <f>$AZ$21+0.2*(seat_pitch)*($AY$21*n_SA+$AW$14&lt;pax_e)</f>
        <v>19.622</v>
      </c>
      <c r="BN4471" s="281">
        <f>$AX$14</f>
        <v>1.3100000000000003</v>
      </c>
      <c r="BO4471" s="281">
        <f t="shared" si="203"/>
        <v>1.8115200000000016</v>
      </c>
    </row>
    <row r="4472" spans="65:67" x14ac:dyDescent="0.25">
      <c r="BM4472" s="281">
        <f>$AZ$21+0.2*(seat_pitch)*($AY$21*n_SA+$AW$14&lt;pax_e)</f>
        <v>19.622</v>
      </c>
      <c r="BN4472" s="281">
        <f>$AX$14+seat_w*($AY$21*n_SA+$AW$14&lt;pax_e)</f>
        <v>1.8400000000000003</v>
      </c>
      <c r="BO4472" s="281">
        <f t="shared" si="203"/>
        <v>1.8115200000000016</v>
      </c>
    </row>
    <row r="4473" spans="65:67" x14ac:dyDescent="0.25">
      <c r="BM4473" s="281">
        <f>$AZ$21</f>
        <v>19.46</v>
      </c>
      <c r="BN4473" s="281">
        <f>$AX$14+seat_w*($AY$21*n_SA+$AW$14&lt;pax_e)</f>
        <v>1.8400000000000003</v>
      </c>
      <c r="BO4473" s="281">
        <f t="shared" si="203"/>
        <v>1.6495200000000025</v>
      </c>
    </row>
    <row r="4474" spans="65:67" x14ac:dyDescent="0.25">
      <c r="BM4474" s="281">
        <f>$AZ$21+1*(seat_pitch)*($AY$21*n_SA+$AW$14&lt;pax_e)</f>
        <v>20.27</v>
      </c>
      <c r="BN4474" s="281">
        <f>$AX$14+seat_w*($AY$21*n_SA+$AW$14&lt;pax_e)</f>
        <v>1.8400000000000003</v>
      </c>
      <c r="BO4474" s="281">
        <f t="shared" si="203"/>
        <v>2.4595200000000013</v>
      </c>
    </row>
    <row r="4475" spans="65:67" x14ac:dyDescent="0.25">
      <c r="BM4475" s="281">
        <f>$AZ$21+0.8*(seat_pitch)*($AY$21*n_SA+$AW$14&lt;pax_e)</f>
        <v>20.108000000000001</v>
      </c>
      <c r="BN4475" s="281">
        <f>$AX$14+seat_w*($AY$21*n_SA+$AW$14&lt;pax_e)</f>
        <v>1.8400000000000003</v>
      </c>
      <c r="BO4475" s="281">
        <f t="shared" si="203"/>
        <v>2.2975200000000022</v>
      </c>
    </row>
    <row r="4476" spans="65:67" x14ac:dyDescent="0.25">
      <c r="BM4476" s="281">
        <f>$AZ$21+0.8*(seat_pitch)*($AY$21*n_SA+$AW$14&lt;pax_e)</f>
        <v>20.108000000000001</v>
      </c>
      <c r="BN4476" s="281">
        <f>$AX$14</f>
        <v>1.3100000000000003</v>
      </c>
      <c r="BO4476" s="281">
        <f t="shared" si="203"/>
        <v>2.2975200000000022</v>
      </c>
    </row>
    <row r="4477" spans="65:67" x14ac:dyDescent="0.25">
      <c r="BM4477" s="281">
        <f>$AZ$21+0.2*(seat_pitch)*($AY$21*n_SA+$AW$14&lt;pax_e)</f>
        <v>19.622</v>
      </c>
      <c r="BN4477" s="281">
        <f>$AX$14</f>
        <v>1.3100000000000003</v>
      </c>
      <c r="BO4477" s="281">
        <f t="shared" si="203"/>
        <v>1.8115200000000016</v>
      </c>
    </row>
    <row r="4478" spans="65:67" x14ac:dyDescent="0.25">
      <c r="BM4478" s="281">
        <f>$AZ$21+(seat_pitch)</f>
        <v>20.27</v>
      </c>
      <c r="BN4478" s="281">
        <f>$AX$14</f>
        <v>1.3100000000000003</v>
      </c>
      <c r="BO4478" s="281">
        <f t="shared" si="203"/>
        <v>2.4595200000000013</v>
      </c>
    </row>
    <row r="4479" spans="65:67" x14ac:dyDescent="0.25">
      <c r="BM4479" s="281">
        <f>$AZ$22+0.2*(seat_pitch)*($AY$22*n_SA+$AW$14&lt;pax_e)</f>
        <v>20.432000000000002</v>
      </c>
      <c r="BN4479" s="281">
        <f>$AX$14</f>
        <v>1.3100000000000003</v>
      </c>
      <c r="BO4479" s="281">
        <f t="shared" si="203"/>
        <v>2.6215200000000038</v>
      </c>
    </row>
    <row r="4480" spans="65:67" x14ac:dyDescent="0.25">
      <c r="BM4480" s="281">
        <f>$AZ$22+0.2*(seat_pitch)*($AY$22*n_SA+$AW$14&lt;pax_e)</f>
        <v>20.432000000000002</v>
      </c>
      <c r="BN4480" s="281">
        <f>$AX$14+seat_w*($AY$22*n_SA+$AW$14&lt;pax_e)</f>
        <v>1.8400000000000003</v>
      </c>
      <c r="BO4480" s="281">
        <f t="shared" si="203"/>
        <v>2.6215200000000038</v>
      </c>
    </row>
    <row r="4481" spans="65:67" x14ac:dyDescent="0.25">
      <c r="BM4481" s="281">
        <f>$AZ$22</f>
        <v>20.270000000000003</v>
      </c>
      <c r="BN4481" s="281">
        <f>$AX$14+seat_w*($AY$22*n_SA+$AW$14&lt;pax_e)</f>
        <v>1.8400000000000003</v>
      </c>
      <c r="BO4481" s="281">
        <f t="shared" si="203"/>
        <v>2.4595200000000048</v>
      </c>
    </row>
    <row r="4482" spans="65:67" x14ac:dyDescent="0.25">
      <c r="BM4482" s="281">
        <f>$AZ$22+1*(seat_pitch)*($AY$22*n_SA+$AW$14&lt;pax_e)</f>
        <v>21.080000000000002</v>
      </c>
      <c r="BN4482" s="281">
        <f>$AX$14+seat_w*($AY$22*n_SA+$AW$14&lt;pax_e)</f>
        <v>1.8400000000000003</v>
      </c>
      <c r="BO4482" s="281">
        <f t="shared" si="203"/>
        <v>3.2695200000000035</v>
      </c>
    </row>
    <row r="4483" spans="65:67" x14ac:dyDescent="0.25">
      <c r="BM4483" s="281">
        <f>$AZ$22+0.8*(seat_pitch)*($AY$22*n_SA+$AW$14&lt;pax_e)</f>
        <v>20.918000000000003</v>
      </c>
      <c r="BN4483" s="281">
        <f>$AX$14+seat_w*($AY$22*n_SA+$AW$14&lt;pax_e)</f>
        <v>1.8400000000000003</v>
      </c>
      <c r="BO4483" s="281">
        <f t="shared" si="203"/>
        <v>3.1075200000000045</v>
      </c>
    </row>
    <row r="4484" spans="65:67" x14ac:dyDescent="0.25">
      <c r="BM4484" s="281">
        <f>$AZ$22+0.8*(seat_pitch)*($AY$22*n_SA+$AW$14&lt;pax_e)</f>
        <v>20.918000000000003</v>
      </c>
      <c r="BN4484" s="281">
        <f>$AX$14</f>
        <v>1.3100000000000003</v>
      </c>
      <c r="BO4484" s="281">
        <f t="shared" si="203"/>
        <v>3.1075200000000045</v>
      </c>
    </row>
    <row r="4485" spans="65:67" x14ac:dyDescent="0.25">
      <c r="BM4485" s="281">
        <f>$AZ$22+0.2*(seat_pitch)*($AY$22*n_SA+$AW$14&lt;pax_e)</f>
        <v>20.432000000000002</v>
      </c>
      <c r="BN4485" s="281">
        <f>$AX$14</f>
        <v>1.3100000000000003</v>
      </c>
      <c r="BO4485" s="281">
        <f t="shared" ref="BO4485:BO4548" si="204">BM4485-L_fus/2</f>
        <v>2.6215200000000038</v>
      </c>
    </row>
    <row r="4486" spans="65:67" x14ac:dyDescent="0.25">
      <c r="BM4486" s="281">
        <f>$AZ$22+(seat_pitch)</f>
        <v>21.080000000000002</v>
      </c>
      <c r="BN4486" s="281">
        <f>$AX$14</f>
        <v>1.3100000000000003</v>
      </c>
      <c r="BO4486" s="281">
        <f t="shared" si="204"/>
        <v>3.2695200000000035</v>
      </c>
    </row>
    <row r="4487" spans="65:67" x14ac:dyDescent="0.25">
      <c r="BM4487" s="281">
        <f>$AZ$23+0.2*(seat_pitch)*($AY$23*n_SA+$AW$14&lt;pax_e)</f>
        <v>21.242000000000001</v>
      </c>
      <c r="BN4487" s="281">
        <f>$AX$14</f>
        <v>1.3100000000000003</v>
      </c>
      <c r="BO4487" s="281">
        <f t="shared" si="204"/>
        <v>3.4315200000000026</v>
      </c>
    </row>
    <row r="4488" spans="65:67" x14ac:dyDescent="0.25">
      <c r="BM4488" s="281">
        <f>$AZ$23+0.2*(seat_pitch)*($AY$23*n_SA+$AW$14&lt;pax_e)</f>
        <v>21.242000000000001</v>
      </c>
      <c r="BN4488" s="281">
        <f>$AX$14+seat_w*($AY$23*n_SA+$AW$14&lt;pax_e)</f>
        <v>1.8400000000000003</v>
      </c>
      <c r="BO4488" s="281">
        <f t="shared" si="204"/>
        <v>3.4315200000000026</v>
      </c>
    </row>
    <row r="4489" spans="65:67" x14ac:dyDescent="0.25">
      <c r="BM4489" s="281">
        <f>$AZ$23</f>
        <v>21.080000000000002</v>
      </c>
      <c r="BN4489" s="281">
        <f>$AX$14+seat_w*($AY$23*n_SA+$AW$14&lt;pax_e)</f>
        <v>1.8400000000000003</v>
      </c>
      <c r="BO4489" s="281">
        <f t="shared" si="204"/>
        <v>3.2695200000000035</v>
      </c>
    </row>
    <row r="4490" spans="65:67" x14ac:dyDescent="0.25">
      <c r="BM4490" s="281">
        <f>$AZ$23+1*(seat_pitch)*($AY$23*n_SA+$AW$14&lt;pax_e)</f>
        <v>21.89</v>
      </c>
      <c r="BN4490" s="281">
        <f>$AX$14+seat_w*($AY$23*n_SA+$AW$14&lt;pax_e)</f>
        <v>1.8400000000000003</v>
      </c>
      <c r="BO4490" s="281">
        <f t="shared" si="204"/>
        <v>4.0795200000000023</v>
      </c>
    </row>
    <row r="4491" spans="65:67" x14ac:dyDescent="0.25">
      <c r="BM4491" s="281">
        <f>$AZ$23+0.8*(seat_pitch)*($AY$23*n_SA+$AW$14&lt;pax_e)</f>
        <v>21.728000000000002</v>
      </c>
      <c r="BN4491" s="281">
        <f>$AX$14+seat_w*($AY$23*n_SA+$AW$14&lt;pax_e)</f>
        <v>1.8400000000000003</v>
      </c>
      <c r="BO4491" s="281">
        <f t="shared" si="204"/>
        <v>3.9175200000000032</v>
      </c>
    </row>
    <row r="4492" spans="65:67" x14ac:dyDescent="0.25">
      <c r="BM4492" s="281">
        <f>$AZ$23+0.8*(seat_pitch)*($AY$23*n_SA+$AW$14&lt;pax_e)</f>
        <v>21.728000000000002</v>
      </c>
      <c r="BN4492" s="281">
        <f>$AX$14</f>
        <v>1.3100000000000003</v>
      </c>
      <c r="BO4492" s="281">
        <f t="shared" si="204"/>
        <v>3.9175200000000032</v>
      </c>
    </row>
    <row r="4493" spans="65:67" x14ac:dyDescent="0.25">
      <c r="BM4493" s="281">
        <f>$AZ$23+0.2*(seat_pitch)*($AY$23*n_SA+$AW$14&lt;pax_e)</f>
        <v>21.242000000000001</v>
      </c>
      <c r="BN4493" s="281">
        <f>$AX$14</f>
        <v>1.3100000000000003</v>
      </c>
      <c r="BO4493" s="281">
        <f t="shared" si="204"/>
        <v>3.4315200000000026</v>
      </c>
    </row>
    <row r="4494" spans="65:67" x14ac:dyDescent="0.25">
      <c r="BM4494" s="281">
        <f>$AZ$23+(seat_pitch)</f>
        <v>21.89</v>
      </c>
      <c r="BN4494" s="281">
        <f>$AX$14</f>
        <v>1.3100000000000003</v>
      </c>
      <c r="BO4494" s="281">
        <f t="shared" si="204"/>
        <v>4.0795200000000023</v>
      </c>
    </row>
    <row r="4495" spans="65:67" x14ac:dyDescent="0.25">
      <c r="BM4495" s="281">
        <f>$AZ$24+0.2*(seat_pitch)*($AY$24*n_SA+$AW$14&lt;pax_e)</f>
        <v>22.052</v>
      </c>
      <c r="BN4495" s="281">
        <f>$AX$14</f>
        <v>1.3100000000000003</v>
      </c>
      <c r="BO4495" s="281">
        <f t="shared" si="204"/>
        <v>4.2415200000000013</v>
      </c>
    </row>
    <row r="4496" spans="65:67" x14ac:dyDescent="0.25">
      <c r="BM4496" s="281">
        <f>$AZ$24+0.2*(seat_pitch)*($AY$24*n_SA+$AW$14&lt;pax_e)</f>
        <v>22.052</v>
      </c>
      <c r="BN4496" s="281">
        <f>$AX$14+seat_w*($AY$24*n_SA+$AW$14&lt;pax_e)</f>
        <v>1.8400000000000003</v>
      </c>
      <c r="BO4496" s="281">
        <f t="shared" si="204"/>
        <v>4.2415200000000013</v>
      </c>
    </row>
    <row r="4497" spans="65:67" x14ac:dyDescent="0.25">
      <c r="BM4497" s="281">
        <f>$AZ$24</f>
        <v>21.89</v>
      </c>
      <c r="BN4497" s="281">
        <f>$AX$14+seat_w*($AY$24*n_SA+$AW$14&lt;pax_e)</f>
        <v>1.8400000000000003</v>
      </c>
      <c r="BO4497" s="281">
        <f t="shared" si="204"/>
        <v>4.0795200000000023</v>
      </c>
    </row>
    <row r="4498" spans="65:67" x14ac:dyDescent="0.25">
      <c r="BM4498" s="281">
        <f>$AZ$24+1*(seat_pitch)*($AY$24*n_SA+$AW$14&lt;pax_e)</f>
        <v>22.7</v>
      </c>
      <c r="BN4498" s="281">
        <f>$AX$14+seat_w*($AY$24*n_SA+$AW$14&lt;pax_e)</f>
        <v>1.8400000000000003</v>
      </c>
      <c r="BO4498" s="281">
        <f t="shared" si="204"/>
        <v>4.889520000000001</v>
      </c>
    </row>
    <row r="4499" spans="65:67" x14ac:dyDescent="0.25">
      <c r="BM4499" s="281">
        <f>$AZ$24+0.8*(seat_pitch)*($AY$24*n_SA+$AW$14&lt;pax_e)</f>
        <v>22.538</v>
      </c>
      <c r="BN4499" s="281">
        <f>$AX$14+seat_w*($AY$24*n_SA+$AW$14&lt;pax_e)</f>
        <v>1.8400000000000003</v>
      </c>
      <c r="BO4499" s="281">
        <f t="shared" si="204"/>
        <v>4.7275200000000019</v>
      </c>
    </row>
    <row r="4500" spans="65:67" x14ac:dyDescent="0.25">
      <c r="BM4500" s="281">
        <f>$AZ$24+0.8*(seat_pitch)*($AY$24*n_SA+$AW$14&lt;pax_e)</f>
        <v>22.538</v>
      </c>
      <c r="BN4500" s="281">
        <f>$AX$14</f>
        <v>1.3100000000000003</v>
      </c>
      <c r="BO4500" s="281">
        <f t="shared" si="204"/>
        <v>4.7275200000000019</v>
      </c>
    </row>
    <row r="4501" spans="65:67" x14ac:dyDescent="0.25">
      <c r="BM4501" s="281">
        <f>$AZ$24+0.2*(seat_pitch)*($AY$24*n_SA+$AW$14&lt;pax_e)</f>
        <v>22.052</v>
      </c>
      <c r="BN4501" s="281">
        <f>$AX$14</f>
        <v>1.3100000000000003</v>
      </c>
      <c r="BO4501" s="281">
        <f t="shared" si="204"/>
        <v>4.2415200000000013</v>
      </c>
    </row>
    <row r="4502" spans="65:67" x14ac:dyDescent="0.25">
      <c r="BM4502" s="281">
        <f>$AZ$24+(seat_pitch)</f>
        <v>22.7</v>
      </c>
      <c r="BN4502" s="281">
        <f>$AX$14</f>
        <v>1.3100000000000003</v>
      </c>
      <c r="BO4502" s="281">
        <f t="shared" si="204"/>
        <v>4.889520000000001</v>
      </c>
    </row>
    <row r="4503" spans="65:67" x14ac:dyDescent="0.25">
      <c r="BM4503" s="281">
        <f>$AZ$25+0.2*(seat_pitch)*($AY$25*n_SA+$AW$14&lt;pax_e)</f>
        <v>22.862000000000002</v>
      </c>
      <c r="BN4503" s="281">
        <f>$AX$14</f>
        <v>1.3100000000000003</v>
      </c>
      <c r="BO4503" s="281">
        <f t="shared" si="204"/>
        <v>5.0515200000000036</v>
      </c>
    </row>
    <row r="4504" spans="65:67" x14ac:dyDescent="0.25">
      <c r="BM4504" s="281">
        <f>$AZ$25+0.2*(seat_pitch)*($AY$25*n_SA+$AW$14&lt;pax_e)</f>
        <v>22.862000000000002</v>
      </c>
      <c r="BN4504" s="281">
        <f>$AX$14+seat_w*($AY$25*n_SA+$AW$14&lt;pax_e)</f>
        <v>1.8400000000000003</v>
      </c>
      <c r="BO4504" s="281">
        <f t="shared" si="204"/>
        <v>5.0515200000000036</v>
      </c>
    </row>
    <row r="4505" spans="65:67" x14ac:dyDescent="0.25">
      <c r="BM4505" s="281">
        <f>$AZ$25</f>
        <v>22.700000000000003</v>
      </c>
      <c r="BN4505" s="281">
        <f>$AX$14+seat_w*($AY$25*n_SA+$AW$14&lt;pax_e)</f>
        <v>1.8400000000000003</v>
      </c>
      <c r="BO4505" s="281">
        <f t="shared" si="204"/>
        <v>4.8895200000000045</v>
      </c>
    </row>
    <row r="4506" spans="65:67" x14ac:dyDescent="0.25">
      <c r="BM4506" s="281">
        <f>$AZ$25+1*(seat_pitch)*($AY$25*n_SA+$AW$14&lt;pax_e)</f>
        <v>23.51</v>
      </c>
      <c r="BN4506" s="281">
        <f>$AX$14+seat_w*($AY$25*n_SA+$AW$14&lt;pax_e)</f>
        <v>1.8400000000000003</v>
      </c>
      <c r="BO4506" s="281">
        <f t="shared" si="204"/>
        <v>5.6995200000000033</v>
      </c>
    </row>
    <row r="4507" spans="65:67" x14ac:dyDescent="0.25">
      <c r="BM4507" s="281">
        <f>$AZ$25+0.8*(seat_pitch)*($AY$25*n_SA+$AW$14&lt;pax_e)</f>
        <v>23.348000000000003</v>
      </c>
      <c r="BN4507" s="281">
        <f>$AX$14+seat_w*($AY$25*n_SA+$AW$14&lt;pax_e)</f>
        <v>1.8400000000000003</v>
      </c>
      <c r="BO4507" s="281">
        <f t="shared" si="204"/>
        <v>5.5375200000000042</v>
      </c>
    </row>
    <row r="4508" spans="65:67" x14ac:dyDescent="0.25">
      <c r="BM4508" s="281">
        <f>$AZ$25+0.8*(seat_pitch)*($AY$25*n_SA+$AW$14&lt;pax_e)</f>
        <v>23.348000000000003</v>
      </c>
      <c r="BN4508" s="281">
        <f>$AX$14</f>
        <v>1.3100000000000003</v>
      </c>
      <c r="BO4508" s="281">
        <f t="shared" si="204"/>
        <v>5.5375200000000042</v>
      </c>
    </row>
    <row r="4509" spans="65:67" x14ac:dyDescent="0.25">
      <c r="BM4509" s="281">
        <f>$AZ$25+0.2*(seat_pitch)*($AY$25*n_SA+$AW$14&lt;pax_e)</f>
        <v>22.862000000000002</v>
      </c>
      <c r="BN4509" s="281">
        <f>$AX$14</f>
        <v>1.3100000000000003</v>
      </c>
      <c r="BO4509" s="281">
        <f t="shared" si="204"/>
        <v>5.0515200000000036</v>
      </c>
    </row>
    <row r="4510" spans="65:67" x14ac:dyDescent="0.25">
      <c r="BM4510" s="281">
        <f>$AZ$25+(seat_pitch)</f>
        <v>23.51</v>
      </c>
      <c r="BN4510" s="281">
        <f>$AX$14</f>
        <v>1.3100000000000003</v>
      </c>
      <c r="BO4510" s="281">
        <f t="shared" si="204"/>
        <v>5.6995200000000033</v>
      </c>
    </row>
    <row r="4511" spans="65:67" x14ac:dyDescent="0.25">
      <c r="BM4511" s="281">
        <f>$AZ$26+0.2*(seat_pitch)*($AY$26*n_SA+$AW$14&lt;pax_e)</f>
        <v>23.672000000000001</v>
      </c>
      <c r="BN4511" s="281">
        <f>$AX$14</f>
        <v>1.3100000000000003</v>
      </c>
      <c r="BO4511" s="281">
        <f t="shared" si="204"/>
        <v>5.8615200000000023</v>
      </c>
    </row>
    <row r="4512" spans="65:67" x14ac:dyDescent="0.25">
      <c r="BM4512" s="281">
        <f>$AZ$26+0.2*(seat_pitch)*($AY$26*n_SA+$AW$14&lt;pax_e)</f>
        <v>23.672000000000001</v>
      </c>
      <c r="BN4512" s="281">
        <f>$AX$14+seat_w*($AY$26*n_SA+$AW$14&lt;pax_e)</f>
        <v>1.8400000000000003</v>
      </c>
      <c r="BO4512" s="281">
        <f t="shared" si="204"/>
        <v>5.8615200000000023</v>
      </c>
    </row>
    <row r="4513" spans="65:67" x14ac:dyDescent="0.25">
      <c r="BM4513" s="281">
        <f>$AZ$26</f>
        <v>23.51</v>
      </c>
      <c r="BN4513" s="281">
        <f>$AX$14+seat_w*($AY$26*n_SA+$AW$14&lt;pax_e)</f>
        <v>1.8400000000000003</v>
      </c>
      <c r="BO4513" s="281">
        <f t="shared" si="204"/>
        <v>5.6995200000000033</v>
      </c>
    </row>
    <row r="4514" spans="65:67" x14ac:dyDescent="0.25">
      <c r="BM4514" s="281">
        <f>$AZ$26+1*(seat_pitch)*($AY$26*n_SA+$AW$14&lt;pax_e)</f>
        <v>24.32</v>
      </c>
      <c r="BN4514" s="281">
        <f>$AX$14+seat_w*($AY$26*n_SA+$AW$14&lt;pax_e)</f>
        <v>1.8400000000000003</v>
      </c>
      <c r="BO4514" s="281">
        <f t="shared" si="204"/>
        <v>6.509520000000002</v>
      </c>
    </row>
    <row r="4515" spans="65:67" x14ac:dyDescent="0.25">
      <c r="BM4515" s="281">
        <f>$AZ$26+0.8*(seat_pitch)*($AY$26*n_SA+$AW$14&lt;pax_e)</f>
        <v>24.158000000000001</v>
      </c>
      <c r="BN4515" s="281">
        <f>$AX$14+seat_w*($AY$26*n_SA+$AW$14&lt;pax_e)</f>
        <v>1.8400000000000003</v>
      </c>
      <c r="BO4515" s="281">
        <f t="shared" si="204"/>
        <v>6.3475200000000029</v>
      </c>
    </row>
    <row r="4516" spans="65:67" x14ac:dyDescent="0.25">
      <c r="BM4516" s="281">
        <f>$AZ$26+0.8*(seat_pitch)*($AY$26*n_SA+$AW$14&lt;pax_e)</f>
        <v>24.158000000000001</v>
      </c>
      <c r="BN4516" s="281">
        <f>$AX$14</f>
        <v>1.3100000000000003</v>
      </c>
      <c r="BO4516" s="281">
        <f t="shared" si="204"/>
        <v>6.3475200000000029</v>
      </c>
    </row>
    <row r="4517" spans="65:67" x14ac:dyDescent="0.25">
      <c r="BM4517" s="281">
        <f>$AZ$26+0.2*(seat_pitch)*($AY$26*n_SA+$AW$14&lt;pax_e)</f>
        <v>23.672000000000001</v>
      </c>
      <c r="BN4517" s="281">
        <f>$AX$14</f>
        <v>1.3100000000000003</v>
      </c>
      <c r="BO4517" s="281">
        <f t="shared" si="204"/>
        <v>5.8615200000000023</v>
      </c>
    </row>
    <row r="4518" spans="65:67" x14ac:dyDescent="0.25">
      <c r="BM4518" s="281">
        <f>$AZ$26+(seat_pitch)</f>
        <v>24.32</v>
      </c>
      <c r="BN4518" s="281">
        <f>$AX$14</f>
        <v>1.3100000000000003</v>
      </c>
      <c r="BO4518" s="281">
        <f t="shared" si="204"/>
        <v>6.509520000000002</v>
      </c>
    </row>
    <row r="4519" spans="65:67" x14ac:dyDescent="0.25">
      <c r="BM4519" s="281">
        <f>$AZ$27+0.2*(seat_pitch)*($AY$27*n_SA+$AW$14&lt;pax_e)</f>
        <v>24.481999999999999</v>
      </c>
      <c r="BN4519" s="281">
        <f>$AX$14</f>
        <v>1.3100000000000003</v>
      </c>
      <c r="BO4519" s="281">
        <f t="shared" si="204"/>
        <v>6.671520000000001</v>
      </c>
    </row>
    <row r="4520" spans="65:67" x14ac:dyDescent="0.25">
      <c r="BM4520" s="281">
        <f>$AZ$27+0.2*(seat_pitch)*($AY$27*n_SA+$AW$14&lt;pax_e)</f>
        <v>24.481999999999999</v>
      </c>
      <c r="BN4520" s="281">
        <f>$AX$14+seat_w*($AY$27*n_SA+$AW$14&lt;pax_e)</f>
        <v>1.8400000000000003</v>
      </c>
      <c r="BO4520" s="281">
        <f t="shared" si="204"/>
        <v>6.671520000000001</v>
      </c>
    </row>
    <row r="4521" spans="65:67" x14ac:dyDescent="0.25">
      <c r="BM4521" s="281">
        <f>$AZ$27</f>
        <v>24.32</v>
      </c>
      <c r="BN4521" s="281">
        <f>$AX$14+seat_w*($AY$27*n_SA+$AW$14&lt;pax_e)</f>
        <v>1.8400000000000003</v>
      </c>
      <c r="BO4521" s="281">
        <f t="shared" si="204"/>
        <v>6.509520000000002</v>
      </c>
    </row>
    <row r="4522" spans="65:67" x14ac:dyDescent="0.25">
      <c r="BM4522" s="281">
        <f>$AZ$27+1*(seat_pitch)*($AY$27*n_SA+$AW$14&lt;pax_e)</f>
        <v>25.13</v>
      </c>
      <c r="BN4522" s="281">
        <f>$AX$14+seat_w*($AY$27*n_SA+$AW$14&lt;pax_e)</f>
        <v>1.8400000000000003</v>
      </c>
      <c r="BO4522" s="281">
        <f t="shared" si="204"/>
        <v>7.3195200000000007</v>
      </c>
    </row>
    <row r="4523" spans="65:67" x14ac:dyDescent="0.25">
      <c r="BM4523" s="281">
        <f>$AZ$27+0.8*(seat_pitch)*($AY$27*n_SA+$AW$14&lt;pax_e)</f>
        <v>24.968</v>
      </c>
      <c r="BN4523" s="281">
        <f>$AX$14+seat_w*($AY$27*n_SA+$AW$14&lt;pax_e)</f>
        <v>1.8400000000000003</v>
      </c>
      <c r="BO4523" s="281">
        <f t="shared" si="204"/>
        <v>7.1575200000000017</v>
      </c>
    </row>
    <row r="4524" spans="65:67" x14ac:dyDescent="0.25">
      <c r="BM4524" s="281">
        <f>$AZ$27+0.8*(seat_pitch)*($AY$27*n_SA+$AW$14&lt;pax_e)</f>
        <v>24.968</v>
      </c>
      <c r="BN4524" s="281">
        <f>$AX$14</f>
        <v>1.3100000000000003</v>
      </c>
      <c r="BO4524" s="281">
        <f t="shared" si="204"/>
        <v>7.1575200000000017</v>
      </c>
    </row>
    <row r="4525" spans="65:67" x14ac:dyDescent="0.25">
      <c r="BM4525" s="281">
        <f>$AZ$27+0.2*(seat_pitch)*($AY$27*n_SA+$AW$14&lt;pax_e)</f>
        <v>24.481999999999999</v>
      </c>
      <c r="BN4525" s="281">
        <f>$AX$14</f>
        <v>1.3100000000000003</v>
      </c>
      <c r="BO4525" s="281">
        <f t="shared" si="204"/>
        <v>6.671520000000001</v>
      </c>
    </row>
    <row r="4526" spans="65:67" x14ac:dyDescent="0.25">
      <c r="BM4526" s="281">
        <f>$AZ$27+(seat_pitch)</f>
        <v>25.13</v>
      </c>
      <c r="BN4526" s="281">
        <f>$AX$14</f>
        <v>1.3100000000000003</v>
      </c>
      <c r="BO4526" s="281">
        <f t="shared" si="204"/>
        <v>7.3195200000000007</v>
      </c>
    </row>
    <row r="4527" spans="65:67" x14ac:dyDescent="0.25">
      <c r="BM4527" s="281">
        <f>$AZ$28+0.2*(seat_pitch)*($AY$28*n_SA+$AW$14&lt;pax_e)</f>
        <v>25.292000000000002</v>
      </c>
      <c r="BN4527" s="281">
        <f>$AX$14</f>
        <v>1.3100000000000003</v>
      </c>
      <c r="BO4527" s="281">
        <f t="shared" si="204"/>
        <v>7.4815200000000033</v>
      </c>
    </row>
    <row r="4528" spans="65:67" x14ac:dyDescent="0.25">
      <c r="BM4528" s="281">
        <f>$AZ$28+0.2*(seat_pitch)*($AY$28*n_SA+$AW$14&lt;pax_e)</f>
        <v>25.292000000000002</v>
      </c>
      <c r="BN4528" s="281">
        <f>$AX$14+seat_w*($AY$28*n_SA+$AW$14&lt;pax_e)</f>
        <v>1.8400000000000003</v>
      </c>
      <c r="BO4528" s="281">
        <f t="shared" si="204"/>
        <v>7.4815200000000033</v>
      </c>
    </row>
    <row r="4529" spans="65:67" x14ac:dyDescent="0.25">
      <c r="BM4529" s="281">
        <f>$AZ$28</f>
        <v>25.130000000000003</v>
      </c>
      <c r="BN4529" s="281">
        <f>$AX$14+seat_w*($AY$28*n_SA+$AW$14&lt;pax_e)</f>
        <v>1.8400000000000003</v>
      </c>
      <c r="BO4529" s="281">
        <f t="shared" si="204"/>
        <v>7.3195200000000042</v>
      </c>
    </row>
    <row r="4530" spans="65:67" x14ac:dyDescent="0.25">
      <c r="BM4530" s="281">
        <f>$AZ$28+1*(seat_pitch)*($AY$28*n_SA+$AW$14&lt;pax_e)</f>
        <v>25.94</v>
      </c>
      <c r="BN4530" s="281">
        <f>$AX$14+seat_w*($AY$28*n_SA+$AW$14&lt;pax_e)</f>
        <v>1.8400000000000003</v>
      </c>
      <c r="BO4530" s="281">
        <f t="shared" si="204"/>
        <v>8.129520000000003</v>
      </c>
    </row>
    <row r="4531" spans="65:67" x14ac:dyDescent="0.25">
      <c r="BM4531" s="281">
        <f>$AZ$28+0.8*(seat_pitch)*($AY$28*n_SA+$AW$14&lt;pax_e)</f>
        <v>25.778000000000002</v>
      </c>
      <c r="BN4531" s="281">
        <f>$AX$14+seat_w*($AY$28*n_SA+$AW$14&lt;pax_e)</f>
        <v>1.8400000000000003</v>
      </c>
      <c r="BO4531" s="281">
        <f t="shared" si="204"/>
        <v>7.9675200000000039</v>
      </c>
    </row>
    <row r="4532" spans="65:67" x14ac:dyDescent="0.25">
      <c r="BM4532" s="281">
        <f>$AZ$28+0.8*(seat_pitch)*($AY$28*n_SA+$AW$14&lt;pax_e)</f>
        <v>25.778000000000002</v>
      </c>
      <c r="BN4532" s="281">
        <f>$AX$14</f>
        <v>1.3100000000000003</v>
      </c>
      <c r="BO4532" s="281">
        <f t="shared" si="204"/>
        <v>7.9675200000000039</v>
      </c>
    </row>
    <row r="4533" spans="65:67" x14ac:dyDescent="0.25">
      <c r="BM4533" s="281">
        <f>$AZ$28+0.2*(seat_pitch)*($AY$28*n_SA+$AW$14&lt;pax_e)</f>
        <v>25.292000000000002</v>
      </c>
      <c r="BN4533" s="281">
        <f>$AX$14</f>
        <v>1.3100000000000003</v>
      </c>
      <c r="BO4533" s="281">
        <f t="shared" si="204"/>
        <v>7.4815200000000033</v>
      </c>
    </row>
    <row r="4534" spans="65:67" x14ac:dyDescent="0.25">
      <c r="BM4534" s="281">
        <f>$AZ$28+(seat_pitch)</f>
        <v>25.94</v>
      </c>
      <c r="BN4534" s="281">
        <f>$AX$14</f>
        <v>1.3100000000000003</v>
      </c>
      <c r="BO4534" s="281">
        <f t="shared" si="204"/>
        <v>8.129520000000003</v>
      </c>
    </row>
    <row r="4535" spans="65:67" x14ac:dyDescent="0.25">
      <c r="BM4535" s="281">
        <f>$AZ$29+0.2*(seat_pitch)*($AY$29*n_SA+$AW$14&lt;pax_e)</f>
        <v>26.102</v>
      </c>
      <c r="BN4535" s="281">
        <f>$AX$14</f>
        <v>1.3100000000000003</v>
      </c>
      <c r="BO4535" s="281">
        <f t="shared" si="204"/>
        <v>8.291520000000002</v>
      </c>
    </row>
    <row r="4536" spans="65:67" x14ac:dyDescent="0.25">
      <c r="BM4536" s="281">
        <f>$AZ$29+0.2*(seat_pitch)*($AY$29*n_SA+$AW$14&lt;pax_e)</f>
        <v>26.102</v>
      </c>
      <c r="BN4536" s="281">
        <f>$AX$14+seat_w*($AY$29*n_SA+$AW$14&lt;pax_e)</f>
        <v>1.8400000000000003</v>
      </c>
      <c r="BO4536" s="281">
        <f t="shared" si="204"/>
        <v>8.291520000000002</v>
      </c>
    </row>
    <row r="4537" spans="65:67" x14ac:dyDescent="0.25">
      <c r="BM4537" s="281">
        <f>$AZ$29</f>
        <v>25.94</v>
      </c>
      <c r="BN4537" s="281">
        <f>$AX$14+seat_w*($AY$29*n_SA+$AW$14&lt;pax_e)</f>
        <v>1.8400000000000003</v>
      </c>
      <c r="BO4537" s="281">
        <f t="shared" si="204"/>
        <v>8.129520000000003</v>
      </c>
    </row>
    <row r="4538" spans="65:67" x14ac:dyDescent="0.25">
      <c r="BM4538" s="281">
        <f>$AZ$29+1*(seat_pitch)*($AY$29*n_SA+$AW$14&lt;pax_e)</f>
        <v>26.75</v>
      </c>
      <c r="BN4538" s="281">
        <f>$AX$14+seat_w*($AY$29*n_SA+$AW$14&lt;pax_e)</f>
        <v>1.8400000000000003</v>
      </c>
      <c r="BO4538" s="281">
        <f t="shared" si="204"/>
        <v>8.9395200000000017</v>
      </c>
    </row>
    <row r="4539" spans="65:67" x14ac:dyDescent="0.25">
      <c r="BM4539" s="281">
        <f>$AZ$29+0.8*(seat_pitch)*($AY$29*n_SA+$AW$14&lt;pax_e)</f>
        <v>26.588000000000001</v>
      </c>
      <c r="BN4539" s="281">
        <f>$AX$14+seat_w*($AY$29*n_SA+$AW$14&lt;pax_e)</f>
        <v>1.8400000000000003</v>
      </c>
      <c r="BO4539" s="281">
        <f t="shared" si="204"/>
        <v>8.7775200000000027</v>
      </c>
    </row>
    <row r="4540" spans="65:67" x14ac:dyDescent="0.25">
      <c r="BM4540" s="281">
        <f>$AZ$29+0.8*(seat_pitch)*($AY$29*n_SA+$AW$14&lt;pax_e)</f>
        <v>26.588000000000001</v>
      </c>
      <c r="BN4540" s="281">
        <f>$AX$14</f>
        <v>1.3100000000000003</v>
      </c>
      <c r="BO4540" s="281">
        <f t="shared" si="204"/>
        <v>8.7775200000000027</v>
      </c>
    </row>
    <row r="4541" spans="65:67" x14ac:dyDescent="0.25">
      <c r="BM4541" s="281">
        <f>$AZ$29+0.2*(seat_pitch)*($AY$29*n_SA+$AW$14&lt;pax_e)</f>
        <v>26.102</v>
      </c>
      <c r="BN4541" s="281">
        <f>$AX$14</f>
        <v>1.3100000000000003</v>
      </c>
      <c r="BO4541" s="281">
        <f t="shared" si="204"/>
        <v>8.291520000000002</v>
      </c>
    </row>
    <row r="4542" spans="65:67" x14ac:dyDescent="0.25">
      <c r="BM4542" s="281">
        <f>$AZ$29+(seat_pitch)</f>
        <v>26.75</v>
      </c>
      <c r="BN4542" s="281">
        <f>$AX$14</f>
        <v>1.3100000000000003</v>
      </c>
      <c r="BO4542" s="281">
        <f t="shared" si="204"/>
        <v>8.9395200000000017</v>
      </c>
    </row>
    <row r="4543" spans="65:67" x14ac:dyDescent="0.25">
      <c r="BM4543" s="281">
        <f>$AZ$30+0.2*(seat_pitch)*($AY$30*n_SA+$AW$14&lt;pax_e)</f>
        <v>26.102</v>
      </c>
      <c r="BN4543" s="281">
        <f>$AX$14</f>
        <v>1.3100000000000003</v>
      </c>
      <c r="BO4543" s="281">
        <f t="shared" si="204"/>
        <v>8.291520000000002</v>
      </c>
    </row>
    <row r="4544" spans="65:67" x14ac:dyDescent="0.25">
      <c r="BM4544" s="281">
        <f>$AZ$30+0.2*(seat_pitch)*($AY$30*n_SA+$AW$14&lt;pax_e)</f>
        <v>26.102</v>
      </c>
      <c r="BN4544" s="281">
        <f>$AX$14+seat_w*($AY$30*n_SA+$AW$14&lt;pax_e)</f>
        <v>1.8400000000000003</v>
      </c>
      <c r="BO4544" s="281">
        <f t="shared" si="204"/>
        <v>8.291520000000002</v>
      </c>
    </row>
    <row r="4545" spans="65:67" x14ac:dyDescent="0.25">
      <c r="BM4545" s="281">
        <f>$AZ$30</f>
        <v>25.94</v>
      </c>
      <c r="BN4545" s="281">
        <f>$AX$14+seat_w*($AY$30*n_SA+$AW$14&lt;pax_e)</f>
        <v>1.8400000000000003</v>
      </c>
      <c r="BO4545" s="281">
        <f t="shared" si="204"/>
        <v>8.129520000000003</v>
      </c>
    </row>
    <row r="4546" spans="65:67" x14ac:dyDescent="0.25">
      <c r="BM4546" s="281">
        <f>$AZ$30+1*(seat_pitch)*($AY$30*n_SA+$AW$14&lt;pax_e)</f>
        <v>26.75</v>
      </c>
      <c r="BN4546" s="281">
        <f>$AX$14+seat_w*($AY$30*n_SA+$AW$14&lt;pax_e)</f>
        <v>1.8400000000000003</v>
      </c>
      <c r="BO4546" s="281">
        <f t="shared" si="204"/>
        <v>8.9395200000000017</v>
      </c>
    </row>
    <row r="4547" spans="65:67" x14ac:dyDescent="0.25">
      <c r="BM4547" s="281">
        <f>$AZ$30+0.8*(seat_pitch)*($AY$30*n_SA+$AW$14&lt;pax_e)</f>
        <v>26.588000000000001</v>
      </c>
      <c r="BN4547" s="281">
        <f>$AX$14+seat_w*($AY$30*n_SA+$AW$14&lt;pax_e)</f>
        <v>1.8400000000000003</v>
      </c>
      <c r="BO4547" s="281">
        <f t="shared" si="204"/>
        <v>8.7775200000000027</v>
      </c>
    </row>
    <row r="4548" spans="65:67" x14ac:dyDescent="0.25">
      <c r="BM4548" s="281">
        <f>$AZ$30+0.8*(seat_pitch)*($AY$30*n_SA+$AW$14&lt;pax_e)</f>
        <v>26.588000000000001</v>
      </c>
      <c r="BN4548" s="281">
        <f>$AX$14</f>
        <v>1.3100000000000003</v>
      </c>
      <c r="BO4548" s="281">
        <f t="shared" si="204"/>
        <v>8.7775200000000027</v>
      </c>
    </row>
    <row r="4549" spans="65:67" x14ac:dyDescent="0.25">
      <c r="BM4549" s="281">
        <f>$AZ$30+0.2*(seat_pitch)*($AY$30*n_SA+$AW$14&lt;pax_e)</f>
        <v>26.102</v>
      </c>
      <c r="BN4549" s="281">
        <f>$AX$14</f>
        <v>1.3100000000000003</v>
      </c>
      <c r="BO4549" s="281">
        <f t="shared" ref="BO4549:BO4612" si="205">BM4549-L_fus/2</f>
        <v>8.291520000000002</v>
      </c>
    </row>
    <row r="4550" spans="65:67" x14ac:dyDescent="0.25">
      <c r="BM4550" s="281">
        <f>$AZ$30+(seat_pitch)</f>
        <v>26.75</v>
      </c>
      <c r="BN4550" s="281">
        <f>$AX$14</f>
        <v>1.3100000000000003</v>
      </c>
      <c r="BO4550" s="281">
        <f t="shared" si="205"/>
        <v>8.9395200000000017</v>
      </c>
    </row>
    <row r="4551" spans="65:67" x14ac:dyDescent="0.25">
      <c r="BM4551" s="281">
        <f>$AZ$31+0.2*(seat_pitch)*($AY$31*n_SA+$AW$14&lt;pax_e)</f>
        <v>26.102</v>
      </c>
      <c r="BN4551" s="281">
        <f>$AX$14</f>
        <v>1.3100000000000003</v>
      </c>
      <c r="BO4551" s="281">
        <f t="shared" si="205"/>
        <v>8.291520000000002</v>
      </c>
    </row>
    <row r="4552" spans="65:67" x14ac:dyDescent="0.25">
      <c r="BM4552" s="281">
        <f>$AZ$31+0.2*(seat_pitch)*($AY$31*n_SA+$AW$14&lt;pax_e)</f>
        <v>26.102</v>
      </c>
      <c r="BN4552" s="281">
        <f>$AX$14+seat_w*($AY$31*n_SA+$AW$14&lt;pax_e)</f>
        <v>1.8400000000000003</v>
      </c>
      <c r="BO4552" s="281">
        <f t="shared" si="205"/>
        <v>8.291520000000002</v>
      </c>
    </row>
    <row r="4553" spans="65:67" x14ac:dyDescent="0.25">
      <c r="BM4553" s="281">
        <f>$AZ$31</f>
        <v>25.94</v>
      </c>
      <c r="BN4553" s="281">
        <f>$AX$14+seat_w*($AY$31*n_SA+$AW$14&lt;pax_e)</f>
        <v>1.8400000000000003</v>
      </c>
      <c r="BO4553" s="281">
        <f t="shared" si="205"/>
        <v>8.129520000000003</v>
      </c>
    </row>
    <row r="4554" spans="65:67" x14ac:dyDescent="0.25">
      <c r="BM4554" s="281">
        <f>$AZ$31+1*(seat_pitch)*($AY$31*n_SA+$AW$14&lt;pax_e)</f>
        <v>26.75</v>
      </c>
      <c r="BN4554" s="281">
        <f>$AX$14+seat_w*($AY$31*n_SA+$AW$14&lt;pax_e)</f>
        <v>1.8400000000000003</v>
      </c>
      <c r="BO4554" s="281">
        <f t="shared" si="205"/>
        <v>8.9395200000000017</v>
      </c>
    </row>
    <row r="4555" spans="65:67" x14ac:dyDescent="0.25">
      <c r="BM4555" s="281">
        <f>$AZ$31+0.8*(seat_pitch)*($AY$31*n_SA+$AW$14&lt;pax_e)</f>
        <v>26.588000000000001</v>
      </c>
      <c r="BN4555" s="281">
        <f>$AX$14+seat_w*($AY$31*n_SA+$AW$14&lt;pax_e)</f>
        <v>1.8400000000000003</v>
      </c>
      <c r="BO4555" s="281">
        <f t="shared" si="205"/>
        <v>8.7775200000000027</v>
      </c>
    </row>
    <row r="4556" spans="65:67" x14ac:dyDescent="0.25">
      <c r="BM4556" s="281">
        <f>$AZ$31+0.8*(seat_pitch)*($AY$31*n_SA+$AW$14&lt;pax_e)</f>
        <v>26.588000000000001</v>
      </c>
      <c r="BN4556" s="281">
        <f>$AX$14</f>
        <v>1.3100000000000003</v>
      </c>
      <c r="BO4556" s="281">
        <f t="shared" si="205"/>
        <v>8.7775200000000027</v>
      </c>
    </row>
    <row r="4557" spans="65:67" x14ac:dyDescent="0.25">
      <c r="BM4557" s="281">
        <f>$AZ$31+0.2*(seat_pitch)*($AY$31*n_SA+$AW$14&lt;pax_e)</f>
        <v>26.102</v>
      </c>
      <c r="BN4557" s="281">
        <f>$AX$14</f>
        <v>1.3100000000000003</v>
      </c>
      <c r="BO4557" s="281">
        <f t="shared" si="205"/>
        <v>8.291520000000002</v>
      </c>
    </row>
    <row r="4558" spans="65:67" x14ac:dyDescent="0.25">
      <c r="BM4558" s="281">
        <f>$AZ$31+(seat_pitch)</f>
        <v>26.75</v>
      </c>
      <c r="BN4558" s="281">
        <f>$AX$14</f>
        <v>1.3100000000000003</v>
      </c>
      <c r="BO4558" s="281">
        <f t="shared" si="205"/>
        <v>8.9395200000000017</v>
      </c>
    </row>
    <row r="4559" spans="65:67" x14ac:dyDescent="0.25">
      <c r="BM4559" s="281">
        <f>$AZ$32+0.2*(seat_pitch)*($AY$32*n_SA+$AW$14&lt;pax_e)</f>
        <v>26.102</v>
      </c>
      <c r="BN4559" s="281">
        <f>$AX$14</f>
        <v>1.3100000000000003</v>
      </c>
      <c r="BO4559" s="281">
        <f t="shared" si="205"/>
        <v>8.291520000000002</v>
      </c>
    </row>
    <row r="4560" spans="65:67" x14ac:dyDescent="0.25">
      <c r="BM4560" s="281">
        <f>$AZ$32+0.2*(seat_pitch)*($AY$32*n_SA+$AW$14&lt;pax_e)</f>
        <v>26.102</v>
      </c>
      <c r="BN4560" s="281">
        <f>$AX$14+seat_w*($AY$32*n_SA+$AW$14&lt;pax_e)</f>
        <v>1.8400000000000003</v>
      </c>
      <c r="BO4560" s="281">
        <f t="shared" si="205"/>
        <v>8.291520000000002</v>
      </c>
    </row>
    <row r="4561" spans="65:67" x14ac:dyDescent="0.25">
      <c r="BM4561" s="281">
        <f>$AZ$32</f>
        <v>25.94</v>
      </c>
      <c r="BN4561" s="281">
        <f>$AX$14+seat_w*($AY$32*n_SA+$AW$14&lt;pax_e)</f>
        <v>1.8400000000000003</v>
      </c>
      <c r="BO4561" s="281">
        <f t="shared" si="205"/>
        <v>8.129520000000003</v>
      </c>
    </row>
    <row r="4562" spans="65:67" x14ac:dyDescent="0.25">
      <c r="BM4562" s="281">
        <f>$AZ$32+1*(seat_pitch)*($AY$32*n_SA+$AW$14&lt;pax_e)</f>
        <v>26.75</v>
      </c>
      <c r="BN4562" s="281">
        <f>$AX$14+seat_w*($AY$32*n_SA+$AW$14&lt;pax_e)</f>
        <v>1.8400000000000003</v>
      </c>
      <c r="BO4562" s="281">
        <f t="shared" si="205"/>
        <v>8.9395200000000017</v>
      </c>
    </row>
    <row r="4563" spans="65:67" x14ac:dyDescent="0.25">
      <c r="BM4563" s="281">
        <f>$AZ$32+0.8*(seat_pitch)*($AY$32*n_SA+$AW$14&lt;pax_e)</f>
        <v>26.588000000000001</v>
      </c>
      <c r="BN4563" s="281">
        <f>$AX$14+seat_w*($AY$32*n_SA+$AW$14&lt;pax_e)</f>
        <v>1.8400000000000003</v>
      </c>
      <c r="BO4563" s="281">
        <f t="shared" si="205"/>
        <v>8.7775200000000027</v>
      </c>
    </row>
    <row r="4564" spans="65:67" x14ac:dyDescent="0.25">
      <c r="BM4564" s="281">
        <f>$AZ$32+0.8*(seat_pitch)*($AY$32*n_SA+$AW$14&lt;pax_e)</f>
        <v>26.588000000000001</v>
      </c>
      <c r="BN4564" s="281">
        <f>$AX$14</f>
        <v>1.3100000000000003</v>
      </c>
      <c r="BO4564" s="281">
        <f t="shared" si="205"/>
        <v>8.7775200000000027</v>
      </c>
    </row>
    <row r="4565" spans="65:67" x14ac:dyDescent="0.25">
      <c r="BM4565" s="281">
        <f>$AZ$32+0.2*(seat_pitch)*($AY$32*n_SA+$AW$14&lt;pax_e)</f>
        <v>26.102</v>
      </c>
      <c r="BN4565" s="281">
        <f>$AX$14</f>
        <v>1.3100000000000003</v>
      </c>
      <c r="BO4565" s="281">
        <f t="shared" si="205"/>
        <v>8.291520000000002</v>
      </c>
    </row>
    <row r="4566" spans="65:67" x14ac:dyDescent="0.25">
      <c r="BM4566" s="281">
        <f>$AZ$32+(seat_pitch)</f>
        <v>26.75</v>
      </c>
      <c r="BN4566" s="281">
        <f>$AX$14</f>
        <v>1.3100000000000003</v>
      </c>
      <c r="BO4566" s="281">
        <f t="shared" si="205"/>
        <v>8.9395200000000017</v>
      </c>
    </row>
    <row r="4567" spans="65:67" x14ac:dyDescent="0.25">
      <c r="BM4567" s="281">
        <f>$AZ$33+0.2*(seat_pitch)*($AY$33*n_SA+$AW$14&lt;pax_e)</f>
        <v>26.102</v>
      </c>
      <c r="BN4567" s="281">
        <f>$AX$14</f>
        <v>1.3100000000000003</v>
      </c>
      <c r="BO4567" s="281">
        <f t="shared" si="205"/>
        <v>8.291520000000002</v>
      </c>
    </row>
    <row r="4568" spans="65:67" x14ac:dyDescent="0.25">
      <c r="BM4568" s="281">
        <f>$AZ$33+0.2*(seat_pitch)*($AY$33*n_SA+$AW$14&lt;pax_e)</f>
        <v>26.102</v>
      </c>
      <c r="BN4568" s="281">
        <f>$AX$14+seat_w*($AY$33*n_SA+$AW$14&lt;pax_e)</f>
        <v>1.8400000000000003</v>
      </c>
      <c r="BO4568" s="281">
        <f t="shared" si="205"/>
        <v>8.291520000000002</v>
      </c>
    </row>
    <row r="4569" spans="65:67" x14ac:dyDescent="0.25">
      <c r="BM4569" s="281">
        <f>$AZ$33</f>
        <v>25.94</v>
      </c>
      <c r="BN4569" s="281">
        <f>$AX$14+seat_w*($AY$33*n_SA+$AW$14&lt;pax_e)</f>
        <v>1.8400000000000003</v>
      </c>
      <c r="BO4569" s="281">
        <f t="shared" si="205"/>
        <v>8.129520000000003</v>
      </c>
    </row>
    <row r="4570" spans="65:67" x14ac:dyDescent="0.25">
      <c r="BM4570" s="281">
        <f>$AZ$33+1*(seat_pitch)*($AY$33*n_SA+$AW$14&lt;pax_e)</f>
        <v>26.75</v>
      </c>
      <c r="BN4570" s="281">
        <f>$AX$14+seat_w*($AY$33*n_SA+$AW$14&lt;pax_e)</f>
        <v>1.8400000000000003</v>
      </c>
      <c r="BO4570" s="281">
        <f t="shared" si="205"/>
        <v>8.9395200000000017</v>
      </c>
    </row>
    <row r="4571" spans="65:67" x14ac:dyDescent="0.25">
      <c r="BM4571" s="281">
        <f>$AZ$33+0.8*(seat_pitch)*($AY$33*n_SA+$AW$14&lt;pax_e)</f>
        <v>26.588000000000001</v>
      </c>
      <c r="BN4571" s="281">
        <f>$AX$14+seat_w*($AY$33*n_SA+$AW$14&lt;pax_e)</f>
        <v>1.8400000000000003</v>
      </c>
      <c r="BO4571" s="281">
        <f t="shared" si="205"/>
        <v>8.7775200000000027</v>
      </c>
    </row>
    <row r="4572" spans="65:67" x14ac:dyDescent="0.25">
      <c r="BM4572" s="281">
        <f>$AZ$33+0.8*(seat_pitch)*($AY$33*n_SA+$AW$14&lt;pax_e)</f>
        <v>26.588000000000001</v>
      </c>
      <c r="BN4572" s="281">
        <f>$AX$14</f>
        <v>1.3100000000000003</v>
      </c>
      <c r="BO4572" s="281">
        <f t="shared" si="205"/>
        <v>8.7775200000000027</v>
      </c>
    </row>
    <row r="4573" spans="65:67" x14ac:dyDescent="0.25">
      <c r="BM4573" s="281">
        <f>$AZ$33+0.2*(seat_pitch)*($AY$33*n_SA+$AW$14&lt;pax_e)</f>
        <v>26.102</v>
      </c>
      <c r="BN4573" s="281">
        <f>$AX$14</f>
        <v>1.3100000000000003</v>
      </c>
      <c r="BO4573" s="281">
        <f t="shared" si="205"/>
        <v>8.291520000000002</v>
      </c>
    </row>
    <row r="4574" spans="65:67" x14ac:dyDescent="0.25">
      <c r="BM4574" s="281">
        <f>$AZ$33+(seat_pitch)</f>
        <v>26.75</v>
      </c>
      <c r="BN4574" s="281">
        <f>$AX$14</f>
        <v>1.3100000000000003</v>
      </c>
      <c r="BO4574" s="281">
        <f t="shared" si="205"/>
        <v>8.9395200000000017</v>
      </c>
    </row>
    <row r="4575" spans="65:67" x14ac:dyDescent="0.25">
      <c r="BM4575" s="281">
        <f>$AZ$34+0.2*(seat_pitch)*($AY$34*n_SA+$AW$14&lt;pax_e)</f>
        <v>26.102</v>
      </c>
      <c r="BN4575" s="281">
        <f>$AX$14</f>
        <v>1.3100000000000003</v>
      </c>
      <c r="BO4575" s="281">
        <f t="shared" si="205"/>
        <v>8.291520000000002</v>
      </c>
    </row>
    <row r="4576" spans="65:67" x14ac:dyDescent="0.25">
      <c r="BM4576" s="281">
        <f>$AZ$34+0.2*(seat_pitch)*($AY$34*n_SA+$AW$14&lt;pax_e)</f>
        <v>26.102</v>
      </c>
      <c r="BN4576" s="281">
        <f>$AX$14+seat_w*($AY$34*n_SA+$AW$14&lt;pax_e)</f>
        <v>1.8400000000000003</v>
      </c>
      <c r="BO4576" s="281">
        <f t="shared" si="205"/>
        <v>8.291520000000002</v>
      </c>
    </row>
    <row r="4577" spans="65:67" x14ac:dyDescent="0.25">
      <c r="BM4577" s="281">
        <f>$AZ$34</f>
        <v>25.94</v>
      </c>
      <c r="BN4577" s="281">
        <f>$AX$14+seat_w*($AY$34*n_SA+$AW$14&lt;pax_e)</f>
        <v>1.8400000000000003</v>
      </c>
      <c r="BO4577" s="281">
        <f t="shared" si="205"/>
        <v>8.129520000000003</v>
      </c>
    </row>
    <row r="4578" spans="65:67" x14ac:dyDescent="0.25">
      <c r="BM4578" s="281">
        <f>$AZ$34+1*(seat_pitch)*($AY$34*n_SA+$AW$14&lt;pax_e)</f>
        <v>26.75</v>
      </c>
      <c r="BN4578" s="281">
        <f>$AX$14+seat_w*($AY$34*n_SA+$AW$14&lt;pax_e)</f>
        <v>1.8400000000000003</v>
      </c>
      <c r="BO4578" s="281">
        <f t="shared" si="205"/>
        <v>8.9395200000000017</v>
      </c>
    </row>
    <row r="4579" spans="65:67" x14ac:dyDescent="0.25">
      <c r="BM4579" s="281">
        <f>$AZ$34+0.8*(seat_pitch)*($AY$34*n_SA+$AW$14&lt;pax_e)</f>
        <v>26.588000000000001</v>
      </c>
      <c r="BN4579" s="281">
        <f>$AX$14+seat_w*($AY$34*n_SA+$AW$14&lt;pax_e)</f>
        <v>1.8400000000000003</v>
      </c>
      <c r="BO4579" s="281">
        <f t="shared" si="205"/>
        <v>8.7775200000000027</v>
      </c>
    </row>
    <row r="4580" spans="65:67" x14ac:dyDescent="0.25">
      <c r="BM4580" s="281">
        <f>$AZ$34+0.8*(seat_pitch)*($AY$34*n_SA+$AW$14&lt;pax_e)</f>
        <v>26.588000000000001</v>
      </c>
      <c r="BN4580" s="281">
        <f>$AX$14</f>
        <v>1.3100000000000003</v>
      </c>
      <c r="BO4580" s="281">
        <f t="shared" si="205"/>
        <v>8.7775200000000027</v>
      </c>
    </row>
    <row r="4581" spans="65:67" x14ac:dyDescent="0.25">
      <c r="BM4581" s="281">
        <f>$AZ$34+0.2*(seat_pitch)*($AY$34*n_SA+$AW$14&lt;pax_e)</f>
        <v>26.102</v>
      </c>
      <c r="BN4581" s="281">
        <f>$AX$14</f>
        <v>1.3100000000000003</v>
      </c>
      <c r="BO4581" s="281">
        <f t="shared" si="205"/>
        <v>8.291520000000002</v>
      </c>
    </row>
    <row r="4582" spans="65:67" x14ac:dyDescent="0.25">
      <c r="BM4582" s="281">
        <f>$AZ$34+(seat_pitch)</f>
        <v>26.75</v>
      </c>
      <c r="BN4582" s="281">
        <f>$AX$14</f>
        <v>1.3100000000000003</v>
      </c>
      <c r="BO4582" s="281">
        <f t="shared" si="205"/>
        <v>8.9395200000000017</v>
      </c>
    </row>
    <row r="4583" spans="65:67" x14ac:dyDescent="0.25">
      <c r="BM4583" s="281">
        <f>$AZ$35+0.2*(seat_pitch)*($AY$35*n_SA+$AW$14&lt;pax_e)</f>
        <v>26.102</v>
      </c>
      <c r="BN4583" s="281">
        <f>$AX$14</f>
        <v>1.3100000000000003</v>
      </c>
      <c r="BO4583" s="281">
        <f t="shared" si="205"/>
        <v>8.291520000000002</v>
      </c>
    </row>
    <row r="4584" spans="65:67" x14ac:dyDescent="0.25">
      <c r="BM4584" s="281">
        <f>$AZ$35+0.2*(seat_pitch)*($AY$35*n_SA+$AW$14&lt;pax_e)</f>
        <v>26.102</v>
      </c>
      <c r="BN4584" s="281">
        <f>$AX$14+seat_w*($AY$35*n_SA+$AW$14&lt;pax_e)</f>
        <v>1.8400000000000003</v>
      </c>
      <c r="BO4584" s="281">
        <f t="shared" si="205"/>
        <v>8.291520000000002</v>
      </c>
    </row>
    <row r="4585" spans="65:67" x14ac:dyDescent="0.25">
      <c r="BM4585" s="281">
        <f>$AZ$35</f>
        <v>25.94</v>
      </c>
      <c r="BN4585" s="281">
        <f>$AX$14+seat_w*($AY$35*n_SA+$AW$14&lt;pax_e)</f>
        <v>1.8400000000000003</v>
      </c>
      <c r="BO4585" s="281">
        <f t="shared" si="205"/>
        <v>8.129520000000003</v>
      </c>
    </row>
    <row r="4586" spans="65:67" x14ac:dyDescent="0.25">
      <c r="BM4586" s="281">
        <f>$AZ$35+1*(seat_pitch)*($AY$35*n_SA+$AW$14&lt;pax_e)</f>
        <v>26.75</v>
      </c>
      <c r="BN4586" s="281">
        <f>$AX$14+seat_w*($AY$35*n_SA+$AW$14&lt;pax_e)</f>
        <v>1.8400000000000003</v>
      </c>
      <c r="BO4586" s="281">
        <f t="shared" si="205"/>
        <v>8.9395200000000017</v>
      </c>
    </row>
    <row r="4587" spans="65:67" x14ac:dyDescent="0.25">
      <c r="BM4587" s="281">
        <f>$AZ$35+0.8*(seat_pitch)*($AY$35*n_SA+$AW$14&lt;pax_e)</f>
        <v>26.588000000000001</v>
      </c>
      <c r="BN4587" s="281">
        <f>$AX$14+seat_w*($AY$35*n_SA+$AW$14&lt;pax_e)</f>
        <v>1.8400000000000003</v>
      </c>
      <c r="BO4587" s="281">
        <f t="shared" si="205"/>
        <v>8.7775200000000027</v>
      </c>
    </row>
    <row r="4588" spans="65:67" x14ac:dyDescent="0.25">
      <c r="BM4588" s="281">
        <f>$AZ$35+0.8*(seat_pitch)*($AY$35*n_SA+$AW$14&lt;pax_e)</f>
        <v>26.588000000000001</v>
      </c>
      <c r="BN4588" s="281">
        <f>$AX$14</f>
        <v>1.3100000000000003</v>
      </c>
      <c r="BO4588" s="281">
        <f t="shared" si="205"/>
        <v>8.7775200000000027</v>
      </c>
    </row>
    <row r="4589" spans="65:67" x14ac:dyDescent="0.25">
      <c r="BM4589" s="281">
        <f>$AZ$35+0.2*(seat_pitch)*($AY$35*n_SA+$AW$14&lt;pax_e)</f>
        <v>26.102</v>
      </c>
      <c r="BN4589" s="281">
        <f>$AX$14</f>
        <v>1.3100000000000003</v>
      </c>
      <c r="BO4589" s="281">
        <f t="shared" si="205"/>
        <v>8.291520000000002</v>
      </c>
    </row>
    <row r="4590" spans="65:67" x14ac:dyDescent="0.25">
      <c r="BM4590" s="281">
        <f>$AZ$35+(seat_pitch)</f>
        <v>26.75</v>
      </c>
      <c r="BN4590" s="281">
        <f>$AX$14</f>
        <v>1.3100000000000003</v>
      </c>
      <c r="BO4590" s="281">
        <f t="shared" si="205"/>
        <v>8.9395200000000017</v>
      </c>
    </row>
    <row r="4591" spans="65:67" x14ac:dyDescent="0.25">
      <c r="BM4591" s="281">
        <f>$AZ$36+0.2*(seat_pitch)*($AY$36*n_SA+$AW$14&lt;pax_e)</f>
        <v>26.102</v>
      </c>
      <c r="BN4591" s="281">
        <f>$AX$14</f>
        <v>1.3100000000000003</v>
      </c>
      <c r="BO4591" s="281">
        <f t="shared" si="205"/>
        <v>8.291520000000002</v>
      </c>
    </row>
    <row r="4592" spans="65:67" x14ac:dyDescent="0.25">
      <c r="BM4592" s="281">
        <f>$AZ$36+0.2*(seat_pitch)*($AY$36*n_SA+$AW$14&lt;pax_e)</f>
        <v>26.102</v>
      </c>
      <c r="BN4592" s="281">
        <f>$AX$14+seat_w*($AY$36*n_SA+$AW$14&lt;pax_e)</f>
        <v>1.8400000000000003</v>
      </c>
      <c r="BO4592" s="281">
        <f t="shared" si="205"/>
        <v>8.291520000000002</v>
      </c>
    </row>
    <row r="4593" spans="65:67" x14ac:dyDescent="0.25">
      <c r="BM4593" s="281">
        <f>$AZ$36</f>
        <v>25.94</v>
      </c>
      <c r="BN4593" s="281">
        <f>$AX$14+seat_w*($AY$36*n_SA+$AW$14&lt;pax_e)</f>
        <v>1.8400000000000003</v>
      </c>
      <c r="BO4593" s="281">
        <f t="shared" si="205"/>
        <v>8.129520000000003</v>
      </c>
    </row>
    <row r="4594" spans="65:67" x14ac:dyDescent="0.25">
      <c r="BM4594" s="281">
        <f>$AZ$36+1*(seat_pitch)*($AY$36*n_SA+$AW$14&lt;pax_e)</f>
        <v>26.75</v>
      </c>
      <c r="BN4594" s="281">
        <f>$AX$14+seat_w*($AY$36*n_SA+$AW$14&lt;pax_e)</f>
        <v>1.8400000000000003</v>
      </c>
      <c r="BO4594" s="281">
        <f t="shared" si="205"/>
        <v>8.9395200000000017</v>
      </c>
    </row>
    <row r="4595" spans="65:67" x14ac:dyDescent="0.25">
      <c r="BM4595" s="281">
        <f>$AZ$36+0.8*(seat_pitch)*($AY$36*n_SA+$AW$14&lt;pax_e)</f>
        <v>26.588000000000001</v>
      </c>
      <c r="BN4595" s="281">
        <f>$AX$14+seat_w*($AY$36*n_SA+$AW$14&lt;pax_e)</f>
        <v>1.8400000000000003</v>
      </c>
      <c r="BO4595" s="281">
        <f t="shared" si="205"/>
        <v>8.7775200000000027</v>
      </c>
    </row>
    <row r="4596" spans="65:67" x14ac:dyDescent="0.25">
      <c r="BM4596" s="281">
        <f>$AZ$36+0.8*(seat_pitch)*($AY$36*n_SA+$AW$14&lt;pax_e)</f>
        <v>26.588000000000001</v>
      </c>
      <c r="BN4596" s="281">
        <f>$AX$14</f>
        <v>1.3100000000000003</v>
      </c>
      <c r="BO4596" s="281">
        <f t="shared" si="205"/>
        <v>8.7775200000000027</v>
      </c>
    </row>
    <row r="4597" spans="65:67" x14ac:dyDescent="0.25">
      <c r="BM4597" s="281">
        <f>$AZ$36+0.2*(seat_pitch)*($AY$36*n_SA+$AW$14&lt;pax_e)</f>
        <v>26.102</v>
      </c>
      <c r="BN4597" s="281">
        <f>$AX$14</f>
        <v>1.3100000000000003</v>
      </c>
      <c r="BO4597" s="281">
        <f t="shared" si="205"/>
        <v>8.291520000000002</v>
      </c>
    </row>
    <row r="4598" spans="65:67" x14ac:dyDescent="0.25">
      <c r="BM4598" s="281">
        <f>$AZ$36+(seat_pitch)</f>
        <v>26.75</v>
      </c>
      <c r="BN4598" s="281">
        <f>$AX$14</f>
        <v>1.3100000000000003</v>
      </c>
      <c r="BO4598" s="281">
        <f t="shared" si="205"/>
        <v>8.9395200000000017</v>
      </c>
    </row>
    <row r="4599" spans="65:67" x14ac:dyDescent="0.25">
      <c r="BM4599" s="281">
        <f>$AZ$37+0.2*(seat_pitch)*($AY$37*n_SA+$AW$14&lt;pax_e)</f>
        <v>26.102</v>
      </c>
      <c r="BN4599" s="281">
        <f>$AX$14</f>
        <v>1.3100000000000003</v>
      </c>
      <c r="BO4599" s="281">
        <f t="shared" si="205"/>
        <v>8.291520000000002</v>
      </c>
    </row>
    <row r="4600" spans="65:67" x14ac:dyDescent="0.25">
      <c r="BM4600" s="281">
        <f>$AZ$37+0.2*(seat_pitch)*($AY$37*n_SA+$AW$14&lt;pax_e)</f>
        <v>26.102</v>
      </c>
      <c r="BN4600" s="281">
        <f>$AX$14+seat_w*($AY$37*n_SA+$AW$14&lt;pax_e)</f>
        <v>1.8400000000000003</v>
      </c>
      <c r="BO4600" s="281">
        <f t="shared" si="205"/>
        <v>8.291520000000002</v>
      </c>
    </row>
    <row r="4601" spans="65:67" x14ac:dyDescent="0.25">
      <c r="BM4601" s="281">
        <f>$AZ$37</f>
        <v>25.94</v>
      </c>
      <c r="BN4601" s="281">
        <f>$AX$14+seat_w*($AY$37*n_SA+$AW$14&lt;pax_e)</f>
        <v>1.8400000000000003</v>
      </c>
      <c r="BO4601" s="281">
        <f t="shared" si="205"/>
        <v>8.129520000000003</v>
      </c>
    </row>
    <row r="4602" spans="65:67" x14ac:dyDescent="0.25">
      <c r="BM4602" s="281">
        <f>$AZ$37+1*(seat_pitch)*($AY$37*n_SA+$AW$14&lt;pax_e)</f>
        <v>26.75</v>
      </c>
      <c r="BN4602" s="281">
        <f>$AX$14+seat_w*($AY$37*n_SA+$AW$14&lt;pax_e)</f>
        <v>1.8400000000000003</v>
      </c>
      <c r="BO4602" s="281">
        <f t="shared" si="205"/>
        <v>8.9395200000000017</v>
      </c>
    </row>
    <row r="4603" spans="65:67" x14ac:dyDescent="0.25">
      <c r="BM4603" s="281">
        <f>$AZ$37+0.8*(seat_pitch)*($AY$37*n_SA+$AW$14&lt;pax_e)</f>
        <v>26.588000000000001</v>
      </c>
      <c r="BN4603" s="281">
        <f>$AX$14+seat_w*($AY$37*n_SA+$AW$14&lt;pax_e)</f>
        <v>1.8400000000000003</v>
      </c>
      <c r="BO4603" s="281">
        <f t="shared" si="205"/>
        <v>8.7775200000000027</v>
      </c>
    </row>
    <row r="4604" spans="65:67" x14ac:dyDescent="0.25">
      <c r="BM4604" s="281">
        <f>$AZ$37+0.8*(seat_pitch)*($AY$37*n_SA+$AW$14&lt;pax_e)</f>
        <v>26.588000000000001</v>
      </c>
      <c r="BN4604" s="281">
        <f>$AX$14</f>
        <v>1.3100000000000003</v>
      </c>
      <c r="BO4604" s="281">
        <f t="shared" si="205"/>
        <v>8.7775200000000027</v>
      </c>
    </row>
    <row r="4605" spans="65:67" x14ac:dyDescent="0.25">
      <c r="BM4605" s="281">
        <f>$AZ$37+0.2*(seat_pitch)*($AY$37*n_SA+$AW$14&lt;pax_e)</f>
        <v>26.102</v>
      </c>
      <c r="BN4605" s="281">
        <f>$AX$14</f>
        <v>1.3100000000000003</v>
      </c>
      <c r="BO4605" s="281">
        <f t="shared" si="205"/>
        <v>8.291520000000002</v>
      </c>
    </row>
    <row r="4606" spans="65:67" x14ac:dyDescent="0.25">
      <c r="BM4606" s="281">
        <f>$AZ$37+(seat_pitch)</f>
        <v>26.75</v>
      </c>
      <c r="BN4606" s="281">
        <f>$AX$14</f>
        <v>1.3100000000000003</v>
      </c>
      <c r="BO4606" s="281">
        <f t="shared" si="205"/>
        <v>8.9395200000000017</v>
      </c>
    </row>
    <row r="4607" spans="65:67" x14ac:dyDescent="0.25">
      <c r="BM4607" s="281">
        <f>$AZ$38+0.2*(seat_pitch)*($AY$38*n_SA+$AW$14&lt;pax_e)</f>
        <v>26.102</v>
      </c>
      <c r="BN4607" s="281">
        <f>$AX$14</f>
        <v>1.3100000000000003</v>
      </c>
      <c r="BO4607" s="281">
        <f t="shared" si="205"/>
        <v>8.291520000000002</v>
      </c>
    </row>
    <row r="4608" spans="65:67" x14ac:dyDescent="0.25">
      <c r="BM4608" s="281">
        <f>$AZ$38+0.2*(seat_pitch)*($AY$38*n_SA+$AW$14&lt;pax_e)</f>
        <v>26.102</v>
      </c>
      <c r="BN4608" s="281">
        <f>$AX$14+seat_w*($AY$38*n_SA+$AW$14&lt;pax_e)</f>
        <v>1.8400000000000003</v>
      </c>
      <c r="BO4608" s="281">
        <f t="shared" si="205"/>
        <v>8.291520000000002</v>
      </c>
    </row>
    <row r="4609" spans="65:67" x14ac:dyDescent="0.25">
      <c r="BM4609" s="281">
        <f>$AZ$38</f>
        <v>25.94</v>
      </c>
      <c r="BN4609" s="281">
        <f>$AX$14+seat_w*($AY$38*n_SA+$AW$14&lt;pax_e)</f>
        <v>1.8400000000000003</v>
      </c>
      <c r="BO4609" s="281">
        <f t="shared" si="205"/>
        <v>8.129520000000003</v>
      </c>
    </row>
    <row r="4610" spans="65:67" x14ac:dyDescent="0.25">
      <c r="BM4610" s="281">
        <f>$AZ$38+1*(seat_pitch)*($AY$38*n_SA+$AW$14&lt;pax_e)</f>
        <v>26.75</v>
      </c>
      <c r="BN4610" s="281">
        <f>$AX$14+seat_w*($AY$38*n_SA+$AW$14&lt;pax_e)</f>
        <v>1.8400000000000003</v>
      </c>
      <c r="BO4610" s="281">
        <f t="shared" si="205"/>
        <v>8.9395200000000017</v>
      </c>
    </row>
    <row r="4611" spans="65:67" x14ac:dyDescent="0.25">
      <c r="BM4611" s="281">
        <f>$AZ$38+0.8*(seat_pitch)*($AY$38*n_SA+$AW$14&lt;pax_e)</f>
        <v>26.588000000000001</v>
      </c>
      <c r="BN4611" s="281">
        <f>$AX$14+seat_w*($AY$38*n_SA+$AW$14&lt;pax_e)</f>
        <v>1.8400000000000003</v>
      </c>
      <c r="BO4611" s="281">
        <f t="shared" si="205"/>
        <v>8.7775200000000027</v>
      </c>
    </row>
    <row r="4612" spans="65:67" x14ac:dyDescent="0.25">
      <c r="BM4612" s="281">
        <f>$AZ$38+0.8*(seat_pitch)*($AY$38*n_SA+$AW$14&lt;pax_e)</f>
        <v>26.588000000000001</v>
      </c>
      <c r="BN4612" s="281">
        <f>$AX$14</f>
        <v>1.3100000000000003</v>
      </c>
      <c r="BO4612" s="281">
        <f t="shared" si="205"/>
        <v>8.7775200000000027</v>
      </c>
    </row>
    <row r="4613" spans="65:67" x14ac:dyDescent="0.25">
      <c r="BM4613" s="281">
        <f>$AZ$38+0.2*(seat_pitch)*($AY$38*n_SA+$AW$14&lt;pax_e)</f>
        <v>26.102</v>
      </c>
      <c r="BN4613" s="281">
        <f>$AX$14</f>
        <v>1.3100000000000003</v>
      </c>
      <c r="BO4613" s="281">
        <f t="shared" ref="BO4613:BO4676" si="206">BM4613-L_fus/2</f>
        <v>8.291520000000002</v>
      </c>
    </row>
    <row r="4614" spans="65:67" x14ac:dyDescent="0.25">
      <c r="BM4614" s="281">
        <f>$AZ$38+(seat_pitch)</f>
        <v>26.75</v>
      </c>
      <c r="BN4614" s="281">
        <f>$AX$14</f>
        <v>1.3100000000000003</v>
      </c>
      <c r="BO4614" s="281">
        <f t="shared" si="206"/>
        <v>8.9395200000000017</v>
      </c>
    </row>
    <row r="4615" spans="65:67" x14ac:dyDescent="0.25">
      <c r="BM4615" s="281">
        <f>$AZ$39+0.2*(seat_pitch)*($AY$39*n_SA+$AW$14&lt;pax_e)</f>
        <v>26.102</v>
      </c>
      <c r="BN4615" s="281">
        <f>$AX$14</f>
        <v>1.3100000000000003</v>
      </c>
      <c r="BO4615" s="281">
        <f t="shared" si="206"/>
        <v>8.291520000000002</v>
      </c>
    </row>
    <row r="4616" spans="65:67" x14ac:dyDescent="0.25">
      <c r="BM4616" s="281">
        <f>$AZ$39+0.2*(seat_pitch)*($AY$39*n_SA+$AW$14&lt;pax_e)</f>
        <v>26.102</v>
      </c>
      <c r="BN4616" s="281">
        <f>$AX$14+seat_w*($AY$39*n_SA+$AW$14&lt;pax_e)</f>
        <v>1.8400000000000003</v>
      </c>
      <c r="BO4616" s="281">
        <f t="shared" si="206"/>
        <v>8.291520000000002</v>
      </c>
    </row>
    <row r="4617" spans="65:67" x14ac:dyDescent="0.25">
      <c r="BM4617" s="281">
        <f>$AZ$39</f>
        <v>25.94</v>
      </c>
      <c r="BN4617" s="281">
        <f>$AX$14+seat_w*($AY$39*n_SA+$AW$14&lt;pax_e)</f>
        <v>1.8400000000000003</v>
      </c>
      <c r="BO4617" s="281">
        <f t="shared" si="206"/>
        <v>8.129520000000003</v>
      </c>
    </row>
    <row r="4618" spans="65:67" x14ac:dyDescent="0.25">
      <c r="BM4618" s="281">
        <f>$AZ$39+1*(seat_pitch)*($AY$39*n_SA+$AW$14&lt;pax_e)</f>
        <v>26.75</v>
      </c>
      <c r="BN4618" s="281">
        <f>$AX$14+seat_w*($AY$39*n_SA+$AW$14&lt;pax_e)</f>
        <v>1.8400000000000003</v>
      </c>
      <c r="BO4618" s="281">
        <f t="shared" si="206"/>
        <v>8.9395200000000017</v>
      </c>
    </row>
    <row r="4619" spans="65:67" x14ac:dyDescent="0.25">
      <c r="BM4619" s="281">
        <f>$AZ$39+0.8*(seat_pitch)*($AY$39*n_SA+$AW$14&lt;pax_e)</f>
        <v>26.588000000000001</v>
      </c>
      <c r="BN4619" s="281">
        <f>$AX$14+seat_w*($AY$39*n_SA+$AW$14&lt;pax_e)</f>
        <v>1.8400000000000003</v>
      </c>
      <c r="BO4619" s="281">
        <f t="shared" si="206"/>
        <v>8.7775200000000027</v>
      </c>
    </row>
    <row r="4620" spans="65:67" x14ac:dyDescent="0.25">
      <c r="BM4620" s="281">
        <f>$AZ$39+0.8*(seat_pitch)*($AY$39*n_SA+$AW$14&lt;pax_e)</f>
        <v>26.588000000000001</v>
      </c>
      <c r="BN4620" s="281">
        <f>$AX$14</f>
        <v>1.3100000000000003</v>
      </c>
      <c r="BO4620" s="281">
        <f t="shared" si="206"/>
        <v>8.7775200000000027</v>
      </c>
    </row>
    <row r="4621" spans="65:67" x14ac:dyDescent="0.25">
      <c r="BM4621" s="281">
        <f>$AZ$39+0.2*(seat_pitch)*($AY$39*n_SA+$AW$14&lt;pax_e)</f>
        <v>26.102</v>
      </c>
      <c r="BN4621" s="281">
        <f>$AX$14</f>
        <v>1.3100000000000003</v>
      </c>
      <c r="BO4621" s="281">
        <f t="shared" si="206"/>
        <v>8.291520000000002</v>
      </c>
    </row>
    <row r="4622" spans="65:67" x14ac:dyDescent="0.25">
      <c r="BM4622" s="281">
        <f>$AZ$39+(seat_pitch)</f>
        <v>26.75</v>
      </c>
      <c r="BN4622" s="281">
        <f>$AX$14</f>
        <v>1.3100000000000003</v>
      </c>
      <c r="BO4622" s="281">
        <f t="shared" si="206"/>
        <v>8.9395200000000017</v>
      </c>
    </row>
    <row r="4623" spans="65:67" x14ac:dyDescent="0.25">
      <c r="BM4623" s="281">
        <f>$AZ$40+0.2*(seat_pitch)*($AY$40*n_SA+$AW$14&lt;pax_e)</f>
        <v>26.102</v>
      </c>
      <c r="BN4623" s="281">
        <f>$AX$14</f>
        <v>1.3100000000000003</v>
      </c>
      <c r="BO4623" s="281">
        <f t="shared" si="206"/>
        <v>8.291520000000002</v>
      </c>
    </row>
    <row r="4624" spans="65:67" x14ac:dyDescent="0.25">
      <c r="BM4624" s="281">
        <f>$AZ$40+0.2*(seat_pitch)*($AY$40*n_SA+$AW$14&lt;pax_e)</f>
        <v>26.102</v>
      </c>
      <c r="BN4624" s="281">
        <f>$AX$14+seat_w*($AY$40*n_SA+$AW$14&lt;pax_e)</f>
        <v>1.8400000000000003</v>
      </c>
      <c r="BO4624" s="281">
        <f t="shared" si="206"/>
        <v>8.291520000000002</v>
      </c>
    </row>
    <row r="4625" spans="65:67" x14ac:dyDescent="0.25">
      <c r="BM4625" s="281">
        <f>$AZ$40</f>
        <v>25.94</v>
      </c>
      <c r="BN4625" s="281">
        <f>$AX$14+seat_w*($AY$40*n_SA+$AW$14&lt;pax_e)</f>
        <v>1.8400000000000003</v>
      </c>
      <c r="BO4625" s="281">
        <f t="shared" si="206"/>
        <v>8.129520000000003</v>
      </c>
    </row>
    <row r="4626" spans="65:67" x14ac:dyDescent="0.25">
      <c r="BM4626" s="281">
        <f>$AZ$40+1*(seat_pitch)*($AY$40*n_SA+$AW$14&lt;pax_e)</f>
        <v>26.75</v>
      </c>
      <c r="BN4626" s="281">
        <f>$AX$14+seat_w*($AY$40*n_SA+$AW$14&lt;pax_e)</f>
        <v>1.8400000000000003</v>
      </c>
      <c r="BO4626" s="281">
        <f t="shared" si="206"/>
        <v>8.9395200000000017</v>
      </c>
    </row>
    <row r="4627" spans="65:67" x14ac:dyDescent="0.25">
      <c r="BM4627" s="281">
        <f>$AZ$40+0.8*(seat_pitch)*($AY$40*n_SA+$AW$14&lt;pax_e)</f>
        <v>26.588000000000001</v>
      </c>
      <c r="BN4627" s="281">
        <f>$AX$14+seat_w*($AY$40*n_SA+$AW$14&lt;pax_e)</f>
        <v>1.8400000000000003</v>
      </c>
      <c r="BO4627" s="281">
        <f t="shared" si="206"/>
        <v>8.7775200000000027</v>
      </c>
    </row>
    <row r="4628" spans="65:67" x14ac:dyDescent="0.25">
      <c r="BM4628" s="281">
        <f>$AZ$40+0.8*(seat_pitch)*($AY$40*n_SA+$AW$14&lt;pax_e)</f>
        <v>26.588000000000001</v>
      </c>
      <c r="BN4628" s="281">
        <f>$AX$14</f>
        <v>1.3100000000000003</v>
      </c>
      <c r="BO4628" s="281">
        <f t="shared" si="206"/>
        <v>8.7775200000000027</v>
      </c>
    </row>
    <row r="4629" spans="65:67" x14ac:dyDescent="0.25">
      <c r="BM4629" s="281">
        <f>$AZ$40+0.2*(seat_pitch)*($AY$40*n_SA+$AW$14&lt;pax_e)</f>
        <v>26.102</v>
      </c>
      <c r="BN4629" s="281">
        <f>$AX$14</f>
        <v>1.3100000000000003</v>
      </c>
      <c r="BO4629" s="281">
        <f t="shared" si="206"/>
        <v>8.291520000000002</v>
      </c>
    </row>
    <row r="4630" spans="65:67" x14ac:dyDescent="0.25">
      <c r="BM4630" s="281">
        <f>$AZ$40+(seat_pitch)</f>
        <v>26.75</v>
      </c>
      <c r="BN4630" s="281">
        <f>$AX$14</f>
        <v>1.3100000000000003</v>
      </c>
      <c r="BO4630" s="281">
        <f t="shared" si="206"/>
        <v>8.9395200000000017</v>
      </c>
    </row>
    <row r="4631" spans="65:67" x14ac:dyDescent="0.25">
      <c r="BM4631" s="281">
        <f>$AZ$41+0.2*(seat_pitch)*($AY$41*n_SA+$AW$14&lt;pax_e)</f>
        <v>26.102</v>
      </c>
      <c r="BN4631" s="281">
        <f>$AX$14</f>
        <v>1.3100000000000003</v>
      </c>
      <c r="BO4631" s="281">
        <f t="shared" si="206"/>
        <v>8.291520000000002</v>
      </c>
    </row>
    <row r="4632" spans="65:67" x14ac:dyDescent="0.25">
      <c r="BM4632" s="281">
        <f>$AZ$41+0.2*(seat_pitch)*($AY$41*n_SA+$AW$14&lt;pax_e)</f>
        <v>26.102</v>
      </c>
      <c r="BN4632" s="281">
        <f>$AX$14+seat_w*($AY$41*n_SA+$AW$14&lt;pax_e)</f>
        <v>1.8400000000000003</v>
      </c>
      <c r="BO4632" s="281">
        <f t="shared" si="206"/>
        <v>8.291520000000002</v>
      </c>
    </row>
    <row r="4633" spans="65:67" x14ac:dyDescent="0.25">
      <c r="BM4633" s="281">
        <f>$AZ$41</f>
        <v>25.94</v>
      </c>
      <c r="BN4633" s="281">
        <f>$AX$14+seat_w*($AY$41*n_SA+$AW$14&lt;pax_e)</f>
        <v>1.8400000000000003</v>
      </c>
      <c r="BO4633" s="281">
        <f t="shared" si="206"/>
        <v>8.129520000000003</v>
      </c>
    </row>
    <row r="4634" spans="65:67" x14ac:dyDescent="0.25">
      <c r="BM4634" s="281">
        <f>$AZ$41+1*(seat_pitch)*($AY$41*n_SA+$AW$14&lt;pax_e)</f>
        <v>26.75</v>
      </c>
      <c r="BN4634" s="281">
        <f>$AX$14+seat_w*($AY$41*n_SA+$AW$14&lt;pax_e)</f>
        <v>1.8400000000000003</v>
      </c>
      <c r="BO4634" s="281">
        <f t="shared" si="206"/>
        <v>8.9395200000000017</v>
      </c>
    </row>
    <row r="4635" spans="65:67" x14ac:dyDescent="0.25">
      <c r="BM4635" s="281">
        <f>$AZ$41+0.8*(seat_pitch)*($AY$41*n_SA+$AW$14&lt;pax_e)</f>
        <v>26.588000000000001</v>
      </c>
      <c r="BN4635" s="281">
        <f>$AX$14+seat_w*($AY$41*n_SA+$AW$14&lt;pax_e)</f>
        <v>1.8400000000000003</v>
      </c>
      <c r="BO4635" s="281">
        <f t="shared" si="206"/>
        <v>8.7775200000000027</v>
      </c>
    </row>
    <row r="4636" spans="65:67" x14ac:dyDescent="0.25">
      <c r="BM4636" s="281">
        <f>$AZ$41+0.8*(seat_pitch)*($AY$41*n_SA+$AW$14&lt;pax_e)</f>
        <v>26.588000000000001</v>
      </c>
      <c r="BN4636" s="281">
        <f>$AX$14</f>
        <v>1.3100000000000003</v>
      </c>
      <c r="BO4636" s="281">
        <f t="shared" si="206"/>
        <v>8.7775200000000027</v>
      </c>
    </row>
    <row r="4637" spans="65:67" x14ac:dyDescent="0.25">
      <c r="BM4637" s="281">
        <f>$AZ$41+0.2*(seat_pitch)*($AY$41*n_SA+$AW$14&lt;pax_e)</f>
        <v>26.102</v>
      </c>
      <c r="BN4637" s="281">
        <f>$AX$14</f>
        <v>1.3100000000000003</v>
      </c>
      <c r="BO4637" s="281">
        <f t="shared" si="206"/>
        <v>8.291520000000002</v>
      </c>
    </row>
    <row r="4638" spans="65:67" x14ac:dyDescent="0.25">
      <c r="BM4638" s="281">
        <f>$AZ$41+(seat_pitch)</f>
        <v>26.75</v>
      </c>
      <c r="BN4638" s="281">
        <f>$AX$14</f>
        <v>1.3100000000000003</v>
      </c>
      <c r="BO4638" s="281">
        <f t="shared" si="206"/>
        <v>8.9395200000000017</v>
      </c>
    </row>
    <row r="4639" spans="65:67" x14ac:dyDescent="0.25">
      <c r="BM4639" s="281">
        <f>$AZ$42+0.2*(seat_pitch)*($AY$42*n_SA+$AW$14&lt;pax_e)</f>
        <v>26.102</v>
      </c>
      <c r="BN4639" s="281">
        <f>$AX$14</f>
        <v>1.3100000000000003</v>
      </c>
      <c r="BO4639" s="281">
        <f t="shared" si="206"/>
        <v>8.291520000000002</v>
      </c>
    </row>
    <row r="4640" spans="65:67" x14ac:dyDescent="0.25">
      <c r="BM4640" s="281">
        <f>$AZ$42+0.2*(seat_pitch)*($AY$42*n_SA+$AW$14&lt;pax_e)</f>
        <v>26.102</v>
      </c>
      <c r="BN4640" s="281">
        <f>$AX$14+seat_w*($AY$42*n_SA+$AW$14&lt;pax_e)</f>
        <v>1.8400000000000003</v>
      </c>
      <c r="BO4640" s="281">
        <f t="shared" si="206"/>
        <v>8.291520000000002</v>
      </c>
    </row>
    <row r="4641" spans="65:67" x14ac:dyDescent="0.25">
      <c r="BM4641" s="281">
        <f>$AZ$42</f>
        <v>25.94</v>
      </c>
      <c r="BN4641" s="281">
        <f>$AX$14+seat_w*($AY$42*n_SA+$AW$14&lt;pax_e)</f>
        <v>1.8400000000000003</v>
      </c>
      <c r="BO4641" s="281">
        <f t="shared" si="206"/>
        <v>8.129520000000003</v>
      </c>
    </row>
    <row r="4642" spans="65:67" x14ac:dyDescent="0.25">
      <c r="BM4642" s="281">
        <f>$AZ$42+1*(seat_pitch)*($AY$42*n_SA+$AW$14&lt;pax_e)</f>
        <v>26.75</v>
      </c>
      <c r="BN4642" s="281">
        <f>$AX$14+seat_w*($AY$42*n_SA+$AW$14&lt;pax_e)</f>
        <v>1.8400000000000003</v>
      </c>
      <c r="BO4642" s="281">
        <f t="shared" si="206"/>
        <v>8.9395200000000017</v>
      </c>
    </row>
    <row r="4643" spans="65:67" x14ac:dyDescent="0.25">
      <c r="BM4643" s="281">
        <f>$AZ$42+0.8*(seat_pitch)*($AY$42*n_SA+$AW$14&lt;pax_e)</f>
        <v>26.588000000000001</v>
      </c>
      <c r="BN4643" s="281">
        <f>$AX$14+seat_w*($AY$42*n_SA+$AW$14&lt;pax_e)</f>
        <v>1.8400000000000003</v>
      </c>
      <c r="BO4643" s="281">
        <f t="shared" si="206"/>
        <v>8.7775200000000027</v>
      </c>
    </row>
    <row r="4644" spans="65:67" x14ac:dyDescent="0.25">
      <c r="BM4644" s="281">
        <f>$AZ$42+0.8*(seat_pitch)*($AY$42*n_SA+$AW$14&lt;pax_e)</f>
        <v>26.588000000000001</v>
      </c>
      <c r="BN4644" s="281">
        <f>$AX$14</f>
        <v>1.3100000000000003</v>
      </c>
      <c r="BO4644" s="281">
        <f t="shared" si="206"/>
        <v>8.7775200000000027</v>
      </c>
    </row>
    <row r="4645" spans="65:67" x14ac:dyDescent="0.25">
      <c r="BM4645" s="281">
        <f>$AZ$42+0.2*(seat_pitch)*($AY$42*n_SA+$AW$14&lt;pax_e)</f>
        <v>26.102</v>
      </c>
      <c r="BN4645" s="281">
        <f>$AX$14</f>
        <v>1.3100000000000003</v>
      </c>
      <c r="BO4645" s="281">
        <f t="shared" si="206"/>
        <v>8.291520000000002</v>
      </c>
    </row>
    <row r="4646" spans="65:67" x14ac:dyDescent="0.25">
      <c r="BM4646" s="281">
        <f>$AZ$42+(seat_pitch)</f>
        <v>26.75</v>
      </c>
      <c r="BN4646" s="281">
        <f>$AX$14</f>
        <v>1.3100000000000003</v>
      </c>
      <c r="BO4646" s="281">
        <f t="shared" si="206"/>
        <v>8.9395200000000017</v>
      </c>
    </row>
    <row r="4647" spans="65:67" x14ac:dyDescent="0.25">
      <c r="BM4647" s="281">
        <f>$AZ$43+0.2*(seat_pitch)*($AY$43*n_SA+$AW$14&lt;pax_e)</f>
        <v>26.102</v>
      </c>
      <c r="BN4647" s="281">
        <f>$AX$14</f>
        <v>1.3100000000000003</v>
      </c>
      <c r="BO4647" s="281">
        <f t="shared" si="206"/>
        <v>8.291520000000002</v>
      </c>
    </row>
    <row r="4648" spans="65:67" x14ac:dyDescent="0.25">
      <c r="BM4648" s="281">
        <f>$AZ$43+0.2*(seat_pitch)*($AY$43*n_SA+$AW$14&lt;pax_e)</f>
        <v>26.102</v>
      </c>
      <c r="BN4648" s="281">
        <f>$AX$14+seat_w*($AY$43*n_SA+$AW$14&lt;pax_e)</f>
        <v>1.8400000000000003</v>
      </c>
      <c r="BO4648" s="281">
        <f t="shared" si="206"/>
        <v>8.291520000000002</v>
      </c>
    </row>
    <row r="4649" spans="65:67" x14ac:dyDescent="0.25">
      <c r="BM4649" s="281">
        <f>$AZ$43</f>
        <v>25.94</v>
      </c>
      <c r="BN4649" s="281">
        <f>$AX$14+seat_w*($AY$43*n_SA+$AW$14&lt;pax_e)</f>
        <v>1.8400000000000003</v>
      </c>
      <c r="BO4649" s="281">
        <f t="shared" si="206"/>
        <v>8.129520000000003</v>
      </c>
    </row>
    <row r="4650" spans="65:67" x14ac:dyDescent="0.25">
      <c r="BM4650" s="281">
        <f>$AZ$43+1*(seat_pitch)*($AY$43*n_SA+$AW$14&lt;pax_e)</f>
        <v>26.75</v>
      </c>
      <c r="BN4650" s="281">
        <f>$AX$14+seat_w*($AY$43*n_SA+$AW$14&lt;pax_e)</f>
        <v>1.8400000000000003</v>
      </c>
      <c r="BO4650" s="281">
        <f t="shared" si="206"/>
        <v>8.9395200000000017</v>
      </c>
    </row>
    <row r="4651" spans="65:67" x14ac:dyDescent="0.25">
      <c r="BM4651" s="281">
        <f>$AZ$43+0.8*(seat_pitch)*($AY$43*n_SA+$AW$14&lt;pax_e)</f>
        <v>26.588000000000001</v>
      </c>
      <c r="BN4651" s="281">
        <f>$AX$14+seat_w*($AY$43*n_SA+$AW$14&lt;pax_e)</f>
        <v>1.8400000000000003</v>
      </c>
      <c r="BO4651" s="281">
        <f t="shared" si="206"/>
        <v>8.7775200000000027</v>
      </c>
    </row>
    <row r="4652" spans="65:67" x14ac:dyDescent="0.25">
      <c r="BM4652" s="281">
        <f>$AZ$43+0.8*(seat_pitch)*($AY$43*n_SA+$AW$14&lt;pax_e)</f>
        <v>26.588000000000001</v>
      </c>
      <c r="BN4652" s="281">
        <f>$AX$14</f>
        <v>1.3100000000000003</v>
      </c>
      <c r="BO4652" s="281">
        <f t="shared" si="206"/>
        <v>8.7775200000000027</v>
      </c>
    </row>
    <row r="4653" spans="65:67" x14ac:dyDescent="0.25">
      <c r="BM4653" s="281">
        <f>$AZ$43+0.2*(seat_pitch)*($AY$43*n_SA+$AW$14&lt;pax_e)</f>
        <v>26.102</v>
      </c>
      <c r="BN4653" s="281">
        <f>$AX$14</f>
        <v>1.3100000000000003</v>
      </c>
      <c r="BO4653" s="281">
        <f t="shared" si="206"/>
        <v>8.291520000000002</v>
      </c>
    </row>
    <row r="4654" spans="65:67" x14ac:dyDescent="0.25">
      <c r="BM4654" s="281">
        <f>$AZ$43+(seat_pitch)</f>
        <v>26.75</v>
      </c>
      <c r="BN4654" s="281">
        <f>$AX$14</f>
        <v>1.3100000000000003</v>
      </c>
      <c r="BO4654" s="281">
        <f t="shared" si="206"/>
        <v>8.9395200000000017</v>
      </c>
    </row>
    <row r="4655" spans="65:67" x14ac:dyDescent="0.25">
      <c r="BM4655" s="281">
        <f>$AZ$44+0.2*(seat_pitch)*($AY$44*n_SA+$AW$14&lt;pax_e)</f>
        <v>26.102</v>
      </c>
      <c r="BN4655" s="281">
        <f>$AX$14</f>
        <v>1.3100000000000003</v>
      </c>
      <c r="BO4655" s="281">
        <f t="shared" si="206"/>
        <v>8.291520000000002</v>
      </c>
    </row>
    <row r="4656" spans="65:67" x14ac:dyDescent="0.25">
      <c r="BM4656" s="281">
        <f>$AZ$44+0.2*(seat_pitch)*($AY$44*n_SA+$AW$14&lt;pax_e)</f>
        <v>26.102</v>
      </c>
      <c r="BN4656" s="281">
        <f>$AX$14+seat_w*($AY$44*n_SA+$AW$14&lt;pax_e)</f>
        <v>1.8400000000000003</v>
      </c>
      <c r="BO4656" s="281">
        <f t="shared" si="206"/>
        <v>8.291520000000002</v>
      </c>
    </row>
    <row r="4657" spans="65:67" x14ac:dyDescent="0.25">
      <c r="BM4657" s="281">
        <f>$AZ$44</f>
        <v>25.94</v>
      </c>
      <c r="BN4657" s="281">
        <f>$AX$14+seat_w*($AY$44*n_SA+$AW$14&lt;pax_e)</f>
        <v>1.8400000000000003</v>
      </c>
      <c r="BO4657" s="281">
        <f t="shared" si="206"/>
        <v>8.129520000000003</v>
      </c>
    </row>
    <row r="4658" spans="65:67" x14ac:dyDescent="0.25">
      <c r="BM4658" s="281">
        <f>$AZ$44+1*(seat_pitch)*($AY$44*n_SA+$AW$14&lt;pax_e)</f>
        <v>26.75</v>
      </c>
      <c r="BN4658" s="281">
        <f>$AX$14+seat_w*($AY$44*n_SA+$AW$14&lt;pax_e)</f>
        <v>1.8400000000000003</v>
      </c>
      <c r="BO4658" s="281">
        <f t="shared" si="206"/>
        <v>8.9395200000000017</v>
      </c>
    </row>
    <row r="4659" spans="65:67" x14ac:dyDescent="0.25">
      <c r="BM4659" s="281">
        <f>$AZ$44+0.8*(seat_pitch)*($AY$44*n_SA+$AW$14&lt;pax_e)</f>
        <v>26.588000000000001</v>
      </c>
      <c r="BN4659" s="281">
        <f>$AX$14+seat_w*($AY$44*n_SA+$AW$14&lt;pax_e)</f>
        <v>1.8400000000000003</v>
      </c>
      <c r="BO4659" s="281">
        <f t="shared" si="206"/>
        <v>8.7775200000000027</v>
      </c>
    </row>
    <row r="4660" spans="65:67" x14ac:dyDescent="0.25">
      <c r="BM4660" s="281">
        <f>$AZ$44+0.8*(seat_pitch)*($AY$44*n_SA+$AW$14&lt;pax_e)</f>
        <v>26.588000000000001</v>
      </c>
      <c r="BN4660" s="281">
        <f>$AX$14</f>
        <v>1.3100000000000003</v>
      </c>
      <c r="BO4660" s="281">
        <f t="shared" si="206"/>
        <v>8.7775200000000027</v>
      </c>
    </row>
    <row r="4661" spans="65:67" x14ac:dyDescent="0.25">
      <c r="BM4661" s="281">
        <f>$AZ$44+0.2*(seat_pitch)*($AY$44*n_SA+$AW$14&lt;pax_e)</f>
        <v>26.102</v>
      </c>
      <c r="BN4661" s="281">
        <f>$AX$14</f>
        <v>1.3100000000000003</v>
      </c>
      <c r="BO4661" s="281">
        <f t="shared" si="206"/>
        <v>8.291520000000002</v>
      </c>
    </row>
    <row r="4662" spans="65:67" x14ac:dyDescent="0.25">
      <c r="BM4662" s="281">
        <f>$AZ$44+(seat_pitch)</f>
        <v>26.75</v>
      </c>
      <c r="BN4662" s="281">
        <f>$AX$14</f>
        <v>1.3100000000000003</v>
      </c>
      <c r="BO4662" s="281">
        <f t="shared" si="206"/>
        <v>8.9395200000000017</v>
      </c>
    </row>
    <row r="4663" spans="65:67" x14ac:dyDescent="0.25">
      <c r="BM4663" s="281">
        <f>$AZ$45+0.2*(seat_pitch)*($AY$45*n_SA+$AW$14&lt;pax_e)</f>
        <v>26.102</v>
      </c>
      <c r="BN4663" s="281">
        <f>$AX$14</f>
        <v>1.3100000000000003</v>
      </c>
      <c r="BO4663" s="281">
        <f t="shared" si="206"/>
        <v>8.291520000000002</v>
      </c>
    </row>
    <row r="4664" spans="65:67" x14ac:dyDescent="0.25">
      <c r="BM4664" s="281">
        <f>$AZ$45+0.2*(seat_pitch)*($AY$45*n_SA+$AW$14&lt;pax_e)</f>
        <v>26.102</v>
      </c>
      <c r="BN4664" s="281">
        <f>$AX$14+seat_w*($AY$45*n_SA+$AW$14&lt;pax_e)</f>
        <v>1.8400000000000003</v>
      </c>
      <c r="BO4664" s="281">
        <f t="shared" si="206"/>
        <v>8.291520000000002</v>
      </c>
    </row>
    <row r="4665" spans="65:67" x14ac:dyDescent="0.25">
      <c r="BM4665" s="281">
        <f>$AZ$45</f>
        <v>25.94</v>
      </c>
      <c r="BN4665" s="281">
        <f>$AX$14+seat_w*($AY$45*n_SA+$AW$14&lt;pax_e)</f>
        <v>1.8400000000000003</v>
      </c>
      <c r="BO4665" s="281">
        <f t="shared" si="206"/>
        <v>8.129520000000003</v>
      </c>
    </row>
    <row r="4666" spans="65:67" x14ac:dyDescent="0.25">
      <c r="BM4666" s="281">
        <f>$AZ$45+1*(seat_pitch)*($AY$45*n_SA+$AW$14&lt;pax_e)</f>
        <v>26.75</v>
      </c>
      <c r="BN4666" s="281">
        <f>$AX$14+seat_w*($AY$45*n_SA+$AW$14&lt;pax_e)</f>
        <v>1.8400000000000003</v>
      </c>
      <c r="BO4666" s="281">
        <f t="shared" si="206"/>
        <v>8.9395200000000017</v>
      </c>
    </row>
    <row r="4667" spans="65:67" x14ac:dyDescent="0.25">
      <c r="BM4667" s="281">
        <f>$AZ$45+0.8*(seat_pitch)*($AY$45*n_SA+$AW$14&lt;pax_e)</f>
        <v>26.588000000000001</v>
      </c>
      <c r="BN4667" s="281">
        <f>$AX$14+seat_w*($AY$45*n_SA+$AW$14&lt;pax_e)</f>
        <v>1.8400000000000003</v>
      </c>
      <c r="BO4667" s="281">
        <f t="shared" si="206"/>
        <v>8.7775200000000027</v>
      </c>
    </row>
    <row r="4668" spans="65:67" x14ac:dyDescent="0.25">
      <c r="BM4668" s="281">
        <f>$AZ$45+0.8*(seat_pitch)*($AY$45*n_SA+$AW$14&lt;pax_e)</f>
        <v>26.588000000000001</v>
      </c>
      <c r="BN4668" s="281">
        <f>$AX$14</f>
        <v>1.3100000000000003</v>
      </c>
      <c r="BO4668" s="281">
        <f t="shared" si="206"/>
        <v>8.7775200000000027</v>
      </c>
    </row>
    <row r="4669" spans="65:67" x14ac:dyDescent="0.25">
      <c r="BM4669" s="281">
        <f>$AZ$45+0.2*(seat_pitch)*($AY$45*n_SA+$AW$14&lt;pax_e)</f>
        <v>26.102</v>
      </c>
      <c r="BN4669" s="281">
        <f>$AX$14</f>
        <v>1.3100000000000003</v>
      </c>
      <c r="BO4669" s="281">
        <f t="shared" si="206"/>
        <v>8.291520000000002</v>
      </c>
    </row>
    <row r="4670" spans="65:67" x14ac:dyDescent="0.25">
      <c r="BM4670" s="281">
        <f>$AZ$45+(seat_pitch)</f>
        <v>26.75</v>
      </c>
      <c r="BN4670" s="281">
        <f>$AX$14</f>
        <v>1.3100000000000003</v>
      </c>
      <c r="BO4670" s="281">
        <f t="shared" si="206"/>
        <v>8.9395200000000017</v>
      </c>
    </row>
    <row r="4671" spans="65:67" x14ac:dyDescent="0.25">
      <c r="BM4671" s="281">
        <f>$AZ$46+0.2*(seat_pitch)*($AY$46*n_SA+$AW$14&lt;pax_e)</f>
        <v>26.102</v>
      </c>
      <c r="BN4671" s="281">
        <f>$AX$14</f>
        <v>1.3100000000000003</v>
      </c>
      <c r="BO4671" s="281">
        <f t="shared" si="206"/>
        <v>8.291520000000002</v>
      </c>
    </row>
    <row r="4672" spans="65:67" x14ac:dyDescent="0.25">
      <c r="BM4672" s="281">
        <f>$AZ$46+0.2*(seat_pitch)*($AY$46*n_SA+$AW$14&lt;pax_e)</f>
        <v>26.102</v>
      </c>
      <c r="BN4672" s="281">
        <f>$AX$14+seat_w*($AY$46*n_SA+$AW$14&lt;pax_e)</f>
        <v>1.8400000000000003</v>
      </c>
      <c r="BO4672" s="281">
        <f t="shared" si="206"/>
        <v>8.291520000000002</v>
      </c>
    </row>
    <row r="4673" spans="65:67" x14ac:dyDescent="0.25">
      <c r="BM4673" s="281">
        <f>$AZ$46</f>
        <v>25.94</v>
      </c>
      <c r="BN4673" s="281">
        <f>$AX$14+seat_w*($AY$46*n_SA+$AW$14&lt;pax_e)</f>
        <v>1.8400000000000003</v>
      </c>
      <c r="BO4673" s="281">
        <f t="shared" si="206"/>
        <v>8.129520000000003</v>
      </c>
    </row>
    <row r="4674" spans="65:67" x14ac:dyDescent="0.25">
      <c r="BM4674" s="281">
        <f>$AZ$46+1*(seat_pitch)*($AY$46*n_SA+$AW$14&lt;pax_e)</f>
        <v>26.75</v>
      </c>
      <c r="BN4674" s="281">
        <f>$AX$14+seat_w*($AY$46*n_SA+$AW$14&lt;pax_e)</f>
        <v>1.8400000000000003</v>
      </c>
      <c r="BO4674" s="281">
        <f t="shared" si="206"/>
        <v>8.9395200000000017</v>
      </c>
    </row>
    <row r="4675" spans="65:67" x14ac:dyDescent="0.25">
      <c r="BM4675" s="281">
        <f>$AZ$46+0.8*(seat_pitch)*($AY$46*n_SA+$AW$14&lt;pax_e)</f>
        <v>26.588000000000001</v>
      </c>
      <c r="BN4675" s="281">
        <f>$AX$14+seat_w*($AY$46*n_SA+$AW$14&lt;pax_e)</f>
        <v>1.8400000000000003</v>
      </c>
      <c r="BO4675" s="281">
        <f t="shared" si="206"/>
        <v>8.7775200000000027</v>
      </c>
    </row>
    <row r="4676" spans="65:67" x14ac:dyDescent="0.25">
      <c r="BM4676" s="281">
        <f>$AZ$46+0.8*(seat_pitch)*($AY$46*n_SA+$AW$14&lt;pax_e)</f>
        <v>26.588000000000001</v>
      </c>
      <c r="BN4676" s="281">
        <f>$AX$14</f>
        <v>1.3100000000000003</v>
      </c>
      <c r="BO4676" s="281">
        <f t="shared" si="206"/>
        <v>8.7775200000000027</v>
      </c>
    </row>
    <row r="4677" spans="65:67" x14ac:dyDescent="0.25">
      <c r="BM4677" s="281">
        <f>$AZ$46+0.2*(seat_pitch)*($AY$46*n_SA+$AW$14&lt;pax_e)</f>
        <v>26.102</v>
      </c>
      <c r="BN4677" s="281">
        <f>$AX$14</f>
        <v>1.3100000000000003</v>
      </c>
      <c r="BO4677" s="281">
        <f t="shared" ref="BO4677:BO4740" si="207">BM4677-L_fus/2</f>
        <v>8.291520000000002</v>
      </c>
    </row>
    <row r="4678" spans="65:67" x14ac:dyDescent="0.25">
      <c r="BM4678" s="281">
        <f>$AZ$46+(seat_pitch)</f>
        <v>26.75</v>
      </c>
      <c r="BN4678" s="281">
        <f>$AX$14</f>
        <v>1.3100000000000003</v>
      </c>
      <c r="BO4678" s="281">
        <f t="shared" si="207"/>
        <v>8.9395200000000017</v>
      </c>
    </row>
    <row r="4679" spans="65:67" x14ac:dyDescent="0.25">
      <c r="BM4679" s="281">
        <f>$AZ$47+0.2*(seat_pitch)*($AY$47*n_SA+$AW$14&lt;pax_e)</f>
        <v>26.102</v>
      </c>
      <c r="BN4679" s="281">
        <f>$AX$14</f>
        <v>1.3100000000000003</v>
      </c>
      <c r="BO4679" s="281">
        <f t="shared" si="207"/>
        <v>8.291520000000002</v>
      </c>
    </row>
    <row r="4680" spans="65:67" x14ac:dyDescent="0.25">
      <c r="BM4680" s="281">
        <f>$AZ$47+0.2*(seat_pitch)*($AY$47*n_SA+$AW$14&lt;pax_e)</f>
        <v>26.102</v>
      </c>
      <c r="BN4680" s="281">
        <f>$AX$14+seat_w*($AY$47*n_SA+$AW$14&lt;pax_e)</f>
        <v>1.8400000000000003</v>
      </c>
      <c r="BO4680" s="281">
        <f t="shared" si="207"/>
        <v>8.291520000000002</v>
      </c>
    </row>
    <row r="4681" spans="65:67" x14ac:dyDescent="0.25">
      <c r="BM4681" s="281">
        <f>$AZ$47</f>
        <v>25.94</v>
      </c>
      <c r="BN4681" s="281">
        <f>$AX$14+seat_w*($AY$47*n_SA+$AW$14&lt;pax_e)</f>
        <v>1.8400000000000003</v>
      </c>
      <c r="BO4681" s="281">
        <f t="shared" si="207"/>
        <v>8.129520000000003</v>
      </c>
    </row>
    <row r="4682" spans="65:67" x14ac:dyDescent="0.25">
      <c r="BM4682" s="281">
        <f>$AZ$47+1*(seat_pitch)*($AY$47*n_SA+$AW$14&lt;pax_e)</f>
        <v>26.75</v>
      </c>
      <c r="BN4682" s="281">
        <f>$AX$14+seat_w*($AY$47*n_SA+$AW$14&lt;pax_e)</f>
        <v>1.8400000000000003</v>
      </c>
      <c r="BO4682" s="281">
        <f t="shared" si="207"/>
        <v>8.9395200000000017</v>
      </c>
    </row>
    <row r="4683" spans="65:67" x14ac:dyDescent="0.25">
      <c r="BM4683" s="281">
        <f>$AZ$47+0.8*(seat_pitch)*($AY$47*n_SA+$AW$14&lt;pax_e)</f>
        <v>26.588000000000001</v>
      </c>
      <c r="BN4683" s="281">
        <f>$AX$14+seat_w*($AY$47*n_SA+$AW$14&lt;pax_e)</f>
        <v>1.8400000000000003</v>
      </c>
      <c r="BO4683" s="281">
        <f t="shared" si="207"/>
        <v>8.7775200000000027</v>
      </c>
    </row>
    <row r="4684" spans="65:67" x14ac:dyDescent="0.25">
      <c r="BM4684" s="281">
        <f>$AZ$47+0.8*(seat_pitch)*($AY$47*n_SA+$AW$14&lt;pax_e)</f>
        <v>26.588000000000001</v>
      </c>
      <c r="BN4684" s="281">
        <f>$AX$14</f>
        <v>1.3100000000000003</v>
      </c>
      <c r="BO4684" s="281">
        <f t="shared" si="207"/>
        <v>8.7775200000000027</v>
      </c>
    </row>
    <row r="4685" spans="65:67" x14ac:dyDescent="0.25">
      <c r="BM4685" s="281">
        <f>$AZ$47+0.2*(seat_pitch)*($AY$47*n_SA+$AW$14&lt;pax_e)</f>
        <v>26.102</v>
      </c>
      <c r="BN4685" s="281">
        <f>$AX$14</f>
        <v>1.3100000000000003</v>
      </c>
      <c r="BO4685" s="281">
        <f t="shared" si="207"/>
        <v>8.291520000000002</v>
      </c>
    </row>
    <row r="4686" spans="65:67" x14ac:dyDescent="0.25">
      <c r="BM4686" s="281">
        <f>$AZ$47+(seat_pitch)</f>
        <v>26.75</v>
      </c>
      <c r="BN4686" s="281">
        <f>$AX$14</f>
        <v>1.3100000000000003</v>
      </c>
      <c r="BO4686" s="281">
        <f t="shared" si="207"/>
        <v>8.9395200000000017</v>
      </c>
    </row>
    <row r="4687" spans="65:67" x14ac:dyDescent="0.25">
      <c r="BM4687" s="281">
        <f>$AZ$48+0.2*(seat_pitch)*($AY$48*n_SA+$AW$14&lt;pax_e)</f>
        <v>26.102</v>
      </c>
      <c r="BN4687" s="281">
        <f>$AX$14</f>
        <v>1.3100000000000003</v>
      </c>
      <c r="BO4687" s="281">
        <f t="shared" si="207"/>
        <v>8.291520000000002</v>
      </c>
    </row>
    <row r="4688" spans="65:67" x14ac:dyDescent="0.25">
      <c r="BM4688" s="281">
        <f>$AZ$48+0.2*(seat_pitch)*($AY$48*n_SA+$AW$14&lt;pax_e)</f>
        <v>26.102</v>
      </c>
      <c r="BN4688" s="281">
        <f>$AX$14+seat_w*($AY$48*n_SA+$AW$14&lt;pax_e)</f>
        <v>1.8400000000000003</v>
      </c>
      <c r="BO4688" s="281">
        <f t="shared" si="207"/>
        <v>8.291520000000002</v>
      </c>
    </row>
    <row r="4689" spans="65:67" x14ac:dyDescent="0.25">
      <c r="BM4689" s="281">
        <f>$AZ$48</f>
        <v>25.94</v>
      </c>
      <c r="BN4689" s="281">
        <f>$AX$14+seat_w*($AY$48*n_SA+$AW$14&lt;pax_e)</f>
        <v>1.8400000000000003</v>
      </c>
      <c r="BO4689" s="281">
        <f t="shared" si="207"/>
        <v>8.129520000000003</v>
      </c>
    </row>
    <row r="4690" spans="65:67" x14ac:dyDescent="0.25">
      <c r="BM4690" s="281">
        <f>$AZ$48+1*(seat_pitch)*($AY$48*n_SA+$AW$14&lt;pax_e)</f>
        <v>26.75</v>
      </c>
      <c r="BN4690" s="281">
        <f>$AX$14+seat_w*($AY$48*n_SA+$AW$14&lt;pax_e)</f>
        <v>1.8400000000000003</v>
      </c>
      <c r="BO4690" s="281">
        <f t="shared" si="207"/>
        <v>8.9395200000000017</v>
      </c>
    </row>
    <row r="4691" spans="65:67" x14ac:dyDescent="0.25">
      <c r="BM4691" s="281">
        <f>$AZ$48+0.8*(seat_pitch)*($AY$48*n_SA+$AW$14&lt;pax_e)</f>
        <v>26.588000000000001</v>
      </c>
      <c r="BN4691" s="281">
        <f>$AX$14+seat_w*($AY$48*n_SA+$AW$14&lt;pax_e)</f>
        <v>1.8400000000000003</v>
      </c>
      <c r="BO4691" s="281">
        <f t="shared" si="207"/>
        <v>8.7775200000000027</v>
      </c>
    </row>
    <row r="4692" spans="65:67" x14ac:dyDescent="0.25">
      <c r="BM4692" s="281">
        <f>$AZ$48+0.8*(seat_pitch)*($AY$48*n_SA+$AW$14&lt;pax_e)</f>
        <v>26.588000000000001</v>
      </c>
      <c r="BN4692" s="281">
        <f>$AX$14</f>
        <v>1.3100000000000003</v>
      </c>
      <c r="BO4692" s="281">
        <f t="shared" si="207"/>
        <v>8.7775200000000027</v>
      </c>
    </row>
    <row r="4693" spans="65:67" x14ac:dyDescent="0.25">
      <c r="BM4693" s="281">
        <f>$AZ$48+0.2*(seat_pitch)*($AY$48*n_SA+$AW$14&lt;pax_e)</f>
        <v>26.102</v>
      </c>
      <c r="BN4693" s="281">
        <f>$AX$14</f>
        <v>1.3100000000000003</v>
      </c>
      <c r="BO4693" s="281">
        <f t="shared" si="207"/>
        <v>8.291520000000002</v>
      </c>
    </row>
    <row r="4694" spans="65:67" x14ac:dyDescent="0.25">
      <c r="BM4694" s="281">
        <f>$AZ$48+(seat_pitch)</f>
        <v>26.75</v>
      </c>
      <c r="BN4694" s="281">
        <f>$AX$14</f>
        <v>1.3100000000000003</v>
      </c>
      <c r="BO4694" s="281">
        <f t="shared" si="207"/>
        <v>8.9395200000000017</v>
      </c>
    </row>
    <row r="4695" spans="65:67" x14ac:dyDescent="0.25">
      <c r="BM4695" s="281">
        <f>$AZ$49+0.2*(seat_pitch)*($AY$49*n_SA+$AW$14&lt;pax_e)</f>
        <v>26.102</v>
      </c>
      <c r="BN4695" s="281">
        <f>$AX$14</f>
        <v>1.3100000000000003</v>
      </c>
      <c r="BO4695" s="281">
        <f t="shared" si="207"/>
        <v>8.291520000000002</v>
      </c>
    </row>
    <row r="4696" spans="65:67" x14ac:dyDescent="0.25">
      <c r="BM4696" s="281">
        <f>$AZ$49+0.2*(seat_pitch)*($AY$49*n_SA+$AW$14&lt;pax_e)</f>
        <v>26.102</v>
      </c>
      <c r="BN4696" s="281">
        <f>$AX$14+seat_w*($AY$49*n_SA+$AW$14&lt;pax_e)</f>
        <v>1.8400000000000003</v>
      </c>
      <c r="BO4696" s="281">
        <f t="shared" si="207"/>
        <v>8.291520000000002</v>
      </c>
    </row>
    <row r="4697" spans="65:67" x14ac:dyDescent="0.25">
      <c r="BM4697" s="281">
        <f>$AZ$49</f>
        <v>25.94</v>
      </c>
      <c r="BN4697" s="281">
        <f>$AX$14+seat_w*($AY$49*n_SA+$AW$14&lt;pax_e)</f>
        <v>1.8400000000000003</v>
      </c>
      <c r="BO4697" s="281">
        <f t="shared" si="207"/>
        <v>8.129520000000003</v>
      </c>
    </row>
    <row r="4698" spans="65:67" x14ac:dyDescent="0.25">
      <c r="BM4698" s="281">
        <f>$AZ$49+1*(seat_pitch)*($AY$49*n_SA+$AW$14&lt;pax_e)</f>
        <v>26.75</v>
      </c>
      <c r="BN4698" s="281">
        <f>$AX$14+seat_w*($AY$49*n_SA+$AW$14&lt;pax_e)</f>
        <v>1.8400000000000003</v>
      </c>
      <c r="BO4698" s="281">
        <f t="shared" si="207"/>
        <v>8.9395200000000017</v>
      </c>
    </row>
    <row r="4699" spans="65:67" x14ac:dyDescent="0.25">
      <c r="BM4699" s="281">
        <f>$AZ$49+0.8*(seat_pitch)*($AY$49*n_SA+$AW$14&lt;pax_e)</f>
        <v>26.588000000000001</v>
      </c>
      <c r="BN4699" s="281">
        <f>$AX$14+seat_w*($AY$49*n_SA+$AW$14&lt;pax_e)</f>
        <v>1.8400000000000003</v>
      </c>
      <c r="BO4699" s="281">
        <f t="shared" si="207"/>
        <v>8.7775200000000027</v>
      </c>
    </row>
    <row r="4700" spans="65:67" x14ac:dyDescent="0.25">
      <c r="BM4700" s="281">
        <f>$AZ$49+0.8*(seat_pitch)*($AY$49*n_SA+$AW$14&lt;pax_e)</f>
        <v>26.588000000000001</v>
      </c>
      <c r="BN4700" s="281">
        <f>$AX$14</f>
        <v>1.3100000000000003</v>
      </c>
      <c r="BO4700" s="281">
        <f t="shared" si="207"/>
        <v>8.7775200000000027</v>
      </c>
    </row>
    <row r="4701" spans="65:67" x14ac:dyDescent="0.25">
      <c r="BM4701" s="281">
        <f>$AZ$49+0.2*(seat_pitch)*($AY$49*n_SA+$AW$14&lt;pax_e)</f>
        <v>26.102</v>
      </c>
      <c r="BN4701" s="281">
        <f>$AX$14</f>
        <v>1.3100000000000003</v>
      </c>
      <c r="BO4701" s="281">
        <f t="shared" si="207"/>
        <v>8.291520000000002</v>
      </c>
    </row>
    <row r="4702" spans="65:67" x14ac:dyDescent="0.25">
      <c r="BM4702" s="281">
        <f>$AZ$49+(seat_pitch)</f>
        <v>26.75</v>
      </c>
      <c r="BN4702" s="281">
        <f>$AX$14</f>
        <v>1.3100000000000003</v>
      </c>
      <c r="BO4702" s="281">
        <f t="shared" si="207"/>
        <v>8.9395200000000017</v>
      </c>
    </row>
    <row r="4703" spans="65:67" x14ac:dyDescent="0.25">
      <c r="BM4703" s="281">
        <f>$AZ$50+0.2*(seat_pitch)*($AY$50*n_SA+$AW$14&lt;pax_e)</f>
        <v>26.102</v>
      </c>
      <c r="BN4703" s="281">
        <f>$AX$14</f>
        <v>1.3100000000000003</v>
      </c>
      <c r="BO4703" s="281">
        <f t="shared" si="207"/>
        <v>8.291520000000002</v>
      </c>
    </row>
    <row r="4704" spans="65:67" x14ac:dyDescent="0.25">
      <c r="BM4704" s="281">
        <f>$AZ$50+0.2*(seat_pitch)*($AY$50*n_SA+$AW$14&lt;pax_e)</f>
        <v>26.102</v>
      </c>
      <c r="BN4704" s="281">
        <f>$AX$14+seat_w*($AY$50*n_SA+$AW$14&lt;pax_e)</f>
        <v>1.8400000000000003</v>
      </c>
      <c r="BO4704" s="281">
        <f t="shared" si="207"/>
        <v>8.291520000000002</v>
      </c>
    </row>
    <row r="4705" spans="65:67" x14ac:dyDescent="0.25">
      <c r="BM4705" s="281">
        <f>$AZ$50</f>
        <v>25.94</v>
      </c>
      <c r="BN4705" s="281">
        <f>$AX$14+seat_w*($AY$50*n_SA+$AW$14&lt;pax_e)</f>
        <v>1.8400000000000003</v>
      </c>
      <c r="BO4705" s="281">
        <f t="shared" si="207"/>
        <v>8.129520000000003</v>
      </c>
    </row>
    <row r="4706" spans="65:67" x14ac:dyDescent="0.25">
      <c r="BM4706" s="281">
        <f>$AZ$50+1*(seat_pitch)*($AY$50*n_SA+$AW$14&lt;pax_e)</f>
        <v>26.75</v>
      </c>
      <c r="BN4706" s="281">
        <f>$AX$14+seat_w*($AY$50*n_SA+$AW$14&lt;pax_e)</f>
        <v>1.8400000000000003</v>
      </c>
      <c r="BO4706" s="281">
        <f t="shared" si="207"/>
        <v>8.9395200000000017</v>
      </c>
    </row>
    <row r="4707" spans="65:67" x14ac:dyDescent="0.25">
      <c r="BM4707" s="281">
        <f>$AZ$50+0.8*(seat_pitch)*($AY$50*n_SA+$AW$14&lt;pax_e)</f>
        <v>26.588000000000001</v>
      </c>
      <c r="BN4707" s="281">
        <f>$AX$14+seat_w*($AY$50*n_SA+$AW$14&lt;pax_e)</f>
        <v>1.8400000000000003</v>
      </c>
      <c r="BO4707" s="281">
        <f t="shared" si="207"/>
        <v>8.7775200000000027</v>
      </c>
    </row>
    <row r="4708" spans="65:67" x14ac:dyDescent="0.25">
      <c r="BM4708" s="281">
        <f>$AZ$50+0.8*(seat_pitch)*($AY$50*n_SA+$AW$14&lt;pax_e)</f>
        <v>26.588000000000001</v>
      </c>
      <c r="BN4708" s="281">
        <f>$AX$14</f>
        <v>1.3100000000000003</v>
      </c>
      <c r="BO4708" s="281">
        <f t="shared" si="207"/>
        <v>8.7775200000000027</v>
      </c>
    </row>
    <row r="4709" spans="65:67" x14ac:dyDescent="0.25">
      <c r="BM4709" s="281">
        <f>$AZ$50+0.2*(seat_pitch)*($AY$50*n_SA+$AW$14&lt;pax_e)</f>
        <v>26.102</v>
      </c>
      <c r="BN4709" s="281">
        <f>$AX$14</f>
        <v>1.3100000000000003</v>
      </c>
      <c r="BO4709" s="281">
        <f t="shared" si="207"/>
        <v>8.291520000000002</v>
      </c>
    </row>
    <row r="4710" spans="65:67" x14ac:dyDescent="0.25">
      <c r="BM4710" s="281">
        <f>$AZ$50+(seat_pitch)</f>
        <v>26.75</v>
      </c>
      <c r="BN4710" s="281">
        <f>$AX$14</f>
        <v>1.3100000000000003</v>
      </c>
      <c r="BO4710" s="281">
        <f t="shared" si="207"/>
        <v>8.9395200000000017</v>
      </c>
    </row>
    <row r="4711" spans="65:67" x14ac:dyDescent="0.25">
      <c r="BM4711" s="281">
        <f>$AZ$51+0.2*(seat_pitch)*($AY$51*n_SA+$AW$14&lt;pax_e)</f>
        <v>26.102</v>
      </c>
      <c r="BN4711" s="281">
        <f>$AX$14</f>
        <v>1.3100000000000003</v>
      </c>
      <c r="BO4711" s="281">
        <f t="shared" si="207"/>
        <v>8.291520000000002</v>
      </c>
    </row>
    <row r="4712" spans="65:67" x14ac:dyDescent="0.25">
      <c r="BM4712" s="281">
        <f>$AZ$51+0.2*(seat_pitch)*($AY$51*n_SA+$AW$14&lt;pax_e)</f>
        <v>26.102</v>
      </c>
      <c r="BN4712" s="281">
        <f>$AX$14+seat_w*($AY$51*n_SA+$AW$14&lt;pax_e)</f>
        <v>1.8400000000000003</v>
      </c>
      <c r="BO4712" s="281">
        <f t="shared" si="207"/>
        <v>8.291520000000002</v>
      </c>
    </row>
    <row r="4713" spans="65:67" x14ac:dyDescent="0.25">
      <c r="BM4713" s="281">
        <f>$AZ$51</f>
        <v>25.94</v>
      </c>
      <c r="BN4713" s="281">
        <f>$AX$14+seat_w*($AY$51*n_SA+$AW$14&lt;pax_e)</f>
        <v>1.8400000000000003</v>
      </c>
      <c r="BO4713" s="281">
        <f t="shared" si="207"/>
        <v>8.129520000000003</v>
      </c>
    </row>
    <row r="4714" spans="65:67" x14ac:dyDescent="0.25">
      <c r="BM4714" s="281">
        <f>$AZ$51+1*(seat_pitch)*($AY$51*n_SA+$AW$14&lt;pax_e)</f>
        <v>26.75</v>
      </c>
      <c r="BN4714" s="281">
        <f>$AX$14+seat_w*($AY$51*n_SA+$AW$14&lt;pax_e)</f>
        <v>1.8400000000000003</v>
      </c>
      <c r="BO4714" s="281">
        <f t="shared" si="207"/>
        <v>8.9395200000000017</v>
      </c>
    </row>
    <row r="4715" spans="65:67" x14ac:dyDescent="0.25">
      <c r="BM4715" s="281">
        <f>$AZ$51+0.8*(seat_pitch)*($AY$51*n_SA+$AW$14&lt;pax_e)</f>
        <v>26.588000000000001</v>
      </c>
      <c r="BN4715" s="281">
        <f>$AX$14+seat_w*($AY$51*n_SA+$AW$14&lt;pax_e)</f>
        <v>1.8400000000000003</v>
      </c>
      <c r="BO4715" s="281">
        <f t="shared" si="207"/>
        <v>8.7775200000000027</v>
      </c>
    </row>
    <row r="4716" spans="65:67" x14ac:dyDescent="0.25">
      <c r="BM4716" s="281">
        <f>$AZ$51+0.8*(seat_pitch)*($AY$51*n_SA+$AW$14&lt;pax_e)</f>
        <v>26.588000000000001</v>
      </c>
      <c r="BN4716" s="281">
        <f>$AX$14</f>
        <v>1.3100000000000003</v>
      </c>
      <c r="BO4716" s="281">
        <f t="shared" si="207"/>
        <v>8.7775200000000027</v>
      </c>
    </row>
    <row r="4717" spans="65:67" x14ac:dyDescent="0.25">
      <c r="BM4717" s="281">
        <f>$AZ$51+0.2*(seat_pitch)*($AY$51*n_SA+$AW$14&lt;pax_e)</f>
        <v>26.102</v>
      </c>
      <c r="BN4717" s="281">
        <f>$AX$14</f>
        <v>1.3100000000000003</v>
      </c>
      <c r="BO4717" s="281">
        <f t="shared" si="207"/>
        <v>8.291520000000002</v>
      </c>
    </row>
    <row r="4718" spans="65:67" x14ac:dyDescent="0.25">
      <c r="BM4718" s="281">
        <f>$AZ$51+(seat_pitch)</f>
        <v>26.75</v>
      </c>
      <c r="BN4718" s="281">
        <f>$AX$14</f>
        <v>1.3100000000000003</v>
      </c>
      <c r="BO4718" s="281">
        <f t="shared" si="207"/>
        <v>8.9395200000000017</v>
      </c>
    </row>
    <row r="4719" spans="65:67" x14ac:dyDescent="0.25">
      <c r="BM4719" s="281">
        <f>$AZ$52+0.2*(seat_pitch)*($AY$52*n_SA+$AW$14&lt;pax_e)</f>
        <v>26.102</v>
      </c>
      <c r="BN4719" s="281">
        <f>$AX$14</f>
        <v>1.3100000000000003</v>
      </c>
      <c r="BO4719" s="281">
        <f t="shared" si="207"/>
        <v>8.291520000000002</v>
      </c>
    </row>
    <row r="4720" spans="65:67" x14ac:dyDescent="0.25">
      <c r="BM4720" s="281">
        <f>$AZ$52+0.2*(seat_pitch)*($AY$52*n_SA+$AW$14&lt;pax_e)</f>
        <v>26.102</v>
      </c>
      <c r="BN4720" s="281">
        <f>$AX$14+seat_w*($AY$52*n_SA+$AW$14&lt;pax_e)</f>
        <v>1.8400000000000003</v>
      </c>
      <c r="BO4720" s="281">
        <f t="shared" si="207"/>
        <v>8.291520000000002</v>
      </c>
    </row>
    <row r="4721" spans="65:67" x14ac:dyDescent="0.25">
      <c r="BM4721" s="281">
        <f>$AZ$52</f>
        <v>25.94</v>
      </c>
      <c r="BN4721" s="281">
        <f>$AX$14+seat_w*($AY$52*n_SA+$AW$14&lt;pax_e)</f>
        <v>1.8400000000000003</v>
      </c>
      <c r="BO4721" s="281">
        <f t="shared" si="207"/>
        <v>8.129520000000003</v>
      </c>
    </row>
    <row r="4722" spans="65:67" x14ac:dyDescent="0.25">
      <c r="BM4722" s="281">
        <f>$AZ$52+1*(seat_pitch)*($AY$52*n_SA+$AW$14&lt;pax_e)</f>
        <v>26.75</v>
      </c>
      <c r="BN4722" s="281">
        <f>$AX$14+seat_w*($AY$52*n_SA+$AW$14&lt;pax_e)</f>
        <v>1.8400000000000003</v>
      </c>
      <c r="BO4722" s="281">
        <f t="shared" si="207"/>
        <v>8.9395200000000017</v>
      </c>
    </row>
    <row r="4723" spans="65:67" x14ac:dyDescent="0.25">
      <c r="BM4723" s="281">
        <f>$AZ$52+0.8*(seat_pitch)*($AY$52*n_SA+$AW$14&lt;pax_e)</f>
        <v>26.588000000000001</v>
      </c>
      <c r="BN4723" s="281">
        <f>$AX$14+seat_w*($AY$52*n_SA+$AW$14&lt;pax_e)</f>
        <v>1.8400000000000003</v>
      </c>
      <c r="BO4723" s="281">
        <f t="shared" si="207"/>
        <v>8.7775200000000027</v>
      </c>
    </row>
    <row r="4724" spans="65:67" x14ac:dyDescent="0.25">
      <c r="BM4724" s="281">
        <f>$AZ$52+0.8*(seat_pitch)*($AY$52*n_SA+$AW$14&lt;pax_e)</f>
        <v>26.588000000000001</v>
      </c>
      <c r="BN4724" s="281">
        <f>$AX$14</f>
        <v>1.3100000000000003</v>
      </c>
      <c r="BO4724" s="281">
        <f t="shared" si="207"/>
        <v>8.7775200000000027</v>
      </c>
    </row>
    <row r="4725" spans="65:67" x14ac:dyDescent="0.25">
      <c r="BM4725" s="281">
        <f>$AZ$52+0.2*(seat_pitch)*($AY$52*n_SA+$AW$14&lt;pax_e)</f>
        <v>26.102</v>
      </c>
      <c r="BN4725" s="281">
        <f>$AX$14</f>
        <v>1.3100000000000003</v>
      </c>
      <c r="BO4725" s="281">
        <f t="shared" si="207"/>
        <v>8.291520000000002</v>
      </c>
    </row>
    <row r="4726" spans="65:67" x14ac:dyDescent="0.25">
      <c r="BM4726" s="281">
        <f>$AZ$52+(seat_pitch)</f>
        <v>26.75</v>
      </c>
      <c r="BN4726" s="281">
        <f>$AX$14</f>
        <v>1.3100000000000003</v>
      </c>
      <c r="BO4726" s="281">
        <f t="shared" si="207"/>
        <v>8.9395200000000017</v>
      </c>
    </row>
    <row r="4727" spans="65:67" x14ac:dyDescent="0.25">
      <c r="BM4727" s="281">
        <f>$AZ$53+0.2*(seat_pitch)*($AY$53*n_SA+$AW$14&lt;pax_e)</f>
        <v>26.102</v>
      </c>
      <c r="BN4727" s="281">
        <f>$AX$14</f>
        <v>1.3100000000000003</v>
      </c>
      <c r="BO4727" s="281">
        <f t="shared" si="207"/>
        <v>8.291520000000002</v>
      </c>
    </row>
    <row r="4728" spans="65:67" x14ac:dyDescent="0.25">
      <c r="BM4728" s="281">
        <f>$AZ$53+0.2*(seat_pitch)*($AY$53*n_SA+$AW$14&lt;pax_e)</f>
        <v>26.102</v>
      </c>
      <c r="BN4728" s="281">
        <f>$AX$14+seat_w*($AY$53*n_SA+$AW$14&lt;pax_e)</f>
        <v>1.8400000000000003</v>
      </c>
      <c r="BO4728" s="281">
        <f t="shared" si="207"/>
        <v>8.291520000000002</v>
      </c>
    </row>
    <row r="4729" spans="65:67" x14ac:dyDescent="0.25">
      <c r="BM4729" s="281">
        <f>$AZ$53</f>
        <v>25.94</v>
      </c>
      <c r="BN4729" s="281">
        <f>$AX$14+seat_w*($AY$53*n_SA+$AW$14&lt;pax_e)</f>
        <v>1.8400000000000003</v>
      </c>
      <c r="BO4729" s="281">
        <f t="shared" si="207"/>
        <v>8.129520000000003</v>
      </c>
    </row>
    <row r="4730" spans="65:67" x14ac:dyDescent="0.25">
      <c r="BM4730" s="281">
        <f>$AZ$53+1*(seat_pitch)*($AY$53*n_SA+$AW$14&lt;pax_e)</f>
        <v>26.75</v>
      </c>
      <c r="BN4730" s="281">
        <f>$AX$14+seat_w*($AY$53*n_SA+$AW$14&lt;pax_e)</f>
        <v>1.8400000000000003</v>
      </c>
      <c r="BO4730" s="281">
        <f t="shared" si="207"/>
        <v>8.9395200000000017</v>
      </c>
    </row>
    <row r="4731" spans="65:67" x14ac:dyDescent="0.25">
      <c r="BM4731" s="281">
        <f>$AZ$53+0.8*(seat_pitch)*($AY$53*n_SA+$AW$14&lt;pax_e)</f>
        <v>26.588000000000001</v>
      </c>
      <c r="BN4731" s="281">
        <f>$AX$14+seat_w*($AY$53*n_SA+$AW$14&lt;pax_e)</f>
        <v>1.8400000000000003</v>
      </c>
      <c r="BO4731" s="281">
        <f t="shared" si="207"/>
        <v>8.7775200000000027</v>
      </c>
    </row>
    <row r="4732" spans="65:67" x14ac:dyDescent="0.25">
      <c r="BM4732" s="281">
        <f>$AZ$53+0.8*(seat_pitch)*($AY$53*n_SA+$AW$14&lt;pax_e)</f>
        <v>26.588000000000001</v>
      </c>
      <c r="BN4732" s="281">
        <f>$AX$14</f>
        <v>1.3100000000000003</v>
      </c>
      <c r="BO4732" s="281">
        <f t="shared" si="207"/>
        <v>8.7775200000000027</v>
      </c>
    </row>
    <row r="4733" spans="65:67" x14ac:dyDescent="0.25">
      <c r="BM4733" s="281">
        <f>$AZ$53+0.2*(seat_pitch)*($AY$53*n_SA+$AW$14&lt;pax_e)</f>
        <v>26.102</v>
      </c>
      <c r="BN4733" s="281">
        <f>$AX$14</f>
        <v>1.3100000000000003</v>
      </c>
      <c r="BO4733" s="281">
        <f t="shared" si="207"/>
        <v>8.291520000000002</v>
      </c>
    </row>
    <row r="4734" spans="65:67" x14ac:dyDescent="0.25">
      <c r="BM4734" s="281">
        <f>$AZ$53+(seat_pitch)</f>
        <v>26.75</v>
      </c>
      <c r="BN4734" s="281">
        <f>$AX$14</f>
        <v>1.3100000000000003</v>
      </c>
      <c r="BO4734" s="281">
        <f t="shared" si="207"/>
        <v>8.9395200000000017</v>
      </c>
    </row>
    <row r="4735" spans="65:67" x14ac:dyDescent="0.25">
      <c r="BM4735" s="281">
        <f>$AZ$54+0.2*(seat_pitch)*($AY$54*n_SA+$AW$14&lt;pax_e)</f>
        <v>26.102</v>
      </c>
      <c r="BN4735" s="281">
        <f>$AX$14</f>
        <v>1.3100000000000003</v>
      </c>
      <c r="BO4735" s="281">
        <f t="shared" si="207"/>
        <v>8.291520000000002</v>
      </c>
    </row>
    <row r="4736" spans="65:67" x14ac:dyDescent="0.25">
      <c r="BM4736" s="281">
        <f>$AZ$54+0.2*(seat_pitch)*($AY$54*n_SA+$AW$14&lt;pax_e)</f>
        <v>26.102</v>
      </c>
      <c r="BN4736" s="281">
        <f>$AX$14+seat_w*($AY$54*n_SA+$AW$14&lt;pax_e)</f>
        <v>1.8400000000000003</v>
      </c>
      <c r="BO4736" s="281">
        <f t="shared" si="207"/>
        <v>8.291520000000002</v>
      </c>
    </row>
    <row r="4737" spans="65:67" x14ac:dyDescent="0.25">
      <c r="BM4737" s="281">
        <f>$AZ$54</f>
        <v>25.94</v>
      </c>
      <c r="BN4737" s="281">
        <f>$AX$14+seat_w*($AY$54*n_SA+$AW$14&lt;pax_e)</f>
        <v>1.8400000000000003</v>
      </c>
      <c r="BO4737" s="281">
        <f t="shared" si="207"/>
        <v>8.129520000000003</v>
      </c>
    </row>
    <row r="4738" spans="65:67" x14ac:dyDescent="0.25">
      <c r="BM4738" s="281">
        <f>$AZ$54+1*(seat_pitch)*($AY$54*n_SA+$AW$14&lt;pax_e)</f>
        <v>26.75</v>
      </c>
      <c r="BN4738" s="281">
        <f>$AX$14+seat_w*($AY$54*n_SA+$AW$14&lt;pax_e)</f>
        <v>1.8400000000000003</v>
      </c>
      <c r="BO4738" s="281">
        <f t="shared" si="207"/>
        <v>8.9395200000000017</v>
      </c>
    </row>
    <row r="4739" spans="65:67" x14ac:dyDescent="0.25">
      <c r="BM4739" s="281">
        <f>$AZ$54+0.8*(seat_pitch)*($AY$54*n_SA+$AW$14&lt;pax_e)</f>
        <v>26.588000000000001</v>
      </c>
      <c r="BN4739" s="281">
        <f>$AX$14+seat_w*($AY$54*n_SA+$AW$14&lt;pax_e)</f>
        <v>1.8400000000000003</v>
      </c>
      <c r="BO4739" s="281">
        <f t="shared" si="207"/>
        <v>8.7775200000000027</v>
      </c>
    </row>
    <row r="4740" spans="65:67" x14ac:dyDescent="0.25">
      <c r="BM4740" s="281">
        <f>$AZ$54+0.8*(seat_pitch)*($AY$54*n_SA+$AW$14&lt;pax_e)</f>
        <v>26.588000000000001</v>
      </c>
      <c r="BN4740" s="281">
        <f>$AX$14</f>
        <v>1.3100000000000003</v>
      </c>
      <c r="BO4740" s="281">
        <f t="shared" si="207"/>
        <v>8.7775200000000027</v>
      </c>
    </row>
    <row r="4741" spans="65:67" x14ac:dyDescent="0.25">
      <c r="BM4741" s="281">
        <f>$AZ$54+0.2*(seat_pitch)*($AY$54*n_SA+$AW$14&lt;pax_e)</f>
        <v>26.102</v>
      </c>
      <c r="BN4741" s="281">
        <f>$AX$14</f>
        <v>1.3100000000000003</v>
      </c>
      <c r="BO4741" s="281">
        <f t="shared" ref="BO4741:BO4804" si="208">BM4741-L_fus/2</f>
        <v>8.291520000000002</v>
      </c>
    </row>
    <row r="4742" spans="65:67" x14ac:dyDescent="0.25">
      <c r="BM4742" s="281">
        <f>$AZ$54+(seat_pitch)</f>
        <v>26.75</v>
      </c>
      <c r="BN4742" s="281">
        <f>$AX$14</f>
        <v>1.3100000000000003</v>
      </c>
      <c r="BO4742" s="281">
        <f t="shared" si="208"/>
        <v>8.9395200000000017</v>
      </c>
    </row>
    <row r="4743" spans="65:67" x14ac:dyDescent="0.25">
      <c r="BM4743" s="281">
        <f>$AZ$55+0.2*(seat_pitch)*($AY$55*n_SA+$AW$14&lt;pax_e)</f>
        <v>26.102</v>
      </c>
      <c r="BN4743" s="281">
        <f>$AX$14</f>
        <v>1.3100000000000003</v>
      </c>
      <c r="BO4743" s="281">
        <f t="shared" si="208"/>
        <v>8.291520000000002</v>
      </c>
    </row>
    <row r="4744" spans="65:67" x14ac:dyDescent="0.25">
      <c r="BM4744" s="281">
        <f>$AZ$55+0.2*(seat_pitch)*($AY$55*n_SA+$AW$14&lt;pax_e)</f>
        <v>26.102</v>
      </c>
      <c r="BN4744" s="281">
        <f>$AX$14+seat_w*($AY$55*n_SA+$AW$14&lt;pax_e)</f>
        <v>1.8400000000000003</v>
      </c>
      <c r="BO4744" s="281">
        <f t="shared" si="208"/>
        <v>8.291520000000002</v>
      </c>
    </row>
    <row r="4745" spans="65:67" x14ac:dyDescent="0.25">
      <c r="BM4745" s="281">
        <f>$AZ$55</f>
        <v>25.94</v>
      </c>
      <c r="BN4745" s="281">
        <f>$AX$14+seat_w*($AY$55*n_SA+$AW$14&lt;pax_e)</f>
        <v>1.8400000000000003</v>
      </c>
      <c r="BO4745" s="281">
        <f t="shared" si="208"/>
        <v>8.129520000000003</v>
      </c>
    </row>
    <row r="4746" spans="65:67" x14ac:dyDescent="0.25">
      <c r="BM4746" s="281">
        <f>$AZ$55+1*(seat_pitch)*($AY$55*n_SA+$AW$14&lt;pax_e)</f>
        <v>26.75</v>
      </c>
      <c r="BN4746" s="281">
        <f>$AX$14+seat_w*($AY$55*n_SA+$AW$14&lt;pax_e)</f>
        <v>1.8400000000000003</v>
      </c>
      <c r="BO4746" s="281">
        <f t="shared" si="208"/>
        <v>8.9395200000000017</v>
      </c>
    </row>
    <row r="4747" spans="65:67" x14ac:dyDescent="0.25">
      <c r="BM4747" s="281">
        <f>$AZ$55+0.8*(seat_pitch)*($AY$55*n_SA+$AW$14&lt;pax_e)</f>
        <v>26.588000000000001</v>
      </c>
      <c r="BN4747" s="281">
        <f>$AX$14+seat_w*($AY$55*n_SA+$AW$14&lt;pax_e)</f>
        <v>1.8400000000000003</v>
      </c>
      <c r="BO4747" s="281">
        <f t="shared" si="208"/>
        <v>8.7775200000000027</v>
      </c>
    </row>
    <row r="4748" spans="65:67" x14ac:dyDescent="0.25">
      <c r="BM4748" s="281">
        <f>$AZ$55+0.8*(seat_pitch)*($AY$55*n_SA+$AW$14&lt;pax_e)</f>
        <v>26.588000000000001</v>
      </c>
      <c r="BN4748" s="281">
        <f>$AX$14</f>
        <v>1.3100000000000003</v>
      </c>
      <c r="BO4748" s="281">
        <f t="shared" si="208"/>
        <v>8.7775200000000027</v>
      </c>
    </row>
    <row r="4749" spans="65:67" x14ac:dyDescent="0.25">
      <c r="BM4749" s="281">
        <f>$AZ$55+0.2*(seat_pitch)*($AY$55*n_SA+$AW$14&lt;pax_e)</f>
        <v>26.102</v>
      </c>
      <c r="BN4749" s="281">
        <f>$AX$14</f>
        <v>1.3100000000000003</v>
      </c>
      <c r="BO4749" s="281">
        <f t="shared" si="208"/>
        <v>8.291520000000002</v>
      </c>
    </row>
    <row r="4750" spans="65:67" x14ac:dyDescent="0.25">
      <c r="BM4750" s="281">
        <f>$AZ$55+(seat_pitch)</f>
        <v>26.75</v>
      </c>
      <c r="BN4750" s="281">
        <f>$AX$14</f>
        <v>1.3100000000000003</v>
      </c>
      <c r="BO4750" s="281">
        <f t="shared" si="208"/>
        <v>8.9395200000000017</v>
      </c>
    </row>
    <row r="4751" spans="65:67" x14ac:dyDescent="0.25">
      <c r="BM4751" s="281">
        <f>$AZ$56+0.2*(seat_pitch)*($AY$56*n_SA+$AW$14&lt;pax_e)</f>
        <v>26.102</v>
      </c>
      <c r="BN4751" s="281">
        <f>$AX$14</f>
        <v>1.3100000000000003</v>
      </c>
      <c r="BO4751" s="281">
        <f t="shared" si="208"/>
        <v>8.291520000000002</v>
      </c>
    </row>
    <row r="4752" spans="65:67" x14ac:dyDescent="0.25">
      <c r="BM4752" s="281">
        <f>$AZ$56+0.2*(seat_pitch)*($AY$56*n_SA+$AW$14&lt;pax_e)</f>
        <v>26.102</v>
      </c>
      <c r="BN4752" s="281">
        <f>$AX$14+seat_w*($AY$56*n_SA+$AW$14&lt;pax_e)</f>
        <v>1.8400000000000003</v>
      </c>
      <c r="BO4752" s="281">
        <f t="shared" si="208"/>
        <v>8.291520000000002</v>
      </c>
    </row>
    <row r="4753" spans="65:67" x14ac:dyDescent="0.25">
      <c r="BM4753" s="281">
        <f>$AZ$56</f>
        <v>25.94</v>
      </c>
      <c r="BN4753" s="281">
        <f>$AX$14+seat_w*($AY$56*n_SA+$AW$14&lt;pax_e)</f>
        <v>1.8400000000000003</v>
      </c>
      <c r="BO4753" s="281">
        <f t="shared" si="208"/>
        <v>8.129520000000003</v>
      </c>
    </row>
    <row r="4754" spans="65:67" x14ac:dyDescent="0.25">
      <c r="BM4754" s="281">
        <f>$AZ$56+1*(seat_pitch)*($AY$56*n_SA+$AW$14&lt;pax_e)</f>
        <v>26.75</v>
      </c>
      <c r="BN4754" s="281">
        <f>$AX$14+seat_w*($AY$56*n_SA+$AW$14&lt;pax_e)</f>
        <v>1.8400000000000003</v>
      </c>
      <c r="BO4754" s="281">
        <f t="shared" si="208"/>
        <v>8.9395200000000017</v>
      </c>
    </row>
    <row r="4755" spans="65:67" x14ac:dyDescent="0.25">
      <c r="BM4755" s="281">
        <f>$AZ$56+0.8*(seat_pitch)*($AY$56*n_SA+$AW$14&lt;pax_e)</f>
        <v>26.588000000000001</v>
      </c>
      <c r="BN4755" s="281">
        <f>$AX$14+seat_w*($AY$56*n_SA+$AW$14&lt;pax_e)</f>
        <v>1.8400000000000003</v>
      </c>
      <c r="BO4755" s="281">
        <f t="shared" si="208"/>
        <v>8.7775200000000027</v>
      </c>
    </row>
    <row r="4756" spans="65:67" x14ac:dyDescent="0.25">
      <c r="BM4756" s="281">
        <f>$AZ$56+0.8*(seat_pitch)*($AY$56*n_SA+$AW$14&lt;pax_e)</f>
        <v>26.588000000000001</v>
      </c>
      <c r="BN4756" s="281">
        <f>$AX$14</f>
        <v>1.3100000000000003</v>
      </c>
      <c r="BO4756" s="281">
        <f t="shared" si="208"/>
        <v>8.7775200000000027</v>
      </c>
    </row>
    <row r="4757" spans="65:67" x14ac:dyDescent="0.25">
      <c r="BM4757" s="281">
        <f>$AZ$56+0.2*(seat_pitch)*($AY$56*n_SA+$AW$14&lt;pax_e)</f>
        <v>26.102</v>
      </c>
      <c r="BN4757" s="281">
        <f>$AX$14</f>
        <v>1.3100000000000003</v>
      </c>
      <c r="BO4757" s="281">
        <f t="shared" si="208"/>
        <v>8.291520000000002</v>
      </c>
    </row>
    <row r="4758" spans="65:67" x14ac:dyDescent="0.25">
      <c r="BM4758" s="281">
        <f>$AZ$56+(seat_pitch)</f>
        <v>26.75</v>
      </c>
      <c r="BN4758" s="281">
        <f>$AX$14</f>
        <v>1.3100000000000003</v>
      </c>
      <c r="BO4758" s="281">
        <f t="shared" si="208"/>
        <v>8.9395200000000017</v>
      </c>
    </row>
    <row r="4759" spans="65:67" x14ac:dyDescent="0.25">
      <c r="BM4759" s="281">
        <f>$AZ$57+0.2*(seat_pitch)*($AY$57*n_SA+$AW$14&lt;pax_e)</f>
        <v>26.102</v>
      </c>
      <c r="BN4759" s="281">
        <f>$AX$14</f>
        <v>1.3100000000000003</v>
      </c>
      <c r="BO4759" s="281">
        <f t="shared" si="208"/>
        <v>8.291520000000002</v>
      </c>
    </row>
    <row r="4760" spans="65:67" x14ac:dyDescent="0.25">
      <c r="BM4760" s="281">
        <f>$AZ$57+0.2*(seat_pitch)*($AY$57*n_SA+$AW$14&lt;pax_e)</f>
        <v>26.102</v>
      </c>
      <c r="BN4760" s="281">
        <f>$AX$14+seat_w*($AY$57*n_SA+$AW$14&lt;pax_e)</f>
        <v>1.8400000000000003</v>
      </c>
      <c r="BO4760" s="281">
        <f t="shared" si="208"/>
        <v>8.291520000000002</v>
      </c>
    </row>
    <row r="4761" spans="65:67" x14ac:dyDescent="0.25">
      <c r="BM4761" s="281">
        <f>$AZ$57</f>
        <v>25.94</v>
      </c>
      <c r="BN4761" s="281">
        <f>$AX$14+seat_w*($AY$57*n_SA+$AW$14&lt;pax_e)</f>
        <v>1.8400000000000003</v>
      </c>
      <c r="BO4761" s="281">
        <f t="shared" si="208"/>
        <v>8.129520000000003</v>
      </c>
    </row>
    <row r="4762" spans="65:67" x14ac:dyDescent="0.25">
      <c r="BM4762" s="281">
        <f>$AZ$57+1*(seat_pitch)*($AY$57*n_SA+$AW$14&lt;pax_e)</f>
        <v>26.75</v>
      </c>
      <c r="BN4762" s="281">
        <f>$AX$14+seat_w*($AY$57*n_SA+$AW$14&lt;pax_e)</f>
        <v>1.8400000000000003</v>
      </c>
      <c r="BO4762" s="281">
        <f t="shared" si="208"/>
        <v>8.9395200000000017</v>
      </c>
    </row>
    <row r="4763" spans="65:67" x14ac:dyDescent="0.25">
      <c r="BM4763" s="281">
        <f>$AZ$57+0.8*(seat_pitch)*($AY$57*n_SA+$AW$14&lt;pax_e)</f>
        <v>26.588000000000001</v>
      </c>
      <c r="BN4763" s="281">
        <f>$AX$14+seat_w*($AY$57*n_SA+$AW$14&lt;pax_e)</f>
        <v>1.8400000000000003</v>
      </c>
      <c r="BO4763" s="281">
        <f t="shared" si="208"/>
        <v>8.7775200000000027</v>
      </c>
    </row>
    <row r="4764" spans="65:67" x14ac:dyDescent="0.25">
      <c r="BM4764" s="281">
        <f>$AZ$57+0.8*(seat_pitch)*($AY$57*n_SA+$AW$14&lt;pax_e)</f>
        <v>26.588000000000001</v>
      </c>
      <c r="BN4764" s="281">
        <f>$AX$14</f>
        <v>1.3100000000000003</v>
      </c>
      <c r="BO4764" s="281">
        <f t="shared" si="208"/>
        <v>8.7775200000000027</v>
      </c>
    </row>
    <row r="4765" spans="65:67" x14ac:dyDescent="0.25">
      <c r="BM4765" s="281">
        <f>$AZ$57+0.2*(seat_pitch)*($AY$57*n_SA+$AW$14&lt;pax_e)</f>
        <v>26.102</v>
      </c>
      <c r="BN4765" s="281">
        <f>$AX$14</f>
        <v>1.3100000000000003</v>
      </c>
      <c r="BO4765" s="281">
        <f t="shared" si="208"/>
        <v>8.291520000000002</v>
      </c>
    </row>
    <row r="4766" spans="65:67" x14ac:dyDescent="0.25">
      <c r="BM4766" s="281">
        <f>$AZ$57+(seat_pitch)</f>
        <v>26.75</v>
      </c>
      <c r="BN4766" s="281">
        <f>$AX$14</f>
        <v>1.3100000000000003</v>
      </c>
      <c r="BO4766" s="281">
        <f t="shared" si="208"/>
        <v>8.9395200000000017</v>
      </c>
    </row>
    <row r="4767" spans="65:67" x14ac:dyDescent="0.25">
      <c r="BM4767" s="281">
        <f>$AZ$58+0.2*(seat_pitch)*($AY$58*n_SA+$AW$14&lt;pax_e)</f>
        <v>26.102</v>
      </c>
      <c r="BN4767" s="281">
        <f>$AX$14</f>
        <v>1.3100000000000003</v>
      </c>
      <c r="BO4767" s="281">
        <f t="shared" si="208"/>
        <v>8.291520000000002</v>
      </c>
    </row>
    <row r="4768" spans="65:67" x14ac:dyDescent="0.25">
      <c r="BM4768" s="281">
        <f>$AZ$58+0.2*(seat_pitch)*($AY$58*n_SA+$AW$14&lt;pax_e)</f>
        <v>26.102</v>
      </c>
      <c r="BN4768" s="281">
        <f>$AX$14+seat_w*($AY$58*n_SA+$AW$14&lt;pax_e)</f>
        <v>1.8400000000000003</v>
      </c>
      <c r="BO4768" s="281">
        <f t="shared" si="208"/>
        <v>8.291520000000002</v>
      </c>
    </row>
    <row r="4769" spans="65:67" x14ac:dyDescent="0.25">
      <c r="BM4769" s="281">
        <f>$AZ$58</f>
        <v>25.94</v>
      </c>
      <c r="BN4769" s="281">
        <f>$AX$14+seat_w*($AY$58*n_SA+$AW$14&lt;pax_e)</f>
        <v>1.8400000000000003</v>
      </c>
      <c r="BO4769" s="281">
        <f t="shared" si="208"/>
        <v>8.129520000000003</v>
      </c>
    </row>
    <row r="4770" spans="65:67" x14ac:dyDescent="0.25">
      <c r="BM4770" s="281">
        <f>$AZ$58+1*(seat_pitch)*($AY$58*n_SA+$AW$14&lt;pax_e)</f>
        <v>26.75</v>
      </c>
      <c r="BN4770" s="281">
        <f>$AX$14+seat_w*($AY$58*n_SA+$AW$14&lt;pax_e)</f>
        <v>1.8400000000000003</v>
      </c>
      <c r="BO4770" s="281">
        <f t="shared" si="208"/>
        <v>8.9395200000000017</v>
      </c>
    </row>
    <row r="4771" spans="65:67" x14ac:dyDescent="0.25">
      <c r="BM4771" s="281">
        <f>$AZ$58+0.8*(seat_pitch)*($AY$58*n_SA+$AW$14&lt;pax_e)</f>
        <v>26.588000000000001</v>
      </c>
      <c r="BN4771" s="281">
        <f>$AX$14+seat_w*($AY$58*n_SA+$AW$14&lt;pax_e)</f>
        <v>1.8400000000000003</v>
      </c>
      <c r="BO4771" s="281">
        <f t="shared" si="208"/>
        <v>8.7775200000000027</v>
      </c>
    </row>
    <row r="4772" spans="65:67" x14ac:dyDescent="0.25">
      <c r="BM4772" s="281">
        <f>$AZ$58+0.8*(seat_pitch)*($AY$58*n_SA+$AW$14&lt;pax_e)</f>
        <v>26.588000000000001</v>
      </c>
      <c r="BN4772" s="281">
        <f>$AX$14</f>
        <v>1.3100000000000003</v>
      </c>
      <c r="BO4772" s="281">
        <f t="shared" si="208"/>
        <v>8.7775200000000027</v>
      </c>
    </row>
    <row r="4773" spans="65:67" x14ac:dyDescent="0.25">
      <c r="BM4773" s="281">
        <f>$AZ$58+0.2*(seat_pitch)*($AY$58*n_SA+$AW$14&lt;pax_e)</f>
        <v>26.102</v>
      </c>
      <c r="BN4773" s="281">
        <f>$AX$14</f>
        <v>1.3100000000000003</v>
      </c>
      <c r="BO4773" s="281">
        <f t="shared" si="208"/>
        <v>8.291520000000002</v>
      </c>
    </row>
    <row r="4774" spans="65:67" x14ac:dyDescent="0.25">
      <c r="BM4774" s="281">
        <f>$AZ$58+(seat_pitch)</f>
        <v>26.75</v>
      </c>
      <c r="BN4774" s="281">
        <f>$AX$14</f>
        <v>1.3100000000000003</v>
      </c>
      <c r="BO4774" s="281">
        <f t="shared" si="208"/>
        <v>8.9395200000000017</v>
      </c>
    </row>
    <row r="4775" spans="65:67" x14ac:dyDescent="0.25">
      <c r="BM4775" s="281">
        <f>$AZ$59+0.2*(seat_pitch)*($AY$59*n_SA+$AW$14&lt;pax_e)</f>
        <v>26.102</v>
      </c>
      <c r="BN4775" s="281">
        <f>$AX$14</f>
        <v>1.3100000000000003</v>
      </c>
      <c r="BO4775" s="281">
        <f t="shared" si="208"/>
        <v>8.291520000000002</v>
      </c>
    </row>
    <row r="4776" spans="65:67" x14ac:dyDescent="0.25">
      <c r="BM4776" s="281">
        <f>$AZ$59+0.2*(seat_pitch)*($AY$59*n_SA+$AW$14&lt;pax_e)</f>
        <v>26.102</v>
      </c>
      <c r="BN4776" s="281">
        <f>$AX$14+seat_w*($AY$59*n_SA+$AW$14&lt;pax_e)</f>
        <v>1.8400000000000003</v>
      </c>
      <c r="BO4776" s="281">
        <f t="shared" si="208"/>
        <v>8.291520000000002</v>
      </c>
    </row>
    <row r="4777" spans="65:67" x14ac:dyDescent="0.25">
      <c r="BM4777" s="281">
        <f>$AZ$59</f>
        <v>25.94</v>
      </c>
      <c r="BN4777" s="281">
        <f>$AX$14+seat_w*($AY$59*n_SA+$AW$14&lt;pax_e)</f>
        <v>1.8400000000000003</v>
      </c>
      <c r="BO4777" s="281">
        <f t="shared" si="208"/>
        <v>8.129520000000003</v>
      </c>
    </row>
    <row r="4778" spans="65:67" x14ac:dyDescent="0.25">
      <c r="BM4778" s="281">
        <f>$AZ$59+1*(seat_pitch)*($AY$59*n_SA+$AW$14&lt;pax_e)</f>
        <v>26.75</v>
      </c>
      <c r="BN4778" s="281">
        <f>$AX$14+seat_w*($AY$59*n_SA+$AW$14&lt;pax_e)</f>
        <v>1.8400000000000003</v>
      </c>
      <c r="BO4778" s="281">
        <f t="shared" si="208"/>
        <v>8.9395200000000017</v>
      </c>
    </row>
    <row r="4779" spans="65:67" x14ac:dyDescent="0.25">
      <c r="BM4779" s="281">
        <f>$AZ$59+0.8*(seat_pitch)*($AY$59*n_SA+$AW$14&lt;pax_e)</f>
        <v>26.588000000000001</v>
      </c>
      <c r="BN4779" s="281">
        <f>$AX$14+seat_w*($AY$59*n_SA+$AW$14&lt;pax_e)</f>
        <v>1.8400000000000003</v>
      </c>
      <c r="BO4779" s="281">
        <f t="shared" si="208"/>
        <v>8.7775200000000027</v>
      </c>
    </row>
    <row r="4780" spans="65:67" x14ac:dyDescent="0.25">
      <c r="BM4780" s="281">
        <f>$AZ$59+0.8*(seat_pitch)*($AY$59*n_SA+$AW$14&lt;pax_e)</f>
        <v>26.588000000000001</v>
      </c>
      <c r="BN4780" s="281">
        <f>$AX$14</f>
        <v>1.3100000000000003</v>
      </c>
      <c r="BO4780" s="281">
        <f t="shared" si="208"/>
        <v>8.7775200000000027</v>
      </c>
    </row>
    <row r="4781" spans="65:67" x14ac:dyDescent="0.25">
      <c r="BM4781" s="281">
        <f>$AZ$59+0.2*(seat_pitch)*($AY$59*n_SA+$AW$14&lt;pax_e)</f>
        <v>26.102</v>
      </c>
      <c r="BN4781" s="281">
        <f>$AX$14</f>
        <v>1.3100000000000003</v>
      </c>
      <c r="BO4781" s="281">
        <f t="shared" si="208"/>
        <v>8.291520000000002</v>
      </c>
    </row>
    <row r="4782" spans="65:67" x14ac:dyDescent="0.25">
      <c r="BM4782" s="281">
        <f>$AZ$59+(seat_pitch)</f>
        <v>26.75</v>
      </c>
      <c r="BN4782" s="281">
        <f>$AX$14</f>
        <v>1.3100000000000003</v>
      </c>
      <c r="BO4782" s="281">
        <f t="shared" si="208"/>
        <v>8.9395200000000017</v>
      </c>
    </row>
    <row r="4783" spans="65:67" x14ac:dyDescent="0.25">
      <c r="BM4783" s="281">
        <f>$AZ$60+0.2*(seat_pitch)*($AY$60*n_SA+$AW$14&lt;pax_e)</f>
        <v>26.102</v>
      </c>
      <c r="BN4783" s="281">
        <f>$AX$14</f>
        <v>1.3100000000000003</v>
      </c>
      <c r="BO4783" s="281">
        <f t="shared" si="208"/>
        <v>8.291520000000002</v>
      </c>
    </row>
    <row r="4784" spans="65:67" x14ac:dyDescent="0.25">
      <c r="BM4784" s="281">
        <f>$AZ$60+0.2*(seat_pitch)*($AY$60*n_SA+$AW$14&lt;pax_e)</f>
        <v>26.102</v>
      </c>
      <c r="BN4784" s="281">
        <f>$AX$14+seat_w*($AY$60*n_SA+$AW$14&lt;pax_e)</f>
        <v>1.8400000000000003</v>
      </c>
      <c r="BO4784" s="281">
        <f t="shared" si="208"/>
        <v>8.291520000000002</v>
      </c>
    </row>
    <row r="4785" spans="65:67" x14ac:dyDescent="0.25">
      <c r="BM4785" s="281">
        <f>$AZ$60</f>
        <v>25.94</v>
      </c>
      <c r="BN4785" s="281">
        <f>$AX$14+seat_w*($AY$60*n_SA+$AW$14&lt;pax_e)</f>
        <v>1.8400000000000003</v>
      </c>
      <c r="BO4785" s="281">
        <f t="shared" si="208"/>
        <v>8.129520000000003</v>
      </c>
    </row>
    <row r="4786" spans="65:67" x14ac:dyDescent="0.25">
      <c r="BM4786" s="281">
        <f>$AZ$60+1*(seat_pitch)*($AY$60*n_SA+$AW$14&lt;pax_e)</f>
        <v>26.75</v>
      </c>
      <c r="BN4786" s="281">
        <f>$AX$14+seat_w*($AY$60*n_SA+$AW$14&lt;pax_e)</f>
        <v>1.8400000000000003</v>
      </c>
      <c r="BO4786" s="281">
        <f t="shared" si="208"/>
        <v>8.9395200000000017</v>
      </c>
    </row>
    <row r="4787" spans="65:67" x14ac:dyDescent="0.25">
      <c r="BM4787" s="281">
        <f>$AZ$60+0.8*(seat_pitch)*($AY$60*n_SA+$AW$14&lt;pax_e)</f>
        <v>26.588000000000001</v>
      </c>
      <c r="BN4787" s="281">
        <f>$AX$14+seat_w*($AY$60*n_SA+$AW$14&lt;pax_e)</f>
        <v>1.8400000000000003</v>
      </c>
      <c r="BO4787" s="281">
        <f t="shared" si="208"/>
        <v>8.7775200000000027</v>
      </c>
    </row>
    <row r="4788" spans="65:67" x14ac:dyDescent="0.25">
      <c r="BM4788" s="281">
        <f>$AZ$60+0.8*(seat_pitch)*($AY$60*n_SA+$AW$14&lt;pax_e)</f>
        <v>26.588000000000001</v>
      </c>
      <c r="BN4788" s="281">
        <f>$AX$14</f>
        <v>1.3100000000000003</v>
      </c>
      <c r="BO4788" s="281">
        <f t="shared" si="208"/>
        <v>8.7775200000000027</v>
      </c>
    </row>
    <row r="4789" spans="65:67" x14ac:dyDescent="0.25">
      <c r="BM4789" s="281">
        <f>$AZ$60+0.2*(seat_pitch)*($AY$60*n_SA+$AW$14&lt;pax_e)</f>
        <v>26.102</v>
      </c>
      <c r="BN4789" s="281">
        <f>$AX$14</f>
        <v>1.3100000000000003</v>
      </c>
      <c r="BO4789" s="281">
        <f t="shared" si="208"/>
        <v>8.291520000000002</v>
      </c>
    </row>
    <row r="4790" spans="65:67" x14ac:dyDescent="0.25">
      <c r="BM4790" s="281">
        <f>$AZ$60+(seat_pitch)</f>
        <v>26.75</v>
      </c>
      <c r="BN4790" s="281">
        <f>$AX$14</f>
        <v>1.3100000000000003</v>
      </c>
      <c r="BO4790" s="281">
        <f t="shared" si="208"/>
        <v>8.9395200000000017</v>
      </c>
    </row>
    <row r="4791" spans="65:67" x14ac:dyDescent="0.25">
      <c r="BM4791" s="281">
        <f>$AZ$61+0.2*(seat_pitch)*($AY$61*n_SA+$AW$14&lt;pax_e)</f>
        <v>26.102</v>
      </c>
      <c r="BN4791" s="281">
        <f>$AX$14</f>
        <v>1.3100000000000003</v>
      </c>
      <c r="BO4791" s="281">
        <f t="shared" si="208"/>
        <v>8.291520000000002</v>
      </c>
    </row>
    <row r="4792" spans="65:67" x14ac:dyDescent="0.25">
      <c r="BM4792" s="281">
        <f>$AZ$61+0.2*(seat_pitch)*($AY$61*n_SA+$AW$14&lt;pax_e)</f>
        <v>26.102</v>
      </c>
      <c r="BN4792" s="281">
        <f>$AX$14+seat_w*($AY$61*n_SA+$AW$14&lt;pax_e)</f>
        <v>1.8400000000000003</v>
      </c>
      <c r="BO4792" s="281">
        <f t="shared" si="208"/>
        <v>8.291520000000002</v>
      </c>
    </row>
    <row r="4793" spans="65:67" x14ac:dyDescent="0.25">
      <c r="BM4793" s="281">
        <f>$AZ$61</f>
        <v>25.94</v>
      </c>
      <c r="BN4793" s="281">
        <f>$AX$14+seat_w*($AY$61*n_SA+$AW$14&lt;pax_e)</f>
        <v>1.8400000000000003</v>
      </c>
      <c r="BO4793" s="281">
        <f t="shared" si="208"/>
        <v>8.129520000000003</v>
      </c>
    </row>
    <row r="4794" spans="65:67" x14ac:dyDescent="0.25">
      <c r="BM4794" s="281">
        <f>$AZ$61+1*(seat_pitch)*($AY$61*n_SA+$AW$14&lt;pax_e)</f>
        <v>26.75</v>
      </c>
      <c r="BN4794" s="281">
        <f>$AX$14+seat_w*($AY$61*n_SA+$AW$14&lt;pax_e)</f>
        <v>1.8400000000000003</v>
      </c>
      <c r="BO4794" s="281">
        <f t="shared" si="208"/>
        <v>8.9395200000000017</v>
      </c>
    </row>
    <row r="4795" spans="65:67" x14ac:dyDescent="0.25">
      <c r="BM4795" s="281">
        <f>$AZ$61+0.8*(seat_pitch)*($AY$61*n_SA+$AW$14&lt;pax_e)</f>
        <v>26.588000000000001</v>
      </c>
      <c r="BN4795" s="281">
        <f>$AX$14+seat_w*($AY$61*n_SA+$AW$14&lt;pax_e)</f>
        <v>1.8400000000000003</v>
      </c>
      <c r="BO4795" s="281">
        <f t="shared" si="208"/>
        <v>8.7775200000000027</v>
      </c>
    </row>
    <row r="4796" spans="65:67" x14ac:dyDescent="0.25">
      <c r="BM4796" s="281">
        <f>$AZ$61+0.8*(seat_pitch)*($AY$61*n_SA+$AW$14&lt;pax_e)</f>
        <v>26.588000000000001</v>
      </c>
      <c r="BN4796" s="281">
        <f>$AX$14</f>
        <v>1.3100000000000003</v>
      </c>
      <c r="BO4796" s="281">
        <f t="shared" si="208"/>
        <v>8.7775200000000027</v>
      </c>
    </row>
    <row r="4797" spans="65:67" x14ac:dyDescent="0.25">
      <c r="BM4797" s="281">
        <f>$AZ$61+0.2*(seat_pitch)*($AY$61*n_SA+$AW$14&lt;pax_e)</f>
        <v>26.102</v>
      </c>
      <c r="BN4797" s="281">
        <f>$AX$14</f>
        <v>1.3100000000000003</v>
      </c>
      <c r="BO4797" s="281">
        <f t="shared" si="208"/>
        <v>8.291520000000002</v>
      </c>
    </row>
    <row r="4798" spans="65:67" x14ac:dyDescent="0.25">
      <c r="BM4798" s="281">
        <f>$AZ$61+(seat_pitch)</f>
        <v>26.75</v>
      </c>
      <c r="BN4798" s="281">
        <f>$AX$14</f>
        <v>1.3100000000000003</v>
      </c>
      <c r="BO4798" s="281">
        <f t="shared" si="208"/>
        <v>8.9395200000000017</v>
      </c>
    </row>
    <row r="4799" spans="65:67" x14ac:dyDescent="0.25">
      <c r="BM4799" s="281">
        <f>$AZ$62+0.2*(seat_pitch)*($AY$62*n_SA+$AW$14&lt;pax_e)</f>
        <v>26.102</v>
      </c>
      <c r="BN4799" s="281">
        <f>$AX$14</f>
        <v>1.3100000000000003</v>
      </c>
      <c r="BO4799" s="281">
        <f t="shared" si="208"/>
        <v>8.291520000000002</v>
      </c>
    </row>
    <row r="4800" spans="65:67" x14ac:dyDescent="0.25">
      <c r="BM4800" s="281">
        <f>$AZ$62+0.2*(seat_pitch)*($AY$62*n_SA+$AW$14&lt;pax_e)</f>
        <v>26.102</v>
      </c>
      <c r="BN4800" s="281">
        <f>$AX$14+seat_w*($AY$62*n_SA+$AW$14&lt;pax_e)</f>
        <v>1.8400000000000003</v>
      </c>
      <c r="BO4800" s="281">
        <f t="shared" si="208"/>
        <v>8.291520000000002</v>
      </c>
    </row>
    <row r="4801" spans="65:67" x14ac:dyDescent="0.25">
      <c r="BM4801" s="281">
        <f>$AZ$62</f>
        <v>25.94</v>
      </c>
      <c r="BN4801" s="281">
        <f>$AX$14+seat_w*($AY$62*n_SA+$AW$14&lt;pax_e)</f>
        <v>1.8400000000000003</v>
      </c>
      <c r="BO4801" s="281">
        <f t="shared" si="208"/>
        <v>8.129520000000003</v>
      </c>
    </row>
    <row r="4802" spans="65:67" x14ac:dyDescent="0.25">
      <c r="BM4802" s="281">
        <f>$AZ$62+1*(seat_pitch)*($AY$62*n_SA+$AW$14&lt;pax_e)</f>
        <v>26.75</v>
      </c>
      <c r="BN4802" s="281">
        <f>$AX$14+seat_w*($AY$62*n_SA+$AW$14&lt;pax_e)</f>
        <v>1.8400000000000003</v>
      </c>
      <c r="BO4802" s="281">
        <f t="shared" si="208"/>
        <v>8.9395200000000017</v>
      </c>
    </row>
    <row r="4803" spans="65:67" x14ac:dyDescent="0.25">
      <c r="BM4803" s="281">
        <f>$AZ$62+0.8*(seat_pitch)*($AY$62*n_SA+$AW$14&lt;pax_e)</f>
        <v>26.588000000000001</v>
      </c>
      <c r="BN4803" s="281">
        <f>$AX$14+seat_w*($AY$62*n_SA+$AW$14&lt;pax_e)</f>
        <v>1.8400000000000003</v>
      </c>
      <c r="BO4803" s="281">
        <f t="shared" si="208"/>
        <v>8.7775200000000027</v>
      </c>
    </row>
    <row r="4804" spans="65:67" x14ac:dyDescent="0.25">
      <c r="BM4804" s="281">
        <f>$AZ$62+0.8*(seat_pitch)*($AY$62*n_SA+$AW$14&lt;pax_e)</f>
        <v>26.588000000000001</v>
      </c>
      <c r="BN4804" s="281">
        <f>$AX$14</f>
        <v>1.3100000000000003</v>
      </c>
      <c r="BO4804" s="281">
        <f t="shared" si="208"/>
        <v>8.7775200000000027</v>
      </c>
    </row>
    <row r="4805" spans="65:67" x14ac:dyDescent="0.25">
      <c r="BM4805" s="281">
        <f>$AZ$62+0.2*(seat_pitch)*($AY$62*n_SA+$AW$14&lt;pax_e)</f>
        <v>26.102</v>
      </c>
      <c r="BN4805" s="281">
        <f>$AX$14</f>
        <v>1.3100000000000003</v>
      </c>
      <c r="BO4805" s="281">
        <f t="shared" ref="BO4805:BO4822" si="209">BM4805-L_fus/2</f>
        <v>8.291520000000002</v>
      </c>
    </row>
    <row r="4806" spans="65:67" x14ac:dyDescent="0.25">
      <c r="BM4806" s="281">
        <f>$AZ$62+(seat_pitch)</f>
        <v>26.75</v>
      </c>
      <c r="BN4806" s="281">
        <f>$AX$14</f>
        <v>1.3100000000000003</v>
      </c>
      <c r="BO4806" s="281">
        <f t="shared" si="209"/>
        <v>8.9395200000000017</v>
      </c>
    </row>
    <row r="4807" spans="65:67" x14ac:dyDescent="0.25">
      <c r="BM4807" s="281">
        <f>$AZ$63+0.2*(seat_pitch)*($AY$63*n_SA+$AW$14&lt;pax_e)</f>
        <v>26.102</v>
      </c>
      <c r="BN4807" s="281">
        <f>$AX$14</f>
        <v>1.3100000000000003</v>
      </c>
      <c r="BO4807" s="281">
        <f t="shared" si="209"/>
        <v>8.291520000000002</v>
      </c>
    </row>
    <row r="4808" spans="65:67" x14ac:dyDescent="0.25">
      <c r="BM4808" s="281">
        <f>$AZ$63+0.2*(seat_pitch)*($AY$63*n_SA+$AW$14&lt;pax_e)</f>
        <v>26.102</v>
      </c>
      <c r="BN4808" s="281">
        <f>$AX$14+seat_w*($AY$63*n_SA+$AW$14&lt;pax_e)</f>
        <v>1.8400000000000003</v>
      </c>
      <c r="BO4808" s="281">
        <f t="shared" si="209"/>
        <v>8.291520000000002</v>
      </c>
    </row>
    <row r="4809" spans="65:67" x14ac:dyDescent="0.25">
      <c r="BM4809" s="281">
        <f>$AZ$63</f>
        <v>25.94</v>
      </c>
      <c r="BN4809" s="281">
        <f>$AX$14+seat_w*($AY$63*n_SA+$AW$14&lt;pax_e)</f>
        <v>1.8400000000000003</v>
      </c>
      <c r="BO4809" s="281">
        <f t="shared" si="209"/>
        <v>8.129520000000003</v>
      </c>
    </row>
    <row r="4810" spans="65:67" x14ac:dyDescent="0.25">
      <c r="BM4810" s="281">
        <f>$AZ$63+1*(seat_pitch)*($AY$63*n_SA+$AW$14&lt;pax_e)</f>
        <v>26.75</v>
      </c>
      <c r="BN4810" s="281">
        <f>$AX$14+seat_w*($AY$63*n_SA+$AW$14&lt;pax_e)</f>
        <v>1.8400000000000003</v>
      </c>
      <c r="BO4810" s="281">
        <f t="shared" si="209"/>
        <v>8.9395200000000017</v>
      </c>
    </row>
    <row r="4811" spans="65:67" x14ac:dyDescent="0.25">
      <c r="BM4811" s="281">
        <f>$AZ$63+0.8*(seat_pitch)*($AY$63*n_SA+$AW$14&lt;pax_e)</f>
        <v>26.588000000000001</v>
      </c>
      <c r="BN4811" s="281">
        <f>$AX$14+seat_w*($AY$63*n_SA+$AW$14&lt;pax_e)</f>
        <v>1.8400000000000003</v>
      </c>
      <c r="BO4811" s="281">
        <f t="shared" si="209"/>
        <v>8.7775200000000027</v>
      </c>
    </row>
    <row r="4812" spans="65:67" x14ac:dyDescent="0.25">
      <c r="BM4812" s="281">
        <f>$AZ$63+0.8*(seat_pitch)*($AY$63*n_SA+$AW$14&lt;pax_e)</f>
        <v>26.588000000000001</v>
      </c>
      <c r="BN4812" s="281">
        <f>$AX$14</f>
        <v>1.3100000000000003</v>
      </c>
      <c r="BO4812" s="281">
        <f t="shared" si="209"/>
        <v>8.7775200000000027</v>
      </c>
    </row>
    <row r="4813" spans="65:67" x14ac:dyDescent="0.25">
      <c r="BM4813" s="281">
        <f>$AZ$63+0.2*(seat_pitch)*($AY$63*n_SA+$AW$14&lt;pax_e)</f>
        <v>26.102</v>
      </c>
      <c r="BN4813" s="281">
        <f>$AX$14</f>
        <v>1.3100000000000003</v>
      </c>
      <c r="BO4813" s="281">
        <f t="shared" si="209"/>
        <v>8.291520000000002</v>
      </c>
    </row>
    <row r="4814" spans="65:67" x14ac:dyDescent="0.25">
      <c r="BM4814" s="281">
        <f>$AZ$63+(seat_pitch)</f>
        <v>26.75</v>
      </c>
      <c r="BN4814" s="281">
        <f>$AX$14</f>
        <v>1.3100000000000003</v>
      </c>
      <c r="BO4814" s="281">
        <f t="shared" si="209"/>
        <v>8.9395200000000017</v>
      </c>
    </row>
    <row r="4815" spans="65:67" x14ac:dyDescent="0.25">
      <c r="BM4815" s="281">
        <f>$AZ$64+0.2*(seat_pitch)*($AY$64*n_SA+$AW$14&lt;pax_e)</f>
        <v>26.102</v>
      </c>
      <c r="BN4815" s="281">
        <f>$AX$14</f>
        <v>1.3100000000000003</v>
      </c>
      <c r="BO4815" s="281">
        <f t="shared" si="209"/>
        <v>8.291520000000002</v>
      </c>
    </row>
    <row r="4816" spans="65:67" x14ac:dyDescent="0.25">
      <c r="BM4816" s="281">
        <f>$AZ$64+0.2*(seat_pitch)*($AY$64*n_SA+$AW$14&lt;pax_e)</f>
        <v>26.102</v>
      </c>
      <c r="BN4816" s="281">
        <f>$AX$14+seat_w*($AY$64*n_SA+$AW$14&lt;pax_e)</f>
        <v>1.8400000000000003</v>
      </c>
      <c r="BO4816" s="281">
        <f t="shared" si="209"/>
        <v>8.291520000000002</v>
      </c>
    </row>
    <row r="4817" spans="65:67" x14ac:dyDescent="0.25">
      <c r="BM4817" s="281">
        <f>$AZ$64</f>
        <v>25.94</v>
      </c>
      <c r="BN4817" s="281">
        <f>$AX$14+seat_w*($AY$64*n_SA+$AW$14&lt;pax_e)</f>
        <v>1.8400000000000003</v>
      </c>
      <c r="BO4817" s="281">
        <f t="shared" si="209"/>
        <v>8.129520000000003</v>
      </c>
    </row>
    <row r="4818" spans="65:67" x14ac:dyDescent="0.25">
      <c r="BM4818" s="281">
        <f>$AZ$64+1*(seat_pitch)*($AY$64*n_SA+$AW$14&lt;pax_e)</f>
        <v>26.75</v>
      </c>
      <c r="BN4818" s="281">
        <f>$AX$14+seat_w*($AY$64*n_SA+$AW$14&lt;pax_e)</f>
        <v>1.8400000000000003</v>
      </c>
      <c r="BO4818" s="281">
        <f t="shared" si="209"/>
        <v>8.9395200000000017</v>
      </c>
    </row>
    <row r="4819" spans="65:67" x14ac:dyDescent="0.25">
      <c r="BM4819" s="281">
        <f>$AZ$64+0.8*(seat_pitch)*($AY$64*n_SA+$AW$14&lt;pax_e)</f>
        <v>26.588000000000001</v>
      </c>
      <c r="BN4819" s="281">
        <f>$AX$14+seat_w*($AY$64*n_SA+$AW$14&lt;pax_e)</f>
        <v>1.8400000000000003</v>
      </c>
      <c r="BO4819" s="281">
        <f t="shared" si="209"/>
        <v>8.7775200000000027</v>
      </c>
    </row>
    <row r="4820" spans="65:67" x14ac:dyDescent="0.25">
      <c r="BM4820" s="281">
        <f>$AZ$64+0.8*(seat_pitch)*($AY$64*n_SA+$AW$14&lt;pax_e)</f>
        <v>26.588000000000001</v>
      </c>
      <c r="BN4820" s="281">
        <f>$AX$14</f>
        <v>1.3100000000000003</v>
      </c>
      <c r="BO4820" s="281">
        <f t="shared" si="209"/>
        <v>8.7775200000000027</v>
      </c>
    </row>
    <row r="4821" spans="65:67" x14ac:dyDescent="0.25">
      <c r="BM4821" s="281">
        <f>$AZ$64+0.2*(seat_pitch)*($AY$64*n_SA+$AW$14&lt;pax_e)</f>
        <v>26.102</v>
      </c>
      <c r="BN4821" s="281">
        <f>$AX$14</f>
        <v>1.3100000000000003</v>
      </c>
      <c r="BO4821" s="281">
        <f t="shared" si="209"/>
        <v>8.291520000000002</v>
      </c>
    </row>
    <row r="4822" spans="65:67" x14ac:dyDescent="0.25">
      <c r="BM4822" s="281">
        <f>$AZ$64+(seat_pitch)</f>
        <v>26.75</v>
      </c>
      <c r="BN4822" s="281">
        <f>$AX$14</f>
        <v>1.3100000000000003</v>
      </c>
      <c r="BO4822" s="281">
        <f t="shared" si="209"/>
        <v>8.9395200000000017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376</vt:i4>
      </vt:variant>
    </vt:vector>
  </HeadingPairs>
  <TitlesOfParts>
    <vt:vector size="379" baseType="lpstr">
      <vt:lpstr>Design</vt:lpstr>
      <vt:lpstr>Summary</vt:lpstr>
      <vt:lpstr>Plot_Data</vt:lpstr>
      <vt:lpstr>a_cr</vt:lpstr>
      <vt:lpstr>A_cust</vt:lpstr>
      <vt:lpstr>A_emp</vt:lpstr>
      <vt:lpstr>A_hold</vt:lpstr>
      <vt:lpstr>A_tyre</vt:lpstr>
      <vt:lpstr>ac_type</vt:lpstr>
      <vt:lpstr>ACN</vt:lpstr>
      <vt:lpstr>aisle_w</vt:lpstr>
      <vt:lpstr>aisle1</vt:lpstr>
      <vt:lpstr>aisle1_b</vt:lpstr>
      <vt:lpstr>aisle2</vt:lpstr>
      <vt:lpstr>aisle2_b</vt:lpstr>
      <vt:lpstr>alpha_cr</vt:lpstr>
      <vt:lpstr>AR_</vt:lpstr>
      <vt:lpstr>AR_HT</vt:lpstr>
      <vt:lpstr>AR_VT</vt:lpstr>
      <vt:lpstr>arm_frac</vt:lpstr>
      <vt:lpstr>B_box</vt:lpstr>
      <vt:lpstr>b_HT</vt:lpstr>
      <vt:lpstr>b_VT</vt:lpstr>
      <vt:lpstr>b_w</vt:lpstr>
      <vt:lpstr>beta_cr</vt:lpstr>
      <vt:lpstr>beta_xw</vt:lpstr>
      <vt:lpstr>BFL</vt:lpstr>
      <vt:lpstr>BPR</vt:lpstr>
      <vt:lpstr>brake_g</vt:lpstr>
      <vt:lpstr>bus_frac</vt:lpstr>
      <vt:lpstr>bus_pitch</vt:lpstr>
      <vt:lpstr>c_cabin</vt:lpstr>
      <vt:lpstr>c_cap</vt:lpstr>
      <vt:lpstr>C_cust</vt:lpstr>
      <vt:lpstr>C_emp</vt:lpstr>
      <vt:lpstr>c_fuel</vt:lpstr>
      <vt:lpstr>c_HT</vt:lpstr>
      <vt:lpstr>c_pilot</vt:lpstr>
      <vt:lpstr>c_price</vt:lpstr>
      <vt:lpstr>c_root</vt:lpstr>
      <vt:lpstr>c_tip</vt:lpstr>
      <vt:lpstr>c_VT</vt:lpstr>
      <vt:lpstr>CD_0</vt:lpstr>
      <vt:lpstr>CD_cr</vt:lpstr>
      <vt:lpstr>CD0_est</vt:lpstr>
      <vt:lpstr>cg_aft</vt:lpstr>
      <vt:lpstr>cg_fwd</vt:lpstr>
      <vt:lpstr>cg_MTOM</vt:lpstr>
      <vt:lpstr>chk_ACN</vt:lpstr>
      <vt:lpstr>chk_alt</vt:lpstr>
      <vt:lpstr>chk_BFL</vt:lpstr>
      <vt:lpstr>chk_CD0</vt:lpstr>
      <vt:lpstr>chk_ceil</vt:lpstr>
      <vt:lpstr>chk_clear</vt:lpstr>
      <vt:lpstr>chk_climb</vt:lpstr>
      <vt:lpstr>chk_fin</vt:lpstr>
      <vt:lpstr>chk_fuel</vt:lpstr>
      <vt:lpstr>chk_gear</vt:lpstr>
      <vt:lpstr>chk_hold</vt:lpstr>
      <vt:lpstr>chk_LD</vt:lpstr>
      <vt:lpstr>chk_rot</vt:lpstr>
      <vt:lpstr>chk_SM</vt:lpstr>
      <vt:lpstr>chk_tailfit</vt:lpstr>
      <vt:lpstr>chk_tipback</vt:lpstr>
      <vt:lpstr>chk_TO</vt:lpstr>
      <vt:lpstr>chk_trim</vt:lpstr>
      <vt:lpstr>chk_weight</vt:lpstr>
      <vt:lpstr>chk_xw</vt:lpstr>
      <vt:lpstr>CL_2</vt:lpstr>
      <vt:lpstr>CL_cr</vt:lpstr>
      <vt:lpstr>CL_MA</vt:lpstr>
      <vt:lpstr>CL_opt</vt:lpstr>
      <vt:lpstr>CLa_h</vt:lpstr>
      <vt:lpstr>CLa_w</vt:lpstr>
      <vt:lpstr>clear_eng</vt:lpstr>
      <vt:lpstr>CLh_rot</vt:lpstr>
      <vt:lpstr>CLh_trim</vt:lpstr>
      <vt:lpstr>climb_min</vt:lpstr>
      <vt:lpstr>CLmax_c</vt:lpstr>
      <vt:lpstr>CLmaxL</vt:lpstr>
      <vt:lpstr>CLmaxTO</vt:lpstr>
      <vt:lpstr>CLv_eo</vt:lpstr>
      <vt:lpstr>Cm0_L</vt:lpstr>
      <vt:lpstr>cmp_i</vt:lpstr>
      <vt:lpstr>cmp_name</vt:lpstr>
      <vt:lpstr>co2_skm</vt:lpstr>
      <vt:lpstr>cost_skm</vt:lpstr>
      <vt:lpstr>cr_a</vt:lpstr>
      <vt:lpstr>cr_b</vt:lpstr>
      <vt:lpstr>cr_c</vt:lpstr>
      <vt:lpstr>cr_HT</vt:lpstr>
      <vt:lpstr>cr_VT</vt:lpstr>
      <vt:lpstr>crit_con</vt:lpstr>
      <vt:lpstr>d_climb</vt:lpstr>
      <vt:lpstr>d_desc</vt:lpstr>
      <vt:lpstr>D_fan</vt:lpstr>
      <vt:lpstr>d_fus</vt:lpstr>
      <vt:lpstr>d_hold</vt:lpstr>
      <vt:lpstr>D_nac</vt:lpstr>
      <vt:lpstr>D_nose</vt:lpstr>
      <vt:lpstr>D_tyre</vt:lpstr>
      <vt:lpstr>dCD0_f2</vt:lpstr>
      <vt:lpstr>dCD0_fMA</vt:lpstr>
      <vt:lpstr>dCD0_gear</vt:lpstr>
      <vt:lpstr>dCL_L</vt:lpstr>
      <vt:lpstr>dCl_req</vt:lpstr>
      <vt:lpstr>dCL_TO</vt:lpstr>
      <vt:lpstr>deda</vt:lpstr>
      <vt:lpstr>dihedral</vt:lpstr>
      <vt:lpstr>door_len</vt:lpstr>
      <vt:lpstr>dr_xw</vt:lpstr>
      <vt:lpstr>dt_scn</vt:lpstr>
      <vt:lpstr>dt_tr1</vt:lpstr>
      <vt:lpstr>dt_tr2</vt:lpstr>
      <vt:lpstr>dx_fus</vt:lpstr>
      <vt:lpstr>e_os</vt:lpstr>
      <vt:lpstr>emp_frac</vt:lpstr>
      <vt:lpstr>eta_in</vt:lpstr>
      <vt:lpstr>eta_out</vt:lpstr>
      <vt:lpstr>ew_mode</vt:lpstr>
      <vt:lpstr>f_wg</vt:lpstr>
      <vt:lpstr>ff_climb</vt:lpstr>
      <vt:lpstr>ff_cruise</vt:lpstr>
      <vt:lpstr>ff_desc</vt:lpstr>
      <vt:lpstr>ff_fixed</vt:lpstr>
      <vt:lpstr>ff_res</vt:lpstr>
      <vt:lpstr>ff_taxi</vt:lpstr>
      <vt:lpstr>ff_TO</vt:lpstr>
      <vt:lpstr>fineness</vt:lpstr>
      <vt:lpstr>fl_disc</vt:lpstr>
      <vt:lpstr>flap_ratio</vt:lpstr>
      <vt:lpstr>flap_type</vt:lpstr>
      <vt:lpstr>fuel_frac</vt:lpstr>
      <vt:lpstr>gal_w</vt:lpstr>
      <vt:lpstr>gam_2</vt:lpstr>
      <vt:lpstr>grad_2</vt:lpstr>
      <vt:lpstr>grad_MA</vt:lpstr>
      <vt:lpstr>grav</vt:lpstr>
      <vt:lpstr>h_abs</vt:lpstr>
      <vt:lpstr>h_apt</vt:lpstr>
      <vt:lpstr>h_best</vt:lpstr>
      <vt:lpstr>h_cg</vt:lpstr>
      <vt:lpstr>h_cr</vt:lpstr>
      <vt:lpstr>h_opt1</vt:lpstr>
      <vt:lpstr>h_opt2</vt:lpstr>
      <vt:lpstr>h_serv</vt:lpstr>
      <vt:lpstr>hcg_fac</vt:lpstr>
      <vt:lpstr>in_alpha_cr</vt:lpstr>
      <vt:lpstr>in_AR_</vt:lpstr>
      <vt:lpstr>in_CD_0</vt:lpstr>
      <vt:lpstr>in_CLmaxL</vt:lpstr>
      <vt:lpstr>in_CLmaxTO</vt:lpstr>
      <vt:lpstr>in_e_os</vt:lpstr>
      <vt:lpstr>in_LDA</vt:lpstr>
      <vt:lpstr>in_MCR</vt:lpstr>
      <vt:lpstr>in_PaxTyp</vt:lpstr>
      <vt:lpstr>in_PayPax</vt:lpstr>
      <vt:lpstr>in_PyldMax</vt:lpstr>
      <vt:lpstr>in_RangeTyp</vt:lpstr>
      <vt:lpstr>in_TODA</vt:lpstr>
      <vt:lpstr>in_TSFC_in</vt:lpstr>
      <vt:lpstr>k_crew</vt:lpstr>
      <vt:lpstr>k_fees</vt:lpstr>
      <vt:lpstr>k_fuel</vt:lpstr>
      <vt:lpstr>K_g</vt:lpstr>
      <vt:lpstr>K_ind</vt:lpstr>
      <vt:lpstr>k_L</vt:lpstr>
      <vt:lpstr>k_maint</vt:lpstr>
      <vt:lpstr>k_own</vt:lpstr>
      <vt:lpstr>k_res</vt:lpstr>
      <vt:lpstr>k_TO</vt:lpstr>
      <vt:lpstr>k_total</vt:lpstr>
      <vt:lpstr>kappa</vt:lpstr>
      <vt:lpstr>L_cabin</vt:lpstr>
      <vt:lpstr>L_eng</vt:lpstr>
      <vt:lpstr>L_front</vt:lpstr>
      <vt:lpstr>L_fus</vt:lpstr>
      <vt:lpstr>l_main</vt:lpstr>
      <vt:lpstr>L_nac</vt:lpstr>
      <vt:lpstr>l_nose</vt:lpstr>
      <vt:lpstr>L_rear</vt:lpstr>
      <vt:lpstr>L_rot</vt:lpstr>
      <vt:lpstr>L_tail</vt:lpstr>
      <vt:lpstr>lapse_n</vt:lpstr>
      <vt:lpstr>lav_len</vt:lpstr>
      <vt:lpstr>lav_slots</vt:lpstr>
      <vt:lpstr>lav_w</vt:lpstr>
      <vt:lpstr>LD_2</vt:lpstr>
      <vt:lpstr>LD_cr</vt:lpstr>
      <vt:lpstr>LD_MA</vt:lpstr>
      <vt:lpstr>LD_max</vt:lpstr>
      <vt:lpstr>LDA</vt:lpstr>
      <vt:lpstr>LFL</vt:lpstr>
      <vt:lpstr>m_crew</vt:lpstr>
      <vt:lpstr>m_eng</vt:lpstr>
      <vt:lpstr>M_ff</vt:lpstr>
      <vt:lpstr>M_MO</vt:lpstr>
      <vt:lpstr>MAC</vt:lpstr>
      <vt:lpstr>MAC_HT</vt:lpstr>
      <vt:lpstr>MAC_VT</vt:lpstr>
      <vt:lpstr>main_frac</vt:lpstr>
      <vt:lpstr>MCR</vt:lpstr>
      <vt:lpstr>ML_ratio</vt:lpstr>
      <vt:lpstr>MLW</vt:lpstr>
      <vt:lpstr>mS_L</vt:lpstr>
      <vt:lpstr>MTOW</vt:lpstr>
      <vt:lpstr>MTOW_bu</vt:lpstr>
      <vt:lpstr>MTOW_frac</vt:lpstr>
      <vt:lpstr>mu_cr</vt:lpstr>
      <vt:lpstr>mu_g</vt:lpstr>
      <vt:lpstr>MZFW</vt:lpstr>
      <vt:lpstr>n_aisle</vt:lpstr>
      <vt:lpstr>n_door</vt:lpstr>
      <vt:lpstr>N_eng</vt:lpstr>
      <vt:lpstr>N_eo</vt:lpstr>
      <vt:lpstr>N_flight</vt:lpstr>
      <vt:lpstr>n_gC</vt:lpstr>
      <vt:lpstr>n_gD</vt:lpstr>
      <vt:lpstr>N_gear</vt:lpstr>
      <vt:lpstr>n_lav</vt:lpstr>
      <vt:lpstr>n_lav_front</vt:lpstr>
      <vt:lpstr>n_lim</vt:lpstr>
      <vt:lpstr>n_met</vt:lpstr>
      <vt:lpstr>n_neg</vt:lpstr>
      <vt:lpstr>n_overwing</vt:lpstr>
      <vt:lpstr>n_pos</vt:lpstr>
      <vt:lpstr>n_roc</vt:lpstr>
      <vt:lpstr>n_rows</vt:lpstr>
      <vt:lpstr>n_rows_b</vt:lpstr>
      <vt:lpstr>n_SA</vt:lpstr>
      <vt:lpstr>n_SA_b</vt:lpstr>
      <vt:lpstr>n_struts</vt:lpstr>
      <vt:lpstr>n_wps</vt:lpstr>
      <vt:lpstr>ng_fwd</vt:lpstr>
      <vt:lpstr>nose_len</vt:lpstr>
      <vt:lpstr>nose_scale</vt:lpstr>
      <vt:lpstr>nz_app</vt:lpstr>
      <vt:lpstr>nz_fly</vt:lpstr>
      <vt:lpstr>nz_lat</vt:lpstr>
      <vt:lpstr>OEW</vt:lpstr>
      <vt:lpstr>p_opt1</vt:lpstr>
      <vt:lpstr>p_tyre</vt:lpstr>
      <vt:lpstr>pax_b</vt:lpstr>
      <vt:lpstr>pax_e</vt:lpstr>
      <vt:lpstr>pax_per_cc</vt:lpstr>
      <vt:lpstr>pax_per_lav</vt:lpstr>
      <vt:lpstr>PaxTyp</vt:lpstr>
      <vt:lpstr>PayPax</vt:lpstr>
      <vt:lpstr>PyldMax</vt:lpstr>
      <vt:lpstr>q_cr</vt:lpstr>
      <vt:lpstr>R_design</vt:lpstr>
      <vt:lpstr>R_maxpl</vt:lpstr>
      <vt:lpstr>Range_km</vt:lpstr>
      <vt:lpstr>Range_unit</vt:lpstr>
      <vt:lpstr>RangeTyp</vt:lpstr>
      <vt:lpstr>rho_abs</vt:lpstr>
      <vt:lpstr>rho_cr</vt:lpstr>
      <vt:lpstr>rho_fuel</vt:lpstr>
      <vt:lpstr>rho_SL</vt:lpstr>
      <vt:lpstr>ROC_cr</vt:lpstr>
      <vt:lpstr>ROC_SL</vt:lpstr>
      <vt:lpstr>S_exp</vt:lpstr>
      <vt:lpstr>S_HT</vt:lpstr>
      <vt:lpstr>S_ref</vt:lpstr>
      <vt:lpstr>S_VT</vt:lpstr>
      <vt:lpstr>S_wet_fus</vt:lpstr>
      <vt:lpstr>scn</vt:lpstr>
      <vt:lpstr>seat_pitch</vt:lpstr>
      <vt:lpstr>seat_w</vt:lpstr>
      <vt:lpstr>seat_w_b</vt:lpstr>
      <vt:lpstr>sigma</vt:lpstr>
      <vt:lpstr>SM_min</vt:lpstr>
      <vt:lpstr>SM_MTOM</vt:lpstr>
      <vt:lpstr>SM_target</vt:lpstr>
      <vt:lpstr>stroke</vt:lpstr>
      <vt:lpstr>sweep25</vt:lpstr>
      <vt:lpstr>sweepLE</vt:lpstr>
      <vt:lpstr>sweepLE_HT</vt:lpstr>
      <vt:lpstr>sweepLE_VT</vt:lpstr>
      <vt:lpstr>t_block</vt:lpstr>
      <vt:lpstr>t_climb</vt:lpstr>
      <vt:lpstr>T_cr</vt:lpstr>
      <vt:lpstr>T_cr_av</vt:lpstr>
      <vt:lpstr>T_cr_req</vt:lpstr>
      <vt:lpstr>T_eng</vt:lpstr>
      <vt:lpstr>T_SL</vt:lpstr>
      <vt:lpstr>tail_k</vt:lpstr>
      <vt:lpstr>tail_len</vt:lpstr>
      <vt:lpstr>taper</vt:lpstr>
      <vt:lpstr>taper_HT</vt:lpstr>
      <vt:lpstr>taper_VT</vt:lpstr>
      <vt:lpstr>tc</vt:lpstr>
      <vt:lpstr>tip_aft</vt:lpstr>
      <vt:lpstr>tipback</vt:lpstr>
      <vt:lpstr>to_A</vt:lpstr>
      <vt:lpstr>to_disc</vt:lpstr>
      <vt:lpstr>TO_slope</vt:lpstr>
      <vt:lpstr>TODA</vt:lpstr>
      <vt:lpstr>TOFL</vt:lpstr>
      <vt:lpstr>track</vt:lpstr>
      <vt:lpstr>track_min</vt:lpstr>
      <vt:lpstr>TSFC_in</vt:lpstr>
      <vt:lpstr>TSFC_s</vt:lpstr>
      <vt:lpstr>TSFC_unit</vt:lpstr>
      <vt:lpstr>TW_2</vt:lpstr>
      <vt:lpstr>TW_av</vt:lpstr>
      <vt:lpstr>TW_des</vt:lpstr>
      <vt:lpstr>TW_floor</vt:lpstr>
      <vt:lpstr>TW_MA</vt:lpstr>
      <vt:lpstr>TW_p</vt:lpstr>
      <vt:lpstr>type_used</vt:lpstr>
      <vt:lpstr>tyre_margin</vt:lpstr>
      <vt:lpstr>unit_sys</vt:lpstr>
      <vt:lpstr>util</vt:lpstr>
      <vt:lpstr>V_2</vt:lpstr>
      <vt:lpstr>V_A</vt:lpstr>
      <vt:lpstr>V_app</vt:lpstr>
      <vt:lpstr>V_bag</vt:lpstr>
      <vt:lpstr>V_C</vt:lpstr>
      <vt:lpstr>V_cr</vt:lpstr>
      <vt:lpstr>V_ctr</vt:lpstr>
      <vt:lpstr>V_D</vt:lpstr>
      <vt:lpstr>V_fuel</vt:lpstr>
      <vt:lpstr>V_hold</vt:lpstr>
      <vt:lpstr>V_R</vt:lpstr>
      <vt:lpstr>V_S1</vt:lpstr>
      <vt:lpstr>V_tank</vt:lpstr>
      <vt:lpstr>V_vert</vt:lpstr>
      <vt:lpstr>V_xw</vt:lpstr>
      <vt:lpstr>Vbar_H</vt:lpstr>
      <vt:lpstr>view_az</vt:lpstr>
      <vt:lpstr>view_el</vt:lpstr>
      <vt:lpstr>Vs_L</vt:lpstr>
      <vt:lpstr>Vs_TO</vt:lpstr>
      <vt:lpstr>w_cabin</vt:lpstr>
      <vt:lpstr>W_crew</vt:lpstr>
      <vt:lpstr>W_e_build</vt:lpstr>
      <vt:lpstr>W_empty</vt:lpstr>
      <vt:lpstr>W_fuel</vt:lpstr>
      <vt:lpstr>W_pl</vt:lpstr>
      <vt:lpstr>W_trip</vt:lpstr>
      <vt:lpstr>w_tyre</vt:lpstr>
      <vt:lpstr>W_wheel</vt:lpstr>
      <vt:lpstr>wb_frac</vt:lpstr>
      <vt:lpstr>Wf_max</vt:lpstr>
      <vt:lpstr>wheelbase</vt:lpstr>
      <vt:lpstr>wing_auto</vt:lpstr>
      <vt:lpstr>WS_des</vt:lpstr>
      <vt:lpstr>WS_max</vt:lpstr>
      <vt:lpstr>WS_p</vt:lpstr>
      <vt:lpstr>x_ac_w</vt:lpstr>
      <vt:lpstr>x_cg_e</vt:lpstr>
      <vt:lpstr>x_cg_gear</vt:lpstr>
      <vt:lpstr>x_door_f</vt:lpstr>
      <vt:lpstr>x_door_r</vt:lpstr>
      <vt:lpstr>x_e_ng</vt:lpstr>
      <vt:lpstr>x_eco0</vt:lpstr>
      <vt:lpstr>x_eng_cg</vt:lpstr>
      <vt:lpstr>x_fuelcg</vt:lpstr>
      <vt:lpstr>x_hLE0</vt:lpstr>
      <vt:lpstr>x_LEMAC</vt:lpstr>
      <vt:lpstr>x_main</vt:lpstr>
      <vt:lpstr>x_nose</vt:lpstr>
      <vt:lpstr>x_np</vt:lpstr>
      <vt:lpstr>x_pay</vt:lpstr>
      <vt:lpstr>x_seat_end</vt:lpstr>
      <vt:lpstr>x_seat0</vt:lpstr>
      <vt:lpstr>x_vLE0</vt:lpstr>
      <vt:lpstr>x_wLE0</vt:lpstr>
      <vt:lpstr>xw_auto</vt:lpstr>
      <vt:lpstr>xw_frac</vt:lpstr>
      <vt:lpstr>xw_in</vt:lpstr>
      <vt:lpstr>y_eng_in</vt:lpstr>
      <vt:lpstr>y_eng_out</vt:lpstr>
      <vt:lpstr>y_MAC</vt:lpstr>
      <vt:lpstr>z_floor</vt:lpstr>
      <vt:lpstr>z_HT</vt:lpstr>
      <vt:lpstr>z_VT0</vt:lpstr>
      <vt:lpstr>z_w0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Sajjad M</cp:lastModifiedBy>
  <cp:lastPrinted>2026-10-13T00:14:41Z</cp:lastPrinted>
  <dcterms:created xsi:type="dcterms:W3CDTF">2026-10-13T00:07:44Z</dcterms:created>
  <dcterms:modified xsi:type="dcterms:W3CDTF">2026-10-13T00:14:42Z</dcterms:modified>
</cp:coreProperties>
</file>